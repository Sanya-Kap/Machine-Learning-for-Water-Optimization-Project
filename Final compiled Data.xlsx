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Admin\CodeWorkSpace\abdullah_projects\Sabby\"/>
    </mc:Choice>
  </mc:AlternateContent>
  <xr:revisionPtr revIDLastSave="0" documentId="8_{DC67D34D-AF1F-4184-AACB-600FB54A2CB5}" xr6:coauthVersionLast="47" xr6:coauthVersionMax="47" xr10:uidLastSave="{00000000-0000-0000-0000-000000000000}"/>
  <bookViews>
    <workbookView xWindow="-120" yWindow="-16320" windowWidth="29040" windowHeight="15720" xr2:uid="{00000000-000D-0000-FFFF-FFFF00000000}"/>
  </bookViews>
  <sheets>
    <sheet name="All years daily plus BOD, COD" sheetId="1" r:id="rId1"/>
    <sheet name="All Years -daily" sheetId="2" r:id="rId2"/>
    <sheet name="BOD COD" sheetId="3" r:id="rId3"/>
    <sheet name="Energy Consumption" sheetId="4" r:id="rId4"/>
  </sheets>
  <calcPr calcId="191029"/>
  <extLst>
    <ext uri="GoogleSheetsCustomDataVersion2">
      <go:sheetsCustomData xmlns:go="http://customooxmlschemas.google.com/" r:id="rId9" roundtripDataChecksum="j62kUwo+o062a0tcN5cgQEM4E5gNhO8WzvKOBDccDbA="/>
    </ext>
  </extLst>
</workbook>
</file>

<file path=xl/calcChain.xml><?xml version="1.0" encoding="utf-8"?>
<calcChain xmlns="http://schemas.openxmlformats.org/spreadsheetml/2006/main">
  <c r="R338" i="2" l="1"/>
  <c r="S334" i="2"/>
  <c r="S330" i="2"/>
  <c r="S326" i="2"/>
  <c r="Q326" i="2" s="1"/>
  <c r="S322" i="2"/>
  <c r="S318" i="2"/>
  <c r="S314" i="2"/>
  <c r="Q314" i="2" s="1"/>
  <c r="S310" i="2"/>
  <c r="Q310" i="2" s="1"/>
  <c r="R308" i="2"/>
  <c r="S304" i="2"/>
  <c r="S300" i="2"/>
  <c r="S296" i="2"/>
  <c r="Q296" i="2" s="1"/>
  <c r="S292" i="2"/>
  <c r="S288" i="2"/>
  <c r="S284" i="2"/>
  <c r="S280" i="2"/>
  <c r="Q280" i="2" s="1"/>
  <c r="R277" i="2"/>
  <c r="S275" i="2"/>
  <c r="S273" i="2"/>
  <c r="Q273" i="2" s="1"/>
  <c r="S271" i="2"/>
  <c r="S269" i="2"/>
  <c r="Q269" i="2"/>
  <c r="S267" i="2"/>
  <c r="S265" i="2"/>
  <c r="S263" i="2"/>
  <c r="Q263" i="2" s="1"/>
  <c r="S261" i="2"/>
  <c r="Q261" i="2" s="1"/>
  <c r="S259" i="2"/>
  <c r="Q259" i="2" s="1"/>
  <c r="S257" i="2"/>
  <c r="Q257" i="2" s="1"/>
  <c r="S255" i="2"/>
  <c r="S253" i="2"/>
  <c r="Q253" i="2"/>
  <c r="S251" i="2"/>
  <c r="S249" i="2"/>
  <c r="Q249" i="2"/>
  <c r="S247" i="2"/>
  <c r="Q247" i="2" s="1"/>
  <c r="R247" i="2"/>
  <c r="S245" i="2"/>
  <c r="S243" i="2"/>
  <c r="S241" i="2"/>
  <c r="Q241" i="2" s="1"/>
  <c r="S239" i="2"/>
  <c r="S237" i="2"/>
  <c r="S235" i="2"/>
  <c r="S233" i="2"/>
  <c r="Q233" i="2" s="1"/>
  <c r="S231" i="2"/>
  <c r="S229" i="2"/>
  <c r="S227" i="2"/>
  <c r="S225" i="2"/>
  <c r="Q225" i="2" s="1"/>
  <c r="S223" i="2"/>
  <c r="S221" i="2"/>
  <c r="S219" i="2"/>
  <c r="S217" i="2"/>
  <c r="Q217" i="2" s="1"/>
  <c r="R216" i="2"/>
  <c r="S214" i="2"/>
  <c r="S212" i="2"/>
  <c r="Q212" i="2" s="1"/>
  <c r="S210" i="2"/>
  <c r="Q210" i="2"/>
  <c r="S208" i="2"/>
  <c r="Q208" i="2" s="1"/>
  <c r="S206" i="2"/>
  <c r="S204" i="2"/>
  <c r="Q204" i="2" s="1"/>
  <c r="S202" i="2"/>
  <c r="Q202" i="2"/>
  <c r="S200" i="2"/>
  <c r="Q200" i="2" s="1"/>
  <c r="S198" i="2"/>
  <c r="S196" i="2"/>
  <c r="Q196" i="2" s="1"/>
  <c r="S194" i="2"/>
  <c r="Q194" i="2"/>
  <c r="S192" i="2"/>
  <c r="Q192" i="2" s="1"/>
  <c r="S190" i="2"/>
  <c r="Q190" i="2" s="1"/>
  <c r="S188" i="2"/>
  <c r="Q188" i="2" s="1"/>
  <c r="S186" i="2"/>
  <c r="Q186" i="2"/>
  <c r="R185" i="2"/>
  <c r="S184" i="2"/>
  <c r="S182" i="2"/>
  <c r="Q182" i="2" s="1"/>
  <c r="S181" i="2"/>
  <c r="Q181" i="2" s="1"/>
  <c r="S180" i="2"/>
  <c r="Q180" i="2" s="1"/>
  <c r="S178" i="2"/>
  <c r="S177" i="2"/>
  <c r="Q177" i="2" s="1"/>
  <c r="S176" i="2"/>
  <c r="Q176" i="2" s="1"/>
  <c r="S174" i="2"/>
  <c r="S173" i="2"/>
  <c r="Q173" i="2"/>
  <c r="S172" i="2"/>
  <c r="S170" i="2"/>
  <c r="S169" i="2"/>
  <c r="Q169" i="2" s="1"/>
  <c r="S168" i="2"/>
  <c r="S166" i="2"/>
  <c r="Q166" i="2" s="1"/>
  <c r="S165" i="2"/>
  <c r="Q165" i="2" s="1"/>
  <c r="S164" i="2"/>
  <c r="S162" i="2"/>
  <c r="S161" i="2"/>
  <c r="Q161" i="2"/>
  <c r="S160" i="2"/>
  <c r="Q160" i="2" s="1"/>
  <c r="S158" i="2"/>
  <c r="S157" i="2"/>
  <c r="Q157" i="2"/>
  <c r="S156" i="2"/>
  <c r="R155" i="2"/>
  <c r="S153" i="2"/>
  <c r="Q153" i="2" s="1"/>
  <c r="S151" i="2"/>
  <c r="Q151" i="2"/>
  <c r="S149" i="2"/>
  <c r="Q149" i="2"/>
  <c r="S147" i="2"/>
  <c r="Q147" i="2" s="1"/>
  <c r="S145" i="2"/>
  <c r="Q145" i="2"/>
  <c r="S143" i="2"/>
  <c r="Q143" i="2" s="1"/>
  <c r="S141" i="2"/>
  <c r="Q141" i="2" s="1"/>
  <c r="S139" i="2"/>
  <c r="Q139" i="2" s="1"/>
  <c r="S137" i="2"/>
  <c r="Q137" i="2"/>
  <c r="S135" i="2"/>
  <c r="Q135" i="2"/>
  <c r="S133" i="2"/>
  <c r="Q133" i="2" s="1"/>
  <c r="S131" i="2"/>
  <c r="Q131" i="2" s="1"/>
  <c r="S129" i="2"/>
  <c r="Q129" i="2"/>
  <c r="S127" i="2"/>
  <c r="Q127" i="2" s="1"/>
  <c r="S125" i="2"/>
  <c r="Q125" i="2" s="1"/>
  <c r="R124" i="2"/>
  <c r="S123" i="2"/>
  <c r="Q123" i="2" s="1"/>
  <c r="S122" i="2"/>
  <c r="Q122" i="2" s="1"/>
  <c r="S121" i="2"/>
  <c r="S120" i="2"/>
  <c r="Q120" i="2" s="1"/>
  <c r="S119" i="2"/>
  <c r="Q119" i="2" s="1"/>
  <c r="S118" i="2"/>
  <c r="Q118" i="2"/>
  <c r="S117" i="2"/>
  <c r="S116" i="2"/>
  <c r="S115" i="2"/>
  <c r="Q115" i="2" s="1"/>
  <c r="S114" i="2"/>
  <c r="Q114" i="2"/>
  <c r="S113" i="2"/>
  <c r="Q113" i="2" s="1"/>
  <c r="S112" i="2"/>
  <c r="Q112" i="2" s="1"/>
  <c r="S111" i="2"/>
  <c r="S110" i="2"/>
  <c r="Q110" i="2"/>
  <c r="S109" i="2"/>
  <c r="S108" i="2"/>
  <c r="Q108" i="2"/>
  <c r="S107" i="2"/>
  <c r="Q107" i="2" s="1"/>
  <c r="S106" i="2"/>
  <c r="Q106" i="2" s="1"/>
  <c r="S105" i="2"/>
  <c r="S104" i="2"/>
  <c r="Q104" i="2" s="1"/>
  <c r="S103" i="2"/>
  <c r="Q103" i="2" s="1"/>
  <c r="S102" i="2"/>
  <c r="Q102" i="2"/>
  <c r="S101" i="2"/>
  <c r="S100" i="2"/>
  <c r="Q100" i="2" s="1"/>
  <c r="S99" i="2"/>
  <c r="Q99" i="2" s="1"/>
  <c r="S98" i="2"/>
  <c r="Q98" i="2"/>
  <c r="S97" i="2"/>
  <c r="Q97" i="2" s="1"/>
  <c r="S96" i="2"/>
  <c r="Q96" i="2" s="1"/>
  <c r="S95" i="2"/>
  <c r="S94" i="2"/>
  <c r="R94" i="2"/>
  <c r="S92" i="2"/>
  <c r="S91" i="2"/>
  <c r="S90" i="2"/>
  <c r="S88" i="2"/>
  <c r="S87" i="2"/>
  <c r="S86" i="2"/>
  <c r="S84" i="2"/>
  <c r="S83" i="2"/>
  <c r="S82" i="2"/>
  <c r="S80" i="2"/>
  <c r="S79" i="2"/>
  <c r="S78" i="2"/>
  <c r="S76" i="2"/>
  <c r="S75" i="2"/>
  <c r="S74" i="2"/>
  <c r="S72" i="2"/>
  <c r="S71" i="2"/>
  <c r="S70" i="2"/>
  <c r="S68" i="2"/>
  <c r="S67" i="2"/>
  <c r="S66" i="2"/>
  <c r="S64" i="2"/>
  <c r="Q64" i="2"/>
  <c r="S63" i="2"/>
  <c r="R63" i="2"/>
  <c r="S368" i="2" s="1"/>
  <c r="Q368" i="2" s="1"/>
  <c r="S62" i="2"/>
  <c r="Q62" i="2"/>
  <c r="S59" i="2"/>
  <c r="Q59" i="2" s="1"/>
  <c r="S58" i="2"/>
  <c r="Q58" i="2"/>
  <c r="S57" i="2"/>
  <c r="Q57" i="2" s="1"/>
  <c r="S54" i="2"/>
  <c r="Q54" i="2"/>
  <c r="S53" i="2"/>
  <c r="Q53" i="2" s="1"/>
  <c r="S52" i="2"/>
  <c r="Q52" i="2" s="1"/>
  <c r="S50" i="2"/>
  <c r="Q50" i="2" s="1"/>
  <c r="S49" i="2"/>
  <c r="Q49" i="2" s="1"/>
  <c r="S48" i="2"/>
  <c r="Q48" i="2"/>
  <c r="S45" i="2"/>
  <c r="Q45" i="2" s="1"/>
  <c r="S44" i="2"/>
  <c r="Q44" i="2"/>
  <c r="S43" i="2"/>
  <c r="Q43" i="2" s="1"/>
  <c r="S41" i="2"/>
  <c r="Q41" i="2" s="1"/>
  <c r="S40" i="2"/>
  <c r="Q40" i="2"/>
  <c r="S39" i="2"/>
  <c r="Q39" i="2"/>
  <c r="S36" i="2"/>
  <c r="Q36" i="2" s="1"/>
  <c r="S35" i="2"/>
  <c r="Q35" i="2"/>
  <c r="S34" i="2"/>
  <c r="Q34" i="2" s="1"/>
  <c r="R34" i="2"/>
  <c r="S61" i="2" s="1"/>
  <c r="Q61" i="2" s="1"/>
  <c r="S32" i="2"/>
  <c r="Q32" i="2" s="1"/>
  <c r="S31" i="2"/>
  <c r="Q31" i="2"/>
  <c r="S30" i="2"/>
  <c r="Q30" i="2" s="1"/>
  <c r="Q27" i="2"/>
  <c r="S26" i="2"/>
  <c r="Q26" i="2"/>
  <c r="S25" i="2"/>
  <c r="Q25" i="2" s="1"/>
  <c r="S21" i="2"/>
  <c r="Q21" i="2" s="1"/>
  <c r="S20" i="2"/>
  <c r="Q20" i="2" s="1"/>
  <c r="S16" i="2"/>
  <c r="Q16" i="2"/>
  <c r="S12" i="2"/>
  <c r="Q12" i="2" s="1"/>
  <c r="S8" i="2"/>
  <c r="Q8" i="2"/>
  <c r="S4" i="2"/>
  <c r="Q4" i="2"/>
  <c r="T3" i="2"/>
  <c r="Q19" i="2" s="1"/>
  <c r="R3" i="2"/>
  <c r="S22" i="2" s="1"/>
  <c r="Q22" i="2" s="1"/>
  <c r="E1827" i="1"/>
  <c r="E1826" i="1"/>
  <c r="E1825" i="1"/>
  <c r="E1823" i="1"/>
  <c r="E1822" i="1"/>
  <c r="E1821" i="1"/>
  <c r="E1820" i="1"/>
  <c r="E1819" i="1"/>
  <c r="E1818" i="1"/>
  <c r="E1817" i="1"/>
  <c r="E1816" i="1"/>
  <c r="E1815" i="1"/>
  <c r="E1814" i="1"/>
  <c r="E1813" i="1"/>
  <c r="E1812" i="1"/>
  <c r="E1811" i="1"/>
  <c r="E1810" i="1"/>
  <c r="E1809" i="1"/>
  <c r="E1808" i="1"/>
  <c r="E1807" i="1"/>
  <c r="E1806" i="1"/>
  <c r="E1805" i="1"/>
  <c r="E1804" i="1"/>
  <c r="E1803" i="1"/>
  <c r="E1802" i="1"/>
  <c r="E1801" i="1"/>
  <c r="E1800" i="1"/>
  <c r="E1799" i="1"/>
  <c r="E1798" i="1"/>
  <c r="E1797" i="1"/>
  <c r="E1796" i="1"/>
  <c r="E1795" i="1"/>
  <c r="E1794" i="1"/>
  <c r="E1793" i="1"/>
  <c r="E1792" i="1"/>
  <c r="E1791" i="1"/>
  <c r="E1790" i="1"/>
  <c r="E1789" i="1"/>
  <c r="E1788" i="1"/>
  <c r="E1787" i="1"/>
  <c r="E1786" i="1"/>
  <c r="E1785" i="1"/>
  <c r="E1784" i="1"/>
  <c r="E1783" i="1"/>
  <c r="E1782" i="1"/>
  <c r="E1781" i="1"/>
  <c r="E1780" i="1"/>
  <c r="E1779" i="1"/>
  <c r="E1778" i="1"/>
  <c r="E1777" i="1"/>
  <c r="E1776" i="1"/>
  <c r="E1775" i="1"/>
  <c r="E1774" i="1"/>
  <c r="E1772" i="1"/>
  <c r="E1771" i="1"/>
  <c r="E1770" i="1"/>
  <c r="E1769" i="1"/>
  <c r="E1768" i="1"/>
  <c r="E1767" i="1"/>
  <c r="E1766" i="1"/>
  <c r="E1765" i="1"/>
  <c r="E1764" i="1"/>
  <c r="E1763" i="1"/>
  <c r="E1762" i="1"/>
  <c r="E1761" i="1"/>
  <c r="E1760" i="1"/>
  <c r="E1759" i="1"/>
  <c r="E1758" i="1"/>
  <c r="E1757" i="1"/>
  <c r="E1756" i="1"/>
  <c r="E1755" i="1"/>
  <c r="E1754" i="1"/>
  <c r="E1753" i="1"/>
  <c r="E1752" i="1"/>
  <c r="E1751" i="1"/>
  <c r="E1750" i="1"/>
  <c r="E1749" i="1"/>
  <c r="E1748" i="1"/>
  <c r="E1747" i="1"/>
  <c r="E1746" i="1"/>
  <c r="E1745" i="1"/>
  <c r="E1744" i="1"/>
  <c r="E1743" i="1"/>
  <c r="E1742" i="1"/>
  <c r="E1741" i="1"/>
  <c r="E1740" i="1"/>
  <c r="E1739" i="1"/>
  <c r="E1738" i="1"/>
  <c r="E1737" i="1"/>
  <c r="E1736" i="1"/>
  <c r="E1735" i="1"/>
  <c r="E1734" i="1"/>
  <c r="E1733" i="1"/>
  <c r="E1732" i="1"/>
  <c r="E1731" i="1"/>
  <c r="E1730" i="1"/>
  <c r="E1729" i="1"/>
  <c r="E1728" i="1"/>
  <c r="E1727" i="1"/>
  <c r="E1726" i="1"/>
  <c r="E1724" i="1"/>
  <c r="E1723" i="1"/>
  <c r="E1722" i="1"/>
  <c r="E1721" i="1"/>
  <c r="E1720" i="1"/>
  <c r="E1719" i="1"/>
  <c r="E1718" i="1"/>
  <c r="E1717" i="1"/>
  <c r="E1716" i="1"/>
  <c r="E1715" i="1"/>
  <c r="E1714" i="1"/>
  <c r="E1713" i="1"/>
  <c r="E1712" i="1"/>
  <c r="E1711" i="1"/>
  <c r="E1710" i="1"/>
  <c r="E1709" i="1"/>
  <c r="E1708" i="1"/>
  <c r="E1707" i="1"/>
  <c r="E1706" i="1"/>
  <c r="E1705" i="1"/>
  <c r="E1704" i="1"/>
  <c r="E1703" i="1"/>
  <c r="E1701" i="1"/>
  <c r="E1700" i="1"/>
  <c r="E1699" i="1"/>
  <c r="E1698" i="1"/>
  <c r="E1697" i="1"/>
  <c r="E1696" i="1"/>
  <c r="E1695" i="1"/>
  <c r="E1694" i="1"/>
  <c r="E1693" i="1"/>
  <c r="E1692" i="1"/>
  <c r="E1691" i="1"/>
  <c r="E1690" i="1"/>
  <c r="E1689" i="1"/>
  <c r="E1688" i="1"/>
  <c r="E1687" i="1"/>
  <c r="E1686" i="1"/>
  <c r="E1684" i="1"/>
  <c r="E1683" i="1"/>
  <c r="E1682" i="1"/>
  <c r="E1681" i="1"/>
  <c r="E1680" i="1"/>
  <c r="E1679" i="1"/>
  <c r="E1678" i="1"/>
  <c r="E1677" i="1"/>
  <c r="E1676" i="1"/>
  <c r="E1675" i="1"/>
  <c r="E1674" i="1"/>
  <c r="E1673" i="1"/>
  <c r="E1672" i="1"/>
  <c r="E1671" i="1"/>
  <c r="E1670" i="1"/>
  <c r="E1669" i="1"/>
  <c r="E1668" i="1"/>
  <c r="E1667" i="1"/>
  <c r="E1666" i="1"/>
  <c r="E1665" i="1"/>
  <c r="E1664" i="1"/>
  <c r="E1663" i="1"/>
  <c r="E1662" i="1"/>
  <c r="E1661" i="1"/>
  <c r="E1660" i="1"/>
  <c r="E1659" i="1"/>
  <c r="E1658" i="1"/>
  <c r="E1657" i="1"/>
  <c r="E1656" i="1"/>
  <c r="E1654" i="1"/>
  <c r="E1653" i="1"/>
  <c r="E1652" i="1"/>
  <c r="E1651" i="1"/>
  <c r="E1650" i="1"/>
  <c r="E1649" i="1"/>
  <c r="E1648" i="1"/>
  <c r="E1647" i="1"/>
  <c r="E1646" i="1"/>
  <c r="E1645" i="1"/>
  <c r="E1644" i="1"/>
  <c r="E1643" i="1"/>
  <c r="E1642" i="1"/>
  <c r="E1641" i="1"/>
  <c r="E1640" i="1"/>
  <c r="E1639" i="1"/>
  <c r="E1638" i="1"/>
  <c r="E1637" i="1"/>
  <c r="E1636" i="1"/>
  <c r="E1635" i="1"/>
  <c r="E1634" i="1"/>
  <c r="E1633" i="1"/>
  <c r="E1632" i="1"/>
  <c r="E1631" i="1"/>
  <c r="E1630" i="1"/>
  <c r="E1629" i="1"/>
  <c r="E1628" i="1"/>
  <c r="E1627" i="1"/>
  <c r="E1626" i="1"/>
  <c r="E1625" i="1"/>
  <c r="E1624" i="1"/>
  <c r="E1623" i="1"/>
  <c r="E1622" i="1"/>
  <c r="E1621" i="1"/>
  <c r="E1620" i="1"/>
  <c r="E1619" i="1"/>
  <c r="E1618" i="1"/>
  <c r="E1617" i="1"/>
  <c r="E1616" i="1"/>
  <c r="E1615" i="1"/>
  <c r="E1614" i="1"/>
  <c r="E1613" i="1"/>
  <c r="E1612" i="1"/>
  <c r="E1611" i="1"/>
  <c r="E1610" i="1"/>
  <c r="E1609" i="1"/>
  <c r="E1608" i="1"/>
  <c r="E1607" i="1"/>
  <c r="E1605" i="1"/>
  <c r="E1604" i="1"/>
  <c r="E1603" i="1"/>
  <c r="E1602" i="1"/>
  <c r="E1601" i="1"/>
  <c r="E1600" i="1"/>
  <c r="E1599" i="1"/>
  <c r="E1598" i="1"/>
  <c r="E1597" i="1"/>
  <c r="E1596" i="1"/>
  <c r="E1595" i="1"/>
  <c r="E1594" i="1"/>
  <c r="E1593" i="1"/>
  <c r="E1592" i="1"/>
  <c r="E1591" i="1"/>
  <c r="E1590" i="1"/>
  <c r="E1589" i="1"/>
  <c r="E1588" i="1"/>
  <c r="E1587" i="1"/>
  <c r="E1586" i="1"/>
  <c r="E1585" i="1"/>
  <c r="E1584" i="1"/>
  <c r="E1583" i="1"/>
  <c r="E1582" i="1"/>
  <c r="E1581" i="1"/>
  <c r="E1580" i="1"/>
  <c r="E1579" i="1"/>
  <c r="E1578" i="1"/>
  <c r="E1577" i="1"/>
  <c r="E1576" i="1"/>
  <c r="E1575" i="1"/>
  <c r="E1574" i="1"/>
  <c r="E1573" i="1"/>
  <c r="E1572" i="1"/>
  <c r="E1571" i="1"/>
  <c r="E1570" i="1"/>
  <c r="E1569" i="1"/>
  <c r="E1568" i="1"/>
  <c r="E1567" i="1"/>
  <c r="E1566" i="1"/>
  <c r="E1565" i="1"/>
  <c r="E1564" i="1"/>
  <c r="E1563" i="1"/>
  <c r="E1562" i="1"/>
  <c r="E1561" i="1"/>
  <c r="E1560" i="1"/>
  <c r="E1559" i="1"/>
  <c r="E1558" i="1"/>
  <c r="E1557" i="1"/>
  <c r="E1556" i="1"/>
  <c r="E1555" i="1"/>
  <c r="E1554" i="1"/>
  <c r="E1553" i="1"/>
  <c r="E1552" i="1"/>
  <c r="E1551" i="1"/>
  <c r="E1550" i="1"/>
  <c r="E1549" i="1"/>
  <c r="E1548" i="1"/>
  <c r="E1547" i="1"/>
  <c r="E1546" i="1"/>
  <c r="E1545" i="1"/>
  <c r="E1544" i="1"/>
  <c r="E1543" i="1"/>
  <c r="E1542" i="1"/>
  <c r="E1541" i="1"/>
  <c r="E1539" i="1"/>
  <c r="E1538" i="1"/>
  <c r="E1537" i="1"/>
  <c r="E1536" i="1"/>
  <c r="E1535" i="1"/>
  <c r="E1534" i="1"/>
  <c r="E1533" i="1"/>
  <c r="E1532" i="1"/>
  <c r="E1531" i="1"/>
  <c r="E1530" i="1"/>
  <c r="E1529" i="1"/>
  <c r="E1528" i="1"/>
  <c r="E1527" i="1"/>
  <c r="E1526" i="1"/>
  <c r="E1525" i="1"/>
  <c r="E1524" i="1"/>
  <c r="E1523" i="1"/>
  <c r="E1522" i="1"/>
  <c r="E1521" i="1"/>
  <c r="E1520" i="1"/>
  <c r="E1519" i="1"/>
  <c r="E1518" i="1"/>
  <c r="E1517" i="1"/>
  <c r="E1516" i="1"/>
  <c r="E1515" i="1"/>
  <c r="E1514" i="1"/>
  <c r="E1513" i="1"/>
  <c r="E1512" i="1"/>
  <c r="E1511" i="1"/>
  <c r="E1510" i="1"/>
  <c r="E1509" i="1"/>
  <c r="E1508" i="1"/>
  <c r="E1506" i="1"/>
  <c r="E1505" i="1"/>
  <c r="E1504" i="1"/>
  <c r="E1503" i="1"/>
  <c r="E1502" i="1"/>
  <c r="E1501" i="1"/>
  <c r="E1500" i="1"/>
  <c r="E1499" i="1"/>
  <c r="E1498" i="1"/>
  <c r="E1497" i="1"/>
  <c r="E1496" i="1"/>
  <c r="E1495" i="1"/>
  <c r="E1494" i="1"/>
  <c r="E1493" i="1"/>
  <c r="E1492" i="1"/>
  <c r="E1491" i="1"/>
  <c r="E1490" i="1"/>
  <c r="E1489" i="1"/>
  <c r="E1488" i="1"/>
  <c r="E1487" i="1"/>
  <c r="E1486" i="1"/>
  <c r="E1485" i="1"/>
  <c r="E1484" i="1"/>
  <c r="E1483" i="1"/>
  <c r="E1482" i="1"/>
  <c r="E1481" i="1"/>
  <c r="E1480" i="1"/>
  <c r="E1479" i="1"/>
  <c r="E1478" i="1"/>
  <c r="E1477" i="1"/>
  <c r="E1476" i="1"/>
  <c r="E1475" i="1"/>
  <c r="E1474" i="1"/>
  <c r="E1473" i="1"/>
  <c r="E1472" i="1"/>
  <c r="E1471" i="1"/>
  <c r="E1470" i="1"/>
  <c r="E1469" i="1"/>
  <c r="E1468" i="1"/>
  <c r="E1467" i="1"/>
  <c r="E1466" i="1"/>
  <c r="E1464" i="1"/>
  <c r="E1463" i="1"/>
  <c r="E1462" i="1"/>
  <c r="E1461" i="1"/>
  <c r="E1460" i="1"/>
  <c r="E1459" i="1"/>
  <c r="E1458" i="1"/>
  <c r="E1457" i="1"/>
  <c r="E1456" i="1"/>
  <c r="E1455" i="1"/>
  <c r="E1454" i="1"/>
  <c r="E1453" i="1"/>
  <c r="E1452" i="1"/>
  <c r="E1451" i="1"/>
  <c r="E1450" i="1"/>
  <c r="E1449" i="1"/>
  <c r="E1448" i="1"/>
  <c r="E1447" i="1"/>
  <c r="E1446" i="1"/>
  <c r="E1445" i="1"/>
  <c r="E1444" i="1"/>
  <c r="E1443" i="1"/>
  <c r="E1442" i="1"/>
  <c r="E1441" i="1"/>
  <c r="E1440" i="1"/>
  <c r="E1439" i="1"/>
  <c r="E1438" i="1"/>
  <c r="E1437" i="1"/>
  <c r="E1436" i="1"/>
  <c r="E1435" i="1"/>
  <c r="E1434" i="1"/>
  <c r="E1433" i="1"/>
  <c r="E1432" i="1"/>
  <c r="E1430" i="1"/>
  <c r="E1429" i="1"/>
  <c r="E1428" i="1"/>
  <c r="E1427" i="1"/>
  <c r="E1426" i="1"/>
  <c r="E1425" i="1"/>
  <c r="E1424" i="1"/>
  <c r="E1423" i="1"/>
  <c r="E1422" i="1"/>
  <c r="E1421" i="1"/>
  <c r="E1420" i="1"/>
  <c r="E1419" i="1"/>
  <c r="E1418" i="1"/>
  <c r="E1417" i="1"/>
  <c r="E1416" i="1"/>
  <c r="E1415" i="1"/>
  <c r="E1414" i="1"/>
  <c r="E1413" i="1"/>
  <c r="E1412" i="1"/>
  <c r="E1411" i="1"/>
  <c r="E1410" i="1"/>
  <c r="E1409" i="1"/>
  <c r="E1408" i="1"/>
  <c r="E1407" i="1"/>
  <c r="E1406" i="1"/>
  <c r="E1405" i="1"/>
  <c r="E1404" i="1"/>
  <c r="E1403" i="1"/>
  <c r="E1402" i="1"/>
  <c r="E1401" i="1"/>
  <c r="E1400" i="1"/>
  <c r="E1399" i="1"/>
  <c r="E1398" i="1"/>
  <c r="E1397" i="1"/>
  <c r="E1396" i="1"/>
  <c r="E1395" i="1"/>
  <c r="E1394" i="1"/>
  <c r="E1392" i="1"/>
  <c r="E1391" i="1"/>
  <c r="E1390" i="1"/>
  <c r="E1389" i="1"/>
  <c r="E1388" i="1"/>
  <c r="E1387" i="1"/>
  <c r="E1386" i="1"/>
  <c r="E1385" i="1"/>
  <c r="E1384" i="1"/>
  <c r="E1383" i="1"/>
  <c r="E1382" i="1"/>
  <c r="E1381" i="1"/>
  <c r="E1380" i="1"/>
  <c r="E1379" i="1"/>
  <c r="E1378" i="1"/>
  <c r="E1377" i="1"/>
  <c r="E1376" i="1"/>
  <c r="E1375" i="1"/>
  <c r="E1374" i="1"/>
  <c r="E1373" i="1"/>
  <c r="E1372" i="1"/>
  <c r="E1371" i="1"/>
  <c r="E1370" i="1"/>
  <c r="E1369" i="1"/>
  <c r="E1368" i="1"/>
  <c r="E1367" i="1"/>
  <c r="E1366" i="1"/>
  <c r="E1365" i="1"/>
  <c r="E1364" i="1"/>
  <c r="E1363" i="1"/>
  <c r="E1362" i="1"/>
  <c r="E1361" i="1"/>
  <c r="E1360" i="1"/>
  <c r="E1359" i="1"/>
  <c r="E1358" i="1"/>
  <c r="E1357" i="1"/>
  <c r="E1356" i="1"/>
  <c r="E1355" i="1"/>
  <c r="E1354" i="1"/>
  <c r="E1353" i="1"/>
  <c r="E1352" i="1"/>
  <c r="E1351" i="1"/>
  <c r="E1350" i="1"/>
  <c r="E1349" i="1"/>
  <c r="E1348" i="1"/>
  <c r="E1346" i="1"/>
  <c r="E1345" i="1"/>
  <c r="E1344" i="1"/>
  <c r="E1343" i="1"/>
  <c r="E1342" i="1"/>
  <c r="E1341" i="1"/>
  <c r="E1340" i="1"/>
  <c r="E1339" i="1"/>
  <c r="E1338" i="1"/>
  <c r="E1337" i="1"/>
  <c r="E1336" i="1"/>
  <c r="E1335" i="1"/>
  <c r="E1334" i="1"/>
  <c r="E1333" i="1"/>
  <c r="E1332" i="1"/>
  <c r="E1331" i="1"/>
  <c r="E1330" i="1"/>
  <c r="E1329" i="1"/>
  <c r="E1328" i="1"/>
  <c r="E1327" i="1"/>
  <c r="E1326" i="1"/>
  <c r="E1325" i="1"/>
  <c r="E1324" i="1"/>
  <c r="E1323" i="1"/>
  <c r="E1322" i="1"/>
  <c r="E1321" i="1"/>
  <c r="E1320" i="1"/>
  <c r="E1319" i="1"/>
  <c r="E1318" i="1"/>
  <c r="E1317" i="1"/>
  <c r="E1316" i="1"/>
  <c r="E1315" i="1"/>
  <c r="E1314" i="1"/>
  <c r="E1313" i="1"/>
  <c r="E1312" i="1"/>
  <c r="E1311" i="1"/>
  <c r="E1310" i="1"/>
  <c r="E1309" i="1"/>
  <c r="E1308" i="1"/>
  <c r="E1307" i="1"/>
  <c r="E1306" i="1"/>
  <c r="E1305" i="1"/>
  <c r="E1304" i="1"/>
  <c r="E1303" i="1"/>
  <c r="E1302" i="1"/>
  <c r="E1301" i="1"/>
  <c r="E1300" i="1"/>
  <c r="E1299" i="1"/>
  <c r="E1297" i="1"/>
  <c r="E1296" i="1"/>
  <c r="E1295" i="1"/>
  <c r="E1294" i="1"/>
  <c r="E1293" i="1"/>
  <c r="E1292" i="1"/>
  <c r="E1291" i="1"/>
  <c r="E1290" i="1"/>
  <c r="E1289" i="1"/>
  <c r="E1288" i="1"/>
  <c r="E1287" i="1"/>
  <c r="E1286" i="1"/>
  <c r="E1285" i="1"/>
  <c r="E1284" i="1"/>
  <c r="E1283" i="1"/>
  <c r="E1282" i="1"/>
  <c r="E1281" i="1"/>
  <c r="E1280" i="1"/>
  <c r="E1279" i="1"/>
  <c r="E1278" i="1"/>
  <c r="E1277" i="1"/>
  <c r="E1276" i="1"/>
  <c r="E1275" i="1"/>
  <c r="E1274" i="1"/>
  <c r="E1273" i="1"/>
  <c r="E1272" i="1"/>
  <c r="E1271" i="1"/>
  <c r="E1270" i="1"/>
  <c r="E1269" i="1"/>
  <c r="E1268" i="1"/>
  <c r="E1267" i="1"/>
  <c r="E1266" i="1"/>
  <c r="E1265" i="1"/>
  <c r="E1264" i="1"/>
  <c r="E1263" i="1"/>
  <c r="E1262" i="1"/>
  <c r="E1261" i="1"/>
  <c r="E1260" i="1"/>
  <c r="E1259" i="1"/>
  <c r="E1258" i="1"/>
  <c r="E1256" i="1"/>
  <c r="E1255" i="1"/>
  <c r="E1254" i="1"/>
  <c r="E1253" i="1"/>
  <c r="E1252" i="1"/>
  <c r="E1251" i="1"/>
  <c r="E1250" i="1"/>
  <c r="E1249" i="1"/>
  <c r="E1248" i="1"/>
  <c r="E1247" i="1"/>
  <c r="E1246" i="1"/>
  <c r="E1245" i="1"/>
  <c r="E1244" i="1"/>
  <c r="E1243" i="1"/>
  <c r="E1242" i="1"/>
  <c r="E1241" i="1"/>
  <c r="E1240" i="1"/>
  <c r="E1239" i="1"/>
  <c r="E1238" i="1"/>
  <c r="E1237" i="1"/>
  <c r="E1236" i="1"/>
  <c r="E1235" i="1"/>
  <c r="E1234" i="1"/>
  <c r="E1233" i="1"/>
  <c r="E1232" i="1"/>
  <c r="E1231" i="1"/>
  <c r="E1230" i="1"/>
  <c r="E1229" i="1"/>
  <c r="E1228" i="1"/>
  <c r="E1226" i="1"/>
  <c r="E1225" i="1"/>
  <c r="E1224" i="1"/>
  <c r="E1223" i="1"/>
  <c r="E1222" i="1"/>
  <c r="E1221" i="1"/>
  <c r="E1220" i="1"/>
  <c r="E1219" i="1"/>
  <c r="E1218" i="1"/>
  <c r="E1217" i="1"/>
  <c r="E1216" i="1"/>
  <c r="E1215" i="1"/>
  <c r="E1214" i="1"/>
  <c r="E1213" i="1"/>
  <c r="E1212" i="1"/>
  <c r="E1211" i="1"/>
  <c r="E1210" i="1"/>
  <c r="E1209" i="1"/>
  <c r="E1208" i="1"/>
  <c r="E1207" i="1"/>
  <c r="E1206" i="1"/>
  <c r="E1205" i="1"/>
  <c r="E1204" i="1"/>
  <c r="E1202" i="1"/>
  <c r="E1201" i="1"/>
  <c r="E1200" i="1"/>
  <c r="E1199" i="1"/>
  <c r="E1198" i="1"/>
  <c r="E1197" i="1"/>
  <c r="E1196" i="1"/>
  <c r="E1195" i="1"/>
  <c r="E1194" i="1"/>
  <c r="E1193" i="1"/>
  <c r="E1192" i="1"/>
  <c r="E1191" i="1"/>
  <c r="E1190" i="1"/>
  <c r="E1189" i="1"/>
  <c r="E1188" i="1"/>
  <c r="E1187" i="1"/>
  <c r="E1186" i="1"/>
  <c r="E1185" i="1"/>
  <c r="E1184" i="1"/>
  <c r="E1183" i="1"/>
  <c r="E1182" i="1"/>
  <c r="E1181" i="1"/>
  <c r="E1180" i="1"/>
  <c r="E1179" i="1"/>
  <c r="E1178" i="1"/>
  <c r="E1177" i="1"/>
  <c r="E1176" i="1"/>
  <c r="E1175" i="1"/>
  <c r="E1174" i="1"/>
  <c r="E1173" i="1"/>
  <c r="E1172" i="1"/>
  <c r="E1171" i="1"/>
  <c r="E1170" i="1"/>
  <c r="E1169" i="1"/>
  <c r="E1168" i="1"/>
  <c r="E1167" i="1"/>
  <c r="E1166" i="1"/>
  <c r="E1165" i="1"/>
  <c r="E1164" i="1"/>
  <c r="E1163" i="1"/>
  <c r="E1162" i="1"/>
  <c r="E1161" i="1"/>
  <c r="E1160" i="1"/>
  <c r="E1158" i="1"/>
  <c r="E1157" i="1"/>
  <c r="E1156" i="1"/>
  <c r="E1155" i="1"/>
  <c r="E1154" i="1"/>
  <c r="E1153" i="1"/>
  <c r="E1152" i="1"/>
  <c r="E1151" i="1"/>
  <c r="E1150" i="1"/>
  <c r="E1149" i="1"/>
  <c r="E1148" i="1"/>
  <c r="E1147" i="1"/>
  <c r="E1146" i="1"/>
  <c r="E1145" i="1"/>
  <c r="E1144" i="1"/>
  <c r="E1143" i="1"/>
  <c r="E1142" i="1"/>
  <c r="E1141" i="1"/>
  <c r="E1140" i="1"/>
  <c r="E1139" i="1"/>
  <c r="E1138" i="1"/>
  <c r="E1137" i="1"/>
  <c r="E1136" i="1"/>
  <c r="E1135" i="1"/>
  <c r="E1134" i="1"/>
  <c r="E1133" i="1"/>
  <c r="E1132" i="1"/>
  <c r="E1131" i="1"/>
  <c r="E1130" i="1"/>
  <c r="E1129" i="1"/>
  <c r="E1128" i="1"/>
  <c r="E1127" i="1"/>
  <c r="E1125" i="1"/>
  <c r="E1124" i="1"/>
  <c r="E1123" i="1"/>
  <c r="E1122" i="1"/>
  <c r="E1121" i="1"/>
  <c r="E1120" i="1"/>
  <c r="E1119" i="1"/>
  <c r="E1118" i="1"/>
  <c r="E1117" i="1"/>
  <c r="E1116" i="1"/>
  <c r="E1115" i="1"/>
  <c r="E1114" i="1"/>
  <c r="E1113" i="1"/>
  <c r="E1112" i="1"/>
  <c r="E1111" i="1"/>
  <c r="E1110" i="1"/>
  <c r="E1109" i="1"/>
  <c r="E1108" i="1"/>
  <c r="E1107" i="1"/>
  <c r="E1106" i="1"/>
  <c r="E1105" i="1"/>
  <c r="E1104" i="1"/>
  <c r="E1103" i="1"/>
  <c r="E1101" i="1"/>
  <c r="E1100" i="1"/>
  <c r="E1099" i="1"/>
  <c r="E1098" i="1"/>
  <c r="E1097" i="1"/>
  <c r="E1096" i="1"/>
  <c r="E1095" i="1"/>
  <c r="E1094" i="1"/>
  <c r="E1093" i="1"/>
  <c r="E1092" i="1"/>
  <c r="E1091" i="1"/>
  <c r="E1090" i="1"/>
  <c r="E1089" i="1"/>
  <c r="E1088" i="1"/>
  <c r="E1087" i="1"/>
  <c r="E1086" i="1"/>
  <c r="E1085" i="1"/>
  <c r="E1084" i="1"/>
  <c r="E1083" i="1"/>
  <c r="E1082" i="1"/>
  <c r="E1081" i="1"/>
  <c r="E1080" i="1"/>
  <c r="E1079" i="1"/>
  <c r="E1078" i="1"/>
  <c r="E1077" i="1"/>
  <c r="E1076" i="1"/>
  <c r="E1074" i="1"/>
  <c r="E1073" i="1"/>
  <c r="E1072" i="1"/>
  <c r="E1071" i="1"/>
  <c r="E1070" i="1"/>
  <c r="E1069" i="1"/>
  <c r="E1068" i="1"/>
  <c r="E1067" i="1"/>
  <c r="E1066" i="1"/>
  <c r="E1065" i="1"/>
  <c r="E1064" i="1"/>
  <c r="E1063" i="1"/>
  <c r="E1062" i="1"/>
  <c r="E1061" i="1"/>
  <c r="E1060" i="1"/>
  <c r="E1059" i="1"/>
  <c r="E1058" i="1"/>
  <c r="E1057" i="1"/>
  <c r="E1056" i="1"/>
  <c r="E1055" i="1"/>
  <c r="E1054" i="1"/>
  <c r="E1053" i="1"/>
  <c r="E1052" i="1"/>
  <c r="E1051" i="1"/>
  <c r="E1050" i="1"/>
  <c r="E1049" i="1"/>
  <c r="E1048" i="1"/>
  <c r="E1047" i="1"/>
  <c r="E1045" i="1"/>
  <c r="E1044" i="1"/>
  <c r="E1043" i="1"/>
  <c r="E1042" i="1"/>
  <c r="E1041" i="1"/>
  <c r="E1040" i="1"/>
  <c r="E1039" i="1"/>
  <c r="E1038" i="1"/>
  <c r="E1037" i="1"/>
  <c r="E1036" i="1"/>
  <c r="E1035" i="1"/>
  <c r="E1034" i="1"/>
  <c r="E1033" i="1"/>
  <c r="E1032" i="1"/>
  <c r="E1030" i="1"/>
  <c r="E1029" i="1"/>
  <c r="E1028" i="1"/>
  <c r="E1027" i="1"/>
  <c r="E1026" i="1"/>
  <c r="E1025" i="1"/>
  <c r="E1024" i="1"/>
  <c r="E1023" i="1"/>
  <c r="E1022" i="1"/>
  <c r="E1021" i="1"/>
  <c r="E1020" i="1"/>
  <c r="E1019" i="1"/>
  <c r="E1018" i="1"/>
  <c r="E1017" i="1"/>
  <c r="E1016" i="1"/>
  <c r="E1015" i="1"/>
  <c r="E1014" i="1"/>
  <c r="E1013" i="1"/>
  <c r="E1012" i="1"/>
  <c r="E1011" i="1"/>
  <c r="E1010" i="1"/>
  <c r="E1009" i="1"/>
  <c r="E1008" i="1"/>
  <c r="E1007" i="1"/>
  <c r="E1006" i="1"/>
  <c r="E1005" i="1"/>
  <c r="E1004" i="1"/>
  <c r="E1003" i="1"/>
  <c r="E1002" i="1"/>
  <c r="E1001" i="1"/>
  <c r="E1000" i="1"/>
  <c r="E999" i="1"/>
  <c r="E998" i="1"/>
  <c r="E997" i="1"/>
  <c r="E996" i="1"/>
  <c r="E995" i="1"/>
  <c r="E993" i="1"/>
  <c r="E992" i="1"/>
  <c r="E991" i="1"/>
  <c r="E990" i="1"/>
  <c r="E989" i="1"/>
  <c r="E988" i="1"/>
  <c r="E987" i="1"/>
  <c r="E986" i="1"/>
  <c r="E985" i="1"/>
  <c r="E984" i="1"/>
  <c r="E983" i="1"/>
  <c r="E982" i="1"/>
  <c r="E981" i="1"/>
  <c r="E980" i="1"/>
  <c r="E979" i="1"/>
  <c r="E978" i="1"/>
  <c r="E977" i="1"/>
  <c r="E976" i="1"/>
  <c r="E975" i="1"/>
  <c r="E974" i="1"/>
  <c r="E973" i="1"/>
  <c r="E972" i="1"/>
  <c r="E971" i="1"/>
  <c r="E970" i="1"/>
  <c r="E969" i="1"/>
  <c r="E967" i="1"/>
  <c r="E966" i="1"/>
  <c r="E965" i="1"/>
  <c r="E964" i="1"/>
  <c r="E963" i="1"/>
  <c r="E962" i="1"/>
  <c r="E961" i="1"/>
  <c r="E959" i="1"/>
  <c r="E958" i="1"/>
  <c r="E957" i="1"/>
  <c r="E956" i="1"/>
  <c r="E955" i="1"/>
  <c r="E954" i="1"/>
  <c r="E953" i="1"/>
  <c r="E952" i="1"/>
  <c r="E951" i="1"/>
  <c r="E950" i="1"/>
  <c r="E949" i="1"/>
  <c r="E948" i="1"/>
  <c r="E947" i="1"/>
  <c r="E946" i="1"/>
  <c r="E945" i="1"/>
  <c r="E944" i="1"/>
  <c r="E943" i="1"/>
  <c r="E942" i="1"/>
  <c r="E941" i="1"/>
  <c r="E940" i="1"/>
  <c r="E939" i="1"/>
  <c r="E938" i="1"/>
  <c r="E937" i="1"/>
  <c r="E936" i="1"/>
  <c r="E935" i="1"/>
  <c r="E934" i="1"/>
  <c r="E933" i="1"/>
  <c r="E932" i="1"/>
  <c r="E931" i="1"/>
  <c r="E930" i="1"/>
  <c r="E929" i="1"/>
  <c r="E928" i="1"/>
  <c r="E927" i="1"/>
  <c r="E926" i="1"/>
  <c r="E925" i="1"/>
  <c r="E924" i="1"/>
  <c r="E923" i="1"/>
  <c r="E922" i="1"/>
  <c r="E921" i="1"/>
  <c r="E920" i="1"/>
  <c r="E919" i="1"/>
  <c r="E918" i="1"/>
  <c r="E917" i="1"/>
  <c r="E916" i="1"/>
  <c r="E915" i="1"/>
  <c r="E914" i="1"/>
  <c r="E913" i="1"/>
  <c r="E912" i="1"/>
  <c r="E911" i="1"/>
  <c r="E910" i="1"/>
  <c r="E909" i="1"/>
  <c r="E908" i="1"/>
  <c r="E907" i="1"/>
  <c r="E906" i="1"/>
  <c r="E905" i="1"/>
  <c r="E904" i="1"/>
  <c r="E903" i="1"/>
  <c r="E902" i="1"/>
  <c r="E901" i="1"/>
  <c r="E900" i="1"/>
  <c r="E899" i="1"/>
  <c r="E898" i="1"/>
  <c r="E897" i="1"/>
  <c r="E896" i="1"/>
  <c r="E895" i="1"/>
  <c r="E894" i="1"/>
  <c r="E893" i="1"/>
  <c r="E892" i="1"/>
  <c r="E891" i="1"/>
  <c r="E890" i="1"/>
  <c r="E889" i="1"/>
  <c r="E888" i="1"/>
  <c r="E887" i="1"/>
  <c r="E886" i="1"/>
  <c r="E885" i="1"/>
  <c r="E884" i="1"/>
  <c r="E883" i="1"/>
  <c r="E882" i="1"/>
  <c r="E881" i="1"/>
  <c r="E880" i="1"/>
  <c r="E879" i="1"/>
  <c r="E878" i="1"/>
  <c r="E877" i="1"/>
  <c r="E876" i="1"/>
  <c r="E875" i="1"/>
  <c r="E874" i="1"/>
  <c r="E873" i="1"/>
  <c r="E872" i="1"/>
  <c r="E871" i="1"/>
  <c r="E868" i="1"/>
  <c r="E867" i="1"/>
  <c r="E866" i="1"/>
  <c r="E865" i="1"/>
  <c r="E864" i="1"/>
  <c r="E863" i="1"/>
  <c r="E862" i="1"/>
  <c r="E861" i="1"/>
  <c r="E860" i="1"/>
  <c r="E859" i="1"/>
  <c r="E858" i="1"/>
  <c r="E857" i="1"/>
  <c r="E856" i="1"/>
  <c r="E855" i="1"/>
  <c r="E854" i="1"/>
  <c r="E853" i="1"/>
  <c r="E852" i="1"/>
  <c r="E851" i="1"/>
  <c r="E850" i="1"/>
  <c r="E849" i="1"/>
  <c r="E848" i="1"/>
  <c r="E846" i="1"/>
  <c r="E845" i="1"/>
  <c r="E844" i="1"/>
  <c r="E843" i="1"/>
  <c r="E842" i="1"/>
  <c r="E841" i="1"/>
  <c r="E840" i="1"/>
  <c r="E839" i="1"/>
  <c r="E838" i="1"/>
  <c r="E837" i="1"/>
  <c r="E836" i="1"/>
  <c r="E835" i="1"/>
  <c r="E834" i="1"/>
  <c r="E833" i="1"/>
  <c r="E832" i="1"/>
  <c r="E831" i="1"/>
  <c r="E830" i="1"/>
  <c r="E829" i="1"/>
  <c r="E828" i="1"/>
  <c r="E827" i="1"/>
  <c r="E826" i="1"/>
  <c r="E825" i="1"/>
  <c r="E824" i="1"/>
  <c r="E823" i="1"/>
  <c r="E822" i="1"/>
  <c r="E820" i="1"/>
  <c r="E819" i="1"/>
  <c r="E818" i="1"/>
  <c r="E817" i="1"/>
  <c r="E816" i="1"/>
  <c r="E815" i="1"/>
  <c r="E814" i="1"/>
  <c r="E813" i="1"/>
  <c r="E812" i="1"/>
  <c r="E811" i="1"/>
  <c r="E810" i="1"/>
  <c r="E809" i="1"/>
  <c r="E808" i="1"/>
  <c r="E807" i="1"/>
  <c r="E806" i="1"/>
  <c r="E805" i="1"/>
  <c r="E804" i="1"/>
  <c r="E803" i="1"/>
  <c r="E802" i="1"/>
  <c r="E801" i="1"/>
  <c r="E800" i="1"/>
  <c r="E799" i="1"/>
  <c r="E797" i="1"/>
  <c r="E796" i="1"/>
  <c r="E795" i="1"/>
  <c r="E794" i="1"/>
  <c r="E793" i="1"/>
  <c r="E792" i="1"/>
  <c r="E791" i="1"/>
  <c r="E790" i="1"/>
  <c r="E789" i="1"/>
  <c r="E788" i="1"/>
  <c r="E787" i="1"/>
  <c r="E786" i="1"/>
  <c r="E785" i="1"/>
  <c r="E784" i="1"/>
  <c r="E783" i="1"/>
  <c r="E782" i="1"/>
  <c r="E781" i="1"/>
  <c r="E780" i="1"/>
  <c r="E779" i="1"/>
  <c r="E778" i="1"/>
  <c r="E777" i="1"/>
  <c r="E776" i="1"/>
  <c r="E775" i="1"/>
  <c r="E774" i="1"/>
  <c r="E773" i="1"/>
  <c r="E772" i="1"/>
  <c r="E771" i="1"/>
  <c r="E770" i="1"/>
  <c r="E769" i="1"/>
  <c r="E768" i="1"/>
  <c r="E767" i="1"/>
  <c r="E766" i="1"/>
  <c r="E764" i="1"/>
  <c r="E763" i="1"/>
  <c r="E762" i="1"/>
  <c r="E761" i="1"/>
  <c r="E760" i="1"/>
  <c r="E759" i="1"/>
  <c r="E758" i="1"/>
  <c r="E757" i="1"/>
  <c r="E756" i="1"/>
  <c r="E755" i="1"/>
  <c r="E754" i="1"/>
  <c r="E753" i="1"/>
  <c r="E752" i="1"/>
  <c r="E751" i="1"/>
  <c r="E750" i="1"/>
  <c r="E749" i="1"/>
  <c r="E748" i="1"/>
  <c r="E747" i="1"/>
  <c r="E746" i="1"/>
  <c r="E745" i="1"/>
  <c r="E744" i="1"/>
  <c r="E742" i="1"/>
  <c r="E741" i="1"/>
  <c r="E740" i="1"/>
  <c r="E739" i="1"/>
  <c r="E738" i="1"/>
  <c r="E737" i="1"/>
  <c r="E736" i="1"/>
  <c r="E735" i="1"/>
  <c r="E734" i="1"/>
  <c r="E733" i="1"/>
  <c r="E732" i="1"/>
  <c r="E731" i="1"/>
  <c r="E729" i="1"/>
  <c r="E728" i="1"/>
  <c r="E727" i="1"/>
  <c r="E726" i="1"/>
  <c r="E724" i="1"/>
  <c r="E723" i="1"/>
  <c r="E722" i="1"/>
  <c r="E721" i="1"/>
  <c r="E720" i="1"/>
  <c r="E719" i="1"/>
  <c r="E718" i="1"/>
  <c r="E717" i="1"/>
  <c r="E716" i="1"/>
  <c r="E715" i="1"/>
  <c r="E714" i="1"/>
  <c r="E713" i="1"/>
  <c r="E712" i="1"/>
  <c r="E711" i="1"/>
  <c r="E710" i="1"/>
  <c r="E709" i="1"/>
  <c r="E708" i="1"/>
  <c r="E707" i="1"/>
  <c r="E706" i="1"/>
  <c r="E705" i="1"/>
  <c r="E704" i="1"/>
  <c r="E703" i="1"/>
  <c r="E702" i="1"/>
  <c r="E701" i="1"/>
  <c r="E700" i="1"/>
  <c r="E699" i="1"/>
  <c r="E698" i="1"/>
  <c r="E697" i="1"/>
  <c r="E696" i="1"/>
  <c r="E695" i="1"/>
  <c r="E694" i="1"/>
  <c r="E693" i="1"/>
  <c r="E692" i="1"/>
  <c r="E691" i="1"/>
  <c r="E690" i="1"/>
  <c r="E689" i="1"/>
  <c r="E688" i="1"/>
  <c r="E687" i="1"/>
  <c r="E686" i="1"/>
  <c r="E685" i="1"/>
  <c r="E684" i="1"/>
  <c r="E683" i="1"/>
  <c r="E682" i="1"/>
  <c r="E681" i="1"/>
  <c r="E680" i="1"/>
  <c r="E679" i="1"/>
  <c r="E678" i="1"/>
  <c r="E677" i="1"/>
  <c r="E676" i="1"/>
  <c r="E675" i="1"/>
  <c r="E674" i="1"/>
  <c r="E673" i="1"/>
  <c r="E672" i="1"/>
  <c r="E671" i="1"/>
  <c r="E670" i="1"/>
  <c r="E669" i="1"/>
  <c r="E668" i="1"/>
  <c r="E667" i="1"/>
  <c r="E666" i="1"/>
  <c r="E665" i="1"/>
  <c r="E664" i="1"/>
  <c r="E663" i="1"/>
  <c r="E662" i="1"/>
  <c r="E661" i="1"/>
  <c r="E660" i="1"/>
  <c r="E659" i="1"/>
  <c r="E658" i="1"/>
  <c r="E657" i="1"/>
  <c r="E656" i="1"/>
  <c r="E655" i="1"/>
  <c r="E654" i="1"/>
  <c r="E653" i="1"/>
  <c r="E652" i="1"/>
  <c r="E651" i="1"/>
  <c r="E650" i="1"/>
  <c r="E649" i="1"/>
  <c r="E648" i="1"/>
  <c r="E647" i="1"/>
  <c r="E646" i="1"/>
  <c r="E645" i="1"/>
  <c r="E644" i="1"/>
  <c r="E643" i="1"/>
  <c r="E642" i="1"/>
  <c r="E641" i="1"/>
  <c r="E640" i="1"/>
  <c r="E639" i="1"/>
  <c r="E638" i="1"/>
  <c r="E637" i="1"/>
  <c r="E636" i="1"/>
  <c r="E635" i="1"/>
  <c r="E634" i="1"/>
  <c r="E633" i="1"/>
  <c r="E632" i="1"/>
  <c r="E631" i="1"/>
  <c r="E630" i="1"/>
  <c r="E629" i="1"/>
  <c r="E628" i="1"/>
  <c r="E627" i="1"/>
  <c r="E626" i="1"/>
  <c r="E625" i="1"/>
  <c r="E624" i="1"/>
  <c r="E623" i="1"/>
  <c r="E622" i="1"/>
  <c r="E621" i="1"/>
  <c r="E620" i="1"/>
  <c r="E619" i="1"/>
  <c r="E618" i="1"/>
  <c r="E617" i="1"/>
  <c r="E616" i="1"/>
  <c r="E615" i="1"/>
  <c r="E614" i="1"/>
  <c r="E613" i="1"/>
  <c r="E612" i="1"/>
  <c r="E611" i="1"/>
  <c r="E610" i="1"/>
  <c r="E609" i="1"/>
  <c r="E608" i="1"/>
  <c r="E607" i="1"/>
  <c r="E606" i="1"/>
  <c r="E605" i="1"/>
  <c r="E604" i="1"/>
  <c r="E603" i="1"/>
  <c r="E602" i="1"/>
  <c r="E601" i="1"/>
  <c r="E600" i="1"/>
  <c r="E599" i="1"/>
  <c r="E598" i="1"/>
  <c r="E597" i="1"/>
  <c r="E596" i="1"/>
  <c r="E595" i="1"/>
  <c r="E594" i="1"/>
  <c r="E593" i="1"/>
  <c r="E592" i="1"/>
  <c r="E591" i="1"/>
  <c r="E590" i="1"/>
  <c r="E589" i="1"/>
  <c r="E588" i="1"/>
  <c r="E587" i="1"/>
  <c r="E586" i="1"/>
  <c r="E585" i="1"/>
  <c r="E584" i="1"/>
  <c r="E583" i="1"/>
  <c r="E582" i="1"/>
  <c r="E581" i="1"/>
  <c r="E580" i="1"/>
  <c r="E579" i="1"/>
  <c r="E578" i="1"/>
  <c r="E577" i="1"/>
  <c r="E576" i="1"/>
  <c r="E575" i="1"/>
  <c r="E574" i="1"/>
  <c r="E573" i="1"/>
  <c r="E572" i="1"/>
  <c r="E571" i="1"/>
  <c r="E570" i="1"/>
  <c r="E569" i="1"/>
  <c r="E568" i="1"/>
  <c r="E567" i="1"/>
  <c r="E566" i="1"/>
  <c r="E565" i="1"/>
  <c r="E564" i="1"/>
  <c r="E563" i="1"/>
  <c r="E562" i="1"/>
  <c r="E561" i="1"/>
  <c r="E560" i="1"/>
  <c r="E559" i="1"/>
  <c r="E558" i="1"/>
  <c r="E557" i="1"/>
  <c r="E556" i="1"/>
  <c r="E555" i="1"/>
  <c r="E554" i="1"/>
  <c r="E553" i="1"/>
  <c r="E552" i="1"/>
  <c r="E551" i="1"/>
  <c r="E550" i="1"/>
  <c r="E549" i="1"/>
  <c r="E548" i="1"/>
  <c r="E547" i="1"/>
  <c r="E546" i="1"/>
  <c r="E545" i="1"/>
  <c r="E544" i="1"/>
  <c r="E543" i="1"/>
  <c r="E542" i="1"/>
  <c r="E541" i="1"/>
  <c r="E540" i="1"/>
  <c r="E539" i="1"/>
  <c r="E538" i="1"/>
  <c r="E537" i="1"/>
  <c r="E536" i="1"/>
  <c r="E535" i="1"/>
  <c r="E534" i="1"/>
  <c r="E533" i="1"/>
  <c r="E532" i="1"/>
  <c r="E531" i="1"/>
  <c r="E530" i="1"/>
  <c r="E529" i="1"/>
  <c r="E528" i="1"/>
  <c r="E527" i="1"/>
  <c r="E526" i="1"/>
  <c r="E525" i="1"/>
  <c r="E524" i="1"/>
  <c r="E523" i="1"/>
  <c r="E522" i="1"/>
  <c r="E521" i="1"/>
  <c r="E520" i="1"/>
  <c r="E519" i="1"/>
  <c r="E518" i="1"/>
  <c r="E517" i="1"/>
  <c r="E516" i="1"/>
  <c r="E515" i="1"/>
  <c r="E514" i="1"/>
  <c r="E513" i="1"/>
  <c r="E512" i="1"/>
  <c r="E511" i="1"/>
  <c r="E510" i="1"/>
  <c r="E509" i="1"/>
  <c r="E508" i="1"/>
  <c r="E507" i="1"/>
  <c r="E506" i="1"/>
  <c r="E505" i="1"/>
  <c r="E504" i="1"/>
  <c r="E503" i="1"/>
  <c r="E502" i="1"/>
  <c r="E501" i="1"/>
  <c r="E500" i="1"/>
  <c r="E499" i="1"/>
  <c r="E498" i="1"/>
  <c r="E497" i="1"/>
  <c r="E496" i="1"/>
  <c r="E495" i="1"/>
  <c r="E494" i="1"/>
  <c r="E493" i="1"/>
  <c r="E492" i="1"/>
  <c r="E491" i="1"/>
  <c r="E490" i="1"/>
  <c r="E489" i="1"/>
  <c r="E488" i="1"/>
  <c r="E487" i="1"/>
  <c r="E486" i="1"/>
  <c r="E485" i="1"/>
  <c r="E484" i="1"/>
  <c r="E483" i="1"/>
  <c r="E482" i="1"/>
  <c r="E481" i="1"/>
  <c r="E480" i="1"/>
  <c r="E479" i="1"/>
  <c r="E478" i="1"/>
  <c r="E477" i="1"/>
  <c r="E476" i="1"/>
  <c r="E475" i="1"/>
  <c r="E474" i="1"/>
  <c r="E473" i="1"/>
  <c r="E472" i="1"/>
  <c r="E471" i="1"/>
  <c r="E470" i="1"/>
  <c r="E469" i="1"/>
  <c r="E468" i="1"/>
  <c r="E467" i="1"/>
  <c r="E466" i="1"/>
  <c r="E465" i="1"/>
  <c r="E464" i="1"/>
  <c r="E463" i="1"/>
  <c r="E462" i="1"/>
  <c r="E461" i="1"/>
  <c r="E460" i="1"/>
  <c r="E459" i="1"/>
  <c r="E458" i="1"/>
  <c r="E457" i="1"/>
  <c r="E456" i="1"/>
  <c r="E455" i="1"/>
  <c r="E454" i="1"/>
  <c r="E453" i="1"/>
  <c r="E452" i="1"/>
  <c r="E451" i="1"/>
  <c r="E450" i="1"/>
  <c r="E449" i="1"/>
  <c r="E448" i="1"/>
  <c r="E447" i="1"/>
  <c r="E446" i="1"/>
  <c r="E445" i="1"/>
  <c r="E444" i="1"/>
  <c r="E443" i="1"/>
  <c r="E442" i="1"/>
  <c r="E441" i="1"/>
  <c r="E440" i="1"/>
  <c r="E439" i="1"/>
  <c r="E438" i="1"/>
  <c r="E437" i="1"/>
  <c r="E436" i="1"/>
  <c r="E435" i="1"/>
  <c r="E434" i="1"/>
  <c r="E433" i="1"/>
  <c r="E432" i="1"/>
  <c r="E431" i="1"/>
  <c r="E430" i="1"/>
  <c r="E429" i="1"/>
  <c r="E428" i="1"/>
  <c r="E427" i="1"/>
  <c r="E426" i="1"/>
  <c r="E425" i="1"/>
  <c r="E424" i="1"/>
  <c r="E423" i="1"/>
  <c r="E422" i="1"/>
  <c r="E421" i="1"/>
  <c r="E420" i="1"/>
  <c r="E419" i="1"/>
  <c r="E418" i="1"/>
  <c r="E417" i="1"/>
  <c r="E416" i="1"/>
  <c r="E415" i="1"/>
  <c r="E414" i="1"/>
  <c r="E413" i="1"/>
  <c r="E412" i="1"/>
  <c r="E411" i="1"/>
  <c r="E410" i="1"/>
  <c r="E409" i="1"/>
  <c r="E408" i="1"/>
  <c r="E407" i="1"/>
  <c r="E406" i="1"/>
  <c r="E405" i="1"/>
  <c r="E404" i="1"/>
  <c r="E403" i="1"/>
  <c r="E402" i="1"/>
  <c r="E401" i="1"/>
  <c r="E400" i="1"/>
  <c r="E399" i="1"/>
  <c r="E398" i="1"/>
  <c r="E397" i="1"/>
  <c r="E396" i="1"/>
  <c r="E395" i="1"/>
  <c r="E394" i="1"/>
  <c r="E393" i="1"/>
  <c r="E392" i="1"/>
  <c r="E391" i="1"/>
  <c r="E390" i="1"/>
  <c r="E389" i="1"/>
  <c r="E388" i="1"/>
  <c r="E387" i="1"/>
  <c r="E386" i="1"/>
  <c r="E385" i="1"/>
  <c r="E384" i="1"/>
  <c r="E383" i="1"/>
  <c r="E382" i="1"/>
  <c r="E381" i="1"/>
  <c r="E380" i="1"/>
  <c r="E379" i="1"/>
  <c r="E378" i="1"/>
  <c r="E377" i="1"/>
  <c r="E376" i="1"/>
  <c r="E375" i="1"/>
  <c r="E374" i="1"/>
  <c r="E373" i="1"/>
  <c r="E372" i="1"/>
  <c r="E371" i="1"/>
  <c r="E370" i="1"/>
  <c r="E369" i="1"/>
  <c r="E368" i="1"/>
  <c r="E367" i="1"/>
  <c r="E366" i="1"/>
  <c r="E365" i="1"/>
  <c r="E364" i="1"/>
  <c r="E363" i="1"/>
  <c r="E362" i="1"/>
  <c r="E361" i="1"/>
  <c r="E360" i="1"/>
  <c r="E359" i="1"/>
  <c r="E358" i="1"/>
  <c r="E357" i="1"/>
  <c r="E356" i="1"/>
  <c r="E355" i="1"/>
  <c r="E354" i="1"/>
  <c r="E353" i="1"/>
  <c r="E352" i="1"/>
  <c r="E351" i="1"/>
  <c r="E350" i="1"/>
  <c r="E349" i="1"/>
  <c r="E348" i="1"/>
  <c r="E347" i="1"/>
  <c r="E346" i="1"/>
  <c r="E345" i="1"/>
  <c r="E344" i="1"/>
  <c r="E343" i="1"/>
  <c r="E342" i="1"/>
  <c r="E341" i="1"/>
  <c r="E340" i="1"/>
  <c r="E339" i="1"/>
  <c r="E338" i="1"/>
  <c r="E337" i="1"/>
  <c r="E336" i="1"/>
  <c r="E335" i="1"/>
  <c r="E334" i="1"/>
  <c r="E333" i="1"/>
  <c r="E332" i="1"/>
  <c r="E331" i="1"/>
  <c r="E330" i="1"/>
  <c r="E329" i="1"/>
  <c r="E328" i="1"/>
  <c r="E327" i="1"/>
  <c r="E326" i="1"/>
  <c r="E325" i="1"/>
  <c r="E324" i="1"/>
  <c r="E323" i="1"/>
  <c r="E322" i="1"/>
  <c r="E321" i="1"/>
  <c r="E320" i="1"/>
  <c r="E319" i="1"/>
  <c r="E318" i="1"/>
  <c r="E317" i="1"/>
  <c r="E316" i="1"/>
  <c r="E315" i="1"/>
  <c r="E314" i="1"/>
  <c r="E313" i="1"/>
  <c r="E312" i="1"/>
  <c r="E311" i="1"/>
  <c r="E310" i="1"/>
  <c r="E309" i="1"/>
  <c r="E308" i="1"/>
  <c r="E307" i="1"/>
  <c r="E306" i="1"/>
  <c r="E305" i="1"/>
  <c r="E304" i="1"/>
  <c r="E303" i="1"/>
  <c r="E302" i="1"/>
  <c r="E301" i="1"/>
  <c r="E300" i="1"/>
  <c r="E299" i="1"/>
  <c r="E298" i="1"/>
  <c r="E297" i="1"/>
  <c r="E296" i="1"/>
  <c r="E295" i="1"/>
  <c r="E294" i="1"/>
  <c r="E293" i="1"/>
  <c r="E292" i="1"/>
  <c r="E291" i="1"/>
  <c r="E290" i="1"/>
  <c r="E289" i="1"/>
  <c r="E288" i="1"/>
  <c r="E287" i="1"/>
  <c r="E286" i="1"/>
  <c r="E285" i="1"/>
  <c r="E284" i="1"/>
  <c r="E283" i="1"/>
  <c r="E282" i="1"/>
  <c r="E281" i="1"/>
  <c r="E280" i="1"/>
  <c r="E279" i="1"/>
  <c r="E278" i="1"/>
  <c r="E277" i="1"/>
  <c r="E276" i="1"/>
  <c r="E275" i="1"/>
  <c r="E274" i="1"/>
  <c r="E273" i="1"/>
  <c r="E272" i="1"/>
  <c r="E271" i="1"/>
  <c r="E270" i="1"/>
  <c r="E269" i="1"/>
  <c r="E268" i="1"/>
  <c r="E267" i="1"/>
  <c r="E266" i="1"/>
  <c r="E265" i="1"/>
  <c r="E264" i="1"/>
  <c r="E263" i="1"/>
  <c r="E262" i="1"/>
  <c r="E261" i="1"/>
  <c r="E260" i="1"/>
  <c r="E259" i="1"/>
  <c r="E258" i="1"/>
  <c r="E257" i="1"/>
  <c r="E256" i="1"/>
  <c r="E255" i="1"/>
  <c r="E254" i="1"/>
  <c r="E253" i="1"/>
  <c r="E252" i="1"/>
  <c r="E251" i="1"/>
  <c r="E250" i="1"/>
  <c r="E249" i="1"/>
  <c r="E248" i="1"/>
  <c r="E247" i="1"/>
  <c r="E246" i="1"/>
  <c r="E245" i="1"/>
  <c r="E244" i="1"/>
  <c r="E243" i="1"/>
  <c r="E242" i="1"/>
  <c r="E241" i="1"/>
  <c r="E240" i="1"/>
  <c r="E238" i="1"/>
  <c r="E237" i="1"/>
  <c r="E236" i="1"/>
  <c r="E235" i="1"/>
  <c r="E234" i="1"/>
  <c r="E233" i="1"/>
  <c r="E232" i="1"/>
  <c r="E231" i="1"/>
  <c r="E230" i="1"/>
  <c r="E229" i="1"/>
  <c r="E228" i="1"/>
  <c r="E227" i="1"/>
  <c r="E226" i="1"/>
  <c r="E225" i="1"/>
  <c r="E224" i="1"/>
  <c r="E223" i="1"/>
  <c r="E222" i="1"/>
  <c r="E221" i="1"/>
  <c r="E220" i="1"/>
  <c r="E219" i="1"/>
  <c r="E218" i="1"/>
  <c r="E217" i="1"/>
  <c r="E216" i="1"/>
  <c r="E215" i="1"/>
  <c r="E214" i="1"/>
  <c r="E213" i="1"/>
  <c r="E212" i="1"/>
  <c r="E211" i="1"/>
  <c r="E210" i="1"/>
  <c r="E209" i="1"/>
  <c r="E208" i="1"/>
  <c r="E207" i="1"/>
  <c r="E206" i="1"/>
  <c r="E205" i="1"/>
  <c r="E204" i="1"/>
  <c r="E203" i="1"/>
  <c r="E202" i="1"/>
  <c r="E201" i="1"/>
  <c r="E200" i="1"/>
  <c r="E199" i="1"/>
  <c r="E198" i="1"/>
  <c r="E197" i="1"/>
  <c r="E196" i="1"/>
  <c r="E195" i="1"/>
  <c r="E194" i="1"/>
  <c r="E193" i="1"/>
  <c r="E192" i="1"/>
  <c r="E191" i="1"/>
  <c r="E190" i="1"/>
  <c r="E189" i="1"/>
  <c r="E188" i="1"/>
  <c r="E187" i="1"/>
  <c r="E186" i="1"/>
  <c r="E185" i="1"/>
  <c r="E184" i="1"/>
  <c r="E183" i="1"/>
  <c r="E182" i="1"/>
  <c r="E181" i="1"/>
  <c r="E180" i="1"/>
  <c r="E179" i="1"/>
  <c r="E178" i="1"/>
  <c r="E177" i="1"/>
  <c r="E176" i="1"/>
  <c r="E175" i="1"/>
  <c r="E174" i="1"/>
  <c r="E173" i="1"/>
  <c r="E172" i="1"/>
  <c r="E171" i="1"/>
  <c r="E170" i="1"/>
  <c r="E169" i="1"/>
  <c r="E168" i="1"/>
  <c r="E167" i="1"/>
  <c r="E166" i="1"/>
  <c r="E165" i="1"/>
  <c r="E164" i="1"/>
  <c r="E163" i="1"/>
  <c r="E162" i="1"/>
  <c r="E161" i="1"/>
  <c r="E160" i="1"/>
  <c r="E159" i="1"/>
  <c r="E158" i="1"/>
  <c r="E157" i="1"/>
  <c r="E156" i="1"/>
  <c r="E155" i="1"/>
  <c r="E154" i="1"/>
  <c r="E153" i="1"/>
  <c r="E152" i="1"/>
  <c r="E151" i="1"/>
  <c r="E149" i="1"/>
  <c r="E148" i="1"/>
  <c r="E147" i="1"/>
  <c r="E145" i="1"/>
  <c r="E144" i="1"/>
  <c r="E143" i="1"/>
  <c r="E142" i="1"/>
  <c r="E141" i="1"/>
  <c r="E140" i="1"/>
  <c r="E139" i="1"/>
  <c r="E138" i="1"/>
  <c r="E137" i="1"/>
  <c r="E136" i="1"/>
  <c r="E135" i="1"/>
  <c r="E134" i="1"/>
  <c r="E133" i="1"/>
  <c r="E132" i="1"/>
  <c r="E131" i="1"/>
  <c r="E130" i="1"/>
  <c r="E129" i="1"/>
  <c r="E128" i="1"/>
  <c r="E127" i="1"/>
  <c r="E126" i="1"/>
  <c r="E125" i="1"/>
  <c r="E124" i="1"/>
  <c r="E123" i="1"/>
  <c r="E122" i="1"/>
  <c r="E121" i="1"/>
  <c r="E120" i="1"/>
  <c r="E119" i="1"/>
  <c r="E118" i="1"/>
  <c r="E117" i="1"/>
  <c r="E116" i="1"/>
  <c r="E115" i="1"/>
  <c r="E114" i="1"/>
  <c r="E113" i="1"/>
  <c r="E112" i="1"/>
  <c r="E111" i="1"/>
  <c r="E110" i="1"/>
  <c r="E109" i="1"/>
  <c r="E108" i="1"/>
  <c r="E107" i="1"/>
  <c r="E106" i="1"/>
  <c r="E105" i="1"/>
  <c r="E104" i="1"/>
  <c r="E103" i="1"/>
  <c r="E102" i="1"/>
  <c r="E101" i="1"/>
  <c r="E100" i="1"/>
  <c r="E99" i="1"/>
  <c r="E98" i="1"/>
  <c r="E97" i="1"/>
  <c r="E96" i="1"/>
  <c r="E95" i="1"/>
  <c r="E94" i="1"/>
  <c r="E93" i="1"/>
  <c r="E92" i="1"/>
  <c r="E91" i="1"/>
  <c r="E90" i="1"/>
  <c r="E89" i="1"/>
  <c r="E88" i="1"/>
  <c r="E87" i="1"/>
  <c r="E86" i="1"/>
  <c r="E85" i="1"/>
  <c r="E84" i="1"/>
  <c r="E83" i="1"/>
  <c r="E82" i="1"/>
  <c r="E81" i="1"/>
  <c r="E80" i="1"/>
  <c r="E79" i="1"/>
  <c r="E78" i="1"/>
  <c r="E77" i="1"/>
  <c r="E76" i="1"/>
  <c r="E75" i="1"/>
  <c r="E74" i="1"/>
  <c r="E73" i="1"/>
  <c r="E72" i="1"/>
  <c r="E71" i="1"/>
  <c r="E70" i="1"/>
  <c r="E69" i="1"/>
  <c r="E68" i="1"/>
  <c r="E67" i="1"/>
  <c r="E66" i="1"/>
  <c r="E65" i="1"/>
  <c r="E64" i="1"/>
  <c r="E63" i="1"/>
  <c r="E62" i="1"/>
  <c r="E61" i="1"/>
  <c r="E60" i="1"/>
  <c r="E59" i="1"/>
  <c r="E58" i="1"/>
  <c r="E57" i="1"/>
  <c r="E56" i="1"/>
  <c r="E55" i="1"/>
  <c r="E54" i="1"/>
  <c r="E53" i="1"/>
  <c r="E52" i="1"/>
  <c r="E51" i="1"/>
  <c r="E50" i="1"/>
  <c r="E49" i="1"/>
  <c r="E48" i="1"/>
  <c r="E47" i="1"/>
  <c r="E46" i="1"/>
  <c r="E45" i="1"/>
  <c r="E44" i="1"/>
  <c r="E43" i="1"/>
  <c r="E42" i="1"/>
  <c r="E41" i="1"/>
  <c r="E40" i="1"/>
  <c r="E39" i="1"/>
  <c r="E38" i="1"/>
  <c r="E37" i="1"/>
  <c r="E36" i="1"/>
  <c r="E35" i="1"/>
  <c r="E34" i="1"/>
  <c r="E33" i="1"/>
  <c r="E32" i="1"/>
  <c r="E31" i="1"/>
  <c r="E30" i="1"/>
  <c r="E29" i="1"/>
  <c r="E28" i="1"/>
  <c r="E27" i="1"/>
  <c r="E26" i="1"/>
  <c r="E25" i="1"/>
  <c r="E24" i="1"/>
  <c r="E23" i="1"/>
  <c r="E22" i="1"/>
  <c r="E21" i="1"/>
  <c r="E20" i="1"/>
  <c r="E19" i="1"/>
  <c r="E18" i="1"/>
  <c r="E17" i="1"/>
  <c r="E16" i="1"/>
  <c r="E15" i="1"/>
  <c r="E14" i="1"/>
  <c r="E13" i="1"/>
  <c r="E11" i="1"/>
  <c r="E10" i="1"/>
  <c r="E9" i="1"/>
  <c r="E8" i="1"/>
  <c r="E7" i="1"/>
  <c r="E6" i="1"/>
  <c r="E5" i="1"/>
  <c r="E4" i="1"/>
  <c r="E3" i="1"/>
  <c r="E2" i="1"/>
  <c r="Q168" i="2" l="1"/>
  <c r="Q174" i="2"/>
  <c r="Q271" i="2"/>
  <c r="Q318" i="2"/>
  <c r="S5" i="2"/>
  <c r="Q5" i="2" s="1"/>
  <c r="S9" i="2"/>
  <c r="Q9" i="2" s="1"/>
  <c r="S13" i="2"/>
  <c r="Q13" i="2" s="1"/>
  <c r="S17" i="2"/>
  <c r="Q17" i="2" s="1"/>
  <c r="Q94" i="2"/>
  <c r="Q109" i="2"/>
  <c r="Q156" i="2"/>
  <c r="Q162" i="2"/>
  <c r="Q219" i="2"/>
  <c r="Q227" i="2"/>
  <c r="Q235" i="2"/>
  <c r="Q243" i="2"/>
  <c r="Q251" i="2"/>
  <c r="Q284" i="2"/>
  <c r="Q300" i="2"/>
  <c r="Q322" i="2"/>
  <c r="S33" i="2"/>
  <c r="Q33" i="2" s="1"/>
  <c r="S29" i="2"/>
  <c r="Q29" i="2" s="1"/>
  <c r="S6" i="2"/>
  <c r="Q6" i="2" s="1"/>
  <c r="S10" i="2"/>
  <c r="Q10" i="2" s="1"/>
  <c r="S14" i="2"/>
  <c r="Q14" i="2" s="1"/>
  <c r="S18" i="2"/>
  <c r="Q18" i="2" s="1"/>
  <c r="S23" i="2"/>
  <c r="Q23" i="2" s="1"/>
  <c r="S28" i="2"/>
  <c r="Q28" i="2" s="1"/>
  <c r="S37" i="2"/>
  <c r="Q37" i="2" s="1"/>
  <c r="S46" i="2"/>
  <c r="Q46" i="2" s="1"/>
  <c r="S55" i="2"/>
  <c r="Q55" i="2" s="1"/>
  <c r="Q105" i="2"/>
  <c r="Q116" i="2"/>
  <c r="Q121" i="2"/>
  <c r="Q164" i="2"/>
  <c r="Q170" i="2"/>
  <c r="Q198" i="2"/>
  <c r="Q206" i="2"/>
  <c r="Q214" i="2"/>
  <c r="Q221" i="2"/>
  <c r="Q229" i="2"/>
  <c r="Q237" i="2"/>
  <c r="Q245" i="2"/>
  <c r="Q265" i="2"/>
  <c r="Q275" i="2"/>
  <c r="Q288" i="2"/>
  <c r="Q304" i="2"/>
  <c r="Q330" i="2"/>
  <c r="S3" i="2"/>
  <c r="Q3" i="2" s="1"/>
  <c r="S42" i="2"/>
  <c r="Q42" i="2" s="1"/>
  <c r="S51" i="2"/>
  <c r="Q51" i="2" s="1"/>
  <c r="S60" i="2"/>
  <c r="Q60" i="2" s="1"/>
  <c r="Q95" i="2"/>
  <c r="Q111" i="2"/>
  <c r="Q158" i="2"/>
  <c r="Q184" i="2"/>
  <c r="Q255" i="2"/>
  <c r="Q334" i="2"/>
  <c r="S7" i="2"/>
  <c r="Q7" i="2" s="1"/>
  <c r="S11" i="2"/>
  <c r="Q11" i="2" s="1"/>
  <c r="S15" i="2"/>
  <c r="Q15" i="2" s="1"/>
  <c r="S24" i="2"/>
  <c r="Q24" i="2" s="1"/>
  <c r="S38" i="2"/>
  <c r="Q38" i="2" s="1"/>
  <c r="S47" i="2"/>
  <c r="Q47" i="2" s="1"/>
  <c r="S56" i="2"/>
  <c r="Q56" i="2" s="1"/>
  <c r="Q101" i="2"/>
  <c r="Q117" i="2"/>
  <c r="Q172" i="2"/>
  <c r="Q178" i="2"/>
  <c r="Q223" i="2"/>
  <c r="Q231" i="2"/>
  <c r="Q239" i="2"/>
  <c r="Q267" i="2"/>
  <c r="Q292" i="2"/>
  <c r="S69" i="2"/>
  <c r="S77" i="2"/>
  <c r="S85" i="2"/>
  <c r="S93" i="2"/>
  <c r="S124" i="2"/>
  <c r="Q124" i="2" s="1"/>
  <c r="S128" i="2"/>
  <c r="Q128" i="2" s="1"/>
  <c r="S132" i="2"/>
  <c r="Q132" i="2" s="1"/>
  <c r="S136" i="2"/>
  <c r="Q136" i="2" s="1"/>
  <c r="S140" i="2"/>
  <c r="Q140" i="2" s="1"/>
  <c r="S144" i="2"/>
  <c r="Q144" i="2" s="1"/>
  <c r="S148" i="2"/>
  <c r="Q148" i="2" s="1"/>
  <c r="S152" i="2"/>
  <c r="Q152" i="2" s="1"/>
  <c r="S187" i="2"/>
  <c r="Q187" i="2" s="1"/>
  <c r="S191" i="2"/>
  <c r="Q191" i="2" s="1"/>
  <c r="S195" i="2"/>
  <c r="Q195" i="2" s="1"/>
  <c r="S199" i="2"/>
  <c r="Q199" i="2" s="1"/>
  <c r="S203" i="2"/>
  <c r="Q203" i="2" s="1"/>
  <c r="S207" i="2"/>
  <c r="Q207" i="2" s="1"/>
  <c r="S211" i="2"/>
  <c r="Q211" i="2" s="1"/>
  <c r="S215" i="2"/>
  <c r="Q215" i="2" s="1"/>
  <c r="S250" i="2"/>
  <c r="Q250" i="2" s="1"/>
  <c r="S254" i="2"/>
  <c r="Q254" i="2" s="1"/>
  <c r="S258" i="2"/>
  <c r="Q258" i="2" s="1"/>
  <c r="S262" i="2"/>
  <c r="Q262" i="2" s="1"/>
  <c r="S266" i="2"/>
  <c r="Q266" i="2" s="1"/>
  <c r="S270" i="2"/>
  <c r="Q270" i="2" s="1"/>
  <c r="S274" i="2"/>
  <c r="Q274" i="2" s="1"/>
  <c r="S309" i="2"/>
  <c r="Q309" i="2" s="1"/>
  <c r="S313" i="2"/>
  <c r="Q313" i="2" s="1"/>
  <c r="S317" i="2"/>
  <c r="Q317" i="2" s="1"/>
  <c r="S321" i="2"/>
  <c r="Q321" i="2" s="1"/>
  <c r="S325" i="2"/>
  <c r="Q325" i="2" s="1"/>
  <c r="S329" i="2"/>
  <c r="Q329" i="2" s="1"/>
  <c r="S333" i="2"/>
  <c r="Q333" i="2" s="1"/>
  <c r="S337" i="2"/>
  <c r="Q337" i="2" s="1"/>
  <c r="S278" i="2"/>
  <c r="Q278" i="2" s="1"/>
  <c r="S282" i="2"/>
  <c r="Q282" i="2" s="1"/>
  <c r="S286" i="2"/>
  <c r="Q286" i="2" s="1"/>
  <c r="S290" i="2"/>
  <c r="Q290" i="2" s="1"/>
  <c r="S294" i="2"/>
  <c r="Q294" i="2" s="1"/>
  <c r="S298" i="2"/>
  <c r="Q298" i="2" s="1"/>
  <c r="S302" i="2"/>
  <c r="Q302" i="2" s="1"/>
  <c r="S306" i="2"/>
  <c r="Q306" i="2" s="1"/>
  <c r="S341" i="2"/>
  <c r="Q341" i="2" s="1"/>
  <c r="S345" i="2"/>
  <c r="Q345" i="2" s="1"/>
  <c r="S349" i="2"/>
  <c r="Q349" i="2" s="1"/>
  <c r="S353" i="2"/>
  <c r="Q353" i="2" s="1"/>
  <c r="S357" i="2"/>
  <c r="Q357" i="2" s="1"/>
  <c r="S361" i="2"/>
  <c r="Q361" i="2" s="1"/>
  <c r="S365" i="2"/>
  <c r="Q365" i="2" s="1"/>
  <c r="S216" i="2"/>
  <c r="Q216" i="2" s="1"/>
  <c r="S220" i="2"/>
  <c r="Q220" i="2" s="1"/>
  <c r="S224" i="2"/>
  <c r="Q224" i="2" s="1"/>
  <c r="S228" i="2"/>
  <c r="Q228" i="2" s="1"/>
  <c r="S232" i="2"/>
  <c r="Q232" i="2" s="1"/>
  <c r="S236" i="2"/>
  <c r="Q236" i="2" s="1"/>
  <c r="S240" i="2"/>
  <c r="Q240" i="2" s="1"/>
  <c r="S244" i="2"/>
  <c r="Q244" i="2" s="1"/>
  <c r="S279" i="2"/>
  <c r="Q279" i="2" s="1"/>
  <c r="S283" i="2"/>
  <c r="Q283" i="2" s="1"/>
  <c r="S287" i="2"/>
  <c r="Q287" i="2" s="1"/>
  <c r="S291" i="2"/>
  <c r="Q291" i="2" s="1"/>
  <c r="S295" i="2"/>
  <c r="Q295" i="2" s="1"/>
  <c r="S299" i="2"/>
  <c r="Q299" i="2" s="1"/>
  <c r="S303" i="2"/>
  <c r="Q303" i="2" s="1"/>
  <c r="S307" i="2"/>
  <c r="Q307" i="2" s="1"/>
  <c r="S338" i="2"/>
  <c r="Q338" i="2" s="1"/>
  <c r="S342" i="2"/>
  <c r="Q342" i="2" s="1"/>
  <c r="S346" i="2"/>
  <c r="Q346" i="2" s="1"/>
  <c r="S350" i="2"/>
  <c r="Q350" i="2" s="1"/>
  <c r="S354" i="2"/>
  <c r="Q354" i="2" s="1"/>
  <c r="S358" i="2"/>
  <c r="Q358" i="2" s="1"/>
  <c r="S362" i="2"/>
  <c r="Q362" i="2" s="1"/>
  <c r="S366" i="2"/>
  <c r="Q366" i="2" s="1"/>
  <c r="S65" i="2"/>
  <c r="S73" i="2"/>
  <c r="S81" i="2"/>
  <c r="S89" i="2"/>
  <c r="S126" i="2"/>
  <c r="Q126" i="2" s="1"/>
  <c r="S130" i="2"/>
  <c r="Q130" i="2" s="1"/>
  <c r="S134" i="2"/>
  <c r="Q134" i="2" s="1"/>
  <c r="S138" i="2"/>
  <c r="Q138" i="2" s="1"/>
  <c r="S142" i="2"/>
  <c r="Q142" i="2" s="1"/>
  <c r="S146" i="2"/>
  <c r="Q146" i="2" s="1"/>
  <c r="S150" i="2"/>
  <c r="Q150" i="2" s="1"/>
  <c r="S154" i="2"/>
  <c r="Q154" i="2" s="1"/>
  <c r="S185" i="2"/>
  <c r="Q185" i="2" s="1"/>
  <c r="S189" i="2"/>
  <c r="Q189" i="2" s="1"/>
  <c r="S193" i="2"/>
  <c r="Q193" i="2" s="1"/>
  <c r="S197" i="2"/>
  <c r="Q197" i="2" s="1"/>
  <c r="S201" i="2"/>
  <c r="Q201" i="2" s="1"/>
  <c r="S205" i="2"/>
  <c r="Q205" i="2" s="1"/>
  <c r="S209" i="2"/>
  <c r="Q209" i="2" s="1"/>
  <c r="S213" i="2"/>
  <c r="Q213" i="2" s="1"/>
  <c r="S248" i="2"/>
  <c r="Q248" i="2" s="1"/>
  <c r="S252" i="2"/>
  <c r="Q252" i="2" s="1"/>
  <c r="S256" i="2"/>
  <c r="Q256" i="2" s="1"/>
  <c r="S260" i="2"/>
  <c r="Q260" i="2" s="1"/>
  <c r="S264" i="2"/>
  <c r="Q264" i="2" s="1"/>
  <c r="S268" i="2"/>
  <c r="Q268" i="2" s="1"/>
  <c r="S272" i="2"/>
  <c r="Q272" i="2" s="1"/>
  <c r="S276" i="2"/>
  <c r="Q276" i="2" s="1"/>
  <c r="S311" i="2"/>
  <c r="Q311" i="2" s="1"/>
  <c r="S315" i="2"/>
  <c r="Q315" i="2" s="1"/>
  <c r="S319" i="2"/>
  <c r="Q319" i="2" s="1"/>
  <c r="S323" i="2"/>
  <c r="Q323" i="2" s="1"/>
  <c r="S327" i="2"/>
  <c r="Q327" i="2" s="1"/>
  <c r="S331" i="2"/>
  <c r="Q331" i="2" s="1"/>
  <c r="S335" i="2"/>
  <c r="Q335" i="2" s="1"/>
  <c r="S339" i="2"/>
  <c r="Q339" i="2" s="1"/>
  <c r="S343" i="2"/>
  <c r="Q343" i="2" s="1"/>
  <c r="S347" i="2"/>
  <c r="Q347" i="2" s="1"/>
  <c r="S351" i="2"/>
  <c r="Q351" i="2" s="1"/>
  <c r="S355" i="2"/>
  <c r="Q355" i="2" s="1"/>
  <c r="S359" i="2"/>
  <c r="Q359" i="2" s="1"/>
  <c r="S363" i="2"/>
  <c r="Q363" i="2" s="1"/>
  <c r="S367" i="2"/>
  <c r="Q367" i="2" s="1"/>
  <c r="S308" i="2"/>
  <c r="Q308" i="2" s="1"/>
  <c r="S312" i="2"/>
  <c r="Q312" i="2" s="1"/>
  <c r="S316" i="2"/>
  <c r="Q316" i="2" s="1"/>
  <c r="S320" i="2"/>
  <c r="Q320" i="2" s="1"/>
  <c r="S324" i="2"/>
  <c r="Q324" i="2" s="1"/>
  <c r="S328" i="2"/>
  <c r="Q328" i="2" s="1"/>
  <c r="S332" i="2"/>
  <c r="Q332" i="2" s="1"/>
  <c r="S336" i="2"/>
  <c r="Q336" i="2" s="1"/>
  <c r="S155" i="2"/>
  <c r="Q155" i="2" s="1"/>
  <c r="S159" i="2"/>
  <c r="Q159" i="2" s="1"/>
  <c r="S163" i="2"/>
  <c r="Q163" i="2" s="1"/>
  <c r="S167" i="2"/>
  <c r="Q167" i="2" s="1"/>
  <c r="S171" i="2"/>
  <c r="Q171" i="2" s="1"/>
  <c r="S175" i="2"/>
  <c r="Q175" i="2" s="1"/>
  <c r="S179" i="2"/>
  <c r="Q179" i="2" s="1"/>
  <c r="S183" i="2"/>
  <c r="Q183" i="2" s="1"/>
  <c r="S218" i="2"/>
  <c r="Q218" i="2" s="1"/>
  <c r="S222" i="2"/>
  <c r="Q222" i="2" s="1"/>
  <c r="S226" i="2"/>
  <c r="Q226" i="2" s="1"/>
  <c r="S230" i="2"/>
  <c r="Q230" i="2" s="1"/>
  <c r="S234" i="2"/>
  <c r="Q234" i="2" s="1"/>
  <c r="S238" i="2"/>
  <c r="Q238" i="2" s="1"/>
  <c r="S242" i="2"/>
  <c r="Q242" i="2" s="1"/>
  <c r="S246" i="2"/>
  <c r="Q246" i="2" s="1"/>
  <c r="S277" i="2"/>
  <c r="Q277" i="2" s="1"/>
  <c r="S281" i="2"/>
  <c r="Q281" i="2" s="1"/>
  <c r="S285" i="2"/>
  <c r="Q285" i="2" s="1"/>
  <c r="S289" i="2"/>
  <c r="Q289" i="2" s="1"/>
  <c r="S293" i="2"/>
  <c r="Q293" i="2" s="1"/>
  <c r="S297" i="2"/>
  <c r="Q297" i="2" s="1"/>
  <c r="S301" i="2"/>
  <c r="Q301" i="2" s="1"/>
  <c r="S305" i="2"/>
  <c r="Q305" i="2" s="1"/>
  <c r="S340" i="2"/>
  <c r="Q340" i="2" s="1"/>
  <c r="S344" i="2"/>
  <c r="Q344" i="2" s="1"/>
  <c r="S348" i="2"/>
  <c r="Q348" i="2" s="1"/>
  <c r="S352" i="2"/>
  <c r="Q352" i="2" s="1"/>
  <c r="S356" i="2"/>
  <c r="Q356" i="2" s="1"/>
  <c r="S360" i="2"/>
  <c r="Q360" i="2" s="1"/>
  <c r="S364" i="2"/>
  <c r="Q364"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745" authorId="0" shapeId="0" xr:uid="{00000000-0006-0000-0000-000002000000}">
      <text>
        <r>
          <rPr>
            <sz val="11"/>
            <color theme="1"/>
            <rFont val="Aptos Narrow"/>
            <scheme val="minor"/>
          </rPr>
          <t>======
ID#AAABf3Jyf1I
Mansell, Derrick    (2025-04-12 18:23:22)
original totalized = 215.531
This was erroneously caused by both flow totalizers basically doubling in totalized flow for the day, which increased the overall ROF number which is the average of the two totalizers. PCS provided spreadsheet showing actual flows for the day and from that we could correctly calculate the totalized flows</t>
        </r>
      </text>
    </comment>
    <comment ref="F975" authorId="0" shapeId="0" xr:uid="{00000000-0006-0000-0000-000010000000}">
      <text>
        <r>
          <rPr>
            <sz val="11"/>
            <color theme="1"/>
            <rFont val="Aptos Narrow"/>
            <scheme val="minor"/>
          </rPr>
          <t>======
ID#AAABf3Jyfzg
Mansell, Derrick    (2025-04-12 18:23:22)
9/6:
Will not adjust numbers. Reporting what flow meters produced for ROP and ROC. This reflects the 85% recocvery. Where the ROP goes after flow meter is irrelevant to us for this purpose, and is more relevant to OC SAN. Just noting for cross-checking flows typically ROP is close to BPS+PWP combined. On these days when H or I RO units run overnight for commissioning, ROP will NOT closely match BPS+PWP due to ROP going to ROC. Shoud be off by 3-5 mgd depending on when continuous flow was started.
DEM</t>
        </r>
      </text>
    </comment>
    <comment ref="F976" authorId="0" shapeId="0" xr:uid="{00000000-0006-0000-0000-000001000000}">
      <text>
        <r>
          <rPr>
            <sz val="11"/>
            <color theme="1"/>
            <rFont val="Aptos Narrow"/>
            <scheme val="minor"/>
          </rPr>
          <t>======
ID#AAABf3Jyf1Q
Mansell, Derrick    (2025-04-12 18:23:22)
Mansell, Derrick
Will not adjust numbers. Reporting what flow meters produced for ROP and ROC. This reflects the 85% recocvery. Where the ROP goes after flow meter is irrelevant to us for this purpose, and is more relevant to OC SAN. Just noting for cross-checking flows typically ROP is close to BPS+PWP combined. On these days when H or I RO units run overnight for commissioning, ROP will NOT closely match BPS+PWP due to ROP going to ROC. It should be off approximately 3-5 mgd depending on when continuous flow production was started.
DEM</t>
        </r>
      </text>
    </comment>
    <comment ref="K1202" authorId="0" shapeId="0" xr:uid="{00000000-0006-0000-0000-000015000000}">
      <text>
        <r>
          <rPr>
            <sz val="11"/>
            <color theme="1"/>
            <rFont val="Aptos Narrow"/>
            <scheme val="minor"/>
          </rPr>
          <t>======
ID#AAABf3JyfzA
tc={64F2126B-B0B9-48BD-8B7E-68CA23D9DCBA}    (2025-04-12 18:23:22)
[Threaded comment]
Your version of Excel allows you to read this threaded comment; however, any edits to it will get removed if the file is opened in a newer version of Excel. Learn more: https://go.microsoft.com/fwlink/?linkid=870924
Comment:
    Constantly over 9ppm?  I will keep an eye out!</t>
        </r>
      </text>
    </comment>
    <comment ref="F1216" authorId="0" shapeId="0" xr:uid="{00000000-0006-0000-0000-000012000000}">
      <text>
        <r>
          <rPr>
            <sz val="11"/>
            <color theme="1"/>
            <rFont val="Aptos Narrow"/>
            <scheme val="minor"/>
          </rPr>
          <t>======
ID#AAABf3JyfzY
Carreira, Anthony    (2025-04-12 18:23:22)
Low flows b/c contractor cut blower E scfm flow meter. Ops had to shutdown Train E until it was repaired.</t>
        </r>
      </text>
    </comment>
    <comment ref="F1222" authorId="0" shapeId="0" xr:uid="{00000000-0006-0000-0000-000013000000}">
      <text>
        <r>
          <rPr>
            <sz val="11"/>
            <color theme="1"/>
            <rFont val="Aptos Narrow"/>
            <scheme val="minor"/>
          </rPr>
          <t>======
ID#AAABf3JyfzQ
tc={D38A498B-62DF-413E-A006-B40A27958601}    (2025-04-12 18:23:22)
[Threaded comment]
Your version of Excel allows you to read this threaded comment; however, any edits to it will get removed if the file is opened in a newer version of Excel. Learn more: https://go.microsoft.com/fwlink/?linkid=870924
Comment:
    Starting CF SHC 6hr soaks - two rounds needed</t>
        </r>
      </text>
    </comment>
    <comment ref="F1341" authorId="0" shapeId="0" xr:uid="{00000000-0006-0000-0000-00001E000000}">
      <text>
        <r>
          <rPr>
            <sz val="11"/>
            <color theme="1"/>
            <rFont val="Aptos Narrow"/>
            <scheme val="minor"/>
          </rPr>
          <t>======
ID#AAABf3Jyfxw
Neely, Tyson    (2025-04-12 18:23:22)
9/1/2021
The RO system produced 15.906 MG of product, but all was sent to the OC SAN ocean outfall as FPW.
Left it as 0.00 MG of ROP for 9/1 since it was not sent out for distribution as normal production.
TLN</t>
        </r>
      </text>
    </comment>
    <comment ref="N1351" authorId="0" shapeId="0" xr:uid="{00000000-0006-0000-0000-000006000000}">
      <text>
        <r>
          <rPr>
            <sz val="11"/>
            <color theme="1"/>
            <rFont val="Aptos Narrow"/>
            <scheme val="minor"/>
          </rPr>
          <t>======
ID#AAABf3Jyf0g
tc={00857A54-72B7-4628-A4F7-6E2313D75460}    (2025-04-12 18:23:22)
[Threaded comment]
Your version of Excel allows you to read this threaded comment; however, any edits to it will get removed if the file is opened in a newer version of Excel. Learn more: https://go.microsoft.com/fwlink/?linkid=870924
Comment:
    May need to have someone look at this analyzer?</t>
        </r>
      </text>
    </comment>
    <comment ref="N1355" authorId="0" shapeId="0" xr:uid="{00000000-0006-0000-0000-000017000000}">
      <text>
        <r>
          <rPr>
            <sz val="11"/>
            <color theme="1"/>
            <rFont val="Aptos Narrow"/>
            <scheme val="minor"/>
          </rPr>
          <t>======
ID#AAABf3Jyfyw
tc={B466E169-6814-495D-9598-CBE75DD0A2FB}    (2025-04-12 18:23:22)
[Threaded comment]
Your version of Excel allows you to read this threaded comment; however, any edits to it will get removed if the file is opened in a newer version of Excel. Learn more: https://go.microsoft.com/fwlink/?linkid=870924
Comment:
    FV from I&amp;E flushed and performed a single point cal. on the ROP NTU meter today (no MR). Came back reading the same value.</t>
        </r>
      </text>
    </comment>
    <comment ref="J1362" authorId="0" shapeId="0" xr:uid="{00000000-0006-0000-0000-000016000000}">
      <text>
        <r>
          <rPr>
            <sz val="11"/>
            <color theme="1"/>
            <rFont val="Aptos Narrow"/>
            <scheme val="minor"/>
          </rPr>
          <t>======
ID#AAABf3Jyfy8
tc={18976E03-DFF5-4B19-A01A-85A52CC309AF}    (2025-04-12 18:23:22)
[Threaded comment]
Your version of Excel allows you to read this threaded comment; however, any edits to it will get removed if the file is opened in a newer version of Excel. Learn more: https://go.microsoft.com/fwlink/?linkid=870924
Comment:
    Higher than normal due to CF 15 &amp; 16 coming online.</t>
        </r>
      </text>
    </comment>
    <comment ref="O1385" authorId="0" shapeId="0" xr:uid="{00000000-0006-0000-0000-000009000000}">
      <text>
        <r>
          <rPr>
            <sz val="11"/>
            <color theme="1"/>
            <rFont val="Aptos Narrow"/>
            <scheme val="minor"/>
          </rPr>
          <t>======
ID#AAABf3Jyf0I
tc={F0909CED-8B97-43FE-9DB9-AC5ADBF4858A}    (2025-04-12 18:23:22)
[Threaded comment]
Your version of Excel allows you to read this threaded comment; however, any edits to it will get removed if the file is opened in a newer version of Excel. Learn more: https://go.microsoft.com/fwlink/?linkid=870924
Comment:
    ??</t>
        </r>
      </text>
    </comment>
    <comment ref="O1388" authorId="0" shapeId="0" xr:uid="{00000000-0006-0000-0000-00001C000000}">
      <text>
        <r>
          <rPr>
            <sz val="11"/>
            <color theme="1"/>
            <rFont val="Aptos Narrow"/>
            <scheme val="minor"/>
          </rPr>
          <t>======
ID#AAABf3JyfyA
Neely, Tyson    (2025-04-12 18:23:22)
10/19/2021
Asked I&amp;E to check the ROP pH analyzer, which is a component used by DeltaV to calculate CO2 levels in the water. No MR was submitted as the request was based on the changes in ROP pH and calculated CO2 levels that occurred when I&amp;E did their weekly ROF &amp; ROP instrumentation PMs on Friday 10/15. 
Scott reported the ROP pH analyzer was reading correctly.
Then he checked the ROF pH analyzers and found both of them reading 0.1 pH higher than actual. After making adjustments to the ROF pH analyzers today we think the ROP pH and CO2 levels will return to normal.
TLN</t>
        </r>
      </text>
    </comment>
    <comment ref="N1611" authorId="0" shapeId="0" xr:uid="{00000000-0006-0000-0000-000019000000}">
      <text>
        <r>
          <rPr>
            <sz val="11"/>
            <color theme="1"/>
            <rFont val="Aptos Narrow"/>
            <scheme val="minor"/>
          </rPr>
          <t>======
ID#AAABf3Jyfyk
Neely, Tyson    (2025-04-12 18:23:22)
5/28/2020
I&amp;E replaced the original ROP turbidity meter with a new Model TU-5300 Hach laser turbidity meter, the same type they have been using to replace our nine MFE bank turbidity meters.
TLN</t>
        </r>
      </text>
    </comment>
    <comment ref="K1615" authorId="0" shapeId="0" xr:uid="{00000000-0006-0000-0000-00000C000000}">
      <text>
        <r>
          <rPr>
            <sz val="11"/>
            <color theme="1"/>
            <rFont val="Aptos Narrow"/>
            <scheme val="minor"/>
          </rPr>
          <t>======
ID#AAABf3Jyfz4
Neely, Tyson    (2025-04-12 18:23:22)
6/1/2020
Today programmers (DH) made a change to how DeltaV reports ROF and ROP TOC on the KDC midnight reports.
Before the change the KDC midnight reports reported daily min, max, and average TOC using ONLY ROF &amp; ROP TOC analyzer's #1, regardless of which was selected with their signal selectors. Even if the #2 analyzer's were selected, the KDC midnight report still only reported the #1 analyzers' daily values.
Programmers changed this so that the KDC midnight report will be specific to which analyzer, either #1 or #2, is selected.
This issue was brought up by Mehul, Jason D., and Debbie Burris........Burris Engineering is currently working on our GWRS 2019 Annual report and noticed the ROF and ROP TOC values shown on Ops' GWRS Water Quality spreadsheet are different than the TOC values reported on our Monthly DDW - LRV report. 
TLN</t>
        </r>
      </text>
    </comment>
    <comment ref="P1615" authorId="0" shapeId="0" xr:uid="{00000000-0006-0000-0000-000011000000}">
      <text>
        <r>
          <rPr>
            <sz val="11"/>
            <color theme="1"/>
            <rFont val="Aptos Narrow"/>
            <scheme val="minor"/>
          </rPr>
          <t>======
ID#AAABf3JyfzU
Neely, Tyson    (2025-04-12 18:23:22)
6/1/2020
Today programmers (DH) made a change to how DeltaV reports ROF and ROP TOC on the KDC midnight reports.
Before the change the KDC midnight reports reported daily min, max, and average TOC using ONLY ROF &amp; ROP TOC analyzer's #1, regardless of which was selected with their signal selectors. Even if the #2 analyzer's were selected, the KDC midnight report still only reported the #1 analyzers' daily values.
Programmers changed this so that the KDC midnight report will be specific to which analyzer, either #1 or #2, is selected.
This issue was brought up by Mehul, Jason D., and Debbie Burris........Burris Engineering is currently working on our GWRS 2019 Annual report and noticed the ROF and ROP TOC values shown on Ops' GWRS Water Quality spreadsheet are different than the TOC values reported on our Monthly DDW - LRV report. 
TLN</t>
        </r>
      </text>
    </comment>
    <comment ref="J1624" authorId="0" shapeId="0" xr:uid="{00000000-0006-0000-0000-00000B000000}">
      <text>
        <r>
          <rPr>
            <sz val="11"/>
            <color theme="1"/>
            <rFont val="Aptos Narrow"/>
            <scheme val="minor"/>
          </rPr>
          <t>======
ID#AAABf3Jyfz8
Neely, Tyson    (2025-04-12 18:23:22)
6/11/2020
Notified I&amp;E that for some reason on 6/9 the ROF turbidity analyzer had dropped and began reporting lower values.
Also informed them that it did not appear to be associated to any work on the analyzer because according to trends it was never put in off / sim and just kept tracking with its normal daily cycle, just in a lower range of 0.03 - 0.06 since the lower values started occurring 6/9.
I&amp;E did a full calibration on the ROF turbidity analyzer today. After completing their work the ROF NTU came back up to its historical range of 0.09 - 0.11,
Note: I&amp;E is scheduling to replace the ROF 'incandescent' turbidity analyzer with a new Hach laser turbity analyzer soon........same as they have installed at the ROP instrument panel (May 28th), and have been in the process of changing the nine MF bank turbidity meters with.  
TLN</t>
        </r>
      </text>
    </comment>
    <comment ref="J1628" authorId="0" shapeId="0" xr:uid="{00000000-0006-0000-0000-000008000000}">
      <text>
        <r>
          <rPr>
            <sz val="11"/>
            <color theme="1"/>
            <rFont val="Aptos Narrow"/>
            <scheme val="minor"/>
          </rPr>
          <t>======
ID#AAABf3Jyf0U
Neely, Tyson    (2025-04-12 18:23:22)
6/15/2020
Reported to I&amp;E that the ROF turbidity analyzer appears to be having issues:
Hi Robert (6/15 @ 1547hrs),
It’s me and the A450 turbidity analyzer again. After I&amp;E checked and corrected the lower than historical readings last Friday, it appears that later on Friday it went the other way and is now reading quite a bit higher than it’s historical range. It’s true that we see daily swings contributed by the SEFE cycles (I believe), but either the analyzer is losing it, or we’re starting to have issues with the A450 CFs like I’ve never seen before. I would like to think the prior considering the drift it took on last week.
This time I submitted MR# 944854 to have it investigated. Thanks, Tyson
Robert's immediate reply was:
Most likely the instrument is failing. Probably an opportune time to go ahead and replace it with the new model. We will have to use one that was slated for the last incomplete train in the MF but in the overall scope of things the ROF is probably more important. Thanks for the update. We will try and knock this out in the next couple of days. Robert
TLN</t>
        </r>
      </text>
    </comment>
    <comment ref="J1637" authorId="0" shapeId="0" xr:uid="{00000000-0006-0000-0000-000005000000}">
      <text>
        <r>
          <rPr>
            <sz val="11"/>
            <color theme="1"/>
            <rFont val="Aptos Narrow"/>
            <scheme val="minor"/>
          </rPr>
          <t>======
ID#AAABf3Jyf0k
Neely, Tyson    (2025-04-12 18:23:22)
6/23/2020
I&amp;E replaced the original ROF turbidity meter with a new Model TU-5300 Hach laser turbidity meter, the same type used to recently replace the original incandescent turbidity meters for ROP and the nine MFE bank turbidity meters.
One more replacement pending, for FPW.
TLN</t>
        </r>
      </text>
    </comment>
    <comment ref="N1674" authorId="0" shapeId="0" xr:uid="{00000000-0006-0000-0000-00000E000000}">
      <text>
        <r>
          <rPr>
            <sz val="11"/>
            <color theme="1"/>
            <rFont val="Aptos Narrow"/>
            <scheme val="minor"/>
          </rPr>
          <t>======
ID#AAABf3Jyfzs
Neely, Tyson    (2025-04-12 18:23:22)
7/30/2020
I&amp;E found the ROP turbidimeter had an excessive flow rate of 500 mls/min.
After reducing the flow rate back to the meter's design, 350 mls/min, the ROP turbidimeter returned to reading similar NTU values that is was before the 7/24 hard plant shutdown occurred (0.01 - 0.02 NTU).
TLN</t>
        </r>
      </text>
    </comment>
    <comment ref="N1757" authorId="0" shapeId="0" xr:uid="{00000000-0006-0000-0000-000018000000}">
      <text>
        <r>
          <rPr>
            <sz val="11"/>
            <color theme="1"/>
            <rFont val="Aptos Narrow"/>
            <scheme val="minor"/>
          </rPr>
          <t>======
ID#AAABf3Jyfys
tc={00C426D8-F15E-4F20-95D7-16A098E18300}    (2025-04-12 18:23:22)
[Threaded comment]
Your version of Excel allows you to read this threaded comment; however, any edits to it will get removed if the file is opened in a newer version of Excel. Learn more: https://go.microsoft.com/fwlink/?linkid=870924
Comment:
    I'll keep an eye out, 3x the value?
Reply:
    Looks like something occurred on 10/19 to "wake up" the ROP NTU analyzer. Since being replaced it has basically straight-lined at 0.01 NTU. I sent a trend screen shot to Robert R. showing it flat-lined at 0.01 NTU Oct. 1 - 19, then suddenly on the 19th it popped up and has been actively 'dancing' since then, initially in a 0.02 - 0.05 range, but 10/21 it settled into a 0.02 - 0.03 range and continues to do so at this writing (10/23 @ 0900hrs).
Reply:
    Robert replied with: Tyson,
Josue did mention this yesterday, that the reading jumped up as you have stated which prompted him to look at it. The unit was flatlining as you said so he drained it and cleaned it. This is when it dropped back down and started acting like expected with some movement in the live reading. The only thing that makes sense is some type of coating interference that was removed from the optical sensor during the cleaning. We will keep an eye on it to ensure it continues to track normally. Robert</t>
        </r>
      </text>
    </comment>
    <comment ref="F1765" authorId="0" shapeId="0" xr:uid="{00000000-0006-0000-0000-00001A000000}">
      <text>
        <r>
          <rPr>
            <sz val="11"/>
            <color theme="1"/>
            <rFont val="Aptos Narrow"/>
            <scheme val="minor"/>
          </rPr>
          <t>======
ID#AAABf3Jyfyc
Carreira, Anthony    (2025-04-12 18:23:22)
10/29/2020, Low production
1500 - 1545hrs: Lost all communications with most of RO East. 
It appears a contract technician installing new video monitoring security (VMS) system equipment in a PCS cabinet located in the RO building did something to cause the communications for most if not all of the RO East RO units to fail immediately dropping the plant production rate from 90 to 25 mgd. But the contractor said he did nothing, while ironically, he just happened to be standing in front of the affected PCS panel with its door open installing his new equipment.
After taking a little while to reset all of the effected equipment the GWRS production rate was returned to 95 mgd at 1845hrs.
N2 / TLN</t>
        </r>
      </text>
    </comment>
    <comment ref="N1771" authorId="0" shapeId="0" xr:uid="{00000000-0006-0000-0000-00000A000000}">
      <text>
        <r>
          <rPr>
            <sz val="11"/>
            <color theme="1"/>
            <rFont val="Aptos Narrow"/>
            <scheme val="minor"/>
          </rPr>
          <t>======
ID#AAABf3Jyf0E
tc={90059F5F-3384-46F4-B36B-D44E4978EA9D}    (2025-04-12 18:23:22)
[Threaded comment]
Your version of Excel allows you to read this threaded comment; however, any edits to it will get removed if the file is opened in a newer version of Excel. Learn more: https://go.microsoft.com/fwlink/?linkid=870924
Comment:
    I will keep an eye out over the next couple of days.
Reply:
    I printed off a DeltaV trend showing GWRS stable at 95 mgd....ROP NTU readings very active since I&amp;E worked on it 11/3......and included ROF and FPW NTU references which continue to flatline at lower values than ROP NTU. Weird how everything EXCEPT ROP NTU remains continuously stable. Three graphs were sent for date ranges: 11/3 - 11/5; 10/30 - 11/5; 10/16 - 11/5. Tyson
Reply:
    I&amp;E's reply today was:
Hi Tyson, 
I was asked to chime in on this issue since I have been dealing with it over the last few days.
On Tuesday 11/03/2020 I was doing my PM on the ROP Cl2 and I happen to notice the NTU analyzer had a warning symbol on the screen and at the time it was reading about 0.028 NTU, I had ops sim/bypass it, I checked the warning and it was a low flow warning which was at .07 L/min. normal flow is about .20-.25 L/min. according to manual. I tried re-adjusting flow with the Hach provided needle valve but it seemed to do nothing regardless if I had it open 100% or closed 100% so I used the SS needle valve under the rotometer that feeds that analyzer, I was able to adjusted to .21 L/min but I noticed my NTU reading was a lot higher now and stabilized around 0.050 NTU, I took a sample to Chris A. and he got a 0.046 NTU on his new laser meter, I did run one more sample later with similar results. Meanwhile I ordered a new needle valve for replacement which came in today, I installed it and adjusted the flow to .22 L/min, I can’t explain why but now my NTU reading is stable now around 0.024 NTU, I ran a sample again and got 0.032 NTU,  could it have been the flow valve ? quite possibly. I went ahead and changed the local display to show one more digit so we can see there is a bit of movement, even though we won’t see it on Delta V. I hope this takes care of the issue, I will label all new NTU analyzer with the recommended flow, but there should be no reason to be moving this valve, and just a warning this valve I installed at the ROP is super touchy so PLEASE refrain from touching. Thanks, Frank V</t>
        </r>
      </text>
    </comment>
    <comment ref="F1773" authorId="0" shapeId="0" xr:uid="{00000000-0006-0000-0000-00000D000000}">
      <text>
        <r>
          <rPr>
            <sz val="11"/>
            <color theme="1"/>
            <rFont val="Aptos Narrow"/>
            <scheme val="minor"/>
          </rPr>
          <t>======
ID#AAABf3Jyfz0
Carreira, Anthony    (2025-04-12 18:23:22)
OCSD P1, performed valve exercise.  One of their valves got stuck in the open position and accidentally diverted flow to P2 and we lost approx. 20MGD for about 6-7 hours.</t>
        </r>
      </text>
    </comment>
    <comment ref="F1786" authorId="0" shapeId="0" xr:uid="{00000000-0006-0000-0000-00001D000000}">
      <text>
        <r>
          <rPr>
            <sz val="11"/>
            <color theme="1"/>
            <rFont val="Aptos Narrow"/>
            <scheme val="minor"/>
          </rPr>
          <t>======
ID#AAABf3Jyfx0
Carreira, Anthony    (2025-04-12 18:23:22)
OCSD called - working on a street vlave at Bushard St. Loss of 30MGD to GWRS for about an hour between 3am - 4am. 
Also, Wetting being performed on MF C04 new membranes.</t>
        </r>
      </text>
    </comment>
    <comment ref="N1786" authorId="0" shapeId="0" xr:uid="{00000000-0006-0000-0000-000014000000}">
      <text>
        <r>
          <rPr>
            <sz val="11"/>
            <color theme="1"/>
            <rFont val="Aptos Narrow"/>
            <scheme val="minor"/>
          </rPr>
          <t>======
ID#AAABf3JyfzI
tc={F4871B15-B1C5-4144-AB4E-628079580B0C}    (2025-04-12 18:23:22)
[Threaded comment]
Your version of Excel allows you to read this threaded comment; however, any edits to it will get removed if the file is opened in a newer version of Excel. Learn more: https://go.microsoft.com/fwlink/?linkid=870924
Comment:
    NTU meter maybe frozen again no change for approx. 2 weeks.</t>
        </r>
      </text>
    </comment>
    <comment ref="F1792" authorId="0" shapeId="0" xr:uid="{00000000-0006-0000-0000-000004000000}">
      <text>
        <r>
          <rPr>
            <sz val="11"/>
            <color theme="1"/>
            <rFont val="Aptos Narrow"/>
            <scheme val="minor"/>
          </rPr>
          <t>======
ID#AAABf3Jyf0s
Mok, Jonathan    (2025-04-12 18:23:22)
Plant setpoint lowered to 75 MGD 0515-1300. Work preformed on C train vacuum valve.</t>
        </r>
      </text>
    </comment>
    <comment ref="N1793" authorId="0" shapeId="0" xr:uid="{00000000-0006-0000-0000-000007000000}">
      <text>
        <r>
          <rPr>
            <sz val="11"/>
            <color theme="1"/>
            <rFont val="Aptos Narrow"/>
            <scheme val="minor"/>
          </rPr>
          <t>======
ID#AAABf3Jyf0Y
tc={A1338ECC-2EF1-4F93-BA9E-E4358378EE46}    (2025-04-12 18:23:22)
[Threaded comment]
Your version of Excel allows you to read this threaded comment; however, any edits to it will get removed if the file is opened in a newer version of Excel. Learn more: https://go.microsoft.com/fwlink/?linkid=870924
Comment:
    NTU meter maybe frozen again no change for approx. 3 weeks now.</t>
        </r>
      </text>
    </comment>
    <comment ref="F1794" authorId="0" shapeId="0" xr:uid="{00000000-0006-0000-0000-00001B000000}">
      <text>
        <r>
          <rPr>
            <sz val="11"/>
            <color theme="1"/>
            <rFont val="Aptos Narrow"/>
            <scheme val="minor"/>
          </rPr>
          <t>======
ID#AAABf3JyfyI
Carreira, Anthony    (2025-04-12 18:23:22)
Holiday Flows + High TMPs &amp; some early MF CIPs</t>
        </r>
      </text>
    </comment>
    <comment ref="N1801" authorId="0" shapeId="0" xr:uid="{00000000-0006-0000-0000-000003000000}">
      <text>
        <r>
          <rPr>
            <sz val="11"/>
            <color theme="1"/>
            <rFont val="Aptos Narrow"/>
            <scheme val="minor"/>
          </rPr>
          <t>======
ID#AAABf3Jyf0w
tc={E3A7D67E-B0AE-4F2F-AD7C-0F25CA7F58B4}    (2025-04-12 18:23:22)
[Threaded comment]
Your version of Excel allows you to read this threaded comment; however, any edits to it will get removed if the file is opened in a newer version of Excel. Learn more: https://go.microsoft.com/fwlink/?linkid=870924
Comment:
    NTU meter maybe frozen again?</t>
        </r>
      </text>
    </comment>
    <comment ref="N1804" authorId="0" shapeId="0" xr:uid="{00000000-0006-0000-0000-00000F000000}">
      <text>
        <r>
          <rPr>
            <sz val="11"/>
            <color theme="1"/>
            <rFont val="Aptos Narrow"/>
            <scheme val="minor"/>
          </rPr>
          <t>======
ID#AAABf3Jyfzk
tc={2D9EB867-99E4-430F-B9FD-C68F76E98018}    (2025-04-12 18:23:22)
[Threaded comment]
Your version of Excel allows you to read this threaded comment; however, any edits to it will get removed if the file is opened in a newer version of Excel. Learn more: https://go.microsoft.com/fwlink/?linkid=870924
Comment:
    As per Mehul during this morning's weekly WPG meeting, I&amp;E will be investigating the new ROP NTU meter's continued tendency to flat-line.</t>
        </r>
      </text>
    </comment>
  </commentList>
  <extLst>
    <ext xmlns:r="http://schemas.openxmlformats.org/officeDocument/2006/relationships" uri="GoogleSheetsCustomDataVersion2">
      <go:sheetsCustomData xmlns:go="http://customooxmlschemas.google.com/" r:id="rId1" roundtripDataSignature="AMtx7mipA6g7erGHolR/O3aVmvhG6PmXs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746" authorId="0" shapeId="0" xr:uid="{00000000-0006-0000-0100-000011000000}">
      <text>
        <r>
          <rPr>
            <sz val="11"/>
            <color theme="1"/>
            <rFont val="Aptos Narrow"/>
            <scheme val="minor"/>
          </rPr>
          <t>======
ID#AAABf3Jyfy4
Mansell, Derrick    (2025-04-12 18:23:22)
original totalized = 215.531
This was erroneously caused by both flow totalizers basically doubling in totalized flow for the day, which increased the overall ROF number which is the average of the two totalizers. PCS provided spreadsheet showing actual flows for the day and from that we could correctly calculate the totalized flows</t>
        </r>
      </text>
    </comment>
    <comment ref="E976" authorId="0" shapeId="0" xr:uid="{00000000-0006-0000-0100-00000A000000}">
      <text>
        <r>
          <rPr>
            <sz val="11"/>
            <color theme="1"/>
            <rFont val="Aptos Narrow"/>
            <scheme val="minor"/>
          </rPr>
          <t>======
ID#AAABf3Jyf0M
Mansell, Derrick    (2025-04-12 18:23:22)
9/6:
Will not adjust numbers. Reporting what flow meters produced for ROP and ROC. This reflects the 85% recocvery. Where the ROP goes after flow meter is irrelevant to us for this purpose, and is more relevant to OC SAN. Just noting for cross-checking flows typically ROP is close to BPS+PWP combined. On these days when H or I RO units run overnight for commissioning, ROP will NOT closely match BPS+PWP due to ROP going to ROC. Shoud be off by 3-5 mgd depending on when continuous flow was started.
DEM</t>
        </r>
      </text>
    </comment>
    <comment ref="E977" authorId="0" shapeId="0" xr:uid="{00000000-0006-0000-0100-000007000000}">
      <text>
        <r>
          <rPr>
            <sz val="11"/>
            <color theme="1"/>
            <rFont val="Aptos Narrow"/>
            <scheme val="minor"/>
          </rPr>
          <t>======
ID#AAABf3Jyf0o
Mansell, Derrick    (2025-04-12 18:23:22)
Mansell, Derrick
Will not adjust numbers. Reporting what flow meters produced for ROP and ROC. This reflects the 85% recocvery. Where the ROP goes after flow meter is irrelevant to us for this purpose, and is more relevant to OC SAN. Just noting for cross-checking flows typically ROP is close to BPS+PWP combined. On these days when H or I RO units run overnight for commissioning, ROP will NOT closely match BPS+PWP due to ROP going to ROC. It should be off approximately 3-5 mgd depending on when continuous flow production was started.
DEM</t>
        </r>
      </text>
    </comment>
    <comment ref="J1203" authorId="0" shapeId="0" xr:uid="{00000000-0006-0000-0100-00001E000000}">
      <text>
        <r>
          <rPr>
            <sz val="11"/>
            <color theme="1"/>
            <rFont val="Aptos Narrow"/>
            <scheme val="minor"/>
          </rPr>
          <t>======
ID#AAABf3Jyfxk
tc={8F1CF439-6479-4155-AA1D-CCC17D556440}    (2025-04-12 18:23:22)
[Threaded comment]
Your version of Excel allows you to read this threaded comment; however, any edits to it will get removed if the file is opened in a newer version of Excel. Learn more: https://go.microsoft.com/fwlink/?linkid=870924
Comment:
    Constantly over 9ppm?  I will keep an eye out!</t>
        </r>
      </text>
    </comment>
    <comment ref="E1217" authorId="0" shapeId="0" xr:uid="{00000000-0006-0000-0100-000010000000}">
      <text>
        <r>
          <rPr>
            <sz val="11"/>
            <color theme="1"/>
            <rFont val="Aptos Narrow"/>
            <scheme val="minor"/>
          </rPr>
          <t>======
ID#AAABf3JyfzE
Carreira, Anthony    (2025-04-12 18:23:22)
Low flows b/c contractor cut blower E scfm flow meter. Ops had to shutdown Train E until it was repaired.</t>
        </r>
      </text>
    </comment>
    <comment ref="E1223" authorId="0" shapeId="0" xr:uid="{00000000-0006-0000-0100-00000C000000}">
      <text>
        <r>
          <rPr>
            <sz val="11"/>
            <color theme="1"/>
            <rFont val="Aptos Narrow"/>
            <scheme val="minor"/>
          </rPr>
          <t>======
ID#AAABf3Jyfzw
tc={7D60E2D9-CB1F-4A80-B191-918D0C243AEE}    (2025-04-12 18:23:22)
[Threaded comment]
Your version of Excel allows you to read this threaded comment; however, any edits to it will get removed if the file is opened in a newer version of Excel. Learn more: https://go.microsoft.com/fwlink/?linkid=870924
Comment:
    Starting CF SHC 6hr soaks - two rounds needed</t>
        </r>
      </text>
    </comment>
    <comment ref="E1342" authorId="0" shapeId="0" xr:uid="{00000000-0006-0000-0100-000015000000}">
      <text>
        <r>
          <rPr>
            <sz val="11"/>
            <color theme="1"/>
            <rFont val="Aptos Narrow"/>
            <scheme val="minor"/>
          </rPr>
          <t>======
ID#AAABf3JyfyY
Neely, Tyson    (2025-04-12 18:23:22)
9/1/2021
The RO system produced 15.906 MG of product, but all was sent to the OC SAN ocean outfall as FPW.
Left it as 0.00 MG of ROP for 9/1 since it was not sent out for distribution as normal production.
TLN</t>
        </r>
      </text>
    </comment>
    <comment ref="M1352" authorId="0" shapeId="0" xr:uid="{00000000-0006-0000-0100-000017000000}">
      <text>
        <r>
          <rPr>
            <sz val="11"/>
            <color theme="1"/>
            <rFont val="Aptos Narrow"/>
            <scheme val="minor"/>
          </rPr>
          <t>======
ID#AAABf3JyfyQ
tc={FA54FA90-09D5-44E3-A9D3-ABF7B47914D4}    (2025-04-12 18:23:22)
[Threaded comment]
Your version of Excel allows you to read this threaded comment; however, any edits to it will get removed if the file is opened in a newer version of Excel. Learn more: https://go.microsoft.com/fwlink/?linkid=870924
Comment:
    May need to have someone look at this analyzer?</t>
        </r>
      </text>
    </comment>
    <comment ref="M1356" authorId="0" shapeId="0" xr:uid="{00000000-0006-0000-0100-000018000000}">
      <text>
        <r>
          <rPr>
            <sz val="11"/>
            <color theme="1"/>
            <rFont val="Aptos Narrow"/>
            <scheme val="minor"/>
          </rPr>
          <t>======
ID#AAABf3JyfyM
tc={FBDA3BB6-92DD-4C7E-994C-E7D2CEC9F88F}    (2025-04-12 18:23:22)
[Threaded comment]
Your version of Excel allows you to read this threaded comment; however, any edits to it will get removed if the file is opened in a newer version of Excel. Learn more: https://go.microsoft.com/fwlink/?linkid=870924
Comment:
    FV from I&amp;E flushed and performed a single point cal. on the ROP NTU meter today (no MR). Came back reading the same value.</t>
        </r>
      </text>
    </comment>
    <comment ref="I1363" authorId="0" shapeId="0" xr:uid="{00000000-0006-0000-0100-00001D000000}">
      <text>
        <r>
          <rPr>
            <sz val="11"/>
            <color theme="1"/>
            <rFont val="Aptos Narrow"/>
            <scheme val="minor"/>
          </rPr>
          <t>======
ID#AAABf3Jyfxo
tc={7A053941-F2FB-44D9-919C-5C66D8E3571C}    (2025-04-12 18:23:22)
[Threaded comment]
Your version of Excel allows you to read this threaded comment; however, any edits to it will get removed if the file is opened in a newer version of Excel. Learn more: https://go.microsoft.com/fwlink/?linkid=870924
Comment:
    Higher than normal due to CF 15 &amp; 16 coming online.</t>
        </r>
      </text>
    </comment>
    <comment ref="N1386" authorId="0" shapeId="0" xr:uid="{00000000-0006-0000-0100-00000D000000}">
      <text>
        <r>
          <rPr>
            <sz val="11"/>
            <color theme="1"/>
            <rFont val="Aptos Narrow"/>
            <scheme val="minor"/>
          </rPr>
          <t>======
ID#AAABf3Jyfzo
tc={5695309D-17C9-4AF5-A95F-01BD69CE47F6}    (2025-04-12 18:23:22)
[Threaded comment]
Your version of Excel allows you to read this threaded comment; however, any edits to it will get removed if the file is opened in a newer version of Excel. Learn more: https://go.microsoft.com/fwlink/?linkid=870924
Comment:
    ??</t>
        </r>
      </text>
    </comment>
    <comment ref="N1389" authorId="0" shapeId="0" xr:uid="{00000000-0006-0000-0100-000016000000}">
      <text>
        <r>
          <rPr>
            <sz val="11"/>
            <color theme="1"/>
            <rFont val="Aptos Narrow"/>
            <scheme val="minor"/>
          </rPr>
          <t>======
ID#AAABf3JyfyU
Neely, Tyson    (2025-04-12 18:23:22)
10/19/2021
Asked I&amp;E to check the ROP pH analyzer, which is a component used by DeltaV to calculate CO2 levels in the water. No MR was submitted as the request was based on the changes in ROP pH and calculated CO2 levels that occurred when I&amp;E did their weekly ROF &amp; ROP instrumentation PMs on Friday 10/15. 
Scott reported the ROP pH analyzer was reading correctly.
Then he checked the ROF pH analyzers and found both of them reading 0.1 pH higher than actual. After making adjustments to the ROF pH analyzers today we think the ROP pH and CO2 levels will return to normal.
TLN</t>
        </r>
      </text>
    </comment>
    <comment ref="M1612" authorId="0" shapeId="0" xr:uid="{00000000-0006-0000-0100-000013000000}">
      <text>
        <r>
          <rPr>
            <sz val="11"/>
            <color theme="1"/>
            <rFont val="Aptos Narrow"/>
            <scheme val="minor"/>
          </rPr>
          <t>======
ID#AAABf3Jyfyo
Neely, Tyson    (2025-04-12 18:23:22)
5/28/2020
I&amp;E replaced the original ROP turbidity meter with a new Model TU-5300 Hach laser turbidity meter, the same type they have been using to replace our nine MFE bank turbidity meters.
TLN</t>
        </r>
      </text>
    </comment>
    <comment ref="J1616" authorId="0" shapeId="0" xr:uid="{00000000-0006-0000-0100-00000F000000}">
      <text>
        <r>
          <rPr>
            <sz val="11"/>
            <color theme="1"/>
            <rFont val="Aptos Narrow"/>
            <scheme val="minor"/>
          </rPr>
          <t>======
ID#AAABf3JyfzM
Neely, Tyson    (2025-04-12 18:23:22)
6/1/2020
Today programmers (DH) made a change to how DeltaV reports ROF and ROP TOC on the KDC midnight reports.
Before the change the KDC midnight reports reported daily min, max, and average TOC using ONLY ROF &amp; ROP TOC analyzer's #1, regardless of which was selected with their signal selectors. Even if the #2 analyzer's were selected, the KDC midnight report still only reported the #1 analyzers' daily values.
Programmers changed this so that the KDC midnight report will be specific to which analyzer, either #1 or #2, is selected.
This issue was brought up by Mehul, Jason D., and Debbie Burris........Burris Engineering is currently working on our GWRS 2019 Annual report and noticed the ROF and ROP TOC values shown on Ops' GWRS Water Quality spreadsheet are different than the TOC values reported on our Monthly DDW - LRV report. 
TLN</t>
        </r>
      </text>
    </comment>
    <comment ref="O1616" authorId="0" shapeId="0" xr:uid="{00000000-0006-0000-0100-000006000000}">
      <text>
        <r>
          <rPr>
            <sz val="11"/>
            <color theme="1"/>
            <rFont val="Aptos Narrow"/>
            <scheme val="minor"/>
          </rPr>
          <t>======
ID#AAABf3Jyf00
Neely, Tyson    (2025-04-12 18:23:22)
6/1/2020
Today programmers (DH) made a change to how DeltaV reports ROF and ROP TOC on the KDC midnight reports.
Before the change the KDC midnight reports reported daily min, max, and average TOC using ONLY ROF &amp; ROP TOC analyzer's #1, regardless of which was selected with their signal selectors. Even if the #2 analyzer's were selected, the KDC midnight report still only reported the #1 analyzers' daily values.
Programmers changed this so that the KDC midnight report will be specific to which analyzer, either #1 or #2, is selected.
This issue was brought up by Mehul, Jason D., and Debbie Burris........Burris Engineering is currently working on our GWRS 2019 Annual report and noticed the ROF and ROP TOC values shown on Ops' GWRS Water Quality spreadsheet are different than the TOC values reported on our Monthly DDW - LRV report. 
TLN</t>
        </r>
      </text>
    </comment>
    <comment ref="I1625" authorId="0" shapeId="0" xr:uid="{00000000-0006-0000-0100-000009000000}">
      <text>
        <r>
          <rPr>
            <sz val="11"/>
            <color theme="1"/>
            <rFont val="Aptos Narrow"/>
            <scheme val="minor"/>
          </rPr>
          <t>======
ID#AAABf3Jyf0Q
Neely, Tyson    (2025-04-12 18:23:22)
6/11/2020
Notified I&amp;E that for some reason on 6/9 the ROF turbidity analyzer had dropped and began reporting lower values.
Also informed them that it did not appear to be associated to any work on the analyzer because according to trends it was never put in off / sim and just kept tracking with its normal daily cycle, just in a lower range of 0.03 - 0.06 since the lower values started occurring 6/9.
I&amp;E did a full calibration on the ROF turbidity analyzer today. After completing their work the ROF NTU came back up to its historical range of 0.09 - 0.11,
Note: I&amp;E is scheduling to replace the ROF 'incandescent' turbidity analyzer with a new Hach laser turbity analyzer soon........same as they have installed at the ROP instrument panel (May 28th), and have been in the process of changing the nine MF bank turbidity meters with.  
TLN</t>
        </r>
      </text>
    </comment>
    <comment ref="I1629" authorId="0" shapeId="0" xr:uid="{00000000-0006-0000-0100-00000E000000}">
      <text>
        <r>
          <rPr>
            <sz val="11"/>
            <color theme="1"/>
            <rFont val="Aptos Narrow"/>
            <scheme val="minor"/>
          </rPr>
          <t>======
ID#AAABf3Jyfzc
Neely, Tyson    (2025-04-12 18:23:22)
6/15/2020
Reported to I&amp;E that the ROF turbidity analyzer appears to be having issues:
Hi Robert (6/15 @ 1547hrs),
It’s me and the A450 turbidity analyzer again. After I&amp;E checked and corrected the lower than historical readings last Friday, it appears that later on Friday it went the other way and is now reading quite a bit higher than it’s historical range. It’s true that we see daily swings contributed by the SEFE cycles (I believe), but either the analyzer is losing it, or we’re starting to have issues with the A450 CFs like I’ve never seen before. I would like to think the prior considering the drift it took on last week.
This time I submitted MR# 944854 to have it investigated. Thanks, Tyson
Robert's immediate reply was:
Most likely the instrument is failing. Probably an opportune time to go ahead and replace it with the new model. We will have to use one that was slated for the last incomplete train in the MF but in the overall scope of things the ROF is probably more important. Thanks for the update. We will try and knock this out in the next couple of days. Robert
TLN</t>
        </r>
      </text>
    </comment>
    <comment ref="I1638" authorId="0" shapeId="0" xr:uid="{00000000-0006-0000-0100-000003000000}">
      <text>
        <r>
          <rPr>
            <sz val="11"/>
            <color theme="1"/>
            <rFont val="Aptos Narrow"/>
            <scheme val="minor"/>
          </rPr>
          <t>======
ID#AAABf3Jyf1A
Neely, Tyson    (2025-04-12 18:23:22)
6/23/2020
I&amp;E replaced the original ROF turbidity meter with a new Model TU-5300 Hach laser turbidity meter, the same type used to recently replace the original incandescent turbidity meters for ROP and the nine MFE bank turbidity meters.
One more replacement pending, for FPW.
TLN</t>
        </r>
      </text>
    </comment>
    <comment ref="M1675" authorId="0" shapeId="0" xr:uid="{00000000-0006-0000-0100-000012000000}">
      <text>
        <r>
          <rPr>
            <sz val="11"/>
            <color theme="1"/>
            <rFont val="Aptos Narrow"/>
            <scheme val="minor"/>
          </rPr>
          <t>======
ID#AAABf3Jyfy0
Neely, Tyson    (2025-04-12 18:23:22)
7/30/2020
I&amp;E found the ROP turbidimeter had an excessive flow rate of 500 mls/min.
After reducing the flow rate back to the meter's design, 350 mls/min, the ROP turbidimeter returned to reading similar NTU values that is was before the 7/24 hard plant shutdown occurred (0.01 - 0.02 NTU).
TLN</t>
        </r>
      </text>
    </comment>
    <comment ref="M1758" authorId="0" shapeId="0" xr:uid="{00000000-0006-0000-0100-000014000000}">
      <text>
        <r>
          <rPr>
            <sz val="11"/>
            <color theme="1"/>
            <rFont val="Aptos Narrow"/>
            <scheme val="minor"/>
          </rPr>
          <t>======
ID#AAABf3Jyfyg
tc={6CECA20A-47CC-4404-B11D-A9E16FD3B62E}    (2025-04-12 18:23:22)
[Threaded comment]
Your version of Excel allows you to read this threaded comment; however, any edits to it will get removed if the file is opened in a newer version of Excel. Learn more: https://go.microsoft.com/fwlink/?linkid=870924
Comment:
    I'll keep an eye out, 3x the value?
Reply:
    Looks like something occurred on 10/19 to "wake up" the ROP NTU analyzer. Since being replaced it has basically straight-lined at 0.01 NTU. I sent a trend screen shot to Robert R. showing it flat-lined at 0.01 NTU Oct. 1 - 19, then suddenly on the 19th it popped up and has been actively 'dancing' since then, initially in a 0.02 - 0.05 range, but 10/21 it settled into a 0.02 - 0.03 range and continues to do so at this writing (10/23 @ 0900hrs).
Reply:
    Robert replied with: Tyson,
Josue did mention this yesterday, that the reading jumped up as you have stated which prompted him to look at it. The unit was flatlining as you said so he drained it and cleaned it. This is when it dropped back down and started acting like expected with some movement in the live reading. The only thing that makes sense is some type of coating interference that was removed from the optical sensor during the cleaning. We will keep an eye on it to ensure it continues to track normally. Robert</t>
        </r>
      </text>
    </comment>
    <comment ref="E1766" authorId="0" shapeId="0" xr:uid="{00000000-0006-0000-0100-000005000000}">
      <text>
        <r>
          <rPr>
            <sz val="11"/>
            <color theme="1"/>
            <rFont val="Aptos Narrow"/>
            <scheme val="minor"/>
          </rPr>
          <t>======
ID#AAABf3Jyf04
Carreira, Anthony    (2025-04-12 18:23:22)
10/29/2020, Low production
1500 - 1545hrs: Lost all communications with most of RO East. 
It appears a contract technician installing new video monitoring security (VMS) system equipment in a PCS cabinet located in the RO building did something to cause the communications for most if not all of the RO East RO units to fail immediately dropping the plant production rate from 90 to 25 mgd. But the contractor said he did nothing, while ironically, he just happened to be standing in front of the affected PCS panel with its door open installing his new equipment.
After taking a little while to reset all of the effected equipment the GWRS production rate was returned to 95 mgd at 1845hrs.
N2 / TLN</t>
        </r>
      </text>
    </comment>
    <comment ref="M1772" authorId="0" shapeId="0" xr:uid="{00000000-0006-0000-0100-000008000000}">
      <text>
        <r>
          <rPr>
            <sz val="11"/>
            <color theme="1"/>
            <rFont val="Aptos Narrow"/>
            <scheme val="minor"/>
          </rPr>
          <t>======
ID#AAABf3Jyf0c
tc={C958C662-1F9A-428E-932C-6F362B291449}    (2025-04-12 18:23:22)
[Threaded comment]
Your version of Excel allows you to read this threaded comment; however, any edits to it will get removed if the file is opened in a newer version of Excel. Learn more: https://go.microsoft.com/fwlink/?linkid=870924
Comment:
    I will keep an eye out over the next couple of days.
Reply:
    I printed off a DeltaV trend showing GWRS stable at 95 mgd....ROP NTU readings very active since I&amp;E worked on it 11/3......and included ROF and FPW NTU references which continue to flatline at lower values than ROP NTU. Weird how everything EXCEPT ROP NTU remains continuously stable. Three graphs were sent for date ranges: 11/3 - 11/5; 10/30 - 11/5; 10/16 - 11/5. Tyson
Reply:
    I&amp;E's reply today was:
Hi Tyson, 
I was asked to chime in on this issue since I have been dealing with it over the last few days.
On Tuesday 11/03/2020 I was doing my PM on the ROP Cl2 and I happen to notice the NTU analyzer had a warning symbol on the screen and at the time it was reading about 0.028 NTU, I had ops sim/bypass it, I checked the warning and it was a low flow warning which was at .07 L/min. normal flow is about .20-.25 L/min. according to manual. I tried re-adjusting flow with the Hach provided needle valve but it seemed to do nothing regardless if I had it open 100% or closed 100% so I used the SS needle valve under the rotometer that feeds that analyzer, I was able to adjusted to .21 L/min but I noticed my NTU reading was a lot higher now and stabilized around 0.050 NTU, I took a sample to Chris A. and he got a 0.046 NTU on his new laser meter, I did run one more sample later with similar results. Meanwhile I ordered a new needle valve for replacement which came in today, I installed it and adjusted the flow to .22 L/min, I can’t explain why but now my NTU reading is stable now around 0.024 NTU, I ran a sample again and got 0.032 NTU,  could it have been the flow valve ? quite possibly. I went ahead and changed the local display to show one more digit so we can see there is a bit of movement, even though we won’t see it on Delta V. I hope this takes care of the issue, I will label all new NTU analyzer with the recommended flow, but there should be no reason to be moving this valve, and just a warning this valve I installed at the ROP is super touchy so PLEASE refrain from touching. Thanks, Frank V</t>
        </r>
      </text>
    </comment>
    <comment ref="E1774" authorId="0" shapeId="0" xr:uid="{00000000-0006-0000-0100-000004000000}">
      <text>
        <r>
          <rPr>
            <sz val="11"/>
            <color theme="1"/>
            <rFont val="Aptos Narrow"/>
            <scheme val="minor"/>
          </rPr>
          <t>======
ID#AAABf3Jyf08
Carreira, Anthony    (2025-04-12 18:23:22)
OCSD P1, performed valve exercise.  One of their valves got stuck in the open position and accidentally diverted flow to P2 and we lost approx. 20MGD for about 6-7 hours.</t>
        </r>
      </text>
    </comment>
    <comment ref="E1787" authorId="0" shapeId="0" xr:uid="{00000000-0006-0000-0100-000019000000}">
      <text>
        <r>
          <rPr>
            <sz val="11"/>
            <color theme="1"/>
            <rFont val="Aptos Narrow"/>
            <scheme val="minor"/>
          </rPr>
          <t>======
ID#AAABf3JyfyE
Carreira, Anthony    (2025-04-12 18:23:22)
OCSD called - working on a street vlave at Bushard St. Loss of 30MGD to GWRS for about an hour between 3am - 4am. 
Also, Wetting being performed on MF C04 new membranes.</t>
        </r>
      </text>
    </comment>
    <comment ref="M1787" authorId="0" shapeId="0" xr:uid="{00000000-0006-0000-0100-000002000000}">
      <text>
        <r>
          <rPr>
            <sz val="11"/>
            <color theme="1"/>
            <rFont val="Aptos Narrow"/>
            <scheme val="minor"/>
          </rPr>
          <t>======
ID#AAABf3Jyf1E
tc={A0321F9E-8ED2-4D56-B6B6-D197984AD0CF}    (2025-04-12 18:23:22)
[Threaded comment]
Your version of Excel allows you to read this threaded comment; however, any edits to it will get removed if the file is opened in a newer version of Excel. Learn more: https://go.microsoft.com/fwlink/?linkid=870924
Comment:
    NTU meter maybe frozen again no change for approx. 2 weeks.</t>
        </r>
      </text>
    </comment>
    <comment ref="E1793" authorId="0" shapeId="0" xr:uid="{00000000-0006-0000-0100-000001000000}">
      <text>
        <r>
          <rPr>
            <sz val="11"/>
            <color theme="1"/>
            <rFont val="Aptos Narrow"/>
            <scheme val="minor"/>
          </rPr>
          <t>======
ID#AAABf3Jyf1M
Mok, Jonathan    (2025-04-12 18:23:22)
Plant setpoint lowered to 75 MGD 0515-1300. Work preformed on C train vacuum valve.</t>
        </r>
      </text>
    </comment>
    <comment ref="M1794" authorId="0" shapeId="0" xr:uid="{00000000-0006-0000-0100-00001C000000}">
      <text>
        <r>
          <rPr>
            <sz val="11"/>
            <color theme="1"/>
            <rFont val="Aptos Narrow"/>
            <scheme val="minor"/>
          </rPr>
          <t>======
ID#AAABf3Jyfxs
tc={6E80988D-5995-4BBE-9205-3E78DF8D7546}    (2025-04-12 18:23:22)
[Threaded comment]
Your version of Excel allows you to read this threaded comment; however, any edits to it will get removed if the file is opened in a newer version of Excel. Learn more: https://go.microsoft.com/fwlink/?linkid=870924
Comment:
    NTU meter maybe frozen again no change for approx. 3 weeks now.</t>
        </r>
      </text>
    </comment>
    <comment ref="E1795" authorId="0" shapeId="0" xr:uid="{00000000-0006-0000-0100-00001B000000}">
      <text>
        <r>
          <rPr>
            <sz val="11"/>
            <color theme="1"/>
            <rFont val="Aptos Narrow"/>
            <scheme val="minor"/>
          </rPr>
          <t>======
ID#AAABf3Jyfx4
Carreira, Anthony    (2025-04-12 18:23:22)
Holiday Flows + High TMPs &amp; some early MF CIPs</t>
        </r>
      </text>
    </comment>
    <comment ref="M1802" authorId="0" shapeId="0" xr:uid="{00000000-0006-0000-0100-00001A000000}">
      <text>
        <r>
          <rPr>
            <sz val="11"/>
            <color theme="1"/>
            <rFont val="Aptos Narrow"/>
            <scheme val="minor"/>
          </rPr>
          <t>======
ID#AAABf3Jyfx8
tc={4A5BD519-FB2B-4988-92A0-219216644026}    (2025-04-12 18:23:22)
[Threaded comment]
Your version of Excel allows you to read this threaded comment; however, any edits to it will get removed if the file is opened in a newer version of Excel. Learn more: https://go.microsoft.com/fwlink/?linkid=870924
Comment:
    NTU meter maybe frozen again?</t>
        </r>
      </text>
    </comment>
    <comment ref="M1805" authorId="0" shapeId="0" xr:uid="{00000000-0006-0000-0100-00000B000000}">
      <text>
        <r>
          <rPr>
            <sz val="11"/>
            <color theme="1"/>
            <rFont val="Aptos Narrow"/>
            <scheme val="minor"/>
          </rPr>
          <t>======
ID#AAABf3Jyf0A
tc={1E911F70-6ABD-4B4A-8FCE-736E1F526B54}    (2025-04-12 18:23:22)
[Threaded comment]
Your version of Excel allows you to read this threaded comment; however, any edits to it will get removed if the file is opened in a newer version of Excel. Learn more: https://go.microsoft.com/fwlink/?linkid=870924
Comment:
    As per Mehul during this morning's weekly WPG meeting, I&amp;E will be investigating the new ROP NTU meter's continued tendency to flat-line.</t>
        </r>
      </text>
    </comment>
  </commentList>
  <extLst>
    <ext xmlns:r="http://schemas.openxmlformats.org/officeDocument/2006/relationships" uri="GoogleSheetsCustomDataVersion2">
      <go:sheetsCustomData xmlns:go="http://customooxmlschemas.google.com/" r:id="rId1" roundtripDataSignature="AMtx7mj0N7PKTow4whebBXaGyPIts/kncA=="/>
    </ext>
  </extLst>
</comments>
</file>

<file path=xl/sharedStrings.xml><?xml version="1.0" encoding="utf-8"?>
<sst xmlns="http://schemas.openxmlformats.org/spreadsheetml/2006/main" count="4178" uniqueCount="56">
  <si>
    <t>ROF</t>
  </si>
  <si>
    <t>RO Feed Input</t>
  </si>
  <si>
    <t>RO Output</t>
  </si>
  <si>
    <t>ROF 
Temp Fْ</t>
  </si>
  <si>
    <t xml:space="preserve">ROP
EC µS/cm </t>
  </si>
  <si>
    <t>Year</t>
  </si>
  <si>
    <t>Month</t>
  </si>
  <si>
    <t>Day</t>
  </si>
  <si>
    <t>Inflow ar ROFeed (MG)</t>
  </si>
  <si>
    <t>Input Pressure (PSI)</t>
  </si>
  <si>
    <t>Outflow at ROProduct (MG)</t>
  </si>
  <si>
    <r>
      <rPr>
        <b/>
        <sz val="10"/>
        <color theme="1"/>
        <rFont val="Arial"/>
      </rPr>
      <t xml:space="preserve">ROF 
Temp </t>
    </r>
    <r>
      <rPr>
        <sz val="10"/>
        <color theme="1"/>
        <rFont val="Arial"/>
      </rPr>
      <t>Fْ</t>
    </r>
  </si>
  <si>
    <r>
      <rPr>
        <b/>
        <sz val="11"/>
        <color theme="1"/>
        <rFont val="Arial"/>
      </rPr>
      <t>ROF
 EC</t>
    </r>
    <r>
      <rPr>
        <b/>
        <sz val="10"/>
        <color theme="1"/>
        <rFont val="Arial"/>
      </rPr>
      <t xml:space="preserve"> </t>
    </r>
    <r>
      <rPr>
        <sz val="8"/>
        <color theme="1"/>
        <rFont val="Arial"/>
      </rPr>
      <t>µS/cm</t>
    </r>
    <r>
      <rPr>
        <b/>
        <sz val="10"/>
        <color theme="1"/>
        <rFont val="Arial"/>
      </rPr>
      <t xml:space="preserve"> </t>
    </r>
  </si>
  <si>
    <t>ROF 
pH</t>
  </si>
  <si>
    <t xml:space="preserve">ROF
Turbidity 
NTU  </t>
  </si>
  <si>
    <r>
      <rPr>
        <b/>
        <sz val="10"/>
        <color theme="1"/>
        <rFont val="Arial"/>
      </rPr>
      <t xml:space="preserve">ROF
TOC  </t>
    </r>
    <r>
      <rPr>
        <sz val="8"/>
        <color theme="1"/>
        <rFont val="Arial"/>
      </rPr>
      <t>ppm</t>
    </r>
  </si>
  <si>
    <r>
      <rPr>
        <b/>
        <sz val="11"/>
        <color theme="1"/>
        <rFont val="Arial"/>
      </rPr>
      <t>ROP
EC</t>
    </r>
    <r>
      <rPr>
        <b/>
        <sz val="10"/>
        <color theme="1"/>
        <rFont val="Arial"/>
      </rPr>
      <t xml:space="preserve"> </t>
    </r>
    <r>
      <rPr>
        <sz val="8"/>
        <color theme="1"/>
        <rFont val="Arial"/>
      </rPr>
      <t>µS/cm</t>
    </r>
    <r>
      <rPr>
        <b/>
        <sz val="10"/>
        <color theme="1"/>
        <rFont val="Arial"/>
      </rPr>
      <t xml:space="preserve"> </t>
    </r>
  </si>
  <si>
    <t>ROP
pH</t>
  </si>
  <si>
    <t>ROP
TurbidityNTU</t>
  </si>
  <si>
    <r>
      <rPr>
        <b/>
        <sz val="11"/>
        <color theme="1"/>
        <rFont val="Arial"/>
      </rPr>
      <t>ROP
CO</t>
    </r>
    <r>
      <rPr>
        <b/>
        <sz val="8"/>
        <color theme="1"/>
        <rFont val="Arial"/>
      </rPr>
      <t>2</t>
    </r>
    <r>
      <rPr>
        <b/>
        <vertAlign val="subscript"/>
        <sz val="10"/>
        <color theme="1"/>
        <rFont val="Arial"/>
      </rPr>
      <t xml:space="preserve">  ppm</t>
    </r>
  </si>
  <si>
    <r>
      <rPr>
        <b/>
        <sz val="10"/>
        <color theme="1"/>
        <rFont val="Arial"/>
      </rPr>
      <t xml:space="preserve">ROP
TOC </t>
    </r>
    <r>
      <rPr>
        <sz val="8"/>
        <color theme="1"/>
        <rFont val="Arial"/>
      </rPr>
      <t>ppm</t>
    </r>
  </si>
  <si>
    <t>Ammonia</t>
  </si>
  <si>
    <t>Jan</t>
  </si>
  <si>
    <t>Feb</t>
  </si>
  <si>
    <t>FEb</t>
  </si>
  <si>
    <t>March</t>
  </si>
  <si>
    <t>April</t>
  </si>
  <si>
    <t>May</t>
  </si>
  <si>
    <t>June</t>
  </si>
  <si>
    <t>July</t>
  </si>
  <si>
    <t>August</t>
  </si>
  <si>
    <t>September</t>
  </si>
  <si>
    <t>October</t>
  </si>
  <si>
    <t>November</t>
  </si>
  <si>
    <t>December</t>
  </si>
  <si>
    <t>N/A</t>
  </si>
  <si>
    <t>Energy Consumption</t>
  </si>
  <si>
    <t>Controls</t>
  </si>
  <si>
    <r>
      <rPr>
        <b/>
        <sz val="10"/>
        <color theme="1"/>
        <rFont val="Arial"/>
      </rPr>
      <t xml:space="preserve">ROF 
Temp </t>
    </r>
    <r>
      <rPr>
        <sz val="10"/>
        <color theme="1"/>
        <rFont val="Arial"/>
      </rPr>
      <t>Fْ</t>
    </r>
  </si>
  <si>
    <r>
      <rPr>
        <b/>
        <sz val="11"/>
        <color theme="1"/>
        <rFont val="Arial"/>
      </rPr>
      <t>ROF
 EC</t>
    </r>
    <r>
      <rPr>
        <b/>
        <sz val="10"/>
        <color theme="1"/>
        <rFont val="Arial"/>
      </rPr>
      <t xml:space="preserve"> </t>
    </r>
    <r>
      <rPr>
        <sz val="8"/>
        <color theme="1"/>
        <rFont val="Arial"/>
      </rPr>
      <t>µS/cm</t>
    </r>
    <r>
      <rPr>
        <b/>
        <sz val="10"/>
        <color theme="1"/>
        <rFont val="Arial"/>
      </rPr>
      <t xml:space="preserve"> </t>
    </r>
  </si>
  <si>
    <r>
      <rPr>
        <b/>
        <sz val="10"/>
        <color theme="1"/>
        <rFont val="Arial"/>
      </rPr>
      <t xml:space="preserve">ROF
TOC  </t>
    </r>
    <r>
      <rPr>
        <sz val="8"/>
        <color theme="1"/>
        <rFont val="Arial"/>
      </rPr>
      <t>ppm</t>
    </r>
  </si>
  <si>
    <r>
      <rPr>
        <b/>
        <sz val="11"/>
        <color theme="1"/>
        <rFont val="Arial"/>
      </rPr>
      <t>ROP
EC</t>
    </r>
    <r>
      <rPr>
        <b/>
        <sz val="10"/>
        <color theme="1"/>
        <rFont val="Arial"/>
      </rPr>
      <t xml:space="preserve"> </t>
    </r>
    <r>
      <rPr>
        <sz val="8"/>
        <color theme="1"/>
        <rFont val="Arial"/>
      </rPr>
      <t>µS/cm</t>
    </r>
    <r>
      <rPr>
        <b/>
        <sz val="10"/>
        <color theme="1"/>
        <rFont val="Arial"/>
      </rPr>
      <t xml:space="preserve"> </t>
    </r>
  </si>
  <si>
    <r>
      <rPr>
        <b/>
        <sz val="11"/>
        <color theme="1"/>
        <rFont val="Arial"/>
      </rPr>
      <t>ROP
CO</t>
    </r>
    <r>
      <rPr>
        <b/>
        <sz val="8"/>
        <color theme="1"/>
        <rFont val="Arial"/>
      </rPr>
      <t>2</t>
    </r>
    <r>
      <rPr>
        <b/>
        <vertAlign val="subscript"/>
        <sz val="10"/>
        <color theme="1"/>
        <rFont val="Arial"/>
      </rPr>
      <t xml:space="preserve">  ppm</t>
    </r>
  </si>
  <si>
    <r>
      <rPr>
        <b/>
        <sz val="10"/>
        <color theme="1"/>
        <rFont val="Arial"/>
      </rPr>
      <t xml:space="preserve">ROP
TOC </t>
    </r>
    <r>
      <rPr>
        <sz val="8"/>
        <color theme="1"/>
        <rFont val="Arial"/>
      </rPr>
      <t>ppm</t>
    </r>
  </si>
  <si>
    <t>Enegry Consumptoin</t>
  </si>
  <si>
    <t>date</t>
  </si>
  <si>
    <t>BOD</t>
  </si>
  <si>
    <t>Nitrogen</t>
  </si>
  <si>
    <t>COD unfiltred</t>
  </si>
  <si>
    <t>ND</t>
  </si>
  <si>
    <t>&lt;0.1</t>
  </si>
  <si>
    <t>&lt;0.5</t>
  </si>
  <si>
    <t>Tot KWH</t>
  </si>
  <si>
    <t>Cost</t>
  </si>
  <si>
    <t>January</t>
  </si>
  <si>
    <t>February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</si>
</sst>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_);\(&quot;$&quot;#,##0\)"/>
    <numFmt numFmtId="6" formatCode="&quot;$&quot;#,##0_);[Red]\(&quot;$&quot;#,##0\)"/>
    <numFmt numFmtId="164" formatCode="0.0"/>
    <numFmt numFmtId="165" formatCode="0.000"/>
  </numFmts>
  <fonts count="22" x14ac:knownFonts="1">
    <font>
      <sz val="11"/>
      <color theme="1"/>
      <name val="Aptos Narrow"/>
      <scheme val="minor"/>
    </font>
    <font>
      <sz val="11"/>
      <color theme="1"/>
      <name val="Aptos Narrow"/>
    </font>
    <font>
      <b/>
      <sz val="11"/>
      <color theme="1"/>
      <name val="Aptos Narrow"/>
    </font>
    <font>
      <b/>
      <sz val="11"/>
      <color theme="1"/>
      <name val="Arial"/>
    </font>
    <font>
      <b/>
      <sz val="14"/>
      <color theme="1"/>
      <name val="Arial"/>
    </font>
    <font>
      <sz val="11"/>
      <name val="Aptos Narrow"/>
    </font>
    <font>
      <b/>
      <sz val="12"/>
      <color theme="1"/>
      <name val="Aptos Narrow"/>
    </font>
    <font>
      <b/>
      <sz val="10"/>
      <color theme="1"/>
      <name val="Arial"/>
    </font>
    <font>
      <sz val="10"/>
      <color theme="1"/>
      <name val="Arial"/>
    </font>
    <font>
      <sz val="11"/>
      <color theme="1"/>
      <name val="Arial"/>
    </font>
    <font>
      <sz val="10"/>
      <color rgb="FF000000"/>
      <name val="Arial"/>
    </font>
    <font>
      <sz val="11"/>
      <color rgb="FF595959"/>
      <name val="Aptos Narrow"/>
    </font>
    <font>
      <b/>
      <sz val="10"/>
      <color rgb="FFFF0000"/>
      <name val="Arial"/>
    </font>
    <font>
      <sz val="9"/>
      <color rgb="FF000000"/>
      <name val="Calibri"/>
    </font>
    <font>
      <sz val="9"/>
      <color theme="1"/>
      <name val="Calibri"/>
    </font>
    <font>
      <sz val="11"/>
      <color theme="1"/>
      <name val="Aptos Narrow"/>
      <scheme val="minor"/>
    </font>
    <font>
      <u/>
      <sz val="10"/>
      <color rgb="FF000000"/>
      <name val="Calibri"/>
    </font>
    <font>
      <u/>
      <sz val="8"/>
      <color rgb="FF000000"/>
      <name val="Calibri"/>
    </font>
    <font>
      <i/>
      <sz val="12"/>
      <color theme="1"/>
      <name val="Calibri"/>
    </font>
    <font>
      <sz val="8"/>
      <color theme="1"/>
      <name val="Arial"/>
    </font>
    <font>
      <b/>
      <sz val="8"/>
      <color theme="1"/>
      <name val="Arial"/>
    </font>
    <font>
      <b/>
      <vertAlign val="subscript"/>
      <sz val="10"/>
      <color theme="1"/>
      <name val="Arial"/>
    </font>
  </fonts>
  <fills count="9">
    <fill>
      <patternFill patternType="none"/>
    </fill>
    <fill>
      <patternFill patternType="gray125"/>
    </fill>
    <fill>
      <patternFill patternType="solid">
        <fgColor theme="0"/>
        <bgColor theme="0"/>
      </patternFill>
    </fill>
    <fill>
      <patternFill patternType="solid">
        <fgColor rgb="FFD8D8D8"/>
        <bgColor rgb="FFD8D8D8"/>
      </patternFill>
    </fill>
    <fill>
      <patternFill patternType="solid">
        <fgColor rgb="FFCCFFCC"/>
        <bgColor rgb="FFCCFFCC"/>
      </patternFill>
    </fill>
    <fill>
      <patternFill patternType="solid">
        <fgColor rgb="FFBFBFBF"/>
        <bgColor rgb="FFBFBFBF"/>
      </patternFill>
    </fill>
    <fill>
      <patternFill patternType="solid">
        <fgColor rgb="FFC5D9F1"/>
        <bgColor rgb="FFC5D9F1"/>
      </patternFill>
    </fill>
    <fill>
      <patternFill patternType="solid">
        <fgColor rgb="FFFAE2D5"/>
        <bgColor rgb="FFFAE2D5"/>
      </patternFill>
    </fill>
    <fill>
      <patternFill patternType="solid">
        <fgColor rgb="FFFFFF99"/>
        <bgColor rgb="FFFFFF99"/>
      </patternFill>
    </fill>
  </fills>
  <borders count="6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medium">
        <color rgb="FF000000"/>
      </top>
      <bottom style="thin">
        <color rgb="FF000000"/>
      </bottom>
      <diagonal/>
    </border>
    <border>
      <left/>
      <right/>
      <top style="medium">
        <color rgb="FF000000"/>
      </top>
      <bottom style="thin">
        <color rgb="FF000000"/>
      </bottom>
      <diagonal/>
    </border>
    <border>
      <left style="thin">
        <color rgb="FF000000"/>
      </left>
      <right style="thin">
        <color rgb="FF000000"/>
      </right>
      <top/>
      <bottom style="thin">
        <color rgb="FF000000"/>
      </bottom>
      <diagonal/>
    </border>
    <border>
      <left/>
      <right style="double">
        <color rgb="FF000000"/>
      </right>
      <top style="medium">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double">
        <color rgb="FF000000"/>
      </right>
      <top/>
      <bottom style="thin">
        <color rgb="FF000000"/>
      </bottom>
      <diagonal/>
    </border>
    <border>
      <left/>
      <right style="double">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right style="thin">
        <color rgb="FF000000"/>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right/>
      <top/>
      <bottom/>
      <diagonal/>
    </border>
    <border>
      <left style="thin">
        <color rgb="FF000000"/>
      </left>
      <right style="thin">
        <color rgb="FF000000"/>
      </right>
      <top/>
      <bottom/>
      <diagonal/>
    </border>
    <border>
      <left/>
      <right style="double">
        <color rgb="FF000000"/>
      </right>
      <top/>
      <bottom/>
      <diagonal/>
    </border>
    <border>
      <left style="double">
        <color rgb="FF000000"/>
      </left>
      <right/>
      <top style="thin">
        <color rgb="FF000000"/>
      </top>
      <bottom style="thin">
        <color rgb="FF000000"/>
      </bottom>
      <diagonal/>
    </border>
    <border>
      <left style="double">
        <color rgb="FF000000"/>
      </left>
      <right/>
      <top style="thin">
        <color rgb="FF000000"/>
      </top>
      <bottom style="thin">
        <color rgb="FF000000"/>
      </bottom>
      <diagonal/>
    </border>
    <border>
      <left style="double">
        <color rgb="FF000000"/>
      </left>
      <right/>
      <top style="thin">
        <color rgb="FF000000"/>
      </top>
      <bottom style="double">
        <color rgb="FF000000"/>
      </bottom>
      <diagonal/>
    </border>
    <border>
      <left style="double">
        <color rgb="FF000000"/>
      </left>
      <right style="thin">
        <color rgb="FF000000"/>
      </right>
      <top style="thin">
        <color rgb="FF000000"/>
      </top>
      <bottom style="thin">
        <color rgb="FF000000"/>
      </bottom>
      <diagonal/>
    </border>
    <border>
      <left/>
      <right style="thin">
        <color rgb="FF000000"/>
      </right>
      <top style="thin">
        <color rgb="FF000000"/>
      </top>
      <bottom style="double">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style="thin">
        <color rgb="FF000000"/>
      </top>
      <bottom style="medium">
        <color rgb="FF000000"/>
      </bottom>
      <diagonal/>
    </border>
    <border>
      <left/>
      <right/>
      <top/>
      <bottom style="medium">
        <color rgb="FF000000"/>
      </bottom>
      <diagonal/>
    </border>
    <border>
      <left style="thin">
        <color rgb="FF000000"/>
      </left>
      <right style="double">
        <color rgb="FF000000"/>
      </right>
      <top style="thin">
        <color rgb="FF000000"/>
      </top>
      <bottom style="medium">
        <color rgb="FF000000"/>
      </bottom>
      <diagonal/>
    </border>
    <border>
      <left style="thin">
        <color rgb="FF000000"/>
      </left>
      <right style="double">
        <color rgb="FF000000"/>
      </right>
      <top/>
      <bottom/>
      <diagonal/>
    </border>
    <border>
      <left style="double">
        <color rgb="FF000000"/>
      </left>
      <right style="thin">
        <color rgb="FF000000"/>
      </right>
      <top style="medium">
        <color rgb="FF000000"/>
      </top>
      <bottom style="thin">
        <color rgb="FF000000"/>
      </bottom>
      <diagonal/>
    </border>
    <border>
      <left style="double">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style="double">
        <color rgb="FF000000"/>
      </right>
      <top style="medium">
        <color rgb="FF000000"/>
      </top>
      <bottom style="thin">
        <color rgb="FF000000"/>
      </bottom>
      <diagonal/>
    </border>
    <border>
      <left/>
      <right style="double">
        <color rgb="FF000000"/>
      </right>
      <top/>
      <bottom style="thin">
        <color rgb="FF000000"/>
      </bottom>
      <diagonal/>
    </border>
    <border>
      <left/>
      <right style="double">
        <color rgb="FF000000"/>
      </right>
      <top style="thin">
        <color rgb="FF000000"/>
      </top>
      <bottom style="thin">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
      <left/>
      <right/>
      <top/>
      <bottom style="medium">
        <color rgb="FF000000"/>
      </bottom>
      <diagonal/>
    </border>
    <border>
      <left style="thin">
        <color rgb="FF000000"/>
      </left>
      <right style="thin">
        <color rgb="FF000000"/>
      </right>
      <top/>
      <bottom/>
      <diagonal/>
    </border>
    <border>
      <left style="thin">
        <color rgb="FF000000"/>
      </left>
      <right style="double">
        <color rgb="FF000000"/>
      </right>
      <top/>
      <bottom/>
      <diagonal/>
    </border>
    <border>
      <left style="thin">
        <color rgb="FF000000"/>
      </left>
      <right/>
      <top style="thick">
        <color rgb="FF000000"/>
      </top>
      <bottom/>
      <diagonal/>
    </border>
    <border>
      <left style="thin">
        <color rgb="FF000000"/>
      </left>
      <right/>
      <top style="dotted">
        <color rgb="FF000000"/>
      </top>
      <bottom style="dotted">
        <color rgb="FF000000"/>
      </bottom>
      <diagonal/>
    </border>
    <border>
      <left style="thin">
        <color rgb="FF000000"/>
      </left>
      <right/>
      <top/>
      <bottom style="thick">
        <color rgb="FF000000"/>
      </bottom>
      <diagonal/>
    </border>
    <border>
      <left style="thin">
        <color rgb="FF000000"/>
      </left>
      <right style="double">
        <color rgb="FF000000"/>
      </right>
      <top style="medium">
        <color rgb="FF000000"/>
      </top>
      <bottom style="thin">
        <color rgb="FF000000"/>
      </bottom>
      <diagonal/>
    </border>
    <border>
      <left style="thin">
        <color rgb="FF000000"/>
      </left>
      <right style="double">
        <color rgb="FF000000"/>
      </right>
      <top/>
      <bottom style="thin">
        <color rgb="FF000000"/>
      </bottom>
      <diagonal/>
    </border>
  </borders>
  <cellStyleXfs count="1">
    <xf numFmtId="0" fontId="0" fillId="0" borderId="0"/>
  </cellStyleXfs>
  <cellXfs count="267">
    <xf numFmtId="0" fontId="0" fillId="0" borderId="0" xfId="0"/>
    <xf numFmtId="0" fontId="1" fillId="0" borderId="1" xfId="0" applyFont="1" applyBorder="1" applyAlignment="1">
      <alignment horizontal="center"/>
    </xf>
    <xf numFmtId="0" fontId="2" fillId="0" borderId="1" xfId="0" applyFont="1" applyBorder="1"/>
    <xf numFmtId="0" fontId="2" fillId="0" borderId="2" xfId="0" applyFont="1" applyBorder="1"/>
    <xf numFmtId="0" fontId="6" fillId="0" borderId="1" xfId="0" applyFont="1" applyBorder="1"/>
    <xf numFmtId="0" fontId="3" fillId="0" borderId="2" xfId="0" applyFont="1" applyBorder="1"/>
    <xf numFmtId="0" fontId="7" fillId="0" borderId="1" xfId="0" applyFont="1" applyBorder="1" applyAlignment="1">
      <alignment horizontal="center" wrapText="1"/>
    </xf>
    <xf numFmtId="0" fontId="3" fillId="0" borderId="1" xfId="0" applyFont="1" applyBorder="1" applyAlignment="1">
      <alignment horizontal="center" wrapText="1"/>
    </xf>
    <xf numFmtId="0" fontId="7" fillId="0" borderId="9" xfId="0" applyFont="1" applyBorder="1" applyAlignment="1">
      <alignment horizontal="center" wrapText="1"/>
    </xf>
    <xf numFmtId="0" fontId="3" fillId="0" borderId="10" xfId="0" applyFont="1" applyBorder="1" applyAlignment="1">
      <alignment horizontal="center" wrapText="1"/>
    </xf>
    <xf numFmtId="164" fontId="3" fillId="0" borderId="1" xfId="0" applyNumberFormat="1" applyFont="1" applyBorder="1" applyAlignment="1">
      <alignment horizontal="center" vertical="center" wrapText="1"/>
    </xf>
    <xf numFmtId="0" fontId="7" fillId="0" borderId="11" xfId="0" applyFont="1" applyBorder="1" applyAlignment="1">
      <alignment horizontal="center" vertical="center"/>
    </xf>
    <xf numFmtId="2" fontId="1" fillId="0" borderId="12" xfId="0" applyNumberFormat="1" applyFont="1" applyBorder="1" applyAlignment="1">
      <alignment horizontal="center" vertical="center"/>
    </xf>
    <xf numFmtId="2" fontId="1" fillId="0" borderId="1" xfId="0" applyNumberFormat="1" applyFont="1" applyBorder="1" applyAlignment="1">
      <alignment horizontal="center" vertical="center"/>
    </xf>
    <xf numFmtId="164" fontId="1" fillId="0" borderId="13" xfId="0" applyNumberFormat="1" applyFont="1" applyBorder="1" applyAlignment="1">
      <alignment horizontal="center" vertical="center"/>
    </xf>
    <xf numFmtId="1" fontId="1" fillId="0" borderId="13" xfId="0" applyNumberFormat="1" applyFont="1" applyBorder="1" applyAlignment="1">
      <alignment horizontal="center" vertical="center"/>
    </xf>
    <xf numFmtId="2" fontId="1" fillId="0" borderId="13" xfId="0" applyNumberFormat="1" applyFont="1" applyBorder="1" applyAlignment="1">
      <alignment horizontal="center" vertical="center"/>
    </xf>
    <xf numFmtId="165" fontId="1" fillId="0" borderId="13" xfId="0" applyNumberFormat="1" applyFont="1" applyBorder="1" applyAlignment="1">
      <alignment horizontal="center" vertical="center"/>
    </xf>
    <xf numFmtId="1" fontId="1" fillId="0" borderId="14" xfId="0" applyNumberFormat="1" applyFont="1" applyBorder="1" applyAlignment="1">
      <alignment horizontal="center" vertical="center"/>
    </xf>
    <xf numFmtId="165" fontId="1" fillId="0" borderId="15" xfId="0" applyNumberFormat="1" applyFont="1" applyBorder="1" applyAlignment="1">
      <alignment horizontal="center" vertical="center"/>
    </xf>
    <xf numFmtId="2" fontId="1" fillId="0" borderId="15" xfId="0" applyNumberFormat="1" applyFont="1" applyBorder="1" applyAlignment="1">
      <alignment horizontal="center" vertical="center"/>
    </xf>
    <xf numFmtId="164" fontId="1"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1" fontId="1" fillId="0" borderId="10" xfId="0" applyNumberFormat="1" applyFont="1" applyBorder="1" applyAlignment="1">
      <alignment horizontal="center" vertical="center"/>
    </xf>
    <xf numFmtId="165" fontId="1" fillId="0" borderId="9" xfId="0" applyNumberFormat="1" applyFont="1" applyBorder="1" applyAlignment="1">
      <alignment horizontal="center" vertical="center"/>
    </xf>
    <xf numFmtId="2" fontId="1" fillId="0" borderId="9" xfId="0" applyNumberFormat="1" applyFont="1" applyBorder="1" applyAlignment="1">
      <alignment horizontal="center" vertical="center"/>
    </xf>
    <xf numFmtId="164" fontId="8" fillId="0" borderId="1" xfId="0" applyNumberFormat="1" applyFont="1" applyBorder="1" applyAlignment="1">
      <alignment horizontal="center" vertical="center"/>
    </xf>
    <xf numFmtId="2" fontId="8" fillId="0" borderId="1" xfId="0" applyNumberFormat="1" applyFont="1" applyBorder="1" applyAlignment="1">
      <alignment horizontal="center" vertical="center"/>
    </xf>
    <xf numFmtId="165" fontId="8" fillId="0" borderId="1" xfId="0" applyNumberFormat="1" applyFont="1" applyBorder="1" applyAlignment="1">
      <alignment horizontal="center" vertical="center"/>
    </xf>
    <xf numFmtId="165" fontId="8" fillId="0" borderId="9" xfId="0" applyNumberFormat="1" applyFont="1" applyBorder="1" applyAlignment="1">
      <alignment horizontal="center" vertical="center"/>
    </xf>
    <xf numFmtId="2" fontId="8" fillId="0" borderId="9" xfId="0" applyNumberFormat="1" applyFont="1" applyBorder="1" applyAlignment="1">
      <alignment horizontal="center" vertical="center"/>
    </xf>
    <xf numFmtId="2" fontId="9" fillId="0" borderId="12" xfId="0" applyNumberFormat="1" applyFont="1" applyBorder="1" applyAlignment="1">
      <alignment horizontal="center" vertical="center"/>
    </xf>
    <xf numFmtId="1" fontId="8" fillId="0" borderId="10" xfId="0" applyNumberFormat="1" applyFont="1" applyBorder="1" applyAlignment="1">
      <alignment horizontal="center" vertical="center"/>
    </xf>
    <xf numFmtId="2" fontId="1" fillId="0" borderId="16" xfId="0" applyNumberFormat="1" applyFont="1" applyBorder="1" applyAlignment="1">
      <alignment horizontal="center" vertical="center"/>
    </xf>
    <xf numFmtId="2" fontId="1" fillId="0" borderId="17" xfId="0" applyNumberFormat="1" applyFont="1" applyBorder="1" applyAlignment="1">
      <alignment horizontal="center" vertical="center"/>
    </xf>
    <xf numFmtId="164" fontId="1" fillId="0" borderId="17" xfId="0" applyNumberFormat="1" applyFont="1" applyBorder="1" applyAlignment="1">
      <alignment horizontal="center" vertical="center"/>
    </xf>
    <xf numFmtId="1" fontId="1" fillId="0" borderId="17" xfId="0" applyNumberFormat="1" applyFont="1" applyBorder="1" applyAlignment="1">
      <alignment horizontal="center" vertical="center"/>
    </xf>
    <xf numFmtId="165" fontId="1" fillId="0" borderId="17" xfId="0" applyNumberFormat="1" applyFont="1" applyBorder="1" applyAlignment="1">
      <alignment horizontal="center" vertical="center"/>
    </xf>
    <xf numFmtId="1" fontId="1" fillId="0" borderId="18" xfId="0" applyNumberFormat="1" applyFont="1" applyBorder="1" applyAlignment="1">
      <alignment horizontal="center" vertical="center"/>
    </xf>
    <xf numFmtId="165" fontId="1" fillId="0" borderId="11" xfId="0" applyNumberFormat="1" applyFont="1" applyBorder="1" applyAlignment="1">
      <alignment horizontal="center" vertical="center"/>
    </xf>
    <xf numFmtId="2" fontId="1" fillId="0" borderId="11" xfId="0" applyNumberFormat="1" applyFont="1" applyBorder="1" applyAlignment="1">
      <alignment horizontal="center" vertical="center"/>
    </xf>
    <xf numFmtId="2" fontId="1" fillId="0" borderId="19" xfId="0" applyNumberFormat="1" applyFont="1" applyBorder="1" applyAlignment="1">
      <alignment horizontal="center" vertical="center"/>
    </xf>
    <xf numFmtId="2" fontId="1" fillId="0" borderId="20" xfId="0" applyNumberFormat="1" applyFont="1" applyBorder="1" applyAlignment="1">
      <alignment horizontal="center" vertical="center"/>
    </xf>
    <xf numFmtId="2" fontId="1" fillId="0" borderId="21" xfId="0" applyNumberFormat="1" applyFont="1" applyBorder="1" applyAlignment="1">
      <alignment horizontal="center" vertical="center"/>
    </xf>
    <xf numFmtId="2" fontId="1" fillId="0" borderId="22" xfId="0" applyNumberFormat="1" applyFont="1" applyBorder="1" applyAlignment="1">
      <alignment horizontal="center" vertical="center"/>
    </xf>
    <xf numFmtId="2" fontId="1" fillId="0" borderId="18" xfId="0" applyNumberFormat="1" applyFont="1" applyBorder="1" applyAlignment="1">
      <alignment horizontal="center" vertical="center"/>
    </xf>
    <xf numFmtId="2" fontId="1" fillId="0" borderId="14" xfId="0" applyNumberFormat="1" applyFont="1" applyBorder="1" applyAlignment="1">
      <alignment horizontal="center" vertical="center"/>
    </xf>
    <xf numFmtId="2" fontId="1" fillId="0" borderId="10" xfId="0" applyNumberFormat="1" applyFont="1" applyBorder="1" applyAlignment="1">
      <alignment horizontal="center" vertical="center"/>
    </xf>
    <xf numFmtId="2" fontId="1" fillId="2" borderId="23"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1" fontId="1" fillId="2" borderId="24" xfId="0" applyNumberFormat="1" applyFont="1" applyFill="1" applyBorder="1" applyAlignment="1">
      <alignment horizontal="center" vertical="center"/>
    </xf>
    <xf numFmtId="2" fontId="1" fillId="2" borderId="24" xfId="0" applyNumberFormat="1" applyFont="1" applyFill="1" applyBorder="1" applyAlignment="1">
      <alignment horizontal="center" vertical="center"/>
    </xf>
    <xf numFmtId="165" fontId="1" fillId="2" borderId="22" xfId="0" applyNumberFormat="1" applyFont="1" applyFill="1" applyBorder="1" applyAlignment="1">
      <alignment horizontal="center" vertical="center"/>
    </xf>
    <xf numFmtId="2" fontId="1" fillId="2" borderId="22" xfId="0" applyNumberFormat="1" applyFont="1" applyFill="1" applyBorder="1" applyAlignment="1">
      <alignment horizontal="center" vertical="center"/>
    </xf>
    <xf numFmtId="165" fontId="1" fillId="2" borderId="25" xfId="0" applyNumberFormat="1" applyFont="1" applyFill="1" applyBorder="1" applyAlignment="1">
      <alignment horizontal="center" vertical="center"/>
    </xf>
    <xf numFmtId="1" fontId="1" fillId="2" borderId="26" xfId="0" applyNumberFormat="1" applyFont="1" applyFill="1" applyBorder="1" applyAlignment="1">
      <alignment horizontal="center" vertical="center"/>
    </xf>
    <xf numFmtId="165" fontId="1" fillId="2" borderId="27" xfId="0" applyNumberFormat="1" applyFont="1" applyFill="1" applyBorder="1" applyAlignment="1">
      <alignment horizontal="center" vertical="center"/>
    </xf>
    <xf numFmtId="2" fontId="1" fillId="2" borderId="27" xfId="0" applyNumberFormat="1" applyFont="1" applyFill="1" applyBorder="1" applyAlignment="1">
      <alignment horizontal="center" vertical="center"/>
    </xf>
    <xf numFmtId="164" fontId="1" fillId="2" borderId="23" xfId="0" applyNumberFormat="1" applyFont="1" applyFill="1" applyBorder="1" applyAlignment="1">
      <alignment horizontal="center" vertical="center"/>
    </xf>
    <xf numFmtId="1" fontId="1" fillId="2" borderId="28" xfId="0" applyNumberFormat="1" applyFont="1" applyFill="1" applyBorder="1" applyAlignment="1">
      <alignment horizontal="center" vertical="center"/>
    </xf>
    <xf numFmtId="2" fontId="1" fillId="2" borderId="28" xfId="0" applyNumberFormat="1" applyFont="1" applyFill="1" applyBorder="1" applyAlignment="1">
      <alignment horizontal="center" vertical="center"/>
    </xf>
    <xf numFmtId="165" fontId="1" fillId="2" borderId="26" xfId="0" applyNumberFormat="1" applyFont="1" applyFill="1" applyBorder="1" applyAlignment="1">
      <alignment horizontal="center" vertical="center"/>
    </xf>
    <xf numFmtId="2" fontId="1" fillId="2" borderId="26" xfId="0" applyNumberFormat="1" applyFont="1" applyFill="1" applyBorder="1" applyAlignment="1">
      <alignment horizontal="center" vertical="center"/>
    </xf>
    <xf numFmtId="1" fontId="1" fillId="2" borderId="23" xfId="0" applyNumberFormat="1" applyFont="1" applyFill="1" applyBorder="1" applyAlignment="1">
      <alignment horizontal="center" vertical="center"/>
    </xf>
    <xf numFmtId="165" fontId="1" fillId="2" borderId="29" xfId="0" applyNumberFormat="1" applyFont="1" applyFill="1" applyBorder="1" applyAlignment="1">
      <alignment horizontal="center" vertical="center"/>
    </xf>
    <xf numFmtId="165" fontId="1" fillId="2" borderId="30" xfId="0" applyNumberFormat="1" applyFont="1" applyFill="1" applyBorder="1" applyAlignment="1">
      <alignment horizontal="center" vertical="center"/>
    </xf>
    <xf numFmtId="2" fontId="1" fillId="2" borderId="30" xfId="0" applyNumberFormat="1" applyFont="1" applyFill="1" applyBorder="1" applyAlignment="1">
      <alignment horizontal="center" vertical="center"/>
    </xf>
    <xf numFmtId="1" fontId="1" fillId="2" borderId="1" xfId="0" applyNumberFormat="1" applyFont="1" applyFill="1" applyBorder="1" applyAlignment="1">
      <alignment horizontal="center" vertical="center"/>
    </xf>
    <xf numFmtId="165" fontId="1" fillId="2" borderId="31" xfId="0" applyNumberFormat="1" applyFont="1" applyFill="1" applyBorder="1" applyAlignment="1">
      <alignment horizontal="center" vertical="center"/>
    </xf>
    <xf numFmtId="2" fontId="1" fillId="2" borderId="31" xfId="0" applyNumberFormat="1" applyFont="1" applyFill="1" applyBorder="1" applyAlignment="1">
      <alignment horizontal="center" vertical="center"/>
    </xf>
    <xf numFmtId="164" fontId="8" fillId="2" borderId="23" xfId="0" applyNumberFormat="1" applyFont="1" applyFill="1" applyBorder="1" applyAlignment="1">
      <alignment horizontal="center" vertical="center"/>
    </xf>
    <xf numFmtId="2" fontId="8" fillId="2" borderId="26"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5" fontId="8" fillId="2" borderId="30" xfId="0" applyNumberFormat="1" applyFont="1" applyFill="1" applyBorder="1" applyAlignment="1">
      <alignment horizontal="center" vertical="center"/>
    </xf>
    <xf numFmtId="2" fontId="8" fillId="2" borderId="30" xfId="0" applyNumberFormat="1" applyFont="1" applyFill="1" applyBorder="1" applyAlignment="1">
      <alignment horizontal="center" vertical="center"/>
    </xf>
    <xf numFmtId="2" fontId="8" fillId="2" borderId="1" xfId="0" applyNumberFormat="1" applyFont="1" applyFill="1" applyBorder="1" applyAlignment="1">
      <alignment horizontal="center" vertical="center"/>
    </xf>
    <xf numFmtId="164" fontId="10" fillId="2" borderId="23" xfId="0" applyNumberFormat="1" applyFont="1" applyFill="1" applyBorder="1" applyAlignment="1">
      <alignment horizontal="center" vertical="center"/>
    </xf>
    <xf numFmtId="2" fontId="10" fillId="2" borderId="26" xfId="0" applyNumberFormat="1" applyFont="1" applyFill="1" applyBorder="1" applyAlignment="1">
      <alignment horizontal="center" vertical="center"/>
    </xf>
    <xf numFmtId="165" fontId="10" fillId="2" borderId="30" xfId="0" applyNumberFormat="1" applyFont="1" applyFill="1" applyBorder="1" applyAlignment="1">
      <alignment horizontal="center" vertical="center"/>
    </xf>
    <xf numFmtId="2" fontId="10" fillId="2" borderId="30" xfId="0" applyNumberFormat="1" applyFont="1" applyFill="1" applyBorder="1" applyAlignment="1">
      <alignment horizontal="center" vertical="center"/>
    </xf>
    <xf numFmtId="1" fontId="10" fillId="2" borderId="23" xfId="0" applyNumberFormat="1" applyFont="1" applyFill="1" applyBorder="1" applyAlignment="1">
      <alignment horizontal="center" vertical="center"/>
    </xf>
    <xf numFmtId="164" fontId="1" fillId="2" borderId="32" xfId="0" applyNumberFormat="1" applyFont="1" applyFill="1" applyBorder="1" applyAlignment="1">
      <alignment horizontal="center" vertical="center"/>
    </xf>
    <xf numFmtId="165" fontId="1" fillId="2" borderId="33" xfId="0" applyNumberFormat="1" applyFont="1" applyFill="1" applyBorder="1" applyAlignment="1">
      <alignment horizontal="center" vertical="center"/>
    </xf>
    <xf numFmtId="2" fontId="1" fillId="0" borderId="34" xfId="0" applyNumberFormat="1" applyFont="1" applyBorder="1" applyAlignment="1">
      <alignment horizontal="center" vertical="center"/>
    </xf>
    <xf numFmtId="2" fontId="1" fillId="0" borderId="35" xfId="0" applyNumberFormat="1" applyFont="1" applyBorder="1" applyAlignment="1">
      <alignment horizontal="center" vertical="center"/>
    </xf>
    <xf numFmtId="164" fontId="1" fillId="2" borderId="36" xfId="0" applyNumberFormat="1" applyFont="1" applyFill="1" applyBorder="1" applyAlignment="1">
      <alignment horizontal="center" vertical="center"/>
    </xf>
    <xf numFmtId="1" fontId="1" fillId="2" borderId="37" xfId="0" applyNumberFormat="1" applyFont="1" applyFill="1" applyBorder="1" applyAlignment="1">
      <alignment horizontal="center" vertical="center"/>
    </xf>
    <xf numFmtId="2" fontId="1" fillId="2" borderId="37" xfId="0" applyNumberFormat="1" applyFont="1" applyFill="1" applyBorder="1" applyAlignment="1">
      <alignment horizontal="center" vertical="center"/>
    </xf>
    <xf numFmtId="165" fontId="1" fillId="2" borderId="36" xfId="0" applyNumberFormat="1" applyFont="1" applyFill="1" applyBorder="1" applyAlignment="1">
      <alignment horizontal="center" vertical="center"/>
    </xf>
    <xf numFmtId="2" fontId="1" fillId="2" borderId="38" xfId="0" applyNumberFormat="1" applyFont="1" applyFill="1" applyBorder="1" applyAlignment="1">
      <alignment horizontal="center" vertical="center"/>
    </xf>
    <xf numFmtId="2" fontId="1" fillId="2" borderId="39" xfId="0" applyNumberFormat="1" applyFont="1" applyFill="1" applyBorder="1" applyAlignment="1">
      <alignment horizontal="center" vertical="center"/>
    </xf>
    <xf numFmtId="0" fontId="1" fillId="0" borderId="1" xfId="0" applyFont="1" applyBorder="1"/>
    <xf numFmtId="0" fontId="1" fillId="0" borderId="9" xfId="0" applyFont="1" applyBorder="1"/>
    <xf numFmtId="0" fontId="8" fillId="0" borderId="12" xfId="0" applyFont="1" applyBorder="1" applyAlignment="1">
      <alignment horizontal="right" wrapText="1"/>
    </xf>
    <xf numFmtId="0" fontId="1" fillId="0" borderId="10" xfId="0" applyFont="1" applyBorder="1"/>
    <xf numFmtId="2" fontId="1" fillId="0" borderId="40" xfId="0" applyNumberFormat="1" applyFont="1" applyBorder="1" applyAlignment="1">
      <alignment horizontal="center" vertical="center"/>
    </xf>
    <xf numFmtId="2" fontId="1" fillId="0" borderId="41" xfId="0" applyNumberFormat="1" applyFont="1" applyBorder="1" applyAlignment="1">
      <alignment horizontal="center" vertical="center"/>
    </xf>
    <xf numFmtId="2" fontId="8" fillId="2" borderId="23" xfId="0" applyNumberFormat="1" applyFont="1" applyFill="1" applyBorder="1" applyAlignment="1">
      <alignment horizontal="center" vertical="center"/>
    </xf>
    <xf numFmtId="165" fontId="1" fillId="2" borderId="23" xfId="0" applyNumberFormat="1" applyFont="1" applyFill="1" applyBorder="1" applyAlignment="1">
      <alignment horizontal="center" vertical="center"/>
    </xf>
    <xf numFmtId="2" fontId="1" fillId="2" borderId="32" xfId="0" applyNumberFormat="1" applyFont="1" applyFill="1" applyBorder="1" applyAlignment="1">
      <alignment horizontal="center" vertical="center"/>
    </xf>
    <xf numFmtId="1" fontId="1" fillId="2" borderId="42" xfId="0" applyNumberFormat="1" applyFont="1" applyFill="1" applyBorder="1" applyAlignment="1">
      <alignment horizontal="center" vertical="center"/>
    </xf>
    <xf numFmtId="165" fontId="1" fillId="2" borderId="32" xfId="0" applyNumberFormat="1" applyFont="1" applyFill="1" applyBorder="1" applyAlignment="1">
      <alignment horizontal="center" vertical="center"/>
    </xf>
    <xf numFmtId="2" fontId="1" fillId="2" borderId="43" xfId="0" applyNumberFormat="1" applyFont="1" applyFill="1" applyBorder="1" applyAlignment="1">
      <alignment horizontal="center" vertical="center"/>
    </xf>
    <xf numFmtId="2" fontId="1" fillId="2" borderId="35" xfId="0" applyNumberFormat="1" applyFont="1" applyFill="1" applyBorder="1" applyAlignment="1">
      <alignment horizontal="center" vertical="center"/>
    </xf>
    <xf numFmtId="2" fontId="1" fillId="2" borderId="44" xfId="0" applyNumberFormat="1" applyFont="1" applyFill="1" applyBorder="1" applyAlignment="1">
      <alignment horizontal="center" vertical="center"/>
    </xf>
    <xf numFmtId="2" fontId="1" fillId="2" borderId="45" xfId="0" applyNumberFormat="1" applyFont="1" applyFill="1" applyBorder="1" applyAlignment="1">
      <alignment horizontal="center" vertical="center"/>
    </xf>
    <xf numFmtId="164" fontId="8" fillId="2" borderId="26" xfId="0" applyNumberFormat="1" applyFont="1" applyFill="1" applyBorder="1" applyAlignment="1">
      <alignment horizontal="center" vertical="center"/>
    </xf>
    <xf numFmtId="1" fontId="8" fillId="2" borderId="26" xfId="0" applyNumberFormat="1" applyFont="1" applyFill="1" applyBorder="1" applyAlignment="1">
      <alignment horizontal="center" vertical="center"/>
    </xf>
    <xf numFmtId="165" fontId="8" fillId="2" borderId="26" xfId="0" applyNumberFormat="1" applyFont="1" applyFill="1" applyBorder="1" applyAlignment="1">
      <alignment horizontal="center" vertical="center"/>
    </xf>
    <xf numFmtId="2" fontId="8" fillId="2" borderId="46" xfId="0" applyNumberFormat="1" applyFont="1" applyFill="1" applyBorder="1" applyAlignment="1">
      <alignment horizontal="center" vertical="center"/>
    </xf>
    <xf numFmtId="1" fontId="8" fillId="2" borderId="42" xfId="0" applyNumberFormat="1" applyFont="1" applyFill="1" applyBorder="1" applyAlignment="1">
      <alignment horizontal="center" vertical="center"/>
    </xf>
    <xf numFmtId="165" fontId="8" fillId="2" borderId="33" xfId="0" applyNumberFormat="1" applyFont="1" applyFill="1" applyBorder="1" applyAlignment="1">
      <alignment horizontal="center" vertical="center"/>
    </xf>
    <xf numFmtId="1" fontId="8" fillId="2" borderId="28" xfId="0" applyNumberFormat="1" applyFont="1" applyFill="1" applyBorder="1" applyAlignment="1">
      <alignment horizontal="center" vertical="center"/>
    </xf>
    <xf numFmtId="2" fontId="8" fillId="2" borderId="28" xfId="0" applyNumberFormat="1" applyFont="1" applyFill="1" applyBorder="1" applyAlignment="1">
      <alignment horizontal="center" vertical="center"/>
    </xf>
    <xf numFmtId="1" fontId="8" fillId="2" borderId="23" xfId="0" applyNumberFormat="1" applyFont="1" applyFill="1" applyBorder="1" applyAlignment="1">
      <alignment horizontal="center" vertical="center"/>
    </xf>
    <xf numFmtId="2" fontId="1" fillId="2" borderId="33" xfId="0" applyNumberFormat="1" applyFont="1" applyFill="1" applyBorder="1" applyAlignment="1">
      <alignment horizontal="center" vertical="center"/>
    </xf>
    <xf numFmtId="164" fontId="1" fillId="2" borderId="47" xfId="0" applyNumberFormat="1" applyFont="1" applyFill="1" applyBorder="1" applyAlignment="1">
      <alignment horizontal="center" vertical="center"/>
    </xf>
    <xf numFmtId="1" fontId="1" fillId="2" borderId="17" xfId="0" applyNumberFormat="1" applyFont="1" applyFill="1" applyBorder="1" applyAlignment="1">
      <alignment horizontal="center" vertical="center"/>
    </xf>
    <xf numFmtId="2" fontId="1" fillId="2" borderId="17" xfId="0" applyNumberFormat="1" applyFont="1" applyFill="1" applyBorder="1" applyAlignment="1">
      <alignment horizontal="center" vertical="center"/>
    </xf>
    <xf numFmtId="165" fontId="1" fillId="2" borderId="48" xfId="0" applyNumberFormat="1" applyFont="1" applyFill="1" applyBorder="1" applyAlignment="1">
      <alignment horizontal="center" vertical="center"/>
    </xf>
    <xf numFmtId="2" fontId="1" fillId="2" borderId="49" xfId="0" applyNumberFormat="1" applyFont="1" applyFill="1" applyBorder="1" applyAlignment="1">
      <alignment horizontal="center" vertical="center"/>
    </xf>
    <xf numFmtId="164" fontId="8" fillId="3" borderId="23" xfId="0" applyNumberFormat="1" applyFont="1" applyFill="1" applyBorder="1" applyAlignment="1">
      <alignment horizontal="center" vertical="center"/>
    </xf>
    <xf numFmtId="1" fontId="8" fillId="3" borderId="28" xfId="0" applyNumberFormat="1" applyFont="1" applyFill="1" applyBorder="1" applyAlignment="1">
      <alignment horizontal="center" vertical="center"/>
    </xf>
    <xf numFmtId="2" fontId="8" fillId="3" borderId="28" xfId="0" applyNumberFormat="1" applyFont="1" applyFill="1" applyBorder="1" applyAlignment="1">
      <alignment horizontal="center" vertical="center"/>
    </xf>
    <xf numFmtId="165" fontId="8" fillId="3" borderId="26" xfId="0" applyNumberFormat="1" applyFont="1" applyFill="1" applyBorder="1" applyAlignment="1">
      <alignment horizontal="center" vertical="center"/>
    </xf>
    <xf numFmtId="2" fontId="8" fillId="3" borderId="30" xfId="0" applyNumberFormat="1" applyFont="1" applyFill="1" applyBorder="1" applyAlignment="1">
      <alignment horizontal="center" vertical="center"/>
    </xf>
    <xf numFmtId="165" fontId="8" fillId="3" borderId="29" xfId="0" applyNumberFormat="1" applyFont="1" applyFill="1" applyBorder="1" applyAlignment="1">
      <alignment horizontal="center" vertical="center"/>
    </xf>
    <xf numFmtId="1" fontId="8" fillId="3" borderId="26" xfId="0" applyNumberFormat="1" applyFont="1" applyFill="1" applyBorder="1" applyAlignment="1">
      <alignment horizontal="center" vertical="center"/>
    </xf>
    <xf numFmtId="165" fontId="8" fillId="3" borderId="30" xfId="0" applyNumberFormat="1" applyFont="1" applyFill="1" applyBorder="1" applyAlignment="1">
      <alignment horizontal="center" vertical="center"/>
    </xf>
    <xf numFmtId="2" fontId="1" fillId="2" borderId="50" xfId="0" applyNumberFormat="1" applyFont="1" applyFill="1" applyBorder="1" applyAlignment="1">
      <alignment horizontal="center" vertical="center"/>
    </xf>
    <xf numFmtId="2" fontId="8" fillId="2" borderId="31" xfId="0" applyNumberFormat="1" applyFont="1" applyFill="1" applyBorder="1" applyAlignment="1">
      <alignment horizontal="center" vertical="center"/>
    </xf>
    <xf numFmtId="2" fontId="8" fillId="0" borderId="12" xfId="0" applyNumberFormat="1" applyFont="1" applyBorder="1" applyAlignment="1">
      <alignment horizontal="center" vertical="center"/>
    </xf>
    <xf numFmtId="2" fontId="8" fillId="0" borderId="34" xfId="0" applyNumberFormat="1" applyFont="1" applyBorder="1" applyAlignment="1">
      <alignment horizontal="center" vertical="center"/>
    </xf>
    <xf numFmtId="2" fontId="8" fillId="0" borderId="35" xfId="0" applyNumberFormat="1" applyFont="1" applyBorder="1" applyAlignment="1">
      <alignment horizontal="center" vertical="center"/>
    </xf>
    <xf numFmtId="2" fontId="1" fillId="2" borderId="25" xfId="0" applyNumberFormat="1" applyFont="1" applyFill="1" applyBorder="1" applyAlignment="1">
      <alignment horizontal="center" vertical="center"/>
    </xf>
    <xf numFmtId="2" fontId="1" fillId="2" borderId="29" xfId="0" applyNumberFormat="1" applyFont="1" applyFill="1" applyBorder="1" applyAlignment="1">
      <alignment horizontal="center" vertical="center"/>
    </xf>
    <xf numFmtId="2" fontId="8" fillId="2" borderId="29" xfId="0" applyNumberFormat="1" applyFont="1" applyFill="1" applyBorder="1" applyAlignment="1">
      <alignment horizontal="center" vertical="center"/>
    </xf>
    <xf numFmtId="0" fontId="1" fillId="2" borderId="23" xfId="0" applyFont="1" applyFill="1" applyBorder="1" applyAlignment="1">
      <alignment horizontal="center" vertical="center"/>
    </xf>
    <xf numFmtId="2" fontId="1" fillId="2" borderId="48" xfId="0" applyNumberFormat="1" applyFont="1" applyFill="1" applyBorder="1" applyAlignment="1">
      <alignment horizontal="center" vertical="center"/>
    </xf>
    <xf numFmtId="2" fontId="1" fillId="2" borderId="36" xfId="0" applyNumberFormat="1" applyFont="1" applyFill="1" applyBorder="1" applyAlignment="1">
      <alignment horizontal="center" vertical="center"/>
    </xf>
    <xf numFmtId="2" fontId="1" fillId="2" borderId="51" xfId="0" applyNumberFormat="1" applyFont="1" applyFill="1" applyBorder="1" applyAlignment="1">
      <alignment horizontal="center" vertical="center"/>
    </xf>
    <xf numFmtId="2" fontId="1" fillId="2" borderId="52" xfId="0" applyNumberFormat="1" applyFont="1" applyFill="1" applyBorder="1" applyAlignment="1">
      <alignment horizontal="center" vertical="center"/>
    </xf>
    <xf numFmtId="1" fontId="1" fillId="4" borderId="26" xfId="0" applyNumberFormat="1" applyFont="1" applyFill="1" applyBorder="1" applyAlignment="1">
      <alignment horizontal="center" vertical="center"/>
    </xf>
    <xf numFmtId="2" fontId="1" fillId="4" borderId="28" xfId="0" applyNumberFormat="1" applyFont="1" applyFill="1" applyBorder="1" applyAlignment="1">
      <alignment horizontal="center" vertical="center"/>
    </xf>
    <xf numFmtId="2" fontId="1" fillId="2" borderId="53" xfId="0" applyNumberFormat="1" applyFont="1" applyFill="1" applyBorder="1" applyAlignment="1">
      <alignment horizontal="center" vertical="center"/>
    </xf>
    <xf numFmtId="164" fontId="1" fillId="2" borderId="1" xfId="0" applyNumberFormat="1" applyFont="1" applyFill="1" applyBorder="1" applyAlignment="1">
      <alignment horizontal="center" vertical="center"/>
    </xf>
    <xf numFmtId="2" fontId="1" fillId="2" borderId="9" xfId="0" applyNumberFormat="1" applyFont="1" applyFill="1" applyBorder="1" applyAlignment="1">
      <alignment horizontal="center" vertical="center"/>
    </xf>
    <xf numFmtId="1" fontId="1" fillId="2" borderId="10" xfId="0" applyNumberFormat="1" applyFont="1" applyFill="1" applyBorder="1" applyAlignment="1">
      <alignment horizontal="center" vertical="center"/>
    </xf>
    <xf numFmtId="165" fontId="1" fillId="2" borderId="9" xfId="0" applyNumberFormat="1" applyFont="1" applyFill="1" applyBorder="1" applyAlignment="1">
      <alignment horizontal="center" vertical="center"/>
    </xf>
    <xf numFmtId="1" fontId="11" fillId="2" borderId="1" xfId="0" applyNumberFormat="1" applyFont="1" applyFill="1" applyBorder="1" applyAlignment="1">
      <alignment horizontal="center" vertical="center"/>
    </xf>
    <xf numFmtId="164" fontId="8" fillId="2" borderId="1" xfId="0" applyNumberFormat="1" applyFont="1" applyFill="1" applyBorder="1" applyAlignment="1">
      <alignment horizontal="center" vertical="center"/>
    </xf>
    <xf numFmtId="2" fontId="8" fillId="2" borderId="9" xfId="0" applyNumberFormat="1" applyFont="1" applyFill="1" applyBorder="1" applyAlignment="1">
      <alignment horizontal="center" vertical="center"/>
    </xf>
    <xf numFmtId="165" fontId="8" fillId="2" borderId="9" xfId="0" applyNumberFormat="1" applyFont="1" applyFill="1" applyBorder="1" applyAlignment="1">
      <alignment horizontal="center" vertical="center"/>
    </xf>
    <xf numFmtId="1" fontId="8" fillId="2" borderId="10" xfId="0" applyNumberFormat="1" applyFont="1" applyFill="1" applyBorder="1" applyAlignment="1">
      <alignment horizontal="center" vertical="center"/>
    </xf>
    <xf numFmtId="164" fontId="1" fillId="0" borderId="21" xfId="0" applyNumberFormat="1" applyFont="1" applyBorder="1" applyAlignment="1">
      <alignment horizontal="center" vertical="center"/>
    </xf>
    <xf numFmtId="1" fontId="1" fillId="0" borderId="21" xfId="0" applyNumberFormat="1" applyFont="1" applyBorder="1" applyAlignment="1">
      <alignment horizontal="center" vertical="center"/>
    </xf>
    <xf numFmtId="2" fontId="1" fillId="0" borderId="54" xfId="0" applyNumberFormat="1" applyFont="1" applyBorder="1" applyAlignment="1">
      <alignment horizontal="center" vertical="center"/>
    </xf>
    <xf numFmtId="2" fontId="1" fillId="0" borderId="4" xfId="0" applyNumberFormat="1" applyFont="1" applyBorder="1" applyAlignment="1">
      <alignment horizontal="center" vertical="center"/>
    </xf>
    <xf numFmtId="165" fontId="1" fillId="0" borderId="54" xfId="0" applyNumberFormat="1" applyFont="1" applyBorder="1" applyAlignment="1">
      <alignment horizontal="center" vertical="center"/>
    </xf>
    <xf numFmtId="164" fontId="1" fillId="0" borderId="12" xfId="0" applyNumberFormat="1" applyFont="1" applyBorder="1" applyAlignment="1">
      <alignment horizontal="center" vertical="center"/>
    </xf>
    <xf numFmtId="1" fontId="1" fillId="0" borderId="8" xfId="0" applyNumberFormat="1" applyFont="1" applyBorder="1" applyAlignment="1">
      <alignment horizontal="center" vertical="center"/>
    </xf>
    <xf numFmtId="2" fontId="1" fillId="0" borderId="8" xfId="0" applyNumberFormat="1" applyFont="1" applyBorder="1" applyAlignment="1">
      <alignment horizontal="center" vertical="center"/>
    </xf>
    <xf numFmtId="2" fontId="1" fillId="0" borderId="55" xfId="0" applyNumberFormat="1" applyFont="1" applyBorder="1" applyAlignment="1">
      <alignment horizontal="center" vertical="center"/>
    </xf>
    <xf numFmtId="1" fontId="1" fillId="0" borderId="12" xfId="0" applyNumberFormat="1" applyFont="1" applyBorder="1" applyAlignment="1">
      <alignment horizontal="center" vertical="center"/>
    </xf>
    <xf numFmtId="2" fontId="1" fillId="0" borderId="7" xfId="0" applyNumberFormat="1" applyFont="1" applyBorder="1" applyAlignment="1">
      <alignment horizontal="center" vertical="center"/>
    </xf>
    <xf numFmtId="165" fontId="1" fillId="0" borderId="55" xfId="0" applyNumberFormat="1" applyFont="1" applyBorder="1" applyAlignment="1">
      <alignment horizontal="center" vertical="center"/>
    </xf>
    <xf numFmtId="2" fontId="1" fillId="0" borderId="56" xfId="0" applyNumberFormat="1" applyFont="1" applyBorder="1" applyAlignment="1">
      <alignment horizontal="center" vertical="center"/>
    </xf>
    <xf numFmtId="164" fontId="8" fillId="0" borderId="12" xfId="0" applyNumberFormat="1" applyFont="1" applyBorder="1" applyAlignment="1">
      <alignment horizontal="center" vertical="center"/>
    </xf>
    <xf numFmtId="2" fontId="8" fillId="0" borderId="55" xfId="0" applyNumberFormat="1" applyFont="1" applyBorder="1" applyAlignment="1">
      <alignment horizontal="center" vertical="center"/>
    </xf>
    <xf numFmtId="2" fontId="8" fillId="0" borderId="7" xfId="0" applyNumberFormat="1" applyFont="1" applyBorder="1" applyAlignment="1">
      <alignment horizontal="center" vertical="center"/>
    </xf>
    <xf numFmtId="165" fontId="8" fillId="0" borderId="55" xfId="0" applyNumberFormat="1" applyFont="1" applyBorder="1" applyAlignment="1">
      <alignment horizontal="center" vertical="center"/>
    </xf>
    <xf numFmtId="164" fontId="10" fillId="0" borderId="12" xfId="0" applyNumberFormat="1" applyFont="1" applyBorder="1" applyAlignment="1">
      <alignment horizontal="center" vertical="center"/>
    </xf>
    <xf numFmtId="2" fontId="10" fillId="0" borderId="55" xfId="0" applyNumberFormat="1" applyFont="1" applyBorder="1" applyAlignment="1">
      <alignment horizontal="center" vertical="center"/>
    </xf>
    <xf numFmtId="165" fontId="10" fillId="0" borderId="55" xfId="0" applyNumberFormat="1" applyFont="1" applyBorder="1" applyAlignment="1">
      <alignment horizontal="center" vertical="center"/>
    </xf>
    <xf numFmtId="1" fontId="10" fillId="0" borderId="12" xfId="0" applyNumberFormat="1" applyFont="1" applyBorder="1" applyAlignment="1">
      <alignment horizontal="center" vertical="center"/>
    </xf>
    <xf numFmtId="0" fontId="1" fillId="0" borderId="8" xfId="0" applyFont="1" applyBorder="1" applyAlignment="1">
      <alignment horizontal="center" vertical="center"/>
    </xf>
    <xf numFmtId="164" fontId="8" fillId="0" borderId="13" xfId="0" applyNumberFormat="1" applyFont="1" applyBorder="1" applyAlignment="1">
      <alignment horizontal="center" vertical="center"/>
    </xf>
    <xf numFmtId="1" fontId="8" fillId="0" borderId="13" xfId="0" applyNumberFormat="1" applyFont="1" applyBorder="1" applyAlignment="1">
      <alignment horizontal="center" vertical="center"/>
    </xf>
    <xf numFmtId="2" fontId="8" fillId="0" borderId="13" xfId="0" applyNumberFormat="1" applyFont="1" applyBorder="1" applyAlignment="1">
      <alignment horizontal="center" vertical="center"/>
    </xf>
    <xf numFmtId="2" fontId="8" fillId="0" borderId="57" xfId="0" applyNumberFormat="1" applyFont="1" applyBorder="1" applyAlignment="1">
      <alignment horizontal="center" vertical="center"/>
    </xf>
    <xf numFmtId="1" fontId="8" fillId="0" borderId="42" xfId="0" applyNumberFormat="1" applyFont="1" applyBorder="1" applyAlignment="1">
      <alignment horizontal="center" vertical="center"/>
    </xf>
    <xf numFmtId="165" fontId="8" fillId="0" borderId="33" xfId="0" applyNumberFormat="1" applyFont="1" applyBorder="1" applyAlignment="1">
      <alignment horizontal="center" vertical="center"/>
    </xf>
    <xf numFmtId="1" fontId="8" fillId="0" borderId="8" xfId="0" applyNumberFormat="1" applyFont="1" applyBorder="1" applyAlignment="1">
      <alignment horizontal="center" vertical="center"/>
    </xf>
    <xf numFmtId="2" fontId="8" fillId="0" borderId="8" xfId="0" applyNumberFormat="1" applyFont="1" applyBorder="1" applyAlignment="1">
      <alignment horizontal="center" vertical="center"/>
    </xf>
    <xf numFmtId="1" fontId="8" fillId="0" borderId="12" xfId="0" applyNumberFormat="1" applyFont="1" applyBorder="1" applyAlignment="1">
      <alignment horizontal="center" vertical="center"/>
    </xf>
    <xf numFmtId="164" fontId="1" fillId="0" borderId="58" xfId="0" applyNumberFormat="1" applyFont="1" applyBorder="1" applyAlignment="1">
      <alignment horizontal="center" vertical="center"/>
    </xf>
    <xf numFmtId="2" fontId="1" fillId="0" borderId="33" xfId="0" applyNumberFormat="1" applyFont="1" applyBorder="1" applyAlignment="1">
      <alignment horizontal="center" vertical="center"/>
    </xf>
    <xf numFmtId="164" fontId="1" fillId="0" borderId="59" xfId="0" applyNumberFormat="1" applyFont="1" applyBorder="1" applyAlignment="1">
      <alignment horizontal="center" vertical="center"/>
    </xf>
    <xf numFmtId="2" fontId="1" fillId="0" borderId="60" xfId="0" applyNumberFormat="1" applyFont="1" applyBorder="1" applyAlignment="1">
      <alignment horizontal="center" vertical="center"/>
    </xf>
    <xf numFmtId="2" fontId="1" fillId="0" borderId="49" xfId="0" applyNumberFormat="1" applyFont="1" applyBorder="1" applyAlignment="1">
      <alignment horizontal="center" vertical="center"/>
    </xf>
    <xf numFmtId="165" fontId="1" fillId="0" borderId="56" xfId="0" applyNumberFormat="1" applyFont="1" applyBorder="1" applyAlignment="1">
      <alignment horizontal="center" vertical="center"/>
    </xf>
    <xf numFmtId="164" fontId="1" fillId="5" borderId="23" xfId="0" applyNumberFormat="1" applyFont="1" applyFill="1" applyBorder="1" applyAlignment="1">
      <alignment horizontal="center" vertical="center"/>
    </xf>
    <xf numFmtId="1" fontId="1" fillId="5" borderId="28" xfId="0" applyNumberFormat="1" applyFont="1" applyFill="1" applyBorder="1" applyAlignment="1">
      <alignment horizontal="center" vertical="center"/>
    </xf>
    <xf numFmtId="2" fontId="1" fillId="5" borderId="28" xfId="0" applyNumberFormat="1" applyFont="1" applyFill="1" applyBorder="1" applyAlignment="1">
      <alignment horizontal="center" vertical="center"/>
    </xf>
    <xf numFmtId="2" fontId="1" fillId="5" borderId="26" xfId="0" applyNumberFormat="1" applyFont="1" applyFill="1" applyBorder="1" applyAlignment="1">
      <alignment horizontal="center" vertical="center"/>
    </xf>
    <xf numFmtId="2" fontId="1" fillId="5" borderId="30" xfId="0" applyNumberFormat="1" applyFont="1" applyFill="1" applyBorder="1" applyAlignment="1">
      <alignment horizontal="center" vertical="center"/>
    </xf>
    <xf numFmtId="1" fontId="1" fillId="5" borderId="23" xfId="0" applyNumberFormat="1" applyFont="1" applyFill="1" applyBorder="1" applyAlignment="1">
      <alignment horizontal="center" vertical="center"/>
    </xf>
    <xf numFmtId="2" fontId="1" fillId="5" borderId="1" xfId="0" applyNumberFormat="1" applyFont="1" applyFill="1" applyBorder="1" applyAlignment="1">
      <alignment horizontal="center" vertical="center"/>
    </xf>
    <xf numFmtId="2" fontId="1" fillId="5" borderId="29" xfId="0" applyNumberFormat="1" applyFont="1" applyFill="1" applyBorder="1" applyAlignment="1">
      <alignment horizontal="center" vertical="center"/>
    </xf>
    <xf numFmtId="1" fontId="1" fillId="5" borderId="26" xfId="0" applyNumberFormat="1" applyFont="1" applyFill="1" applyBorder="1" applyAlignment="1">
      <alignment horizontal="center" vertical="center"/>
    </xf>
    <xf numFmtId="165" fontId="1" fillId="5" borderId="30" xfId="0" applyNumberFormat="1" applyFont="1" applyFill="1" applyBorder="1" applyAlignment="1">
      <alignment horizontal="center" vertical="center"/>
    </xf>
    <xf numFmtId="164" fontId="8" fillId="5" borderId="32" xfId="0" applyNumberFormat="1" applyFont="1" applyFill="1" applyBorder="1" applyAlignment="1">
      <alignment horizontal="center" vertical="center"/>
    </xf>
    <xf numFmtId="1" fontId="8" fillId="5" borderId="1" xfId="0" applyNumberFormat="1" applyFont="1" applyFill="1" applyBorder="1" applyAlignment="1">
      <alignment horizontal="center" vertical="center"/>
    </xf>
    <xf numFmtId="2" fontId="8" fillId="5" borderId="1" xfId="0" applyNumberFormat="1" applyFont="1" applyFill="1" applyBorder="1" applyAlignment="1">
      <alignment horizontal="center" vertical="center"/>
    </xf>
    <xf numFmtId="2" fontId="8" fillId="5" borderId="29" xfId="0" applyNumberFormat="1" applyFont="1" applyFill="1" applyBorder="1" applyAlignment="1">
      <alignment horizontal="center" vertical="center"/>
    </xf>
    <xf numFmtId="2" fontId="8" fillId="5" borderId="33" xfId="0" applyNumberFormat="1" applyFont="1" applyFill="1" applyBorder="1" applyAlignment="1">
      <alignment horizontal="center" vertical="center"/>
    </xf>
    <xf numFmtId="1" fontId="8" fillId="5" borderId="28" xfId="0" applyNumberFormat="1" applyFont="1" applyFill="1" applyBorder="1" applyAlignment="1">
      <alignment horizontal="center" vertical="center"/>
    </xf>
    <xf numFmtId="2" fontId="8" fillId="5" borderId="28" xfId="0" applyNumberFormat="1" applyFont="1" applyFill="1" applyBorder="1" applyAlignment="1">
      <alignment horizontal="center" vertical="center"/>
    </xf>
    <xf numFmtId="1" fontId="8" fillId="5" borderId="26" xfId="0" applyNumberFormat="1" applyFont="1" applyFill="1" applyBorder="1" applyAlignment="1">
      <alignment horizontal="center" vertical="center"/>
    </xf>
    <xf numFmtId="165" fontId="8" fillId="5" borderId="33" xfId="0" applyNumberFormat="1" applyFont="1" applyFill="1" applyBorder="1" applyAlignment="1">
      <alignment horizontal="center" vertical="center"/>
    </xf>
    <xf numFmtId="2" fontId="8" fillId="5" borderId="22" xfId="0" applyNumberFormat="1" applyFont="1" applyFill="1" applyBorder="1" applyAlignment="1">
      <alignment horizontal="center" vertical="center"/>
    </xf>
    <xf numFmtId="1" fontId="12" fillId="5" borderId="23" xfId="0" applyNumberFormat="1" applyFont="1" applyFill="1" applyBorder="1" applyAlignment="1">
      <alignment horizontal="center" vertical="center"/>
    </xf>
    <xf numFmtId="1" fontId="12" fillId="5" borderId="33" xfId="0" applyNumberFormat="1" applyFont="1" applyFill="1" applyBorder="1" applyAlignment="1">
      <alignment horizontal="center" vertical="center"/>
    </xf>
    <xf numFmtId="1" fontId="12" fillId="5" borderId="32" xfId="0" applyNumberFormat="1" applyFont="1" applyFill="1" applyBorder="1" applyAlignment="1">
      <alignment horizontal="center" vertical="center"/>
    </xf>
    <xf numFmtId="1" fontId="12" fillId="5" borderId="42" xfId="0" applyNumberFormat="1" applyFont="1" applyFill="1" applyBorder="1" applyAlignment="1">
      <alignment horizontal="center" vertical="center"/>
    </xf>
    <xf numFmtId="165" fontId="12" fillId="5" borderId="32" xfId="0" applyNumberFormat="1" applyFont="1" applyFill="1" applyBorder="1" applyAlignment="1">
      <alignment horizontal="center" vertical="center"/>
    </xf>
    <xf numFmtId="1" fontId="1" fillId="5" borderId="1" xfId="0" applyNumberFormat="1" applyFont="1" applyFill="1" applyBorder="1" applyAlignment="1">
      <alignment horizontal="center" vertical="center"/>
    </xf>
    <xf numFmtId="2" fontId="1" fillId="5" borderId="31" xfId="0" applyNumberFormat="1" applyFont="1" applyFill="1" applyBorder="1" applyAlignment="1">
      <alignment horizontal="center" vertical="center"/>
    </xf>
    <xf numFmtId="165" fontId="1" fillId="5" borderId="31" xfId="0" applyNumberFormat="1" applyFont="1" applyFill="1" applyBorder="1" applyAlignment="1">
      <alignment horizontal="center" vertical="center"/>
    </xf>
    <xf numFmtId="164" fontId="8" fillId="5" borderId="23" xfId="0" applyNumberFormat="1" applyFont="1" applyFill="1" applyBorder="1" applyAlignment="1">
      <alignment horizontal="center" vertical="center"/>
    </xf>
    <xf numFmtId="2" fontId="8" fillId="5" borderId="30" xfId="0" applyNumberFormat="1" applyFont="1" applyFill="1" applyBorder="1" applyAlignment="1">
      <alignment horizontal="center" vertical="center"/>
    </xf>
    <xf numFmtId="165" fontId="8" fillId="5" borderId="30" xfId="0" applyNumberFormat="1" applyFont="1" applyFill="1" applyBorder="1" applyAlignment="1">
      <alignment horizontal="center" vertical="center"/>
    </xf>
    <xf numFmtId="2" fontId="8" fillId="5" borderId="26" xfId="0" applyNumberFormat="1" applyFont="1" applyFill="1" applyBorder="1" applyAlignment="1">
      <alignment horizontal="center" vertical="center"/>
    </xf>
    <xf numFmtId="1" fontId="8" fillId="5" borderId="23" xfId="0" applyNumberFormat="1" applyFont="1" applyFill="1" applyBorder="1" applyAlignment="1">
      <alignment horizontal="center" vertical="center"/>
    </xf>
    <xf numFmtId="2" fontId="1" fillId="6" borderId="29" xfId="0" applyNumberFormat="1" applyFont="1" applyFill="1" applyBorder="1" applyAlignment="1">
      <alignment horizontal="center" vertical="center"/>
    </xf>
    <xf numFmtId="165" fontId="1" fillId="0" borderId="33" xfId="0" applyNumberFormat="1" applyFont="1" applyBorder="1" applyAlignment="1">
      <alignment horizontal="center" vertical="center"/>
    </xf>
    <xf numFmtId="164" fontId="1" fillId="0" borderId="0" xfId="0" applyNumberFormat="1" applyFont="1" applyAlignment="1">
      <alignment horizontal="center" vertical="center"/>
    </xf>
    <xf numFmtId="1" fontId="1" fillId="0" borderId="61" xfId="0" applyNumberFormat="1" applyFont="1" applyBorder="1" applyAlignment="1">
      <alignment horizontal="center" vertical="center"/>
    </xf>
    <xf numFmtId="2" fontId="1" fillId="0" borderId="61" xfId="0" applyNumberFormat="1" applyFont="1" applyBorder="1" applyAlignment="1">
      <alignment horizontal="center" vertical="center"/>
    </xf>
    <xf numFmtId="2" fontId="1" fillId="0" borderId="0" xfId="0" applyNumberFormat="1" applyFont="1" applyAlignment="1">
      <alignment horizontal="center" vertical="center"/>
    </xf>
    <xf numFmtId="2" fontId="1" fillId="0" borderId="62" xfId="0" applyNumberFormat="1" applyFont="1" applyBorder="1" applyAlignment="1">
      <alignment horizontal="center" vertical="center"/>
    </xf>
    <xf numFmtId="165" fontId="1" fillId="0" borderId="7" xfId="0" applyNumberFormat="1" applyFont="1" applyBorder="1" applyAlignment="1">
      <alignment horizontal="center" vertical="center"/>
    </xf>
    <xf numFmtId="2" fontId="1" fillId="7" borderId="27" xfId="0" applyNumberFormat="1" applyFont="1" applyFill="1" applyBorder="1" applyAlignment="1">
      <alignment horizontal="center" vertical="center"/>
    </xf>
    <xf numFmtId="165" fontId="1" fillId="7" borderId="27" xfId="0" applyNumberFormat="1" applyFont="1" applyFill="1" applyBorder="1" applyAlignment="1">
      <alignment horizontal="center" vertical="center"/>
    </xf>
    <xf numFmtId="2" fontId="1" fillId="8" borderId="26" xfId="0" applyNumberFormat="1" applyFont="1" applyFill="1" applyBorder="1" applyAlignment="1">
      <alignment horizontal="center" vertical="center"/>
    </xf>
    <xf numFmtId="2" fontId="1" fillId="6" borderId="26" xfId="0" applyNumberFormat="1" applyFont="1" applyFill="1" applyBorder="1" applyAlignment="1">
      <alignment horizontal="center" vertical="center"/>
    </xf>
    <xf numFmtId="0" fontId="1" fillId="0" borderId="2" xfId="0" applyFont="1" applyBorder="1"/>
    <xf numFmtId="0" fontId="1" fillId="0" borderId="12" xfId="0" applyFont="1" applyBorder="1"/>
    <xf numFmtId="0" fontId="7" fillId="0" borderId="12" xfId="0" applyFont="1" applyBorder="1" applyAlignment="1">
      <alignment wrapText="1"/>
    </xf>
    <xf numFmtId="2" fontId="1" fillId="0" borderId="1" xfId="0" applyNumberFormat="1" applyFont="1" applyBorder="1"/>
    <xf numFmtId="3" fontId="13" fillId="0" borderId="63" xfId="0" applyNumberFormat="1" applyFont="1" applyBorder="1" applyAlignment="1">
      <alignment horizontal="center"/>
    </xf>
    <xf numFmtId="3" fontId="14" fillId="0" borderId="64" xfId="0" applyNumberFormat="1" applyFont="1" applyBorder="1" applyAlignment="1">
      <alignment horizontal="center"/>
    </xf>
    <xf numFmtId="3" fontId="14" fillId="0" borderId="65" xfId="0" applyNumberFormat="1" applyFont="1" applyBorder="1" applyAlignment="1">
      <alignment horizontal="center"/>
    </xf>
    <xf numFmtId="165" fontId="1" fillId="2" borderId="66" xfId="0" applyNumberFormat="1" applyFont="1" applyFill="1" applyBorder="1" applyAlignment="1">
      <alignment horizontal="center" vertical="center"/>
    </xf>
    <xf numFmtId="165" fontId="1" fillId="2" borderId="67" xfId="0" applyNumberFormat="1" applyFont="1" applyFill="1" applyBorder="1" applyAlignment="1">
      <alignment horizontal="center" vertical="center"/>
    </xf>
    <xf numFmtId="0" fontId="15" fillId="0" borderId="0" xfId="0" applyFont="1"/>
    <xf numFmtId="14" fontId="1" fillId="0" borderId="0" xfId="0" applyNumberFormat="1" applyFont="1" applyAlignment="1">
      <alignment horizontal="left" vertical="top" wrapText="1"/>
    </xf>
    <xf numFmtId="21" fontId="1" fillId="0" borderId="0" xfId="0" applyNumberFormat="1" applyFont="1" applyAlignment="1">
      <alignment horizontal="left" vertical="top" wrapText="1"/>
    </xf>
    <xf numFmtId="0" fontId="1" fillId="0" borderId="0" xfId="0" applyFont="1" applyAlignment="1">
      <alignment horizontal="center" vertical="top" wrapText="1"/>
    </xf>
    <xf numFmtId="0" fontId="1" fillId="0" borderId="0" xfId="0" applyFont="1"/>
    <xf numFmtId="0" fontId="16" fillId="0" borderId="0" xfId="0" applyFont="1" applyAlignment="1">
      <alignment horizontal="center"/>
    </xf>
    <xf numFmtId="0" fontId="17" fillId="3" borderId="36" xfId="0" applyFont="1" applyFill="1" applyBorder="1" applyAlignment="1">
      <alignment horizontal="center"/>
    </xf>
    <xf numFmtId="0" fontId="18" fillId="0" borderId="0" xfId="0" applyFont="1" applyAlignment="1">
      <alignment horizontal="right"/>
    </xf>
    <xf numFmtId="3" fontId="13" fillId="0" borderId="0" xfId="0" applyNumberFormat="1" applyFont="1" applyAlignment="1">
      <alignment horizontal="center"/>
    </xf>
    <xf numFmtId="5" fontId="14" fillId="3" borderId="36" xfId="0" applyNumberFormat="1" applyFont="1" applyFill="1" applyBorder="1" applyAlignment="1">
      <alignment horizontal="center"/>
    </xf>
    <xf numFmtId="3" fontId="14" fillId="0" borderId="0" xfId="0" applyNumberFormat="1" applyFont="1" applyAlignment="1">
      <alignment horizontal="center"/>
    </xf>
    <xf numFmtId="5" fontId="13" fillId="3" borderId="36" xfId="0" applyNumberFormat="1" applyFont="1" applyFill="1" applyBorder="1" applyAlignment="1">
      <alignment horizontal="center"/>
    </xf>
    <xf numFmtId="3" fontId="1" fillId="0" borderId="0" xfId="0" applyNumberFormat="1" applyFont="1"/>
    <xf numFmtId="6" fontId="1" fillId="0" borderId="0" xfId="0" applyNumberFormat="1" applyFont="1"/>
    <xf numFmtId="0" fontId="4" fillId="0" borderId="3" xfId="0" applyFont="1" applyBorder="1" applyAlignment="1">
      <alignment horizontal="center" wrapText="1"/>
    </xf>
    <xf numFmtId="0" fontId="5" fillId="0" borderId="4" xfId="0" applyFont="1" applyBorder="1"/>
    <xf numFmtId="0" fontId="5" fillId="0" borderId="5" xfId="0" applyFont="1" applyBorder="1"/>
    <xf numFmtId="0" fontId="4" fillId="0" borderId="6" xfId="0" applyFont="1" applyBorder="1" applyAlignment="1">
      <alignment horizontal="center" wrapText="1"/>
    </xf>
    <xf numFmtId="0" fontId="5" fillId="0" borderId="7" xfId="0" applyFont="1" applyBorder="1"/>
    <xf numFmtId="0" fontId="5" fillId="0" borderId="8" xfId="0" applyFont="1" applyBorder="1"/>
  </cellXfs>
  <cellStyles count="1">
    <cellStyle name="Normal" xfId="0" builtinId="0"/>
  </cellStyles>
  <dxfs count="113">
    <dxf>
      <font>
        <b/>
        <color rgb="FFFF0000"/>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
      <font>
        <b/>
        <color rgb="FFFF0000"/>
        <name val="Cambria"/>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829"/>
  <sheetViews>
    <sheetView tabSelected="1" workbookViewId="0">
      <selection activeCell="C39" sqref="C39"/>
    </sheetView>
  </sheetViews>
  <sheetFormatPr defaultColWidth="12.6328125" defaultRowHeight="15" customHeight="1" x14ac:dyDescent="0.35"/>
  <cols>
    <col min="1" max="1" width="8.7265625" customWidth="1"/>
    <col min="2" max="2" width="11.36328125" customWidth="1"/>
    <col min="3" max="3" width="8.7265625" customWidth="1"/>
    <col min="4" max="4" width="22.08984375" customWidth="1"/>
    <col min="5" max="6" width="23.6328125" customWidth="1"/>
    <col min="7" max="9" width="8.7265625" customWidth="1"/>
    <col min="10" max="10" width="11.6328125" customWidth="1"/>
    <col min="11" max="15" width="8.7265625" customWidth="1"/>
    <col min="16" max="16" width="13.453125" customWidth="1"/>
    <col min="17" max="17" width="8.7265625" customWidth="1"/>
  </cols>
  <sheetData>
    <row r="1" spans="1:17" ht="39" customHeight="1" x14ac:dyDescent="0.4">
      <c r="A1" s="4" t="s">
        <v>5</v>
      </c>
      <c r="B1" s="4" t="s">
        <v>6</v>
      </c>
      <c r="C1" s="4" t="s">
        <v>7</v>
      </c>
      <c r="D1" s="2" t="s">
        <v>8</v>
      </c>
      <c r="E1" s="5" t="s">
        <v>9</v>
      </c>
      <c r="F1" s="3" t="s">
        <v>10</v>
      </c>
      <c r="G1" s="6" t="s">
        <v>11</v>
      </c>
      <c r="H1" s="7" t="s">
        <v>12</v>
      </c>
      <c r="I1" s="6" t="s">
        <v>13</v>
      </c>
      <c r="J1" s="6" t="s">
        <v>14</v>
      </c>
      <c r="K1" s="8" t="s">
        <v>15</v>
      </c>
      <c r="L1" s="9" t="s">
        <v>16</v>
      </c>
      <c r="M1" s="6" t="s">
        <v>17</v>
      </c>
      <c r="N1" s="6" t="s">
        <v>18</v>
      </c>
      <c r="O1" s="10" t="s">
        <v>19</v>
      </c>
      <c r="P1" s="8" t="s">
        <v>20</v>
      </c>
      <c r="Q1" s="11" t="s">
        <v>21</v>
      </c>
    </row>
    <row r="2" spans="1:17" ht="14.25" customHeight="1" x14ac:dyDescent="0.35">
      <c r="A2" s="1">
        <v>2024</v>
      </c>
      <c r="B2" s="1" t="s">
        <v>22</v>
      </c>
      <c r="C2" s="1">
        <v>1</v>
      </c>
      <c r="D2" s="12">
        <v>133.203</v>
      </c>
      <c r="E2" s="12">
        <f t="shared" ref="E2:E11" si="0">D2*1.25</f>
        <v>166.50375</v>
      </c>
      <c r="F2" s="13">
        <v>113.46899999999999</v>
      </c>
      <c r="G2" s="14">
        <v>76.093999999999994</v>
      </c>
      <c r="H2" s="15">
        <v>2342.88</v>
      </c>
      <c r="I2" s="16">
        <v>6.9</v>
      </c>
      <c r="J2" s="17">
        <v>0.03</v>
      </c>
      <c r="K2" s="16">
        <v>6.9359999999999999</v>
      </c>
      <c r="L2" s="18">
        <v>49.555</v>
      </c>
      <c r="M2" s="16">
        <v>5.2060000000000004</v>
      </c>
      <c r="N2" s="17">
        <v>1.6E-2</v>
      </c>
      <c r="O2" s="15">
        <v>121.985</v>
      </c>
      <c r="P2" s="19">
        <v>0.05</v>
      </c>
      <c r="Q2" s="20">
        <v>7.5270000000000001</v>
      </c>
    </row>
    <row r="3" spans="1:17" ht="14.25" customHeight="1" x14ac:dyDescent="0.35">
      <c r="A3" s="1">
        <v>2024</v>
      </c>
      <c r="B3" s="1" t="s">
        <v>22</v>
      </c>
      <c r="C3" s="1">
        <v>2</v>
      </c>
      <c r="D3" s="12">
        <v>128.375</v>
      </c>
      <c r="E3" s="12">
        <f t="shared" si="0"/>
        <v>160.46875</v>
      </c>
      <c r="F3" s="13">
        <v>109</v>
      </c>
      <c r="G3" s="21">
        <v>75.691000000000003</v>
      </c>
      <c r="H3" s="22">
        <v>2451.8519999999999</v>
      </c>
      <c r="I3" s="13">
        <v>6.9</v>
      </c>
      <c r="J3" s="23">
        <v>0.03</v>
      </c>
      <c r="K3" s="13">
        <v>7.1520000000000001</v>
      </c>
      <c r="L3" s="24">
        <v>52.036999999999999</v>
      </c>
      <c r="M3" s="13">
        <v>5.2130000000000001</v>
      </c>
      <c r="N3" s="23">
        <v>1.6E-2</v>
      </c>
      <c r="O3" s="22">
        <v>120.95099999999999</v>
      </c>
      <c r="P3" s="25">
        <v>5.1999999999999998E-2</v>
      </c>
      <c r="Q3" s="26">
        <v>10.381</v>
      </c>
    </row>
    <row r="4" spans="1:17" ht="14.25" customHeight="1" x14ac:dyDescent="0.35">
      <c r="A4" s="1">
        <v>2024</v>
      </c>
      <c r="B4" s="1" t="s">
        <v>22</v>
      </c>
      <c r="C4" s="1">
        <v>3</v>
      </c>
      <c r="D4" s="12">
        <v>124.98399999999999</v>
      </c>
      <c r="E4" s="12">
        <f t="shared" si="0"/>
        <v>156.22999999999999</v>
      </c>
      <c r="F4" s="13">
        <v>106.40600000000001</v>
      </c>
      <c r="G4" s="21">
        <v>75.494</v>
      </c>
      <c r="H4" s="22">
        <v>2382.0309999999999</v>
      </c>
      <c r="I4" s="13">
        <v>6.9</v>
      </c>
      <c r="J4" s="23">
        <v>0.03</v>
      </c>
      <c r="K4" s="13">
        <v>8.3450000000000006</v>
      </c>
      <c r="L4" s="24">
        <v>47.250999999999998</v>
      </c>
      <c r="M4" s="13">
        <v>5.1890000000000001</v>
      </c>
      <c r="N4" s="23">
        <v>1.6E-2</v>
      </c>
      <c r="O4" s="22">
        <v>127.446</v>
      </c>
      <c r="P4" s="25">
        <v>0.05</v>
      </c>
      <c r="Q4" s="26">
        <v>7.47</v>
      </c>
    </row>
    <row r="5" spans="1:17" ht="14.25" customHeight="1" x14ac:dyDescent="0.35">
      <c r="A5" s="1">
        <v>2024</v>
      </c>
      <c r="B5" s="1" t="s">
        <v>22</v>
      </c>
      <c r="C5" s="1">
        <v>4</v>
      </c>
      <c r="D5" s="12">
        <v>134.93799999999999</v>
      </c>
      <c r="E5" s="12">
        <f t="shared" si="0"/>
        <v>168.67249999999999</v>
      </c>
      <c r="F5" s="13">
        <v>114.96899999999999</v>
      </c>
      <c r="G5" s="21">
        <v>75.361999999999995</v>
      </c>
      <c r="H5" s="22">
        <v>2345.0419999999999</v>
      </c>
      <c r="I5" s="13">
        <v>6.9</v>
      </c>
      <c r="J5" s="23">
        <v>2.9000000000000001E-2</v>
      </c>
      <c r="K5" s="13">
        <v>8.782</v>
      </c>
      <c r="L5" s="24">
        <v>48.237000000000002</v>
      </c>
      <c r="M5" s="13">
        <v>5.2050000000000001</v>
      </c>
      <c r="N5" s="23">
        <v>1.6E-2</v>
      </c>
      <c r="O5" s="22">
        <v>122.928</v>
      </c>
      <c r="P5" s="25">
        <v>4.7E-2</v>
      </c>
      <c r="Q5" s="26">
        <v>11.29</v>
      </c>
    </row>
    <row r="6" spans="1:17" ht="14.25" customHeight="1" x14ac:dyDescent="0.35">
      <c r="A6" s="1">
        <v>2024</v>
      </c>
      <c r="B6" s="1" t="s">
        <v>22</v>
      </c>
      <c r="C6" s="1">
        <v>5</v>
      </c>
      <c r="D6" s="12">
        <v>134.828</v>
      </c>
      <c r="E6" s="12">
        <f t="shared" si="0"/>
        <v>168.535</v>
      </c>
      <c r="F6" s="13">
        <v>115</v>
      </c>
      <c r="G6" s="21">
        <v>75.358000000000004</v>
      </c>
      <c r="H6" s="22">
        <v>2345.1179999999999</v>
      </c>
      <c r="I6" s="13">
        <v>6.9</v>
      </c>
      <c r="J6" s="23">
        <v>0.03</v>
      </c>
      <c r="K6" s="13">
        <v>9.06</v>
      </c>
      <c r="L6" s="24">
        <v>49.095799999999997</v>
      </c>
      <c r="M6" s="13">
        <v>5.1505000000000001</v>
      </c>
      <c r="N6" s="23">
        <v>1.6199999999999999E-2</v>
      </c>
      <c r="O6" s="22">
        <v>139.12559999999999</v>
      </c>
      <c r="P6" s="25">
        <v>4.9500000000000002E-2</v>
      </c>
      <c r="Q6" s="26">
        <v>11.2</v>
      </c>
    </row>
    <row r="7" spans="1:17" ht="14.25" customHeight="1" x14ac:dyDescent="0.35">
      <c r="A7" s="1">
        <v>2024</v>
      </c>
      <c r="B7" s="1" t="s">
        <v>22</v>
      </c>
      <c r="C7" s="1">
        <v>6</v>
      </c>
      <c r="D7" s="12">
        <v>119.953</v>
      </c>
      <c r="E7" s="12">
        <f t="shared" si="0"/>
        <v>149.94125</v>
      </c>
      <c r="F7" s="13">
        <v>102.21899999999999</v>
      </c>
      <c r="G7" s="21">
        <v>75.331999999999994</v>
      </c>
      <c r="H7" s="22">
        <v>2300.46</v>
      </c>
      <c r="I7" s="13">
        <v>6.9</v>
      </c>
      <c r="J7" s="23">
        <v>0.03</v>
      </c>
      <c r="K7" s="13">
        <v>9.2430000000000003</v>
      </c>
      <c r="L7" s="24">
        <v>46.349400000000003</v>
      </c>
      <c r="M7" s="13">
        <v>5.1245000000000003</v>
      </c>
      <c r="N7" s="23">
        <v>1.61E-2</v>
      </c>
      <c r="O7" s="22">
        <v>147.95650000000001</v>
      </c>
      <c r="P7" s="25">
        <v>4.99E-2</v>
      </c>
      <c r="Q7" s="26">
        <v>8.0820000000000007</v>
      </c>
    </row>
    <row r="8" spans="1:17" ht="14.25" customHeight="1" x14ac:dyDescent="0.35">
      <c r="A8" s="1">
        <v>2024</v>
      </c>
      <c r="B8" s="1" t="s">
        <v>22</v>
      </c>
      <c r="C8" s="1">
        <v>7</v>
      </c>
      <c r="D8" s="12">
        <v>123.14100000000001</v>
      </c>
      <c r="E8" s="12">
        <f t="shared" si="0"/>
        <v>153.92625000000001</v>
      </c>
      <c r="F8" s="13">
        <v>105</v>
      </c>
      <c r="G8" s="21">
        <v>74.509</v>
      </c>
      <c r="H8" s="22">
        <v>2286.183</v>
      </c>
      <c r="I8" s="13">
        <v>6.9</v>
      </c>
      <c r="J8" s="23">
        <v>2.9000000000000001E-2</v>
      </c>
      <c r="K8" s="13">
        <v>8.9269999999999996</v>
      </c>
      <c r="L8" s="24">
        <v>44.361600000000003</v>
      </c>
      <c r="M8" s="13">
        <v>5.0841000000000003</v>
      </c>
      <c r="N8" s="23">
        <v>1.61E-2</v>
      </c>
      <c r="O8" s="22">
        <v>162.17769999999999</v>
      </c>
      <c r="P8" s="25">
        <v>0.04</v>
      </c>
      <c r="Q8" s="26">
        <v>10.747</v>
      </c>
    </row>
    <row r="9" spans="1:17" ht="14.25" customHeight="1" x14ac:dyDescent="0.35">
      <c r="A9" s="1">
        <v>2024</v>
      </c>
      <c r="B9" s="1" t="s">
        <v>22</v>
      </c>
      <c r="C9" s="1">
        <v>8</v>
      </c>
      <c r="D9" s="12">
        <v>130.10900000000001</v>
      </c>
      <c r="E9" s="12">
        <f t="shared" si="0"/>
        <v>162.63625000000002</v>
      </c>
      <c r="F9" s="13">
        <v>110.938</v>
      </c>
      <c r="G9" s="21">
        <v>74.584000000000003</v>
      </c>
      <c r="H9" s="22">
        <v>2297.8829999999998</v>
      </c>
      <c r="I9" s="13">
        <v>6.9</v>
      </c>
      <c r="J9" s="23">
        <v>2.9000000000000001E-2</v>
      </c>
      <c r="K9" s="13">
        <v>8.952</v>
      </c>
      <c r="L9" s="24">
        <v>45.8</v>
      </c>
      <c r="M9" s="13">
        <v>5.0970000000000004</v>
      </c>
      <c r="N9" s="23">
        <v>1.6E-2</v>
      </c>
      <c r="O9" s="22">
        <v>157.423</v>
      </c>
      <c r="P9" s="25">
        <v>3.9E-2</v>
      </c>
      <c r="Q9" s="26">
        <v>12.845000000000001</v>
      </c>
    </row>
    <row r="10" spans="1:17" ht="14.25" customHeight="1" x14ac:dyDescent="0.35">
      <c r="A10" s="1">
        <v>2024</v>
      </c>
      <c r="B10" s="1" t="s">
        <v>22</v>
      </c>
      <c r="C10" s="1">
        <v>9</v>
      </c>
      <c r="D10" s="12">
        <v>134.68799999999999</v>
      </c>
      <c r="E10" s="12">
        <f t="shared" si="0"/>
        <v>168.35999999999999</v>
      </c>
      <c r="F10" s="13">
        <v>114.84399999999999</v>
      </c>
      <c r="G10" s="21">
        <v>74.671000000000006</v>
      </c>
      <c r="H10" s="22">
        <v>2363.4810000000002</v>
      </c>
      <c r="I10" s="13">
        <v>6.9</v>
      </c>
      <c r="J10" s="23">
        <v>0.03</v>
      </c>
      <c r="K10" s="13">
        <v>8.7260000000000009</v>
      </c>
      <c r="L10" s="24">
        <v>46.253999999999998</v>
      </c>
      <c r="M10" s="13">
        <v>5.1100000000000003</v>
      </c>
      <c r="N10" s="23">
        <v>1.6E-2</v>
      </c>
      <c r="O10" s="22">
        <v>153.4</v>
      </c>
      <c r="P10" s="25">
        <v>4.2000000000000003E-2</v>
      </c>
      <c r="Q10" s="26">
        <v>12.563000000000001</v>
      </c>
    </row>
    <row r="11" spans="1:17" ht="14.25" customHeight="1" x14ac:dyDescent="0.35">
      <c r="A11" s="1">
        <v>2024</v>
      </c>
      <c r="B11" s="1" t="s">
        <v>22</v>
      </c>
      <c r="C11" s="1">
        <v>10</v>
      </c>
      <c r="D11" s="12">
        <v>134.89099999999999</v>
      </c>
      <c r="E11" s="12">
        <f t="shared" si="0"/>
        <v>168.61374999999998</v>
      </c>
      <c r="F11" s="13">
        <v>115</v>
      </c>
      <c r="G11" s="27">
        <v>74.772999999999996</v>
      </c>
      <c r="H11" s="22">
        <v>2397.0569999999998</v>
      </c>
      <c r="I11" s="13">
        <v>6.9</v>
      </c>
      <c r="J11" s="23">
        <v>2.9000000000000001E-2</v>
      </c>
      <c r="K11" s="28">
        <v>8.59</v>
      </c>
      <c r="L11" s="24">
        <v>45.621699999999997</v>
      </c>
      <c r="M11" s="13">
        <v>5.1163999999999996</v>
      </c>
      <c r="N11" s="29">
        <v>1.6E-2</v>
      </c>
      <c r="O11" s="22">
        <v>150.2895</v>
      </c>
      <c r="P11" s="30">
        <v>4.7300000000000002E-2</v>
      </c>
      <c r="Q11" s="31">
        <v>9.6839999999999993</v>
      </c>
    </row>
    <row r="12" spans="1:17" ht="14.25" customHeight="1" x14ac:dyDescent="0.35">
      <c r="A12" s="1">
        <v>2024</v>
      </c>
      <c r="B12" s="1" t="s">
        <v>22</v>
      </c>
      <c r="C12" s="1">
        <v>11</v>
      </c>
      <c r="D12" s="12">
        <v>134.48400000000001</v>
      </c>
      <c r="E12" s="32">
        <v>168.11</v>
      </c>
      <c r="F12" s="13">
        <v>114.71899999999999</v>
      </c>
      <c r="G12" s="27">
        <v>74.697000000000003</v>
      </c>
      <c r="H12" s="22">
        <v>2413.4259999999999</v>
      </c>
      <c r="I12" s="13">
        <v>6.9</v>
      </c>
      <c r="J12" s="23">
        <v>0.03</v>
      </c>
      <c r="K12" s="28">
        <v>8.2059999999999995</v>
      </c>
      <c r="L12" s="24">
        <v>46.052799999999998</v>
      </c>
      <c r="M12" s="13">
        <v>5.1151999999999997</v>
      </c>
      <c r="N12" s="29">
        <v>1.6E-2</v>
      </c>
      <c r="O12" s="22">
        <v>150.85599999999999</v>
      </c>
      <c r="P12" s="30">
        <v>4.1599999999999998E-2</v>
      </c>
      <c r="Q12" s="31">
        <v>7.8070000000000004</v>
      </c>
    </row>
    <row r="13" spans="1:17" ht="14.25" customHeight="1" x14ac:dyDescent="0.35">
      <c r="A13" s="1">
        <v>2024</v>
      </c>
      <c r="B13" s="1" t="s">
        <v>22</v>
      </c>
      <c r="C13" s="1">
        <v>12</v>
      </c>
      <c r="D13" s="12">
        <v>134.78100000000001</v>
      </c>
      <c r="E13" s="12">
        <f t="shared" ref="E13:E145" si="1">D13*1.25</f>
        <v>168.47624999999999</v>
      </c>
      <c r="F13" s="13">
        <v>114.875</v>
      </c>
      <c r="G13" s="27">
        <v>74.668999999999997</v>
      </c>
      <c r="H13" s="22">
        <v>2490.5549999999998</v>
      </c>
      <c r="I13" s="13">
        <v>6.9</v>
      </c>
      <c r="J13" s="23">
        <v>0.03</v>
      </c>
      <c r="K13" s="28">
        <v>7.6669999999999998</v>
      </c>
      <c r="L13" s="24">
        <v>49.252299999999998</v>
      </c>
      <c r="M13" s="13">
        <v>5.2785000000000002</v>
      </c>
      <c r="N13" s="29">
        <v>4.9799999999999997E-2</v>
      </c>
      <c r="O13" s="22">
        <v>112.32850000000001</v>
      </c>
      <c r="P13" s="30">
        <v>4.8300000000000003E-2</v>
      </c>
      <c r="Q13" s="31">
        <v>14.398</v>
      </c>
    </row>
    <row r="14" spans="1:17" ht="14.25" customHeight="1" x14ac:dyDescent="0.35">
      <c r="A14" s="1">
        <v>2024</v>
      </c>
      <c r="B14" s="1" t="s">
        <v>22</v>
      </c>
      <c r="C14" s="1">
        <v>13</v>
      </c>
      <c r="D14" s="12">
        <v>134.828</v>
      </c>
      <c r="E14" s="12">
        <f t="shared" si="1"/>
        <v>168.535</v>
      </c>
      <c r="F14" s="13">
        <v>115</v>
      </c>
      <c r="G14" s="27">
        <v>74.668999999999997</v>
      </c>
      <c r="H14" s="22">
        <v>2525.0650000000001</v>
      </c>
      <c r="I14" s="13">
        <v>6.9</v>
      </c>
      <c r="J14" s="23">
        <v>2.9000000000000001E-2</v>
      </c>
      <c r="K14" s="28">
        <v>7.4729999999999999</v>
      </c>
      <c r="L14" s="24">
        <v>51.117899999999999</v>
      </c>
      <c r="M14" s="13">
        <v>5.4012000000000002</v>
      </c>
      <c r="N14" s="23">
        <v>4.6100000000000002E-2</v>
      </c>
      <c r="O14" s="22">
        <v>78.184200000000004</v>
      </c>
      <c r="P14" s="30">
        <v>5.5399999999999998E-2</v>
      </c>
      <c r="Q14" s="31">
        <v>14.587</v>
      </c>
    </row>
    <row r="15" spans="1:17" ht="14.25" customHeight="1" x14ac:dyDescent="0.35">
      <c r="A15" s="1">
        <v>2024</v>
      </c>
      <c r="B15" s="1" t="s">
        <v>22</v>
      </c>
      <c r="C15" s="1">
        <v>14</v>
      </c>
      <c r="D15" s="12">
        <v>128.75</v>
      </c>
      <c r="E15" s="12">
        <f t="shared" si="1"/>
        <v>160.9375</v>
      </c>
      <c r="F15" s="13">
        <v>109.59399999999999</v>
      </c>
      <c r="G15" s="21">
        <v>74.739000000000004</v>
      </c>
      <c r="H15" s="22">
        <v>2326.2750000000001</v>
      </c>
      <c r="I15" s="13">
        <v>6.9</v>
      </c>
      <c r="J15" s="23">
        <v>2.9000000000000001E-2</v>
      </c>
      <c r="K15" s="28">
        <v>7.6029999999999998</v>
      </c>
      <c r="L15" s="33">
        <v>44.939</v>
      </c>
      <c r="M15" s="13">
        <v>5.3650000000000002</v>
      </c>
      <c r="N15" s="23">
        <v>4.8000000000000001E-2</v>
      </c>
      <c r="O15" s="22">
        <v>84.724999999999994</v>
      </c>
      <c r="P15" s="30">
        <v>5.1999999999999998E-2</v>
      </c>
      <c r="Q15" s="31">
        <v>14.491</v>
      </c>
    </row>
    <row r="16" spans="1:17" ht="14.25" customHeight="1" x14ac:dyDescent="0.35">
      <c r="A16" s="1">
        <v>2024</v>
      </c>
      <c r="B16" s="1" t="s">
        <v>22</v>
      </c>
      <c r="C16" s="1">
        <v>15</v>
      </c>
      <c r="D16" s="12">
        <v>131.09399999999999</v>
      </c>
      <c r="E16" s="12">
        <f t="shared" si="1"/>
        <v>163.86750000000001</v>
      </c>
      <c r="F16" s="13">
        <v>111.65600000000001</v>
      </c>
      <c r="G16" s="21">
        <v>74.820999999999998</v>
      </c>
      <c r="H16" s="22">
        <v>2350.6959999999999</v>
      </c>
      <c r="I16" s="13">
        <v>6.9</v>
      </c>
      <c r="J16" s="23">
        <v>2.9000000000000001E-2</v>
      </c>
      <c r="K16" s="28">
        <v>7.6120000000000001</v>
      </c>
      <c r="L16" s="24">
        <v>45.518999999999998</v>
      </c>
      <c r="M16" s="13">
        <v>5.3659999999999997</v>
      </c>
      <c r="N16" s="23">
        <v>2.1000000000000001E-2</v>
      </c>
      <c r="O16" s="22">
        <v>85.131</v>
      </c>
      <c r="P16" s="30">
        <v>0.05</v>
      </c>
      <c r="Q16" s="31">
        <v>12.4</v>
      </c>
    </row>
    <row r="17" spans="1:17" ht="14.25" customHeight="1" x14ac:dyDescent="0.35">
      <c r="A17" s="1">
        <v>2024</v>
      </c>
      <c r="B17" s="1" t="s">
        <v>22</v>
      </c>
      <c r="C17" s="1">
        <v>16</v>
      </c>
      <c r="D17" s="12">
        <v>134.84399999999999</v>
      </c>
      <c r="E17" s="12">
        <f t="shared" si="1"/>
        <v>168.55500000000001</v>
      </c>
      <c r="F17" s="13">
        <v>114.96899999999999</v>
      </c>
      <c r="G17" s="21">
        <v>75.096999999999994</v>
      </c>
      <c r="H17" s="22">
        <v>2289.0430000000001</v>
      </c>
      <c r="I17" s="13">
        <v>6.9</v>
      </c>
      <c r="J17" s="23">
        <v>2.9000000000000001E-2</v>
      </c>
      <c r="K17" s="28">
        <v>7.7169999999999996</v>
      </c>
      <c r="L17" s="24">
        <v>44.133000000000003</v>
      </c>
      <c r="M17" s="13">
        <v>5.3840000000000003</v>
      </c>
      <c r="N17" s="23">
        <v>1.7000000000000001E-2</v>
      </c>
      <c r="O17" s="22">
        <v>81.265000000000001</v>
      </c>
      <c r="P17" s="30">
        <v>5.2999999999999999E-2</v>
      </c>
      <c r="Q17" s="31">
        <v>10.911</v>
      </c>
    </row>
    <row r="18" spans="1:17" ht="14.25" customHeight="1" x14ac:dyDescent="0.35">
      <c r="A18" s="1">
        <v>2024</v>
      </c>
      <c r="B18" s="1" t="s">
        <v>22</v>
      </c>
      <c r="C18" s="1">
        <v>17</v>
      </c>
      <c r="D18" s="12">
        <v>134.953</v>
      </c>
      <c r="E18" s="12">
        <f t="shared" si="1"/>
        <v>168.69125</v>
      </c>
      <c r="F18" s="13">
        <v>114.96899999999999</v>
      </c>
      <c r="G18" s="21">
        <v>75.066999999999993</v>
      </c>
      <c r="H18" s="22">
        <v>2415.569</v>
      </c>
      <c r="I18" s="13">
        <v>6.9</v>
      </c>
      <c r="J18" s="23">
        <v>2.9000000000000001E-2</v>
      </c>
      <c r="K18" s="13">
        <v>7.367</v>
      </c>
      <c r="L18" s="24">
        <v>46.157899999999998</v>
      </c>
      <c r="M18" s="13">
        <v>5.3930999999999996</v>
      </c>
      <c r="N18" s="23">
        <v>1.66E-2</v>
      </c>
      <c r="O18" s="22">
        <v>79.427700000000002</v>
      </c>
      <c r="P18" s="25">
        <v>5.2400000000000002E-2</v>
      </c>
      <c r="Q18" s="26">
        <v>7.9160000000000004</v>
      </c>
    </row>
    <row r="19" spans="1:17" ht="14.25" customHeight="1" x14ac:dyDescent="0.35">
      <c r="A19" s="1">
        <v>2024</v>
      </c>
      <c r="B19" s="1" t="s">
        <v>22</v>
      </c>
      <c r="C19" s="1">
        <v>18</v>
      </c>
      <c r="D19" s="12">
        <v>134.98400000000001</v>
      </c>
      <c r="E19" s="12">
        <f t="shared" si="1"/>
        <v>168.73000000000002</v>
      </c>
      <c r="F19" s="13">
        <v>114.96899999999999</v>
      </c>
      <c r="G19" s="21">
        <v>75.442999999999998</v>
      </c>
      <c r="H19" s="22">
        <v>2422.0569999999998</v>
      </c>
      <c r="I19" s="13">
        <v>6.9</v>
      </c>
      <c r="J19" s="23">
        <v>2.9000000000000001E-2</v>
      </c>
      <c r="K19" s="13">
        <v>7.4119999999999999</v>
      </c>
      <c r="L19" s="24">
        <v>44.9788</v>
      </c>
      <c r="M19" s="13">
        <v>5.3814000000000002</v>
      </c>
      <c r="N19" s="23">
        <v>1.66E-2</v>
      </c>
      <c r="O19" s="22">
        <v>81.860299999999995</v>
      </c>
      <c r="P19" s="25">
        <v>5.2900000000000003E-2</v>
      </c>
      <c r="Q19" s="26">
        <v>6.9660000000000002</v>
      </c>
    </row>
    <row r="20" spans="1:17" ht="14.25" customHeight="1" x14ac:dyDescent="0.35">
      <c r="A20" s="1">
        <v>2024</v>
      </c>
      <c r="B20" s="1" t="s">
        <v>22</v>
      </c>
      <c r="C20" s="1">
        <v>19</v>
      </c>
      <c r="D20" s="12">
        <v>135.01599999999999</v>
      </c>
      <c r="E20" s="12">
        <f t="shared" si="1"/>
        <v>168.76999999999998</v>
      </c>
      <c r="F20" s="13">
        <v>115</v>
      </c>
      <c r="G20" s="21">
        <v>75.438000000000002</v>
      </c>
      <c r="H20" s="22">
        <v>2299.4059999999999</v>
      </c>
      <c r="I20" s="13">
        <v>6.9</v>
      </c>
      <c r="J20" s="23">
        <v>2.9000000000000001E-2</v>
      </c>
      <c r="K20" s="13">
        <v>7.9089999999999998</v>
      </c>
      <c r="L20" s="24">
        <v>42.301299999999998</v>
      </c>
      <c r="M20" s="13">
        <v>5.56</v>
      </c>
      <c r="N20" s="23">
        <v>1.5699999999999999E-2</v>
      </c>
      <c r="O20" s="22">
        <v>58.683300000000003</v>
      </c>
      <c r="P20" s="25">
        <v>5.5300000000000002E-2</v>
      </c>
      <c r="Q20" s="26">
        <v>9.1980000000000004</v>
      </c>
    </row>
    <row r="21" spans="1:17" ht="14.25" customHeight="1" x14ac:dyDescent="0.35">
      <c r="A21" s="1">
        <v>2024</v>
      </c>
      <c r="B21" s="1" t="s">
        <v>22</v>
      </c>
      <c r="C21" s="1">
        <v>20</v>
      </c>
      <c r="D21" s="12">
        <v>134.953</v>
      </c>
      <c r="E21" s="12">
        <f t="shared" si="1"/>
        <v>168.69125</v>
      </c>
      <c r="F21" s="13">
        <v>115</v>
      </c>
      <c r="G21" s="21">
        <v>75.290000000000006</v>
      </c>
      <c r="H21" s="22">
        <v>2299.4870000000001</v>
      </c>
      <c r="I21" s="13">
        <v>6.9</v>
      </c>
      <c r="J21" s="23">
        <v>2.9000000000000001E-2</v>
      </c>
      <c r="K21" s="13">
        <v>8.2550000000000008</v>
      </c>
      <c r="L21" s="24">
        <v>41.691000000000003</v>
      </c>
      <c r="M21" s="13">
        <v>5.6950000000000003</v>
      </c>
      <c r="N21" s="23">
        <v>1.4999999999999999E-2</v>
      </c>
      <c r="O21" s="22">
        <v>39.97</v>
      </c>
      <c r="P21" s="25">
        <v>5.3999999999999999E-2</v>
      </c>
      <c r="Q21" s="26">
        <v>4.992</v>
      </c>
    </row>
    <row r="22" spans="1:17" ht="14.25" customHeight="1" x14ac:dyDescent="0.35">
      <c r="A22" s="1">
        <v>2024</v>
      </c>
      <c r="B22" s="1" t="s">
        <v>22</v>
      </c>
      <c r="C22" s="1">
        <v>21</v>
      </c>
      <c r="D22" s="12">
        <v>133.48400000000001</v>
      </c>
      <c r="E22" s="12">
        <f t="shared" si="1"/>
        <v>166.85500000000002</v>
      </c>
      <c r="F22" s="13">
        <v>113.688</v>
      </c>
      <c r="G22" s="21">
        <v>75.236999999999995</v>
      </c>
      <c r="H22" s="22">
        <v>2099.625</v>
      </c>
      <c r="I22" s="13">
        <v>6.9</v>
      </c>
      <c r="J22" s="23">
        <v>2.8000000000000001E-2</v>
      </c>
      <c r="K22" s="13">
        <v>8.1679999999999993</v>
      </c>
      <c r="L22" s="24">
        <v>36.725000000000001</v>
      </c>
      <c r="M22" s="13">
        <v>5.67</v>
      </c>
      <c r="N22" s="23">
        <v>1.4999999999999999E-2</v>
      </c>
      <c r="O22" s="22">
        <v>42.295999999999999</v>
      </c>
      <c r="P22" s="25">
        <v>4.9000000000000002E-2</v>
      </c>
      <c r="Q22" s="26">
        <v>3.61</v>
      </c>
    </row>
    <row r="23" spans="1:17" ht="14.25" customHeight="1" x14ac:dyDescent="0.35">
      <c r="A23" s="1">
        <v>2024</v>
      </c>
      <c r="B23" s="1" t="s">
        <v>22</v>
      </c>
      <c r="C23" s="1">
        <v>22</v>
      </c>
      <c r="D23" s="12">
        <v>134.96899999999999</v>
      </c>
      <c r="E23" s="12">
        <f t="shared" si="1"/>
        <v>168.71125000000001</v>
      </c>
      <c r="F23" s="13">
        <v>115</v>
      </c>
      <c r="G23" s="21">
        <v>74.722999999999999</v>
      </c>
      <c r="H23" s="22">
        <v>2070.0619999999999</v>
      </c>
      <c r="I23" s="13">
        <v>6.9</v>
      </c>
      <c r="J23" s="23">
        <v>2.8000000000000001E-2</v>
      </c>
      <c r="K23" s="13">
        <v>7.9649999999999999</v>
      </c>
      <c r="L23" s="24">
        <v>35.005000000000003</v>
      </c>
      <c r="M23" s="13">
        <v>5.625</v>
      </c>
      <c r="N23" s="23">
        <v>1.4999999999999999E-2</v>
      </c>
      <c r="O23" s="22">
        <v>46.567</v>
      </c>
      <c r="P23" s="25">
        <v>4.5999999999999999E-2</v>
      </c>
      <c r="Q23" s="26">
        <v>3.944</v>
      </c>
    </row>
    <row r="24" spans="1:17" ht="14.25" customHeight="1" x14ac:dyDescent="0.35">
      <c r="A24" s="1">
        <v>2024</v>
      </c>
      <c r="B24" s="1" t="s">
        <v>22</v>
      </c>
      <c r="C24" s="1">
        <v>23</v>
      </c>
      <c r="D24" s="12">
        <v>134.96899999999999</v>
      </c>
      <c r="E24" s="12">
        <f t="shared" si="1"/>
        <v>168.71125000000001</v>
      </c>
      <c r="F24" s="13">
        <v>115</v>
      </c>
      <c r="G24" s="21">
        <v>74.733999999999995</v>
      </c>
      <c r="H24" s="22">
        <v>2185.248</v>
      </c>
      <c r="I24" s="13">
        <v>6.9</v>
      </c>
      <c r="J24" s="23">
        <v>2.8000000000000001E-2</v>
      </c>
      <c r="K24" s="13">
        <v>7.94</v>
      </c>
      <c r="L24" s="24">
        <v>36.707000000000001</v>
      </c>
      <c r="M24" s="13">
        <v>5.61</v>
      </c>
      <c r="N24" s="23">
        <v>1.4999999999999999E-2</v>
      </c>
      <c r="O24" s="22">
        <v>48.25</v>
      </c>
      <c r="P24" s="25">
        <v>5.5E-2</v>
      </c>
      <c r="Q24" s="26">
        <v>4.0890000000000004</v>
      </c>
    </row>
    <row r="25" spans="1:17" ht="14.25" customHeight="1" x14ac:dyDescent="0.35">
      <c r="A25" s="1">
        <v>2024</v>
      </c>
      <c r="B25" s="1" t="s">
        <v>22</v>
      </c>
      <c r="C25" s="1">
        <v>24</v>
      </c>
      <c r="D25" s="12">
        <v>134.875</v>
      </c>
      <c r="E25" s="12">
        <f t="shared" si="1"/>
        <v>168.59375</v>
      </c>
      <c r="F25" s="13">
        <v>114.75</v>
      </c>
      <c r="G25" s="21">
        <v>75.084000000000003</v>
      </c>
      <c r="H25" s="22">
        <v>2311.3240000000001</v>
      </c>
      <c r="I25" s="13">
        <v>6.9</v>
      </c>
      <c r="J25" s="23">
        <v>2.9000000000000001E-2</v>
      </c>
      <c r="K25" s="13">
        <v>7.8570000000000002</v>
      </c>
      <c r="L25" s="24">
        <v>39.842799999999997</v>
      </c>
      <c r="M25" s="13">
        <v>5.6119000000000003</v>
      </c>
      <c r="N25" s="23">
        <v>1.49E-2</v>
      </c>
      <c r="O25" s="22">
        <v>48.017899999999997</v>
      </c>
      <c r="P25" s="25">
        <v>5.1900000000000002E-2</v>
      </c>
      <c r="Q25" s="26">
        <v>4.9509999999999996</v>
      </c>
    </row>
    <row r="26" spans="1:17" ht="14.25" customHeight="1" x14ac:dyDescent="0.35">
      <c r="A26" s="1">
        <v>2024</v>
      </c>
      <c r="B26" s="1" t="s">
        <v>22</v>
      </c>
      <c r="C26" s="1">
        <v>25</v>
      </c>
      <c r="D26" s="12">
        <v>135.21899999999999</v>
      </c>
      <c r="E26" s="12">
        <f t="shared" si="1"/>
        <v>169.02375000000001</v>
      </c>
      <c r="F26" s="13">
        <v>115</v>
      </c>
      <c r="G26" s="21">
        <v>75.278000000000006</v>
      </c>
      <c r="H26" s="22">
        <v>2395.4740000000002</v>
      </c>
      <c r="I26" s="13">
        <v>6.9</v>
      </c>
      <c r="J26" s="23">
        <v>0.03</v>
      </c>
      <c r="K26" s="13">
        <v>7.9279999999999999</v>
      </c>
      <c r="L26" s="24">
        <v>42.107700000000001</v>
      </c>
      <c r="M26" s="13">
        <v>5.6052</v>
      </c>
      <c r="N26" s="23">
        <v>1.49E-2</v>
      </c>
      <c r="O26" s="22">
        <v>48.741500000000002</v>
      </c>
      <c r="P26" s="25">
        <v>5.7799999999999997E-2</v>
      </c>
      <c r="Q26" s="26">
        <v>4.4969999999999999</v>
      </c>
    </row>
    <row r="27" spans="1:17" ht="14.25" customHeight="1" x14ac:dyDescent="0.35">
      <c r="A27" s="1">
        <v>2024</v>
      </c>
      <c r="B27" s="1" t="s">
        <v>22</v>
      </c>
      <c r="C27" s="1">
        <v>26</v>
      </c>
      <c r="D27" s="12">
        <v>135.06299999999999</v>
      </c>
      <c r="E27" s="12">
        <f t="shared" si="1"/>
        <v>168.82874999999999</v>
      </c>
      <c r="F27" s="13">
        <v>114.90600000000001</v>
      </c>
      <c r="G27" s="21">
        <v>75.292000000000002</v>
      </c>
      <c r="H27" s="22">
        <v>2394.3069999999998</v>
      </c>
      <c r="I27" s="13">
        <v>6.9</v>
      </c>
      <c r="J27" s="23">
        <v>2.9000000000000001E-2</v>
      </c>
      <c r="K27" s="13">
        <v>7.8979999999999997</v>
      </c>
      <c r="L27" s="24">
        <v>41.576599999999999</v>
      </c>
      <c r="M27" s="13">
        <v>5.5928000000000004</v>
      </c>
      <c r="N27" s="23">
        <v>1.49E-2</v>
      </c>
      <c r="O27" s="22">
        <v>50.566699999999997</v>
      </c>
      <c r="P27" s="25">
        <v>5.79E-2</v>
      </c>
      <c r="Q27" s="26">
        <v>7.9240000000000004</v>
      </c>
    </row>
    <row r="28" spans="1:17" ht="14.25" customHeight="1" x14ac:dyDescent="0.35">
      <c r="A28" s="1">
        <v>2024</v>
      </c>
      <c r="B28" s="1" t="s">
        <v>22</v>
      </c>
      <c r="C28" s="1">
        <v>27</v>
      </c>
      <c r="D28" s="12">
        <v>135.172</v>
      </c>
      <c r="E28" s="12">
        <f t="shared" si="1"/>
        <v>168.965</v>
      </c>
      <c r="F28" s="13">
        <v>115</v>
      </c>
      <c r="G28" s="21">
        <v>75.427999999999997</v>
      </c>
      <c r="H28" s="22">
        <v>2383.768</v>
      </c>
      <c r="I28" s="13">
        <v>6.9</v>
      </c>
      <c r="J28" s="23">
        <v>2.8000000000000001E-2</v>
      </c>
      <c r="K28" s="13">
        <v>7.8120000000000003</v>
      </c>
      <c r="L28" s="24">
        <v>40.490099999999998</v>
      </c>
      <c r="M28" s="13">
        <v>5.5631000000000004</v>
      </c>
      <c r="N28" s="23">
        <v>1.49E-2</v>
      </c>
      <c r="O28" s="22">
        <v>54.0443</v>
      </c>
      <c r="P28" s="25">
        <v>4.8599999999999997E-2</v>
      </c>
      <c r="Q28" s="26">
        <v>11.153</v>
      </c>
    </row>
    <row r="29" spans="1:17" ht="14.25" customHeight="1" x14ac:dyDescent="0.35">
      <c r="A29" s="1">
        <v>2024</v>
      </c>
      <c r="B29" s="1" t="s">
        <v>22</v>
      </c>
      <c r="C29" s="1">
        <v>28</v>
      </c>
      <c r="D29" s="12">
        <v>135.26599999999999</v>
      </c>
      <c r="E29" s="12">
        <f t="shared" si="1"/>
        <v>169.08249999999998</v>
      </c>
      <c r="F29" s="13">
        <v>114.875</v>
      </c>
      <c r="G29" s="21">
        <v>75.694999999999993</v>
      </c>
      <c r="H29" s="22">
        <v>2241</v>
      </c>
      <c r="I29" s="13">
        <v>6.9009999999999998</v>
      </c>
      <c r="J29" s="23">
        <v>2.9000000000000001E-2</v>
      </c>
      <c r="K29" s="13">
        <v>7.8949999999999996</v>
      </c>
      <c r="L29" s="24">
        <v>37.79</v>
      </c>
      <c r="M29" s="13">
        <v>5.5830000000000002</v>
      </c>
      <c r="N29" s="23">
        <v>1.4999999999999999E-2</v>
      </c>
      <c r="O29" s="22">
        <v>51.445</v>
      </c>
      <c r="P29" s="25">
        <v>3.5999999999999997E-2</v>
      </c>
      <c r="Q29" s="26">
        <v>13.339</v>
      </c>
    </row>
    <row r="30" spans="1:17" ht="14.25" customHeight="1" x14ac:dyDescent="0.35">
      <c r="A30" s="1">
        <v>2024</v>
      </c>
      <c r="B30" s="1" t="s">
        <v>22</v>
      </c>
      <c r="C30" s="1">
        <v>29</v>
      </c>
      <c r="D30" s="12">
        <v>135.31299999999999</v>
      </c>
      <c r="E30" s="12">
        <f t="shared" si="1"/>
        <v>169.14124999999999</v>
      </c>
      <c r="F30" s="13">
        <v>115</v>
      </c>
      <c r="G30" s="21">
        <v>75.691999999999993</v>
      </c>
      <c r="H30" s="22">
        <v>2229.2060000000001</v>
      </c>
      <c r="I30" s="13">
        <v>6.9</v>
      </c>
      <c r="J30" s="23">
        <v>2.9000000000000001E-2</v>
      </c>
      <c r="K30" s="13">
        <v>7.6210000000000004</v>
      </c>
      <c r="L30" s="24">
        <v>38.859000000000002</v>
      </c>
      <c r="M30" s="13">
        <v>5.5570000000000004</v>
      </c>
      <c r="N30" s="23">
        <v>1.4999999999999999E-2</v>
      </c>
      <c r="O30" s="22">
        <v>54.593000000000004</v>
      </c>
      <c r="P30" s="25">
        <v>3.5000000000000003E-2</v>
      </c>
      <c r="Q30" s="26">
        <v>13.545</v>
      </c>
    </row>
    <row r="31" spans="1:17" ht="14.25" customHeight="1" x14ac:dyDescent="0.35">
      <c r="A31" s="1">
        <v>2024</v>
      </c>
      <c r="B31" s="1" t="s">
        <v>22</v>
      </c>
      <c r="C31" s="1">
        <v>30</v>
      </c>
      <c r="D31" s="12">
        <v>135.328</v>
      </c>
      <c r="E31" s="12">
        <f t="shared" si="1"/>
        <v>169.16</v>
      </c>
      <c r="F31" s="13">
        <v>115</v>
      </c>
      <c r="G31" s="21">
        <v>75.897999999999996</v>
      </c>
      <c r="H31" s="22">
        <v>2320.2289999999998</v>
      </c>
      <c r="I31" s="13">
        <v>6.9</v>
      </c>
      <c r="J31" s="23">
        <v>2.8000000000000001E-2</v>
      </c>
      <c r="K31" s="13">
        <v>7.2789999999999999</v>
      </c>
      <c r="L31" s="24">
        <v>40.57</v>
      </c>
      <c r="M31" s="13">
        <v>5.5640000000000001</v>
      </c>
      <c r="N31" s="23">
        <v>1.4999999999999999E-2</v>
      </c>
      <c r="O31" s="22">
        <v>53.868000000000002</v>
      </c>
      <c r="P31" s="25">
        <v>3.7999999999999999E-2</v>
      </c>
      <c r="Q31" s="26">
        <v>14.722</v>
      </c>
    </row>
    <row r="32" spans="1:17" ht="14.25" customHeight="1" x14ac:dyDescent="0.35">
      <c r="A32" s="1">
        <v>2024</v>
      </c>
      <c r="B32" s="1" t="s">
        <v>22</v>
      </c>
      <c r="C32" s="1">
        <v>31</v>
      </c>
      <c r="D32" s="34">
        <v>134.10900000000001</v>
      </c>
      <c r="E32" s="12">
        <f t="shared" si="1"/>
        <v>167.63625000000002</v>
      </c>
      <c r="F32" s="35">
        <v>114</v>
      </c>
      <c r="G32" s="36">
        <v>75.923000000000002</v>
      </c>
      <c r="H32" s="37">
        <v>2118.5</v>
      </c>
      <c r="I32" s="35">
        <v>6.9</v>
      </c>
      <c r="J32" s="38">
        <v>2.8000000000000001E-2</v>
      </c>
      <c r="K32" s="35">
        <v>7.3769999999999998</v>
      </c>
      <c r="L32" s="39">
        <v>35.562800000000003</v>
      </c>
      <c r="M32" s="35">
        <v>5.5509000000000004</v>
      </c>
      <c r="N32" s="38">
        <v>1.4800000000000001E-2</v>
      </c>
      <c r="O32" s="37">
        <v>55.257399999999997</v>
      </c>
      <c r="P32" s="40">
        <v>3.7400000000000003E-2</v>
      </c>
      <c r="Q32" s="41">
        <v>15.349</v>
      </c>
    </row>
    <row r="33" spans="1:17" ht="14.25" customHeight="1" x14ac:dyDescent="0.35">
      <c r="A33" s="1">
        <v>2024</v>
      </c>
      <c r="B33" s="1" t="s">
        <v>23</v>
      </c>
      <c r="C33" s="1">
        <v>1</v>
      </c>
      <c r="D33" s="12">
        <v>132.625</v>
      </c>
      <c r="E33" s="12">
        <f t="shared" si="1"/>
        <v>165.78125</v>
      </c>
      <c r="F33" s="13">
        <v>113</v>
      </c>
      <c r="G33" s="14">
        <v>74.266000000000005</v>
      </c>
      <c r="H33" s="15">
        <v>1677.345</v>
      </c>
      <c r="I33" s="16">
        <v>6.899</v>
      </c>
      <c r="J33" s="17">
        <v>2.8000000000000001E-2</v>
      </c>
      <c r="K33" s="16">
        <v>7.6379999999999999</v>
      </c>
      <c r="L33" s="18">
        <v>25.642199999999999</v>
      </c>
      <c r="M33" s="16">
        <v>5.415</v>
      </c>
      <c r="N33" s="17">
        <v>1.4800000000000001E-2</v>
      </c>
      <c r="O33" s="15">
        <v>77.463200000000001</v>
      </c>
      <c r="P33" s="19">
        <v>3.7100000000000001E-2</v>
      </c>
      <c r="Q33" s="20">
        <v>15.281000000000001</v>
      </c>
    </row>
    <row r="34" spans="1:17" ht="14.25" customHeight="1" x14ac:dyDescent="0.35">
      <c r="A34" s="1">
        <v>2024</v>
      </c>
      <c r="B34" s="1" t="s">
        <v>24</v>
      </c>
      <c r="C34" s="1">
        <v>2</v>
      </c>
      <c r="D34" s="12">
        <v>134.828</v>
      </c>
      <c r="E34" s="12">
        <f t="shared" si="1"/>
        <v>168.535</v>
      </c>
      <c r="F34" s="13">
        <v>114.90600000000001</v>
      </c>
      <c r="G34" s="21">
        <v>73.471000000000004</v>
      </c>
      <c r="H34" s="22">
        <v>1622.81</v>
      </c>
      <c r="I34" s="13">
        <v>6.9</v>
      </c>
      <c r="J34" s="23">
        <v>2.5999999999999999E-2</v>
      </c>
      <c r="K34" s="13">
        <v>7.4809999999999999</v>
      </c>
      <c r="L34" s="24">
        <v>24.424199999999999</v>
      </c>
      <c r="M34" s="13">
        <v>5.3258000000000001</v>
      </c>
      <c r="N34" s="23">
        <v>1.47E-2</v>
      </c>
      <c r="O34" s="22">
        <v>93.055499999999995</v>
      </c>
      <c r="P34" s="25">
        <v>3.6900000000000002E-2</v>
      </c>
      <c r="Q34" s="26">
        <v>7.2610000000000001</v>
      </c>
    </row>
    <row r="35" spans="1:17" ht="14.25" customHeight="1" x14ac:dyDescent="0.35">
      <c r="A35" s="1">
        <v>2024</v>
      </c>
      <c r="B35" s="1" t="s">
        <v>23</v>
      </c>
      <c r="C35" s="1">
        <v>3</v>
      </c>
      <c r="D35" s="12">
        <v>129.328</v>
      </c>
      <c r="E35" s="12">
        <f t="shared" si="1"/>
        <v>161.66</v>
      </c>
      <c r="F35" s="13">
        <v>110.15600000000001</v>
      </c>
      <c r="G35" s="21">
        <v>74.257999999999996</v>
      </c>
      <c r="H35" s="22">
        <v>1725.9559999999999</v>
      </c>
      <c r="I35" s="13">
        <v>6.9</v>
      </c>
      <c r="J35" s="23">
        <v>2.7E-2</v>
      </c>
      <c r="K35" s="13">
        <v>8.3040000000000003</v>
      </c>
      <c r="L35" s="24">
        <v>25.69</v>
      </c>
      <c r="M35" s="13">
        <v>5.3449999999999998</v>
      </c>
      <c r="N35" s="23">
        <v>1.4999999999999999E-2</v>
      </c>
      <c r="O35" s="22">
        <v>89.128</v>
      </c>
      <c r="P35" s="25">
        <v>3.9E-2</v>
      </c>
      <c r="Q35" s="26">
        <v>7.952</v>
      </c>
    </row>
    <row r="36" spans="1:17" ht="14.25" customHeight="1" x14ac:dyDescent="0.35">
      <c r="A36" s="1">
        <v>2024</v>
      </c>
      <c r="B36" s="1" t="s">
        <v>23</v>
      </c>
      <c r="C36" s="1">
        <v>4</v>
      </c>
      <c r="D36" s="12">
        <v>128.43799999999999</v>
      </c>
      <c r="E36" s="12">
        <f t="shared" si="1"/>
        <v>160.54749999999999</v>
      </c>
      <c r="F36" s="13">
        <v>109.438</v>
      </c>
      <c r="G36" s="21">
        <v>74.049000000000007</v>
      </c>
      <c r="H36" s="22">
        <v>1681.0820000000001</v>
      </c>
      <c r="I36" s="13">
        <v>6.9</v>
      </c>
      <c r="J36" s="23">
        <v>2.7E-2</v>
      </c>
      <c r="K36" s="13">
        <v>8.5500000000000007</v>
      </c>
      <c r="L36" s="24">
        <v>25.138000000000002</v>
      </c>
      <c r="M36" s="13">
        <v>5.3179999999999996</v>
      </c>
      <c r="N36" s="23">
        <v>1.4999999999999999E-2</v>
      </c>
      <c r="O36" s="22">
        <v>94.674999999999997</v>
      </c>
      <c r="P36" s="25">
        <v>3.7999999999999999E-2</v>
      </c>
      <c r="Q36" s="26">
        <v>8.5749999999999993</v>
      </c>
    </row>
    <row r="37" spans="1:17" ht="14.25" customHeight="1" x14ac:dyDescent="0.35">
      <c r="A37" s="1">
        <v>2024</v>
      </c>
      <c r="B37" s="1" t="s">
        <v>23</v>
      </c>
      <c r="C37" s="1">
        <v>5</v>
      </c>
      <c r="D37" s="12">
        <v>132.797</v>
      </c>
      <c r="E37" s="12">
        <f t="shared" si="1"/>
        <v>165.99625</v>
      </c>
      <c r="F37" s="13">
        <v>113.25</v>
      </c>
      <c r="G37" s="21">
        <v>72.001000000000005</v>
      </c>
      <c r="H37" s="22">
        <v>1485.2819999999999</v>
      </c>
      <c r="I37" s="13">
        <v>6.9</v>
      </c>
      <c r="J37" s="23">
        <v>2.5999999999999999E-2</v>
      </c>
      <c r="K37" s="13">
        <v>8.2539999999999996</v>
      </c>
      <c r="L37" s="24">
        <v>22.182300000000001</v>
      </c>
      <c r="M37" s="13">
        <v>5.3471000000000002</v>
      </c>
      <c r="N37" s="23">
        <v>1.47E-2</v>
      </c>
      <c r="O37" s="22">
        <v>88.436099999999996</v>
      </c>
      <c r="P37" s="25">
        <v>3.3399999999999999E-2</v>
      </c>
      <c r="Q37" s="26">
        <v>8.5299999999999994</v>
      </c>
    </row>
    <row r="38" spans="1:17" ht="14.25" customHeight="1" x14ac:dyDescent="0.35">
      <c r="A38" s="1">
        <v>2024</v>
      </c>
      <c r="B38" s="1" t="s">
        <v>23</v>
      </c>
      <c r="C38" s="1">
        <v>6</v>
      </c>
      <c r="D38" s="12">
        <v>110.438</v>
      </c>
      <c r="E38" s="12">
        <f t="shared" si="1"/>
        <v>138.04750000000001</v>
      </c>
      <c r="F38" s="13">
        <v>93.938000000000002</v>
      </c>
      <c r="G38" s="21">
        <v>70.896000000000001</v>
      </c>
      <c r="H38" s="22">
        <v>1515.923</v>
      </c>
      <c r="I38" s="13">
        <v>6.9</v>
      </c>
      <c r="J38" s="23">
        <v>2.5999999999999999E-2</v>
      </c>
      <c r="K38" s="13">
        <v>8.0820000000000007</v>
      </c>
      <c r="L38" s="24">
        <v>21.1</v>
      </c>
      <c r="M38" s="13">
        <v>5.3140000000000001</v>
      </c>
      <c r="N38" s="23">
        <v>1.4999999999999999E-2</v>
      </c>
      <c r="O38" s="22">
        <v>95.706000000000003</v>
      </c>
      <c r="P38" s="25">
        <v>3.7999999999999999E-2</v>
      </c>
      <c r="Q38" s="26">
        <v>9.0749999999999993</v>
      </c>
    </row>
    <row r="39" spans="1:17" ht="14.25" customHeight="1" x14ac:dyDescent="0.35">
      <c r="A39" s="1">
        <v>2024</v>
      </c>
      <c r="B39" s="1" t="s">
        <v>23</v>
      </c>
      <c r="C39" s="1">
        <v>7</v>
      </c>
      <c r="D39" s="12">
        <v>134.89099999999999</v>
      </c>
      <c r="E39" s="12">
        <f t="shared" si="1"/>
        <v>168.61374999999998</v>
      </c>
      <c r="F39" s="13">
        <v>115</v>
      </c>
      <c r="G39" s="21">
        <v>71.335999999999999</v>
      </c>
      <c r="H39" s="22">
        <v>1706.2919999999999</v>
      </c>
      <c r="I39" s="13">
        <v>6.9009999999999998</v>
      </c>
      <c r="J39" s="23">
        <v>2.5999999999999999E-2</v>
      </c>
      <c r="K39" s="13">
        <v>8.31</v>
      </c>
      <c r="L39" s="24">
        <v>24.1511</v>
      </c>
      <c r="M39" s="13">
        <v>5.3422999999999998</v>
      </c>
      <c r="N39" s="23">
        <v>1.4800000000000001E-2</v>
      </c>
      <c r="O39" s="22">
        <v>89.196799999999996</v>
      </c>
      <c r="P39" s="25">
        <v>3.8100000000000002E-2</v>
      </c>
      <c r="Q39" s="26">
        <v>8.3699999999999992</v>
      </c>
    </row>
    <row r="40" spans="1:17" ht="14.25" customHeight="1" x14ac:dyDescent="0.35">
      <c r="A40" s="1">
        <v>2024</v>
      </c>
      <c r="B40" s="1" t="s">
        <v>23</v>
      </c>
      <c r="C40" s="1">
        <v>8</v>
      </c>
      <c r="D40" s="12">
        <v>134.89099999999999</v>
      </c>
      <c r="E40" s="12">
        <f t="shared" si="1"/>
        <v>168.61374999999998</v>
      </c>
      <c r="F40" s="13">
        <v>115</v>
      </c>
      <c r="G40" s="21">
        <v>72.033000000000001</v>
      </c>
      <c r="H40" s="22">
        <v>1808.98</v>
      </c>
      <c r="I40" s="13">
        <v>6.9</v>
      </c>
      <c r="J40" s="23">
        <v>2.7E-2</v>
      </c>
      <c r="K40" s="13">
        <v>8.3290000000000006</v>
      </c>
      <c r="L40" s="24">
        <v>26.807600000000001</v>
      </c>
      <c r="M40" s="13">
        <v>5.3556999999999997</v>
      </c>
      <c r="N40" s="23">
        <v>1.47E-2</v>
      </c>
      <c r="O40" s="22">
        <v>86.682699999999997</v>
      </c>
      <c r="P40" s="25">
        <v>3.2099999999999997E-2</v>
      </c>
      <c r="Q40" s="26">
        <v>8.6760000000000002</v>
      </c>
    </row>
    <row r="41" spans="1:17" ht="14.25" customHeight="1" x14ac:dyDescent="0.35">
      <c r="A41" s="1">
        <v>2024</v>
      </c>
      <c r="B41" s="1" t="s">
        <v>23</v>
      </c>
      <c r="C41" s="1">
        <v>9</v>
      </c>
      <c r="D41" s="12">
        <v>134.875</v>
      </c>
      <c r="E41" s="12">
        <f t="shared" si="1"/>
        <v>168.59375</v>
      </c>
      <c r="F41" s="13">
        <v>115</v>
      </c>
      <c r="G41" s="21">
        <v>72.912000000000006</v>
      </c>
      <c r="H41" s="22">
        <v>1886.2470000000001</v>
      </c>
      <c r="I41" s="13">
        <v>6.9</v>
      </c>
      <c r="J41" s="23">
        <v>2.5999999999999999E-2</v>
      </c>
      <c r="K41" s="13">
        <v>8.1229999999999993</v>
      </c>
      <c r="L41" s="24">
        <v>28.158100000000001</v>
      </c>
      <c r="M41" s="13">
        <v>5.3032000000000004</v>
      </c>
      <c r="N41" s="23">
        <v>1.72E-2</v>
      </c>
      <c r="O41" s="22">
        <v>97.769099999999995</v>
      </c>
      <c r="P41" s="25">
        <v>3.5200000000000002E-2</v>
      </c>
      <c r="Q41" s="26">
        <v>6.4749999999999996</v>
      </c>
    </row>
    <row r="42" spans="1:17" ht="14.25" customHeight="1" x14ac:dyDescent="0.35">
      <c r="A42" s="1">
        <v>2024</v>
      </c>
      <c r="B42" s="1" t="s">
        <v>23</v>
      </c>
      <c r="C42" s="1">
        <v>10</v>
      </c>
      <c r="D42" s="12">
        <v>134.90600000000001</v>
      </c>
      <c r="E42" s="12">
        <f t="shared" si="1"/>
        <v>168.63249999999999</v>
      </c>
      <c r="F42" s="13">
        <v>115</v>
      </c>
      <c r="G42" s="27">
        <v>73.251999999999995</v>
      </c>
      <c r="H42" s="22">
        <v>1872.7529999999999</v>
      </c>
      <c r="I42" s="13">
        <v>6.9</v>
      </c>
      <c r="J42" s="23">
        <v>2.5000000000000001E-2</v>
      </c>
      <c r="K42" s="28">
        <v>7.9</v>
      </c>
      <c r="L42" s="24">
        <v>28.161000000000001</v>
      </c>
      <c r="M42" s="13">
        <v>5.2457000000000003</v>
      </c>
      <c r="N42" s="29">
        <v>1.95E-2</v>
      </c>
      <c r="O42" s="22">
        <v>112.1397</v>
      </c>
      <c r="P42" s="30">
        <v>3.5499999999999997E-2</v>
      </c>
      <c r="Q42" s="31">
        <v>5.8719999999999999</v>
      </c>
    </row>
    <row r="43" spans="1:17" ht="14.25" customHeight="1" x14ac:dyDescent="0.35">
      <c r="A43" s="1">
        <v>2024</v>
      </c>
      <c r="B43" s="1" t="s">
        <v>23</v>
      </c>
      <c r="C43" s="1">
        <v>11</v>
      </c>
      <c r="D43" s="12">
        <v>134.93799999999999</v>
      </c>
      <c r="E43" s="12">
        <f t="shared" si="1"/>
        <v>168.67249999999999</v>
      </c>
      <c r="F43" s="13">
        <v>115</v>
      </c>
      <c r="G43" s="27">
        <v>73.44</v>
      </c>
      <c r="H43" s="22">
        <v>1790.511</v>
      </c>
      <c r="I43" s="13">
        <v>6.9</v>
      </c>
      <c r="J43" s="23">
        <v>2.5000000000000001E-2</v>
      </c>
      <c r="K43" s="28">
        <v>7.9930000000000003</v>
      </c>
      <c r="L43" s="24">
        <v>26.22</v>
      </c>
      <c r="M43" s="13">
        <v>5.226</v>
      </c>
      <c r="N43" s="29">
        <v>1.9E-2</v>
      </c>
      <c r="O43" s="22">
        <v>117.624</v>
      </c>
      <c r="P43" s="30">
        <v>3.4000000000000002E-2</v>
      </c>
      <c r="Q43" s="31">
        <v>6.0529999999999999</v>
      </c>
    </row>
    <row r="44" spans="1:17" ht="14.25" customHeight="1" x14ac:dyDescent="0.35">
      <c r="A44" s="1">
        <v>2024</v>
      </c>
      <c r="B44" s="1" t="s">
        <v>23</v>
      </c>
      <c r="C44" s="1">
        <v>12</v>
      </c>
      <c r="D44" s="12">
        <v>135.03100000000001</v>
      </c>
      <c r="E44" s="12">
        <f t="shared" si="1"/>
        <v>168.78874999999999</v>
      </c>
      <c r="F44" s="13">
        <v>115</v>
      </c>
      <c r="G44" s="27">
        <v>73.622</v>
      </c>
      <c r="H44" s="22">
        <v>1772.7329999999999</v>
      </c>
      <c r="I44" s="13">
        <v>6.9</v>
      </c>
      <c r="J44" s="23">
        <v>2.5000000000000001E-2</v>
      </c>
      <c r="K44" s="28">
        <v>8.17</v>
      </c>
      <c r="L44" s="24">
        <v>25.001999999999999</v>
      </c>
      <c r="M44" s="13">
        <v>5.226</v>
      </c>
      <c r="N44" s="29">
        <v>1.9E-2</v>
      </c>
      <c r="O44" s="22">
        <v>117.889</v>
      </c>
      <c r="P44" s="30">
        <v>3.4000000000000002E-2</v>
      </c>
      <c r="Q44" s="31">
        <v>5.8819999999999997</v>
      </c>
    </row>
    <row r="45" spans="1:17" ht="14.25" customHeight="1" x14ac:dyDescent="0.35">
      <c r="A45" s="1">
        <v>2024</v>
      </c>
      <c r="B45" s="1" t="s">
        <v>23</v>
      </c>
      <c r="C45" s="1">
        <v>13</v>
      </c>
      <c r="D45" s="12">
        <v>133.797</v>
      </c>
      <c r="E45" s="12">
        <f t="shared" si="1"/>
        <v>167.24625</v>
      </c>
      <c r="F45" s="13">
        <v>113.938</v>
      </c>
      <c r="G45" s="27">
        <v>74.016000000000005</v>
      </c>
      <c r="H45" s="22">
        <v>1770.7950000000001</v>
      </c>
      <c r="I45" s="13">
        <v>6.9</v>
      </c>
      <c r="J45" s="23">
        <v>2.5000000000000001E-2</v>
      </c>
      <c r="K45" s="28">
        <v>8.3529999999999998</v>
      </c>
      <c r="L45" s="24">
        <v>25.484999999999999</v>
      </c>
      <c r="M45" s="13">
        <v>5.2480000000000002</v>
      </c>
      <c r="N45" s="23">
        <v>1.9E-2</v>
      </c>
      <c r="O45" s="22">
        <v>111.66</v>
      </c>
      <c r="P45" s="30">
        <v>3.7999999999999999E-2</v>
      </c>
      <c r="Q45" s="31">
        <v>5.5629999999999997</v>
      </c>
    </row>
    <row r="46" spans="1:17" ht="14.25" customHeight="1" x14ac:dyDescent="0.35">
      <c r="A46" s="1">
        <v>2024</v>
      </c>
      <c r="B46" s="1" t="s">
        <v>23</v>
      </c>
      <c r="C46" s="1">
        <v>14</v>
      </c>
      <c r="D46" s="12">
        <v>131.875</v>
      </c>
      <c r="E46" s="12">
        <f t="shared" si="1"/>
        <v>164.84375</v>
      </c>
      <c r="F46" s="13">
        <v>112.65600000000001</v>
      </c>
      <c r="G46" s="21">
        <v>74.253</v>
      </c>
      <c r="H46" s="22">
        <v>1802.799</v>
      </c>
      <c r="I46" s="13">
        <v>6.9</v>
      </c>
      <c r="J46" s="23">
        <v>2.5999999999999999E-2</v>
      </c>
      <c r="K46" s="28">
        <v>8.5609999999999999</v>
      </c>
      <c r="L46" s="33">
        <v>27.3872</v>
      </c>
      <c r="M46" s="13">
        <v>5.3040000000000003</v>
      </c>
      <c r="N46" s="23">
        <v>1.95E-2</v>
      </c>
      <c r="O46" s="22">
        <v>98.134200000000007</v>
      </c>
      <c r="P46" s="30">
        <v>4.2299999999999997E-2</v>
      </c>
      <c r="Q46" s="31">
        <v>7.9640000000000004</v>
      </c>
    </row>
    <row r="47" spans="1:17" ht="14.25" customHeight="1" x14ac:dyDescent="0.35">
      <c r="A47" s="1">
        <v>2024</v>
      </c>
      <c r="B47" s="1" t="s">
        <v>23</v>
      </c>
      <c r="C47" s="1">
        <v>15</v>
      </c>
      <c r="D47" s="12">
        <v>128.453</v>
      </c>
      <c r="E47" s="12">
        <f t="shared" si="1"/>
        <v>160.56625</v>
      </c>
      <c r="F47" s="13">
        <v>109.84399999999999</v>
      </c>
      <c r="G47" s="21">
        <v>74.504000000000005</v>
      </c>
      <c r="H47" s="22">
        <v>1811.953</v>
      </c>
      <c r="I47" s="13">
        <v>6.9</v>
      </c>
      <c r="J47" s="23">
        <v>2.7E-2</v>
      </c>
      <c r="K47" s="28">
        <v>8.6080000000000005</v>
      </c>
      <c r="L47" s="24">
        <v>26.422499999999999</v>
      </c>
      <c r="M47" s="13">
        <v>5.2858000000000001</v>
      </c>
      <c r="N47" s="23">
        <v>1.95E-2</v>
      </c>
      <c r="O47" s="22">
        <v>102.04510000000001</v>
      </c>
      <c r="P47" s="30">
        <v>4.2700000000000002E-2</v>
      </c>
      <c r="Q47" s="31">
        <v>7.0949999999999998</v>
      </c>
    </row>
    <row r="48" spans="1:17" ht="14.25" customHeight="1" x14ac:dyDescent="0.35">
      <c r="A48" s="1">
        <v>2024</v>
      </c>
      <c r="B48" s="1" t="s">
        <v>23</v>
      </c>
      <c r="C48" s="1">
        <v>16</v>
      </c>
      <c r="D48" s="12">
        <v>130.39099999999999</v>
      </c>
      <c r="E48" s="12">
        <f t="shared" si="1"/>
        <v>162.98874999999998</v>
      </c>
      <c r="F48" s="13">
        <v>111.438</v>
      </c>
      <c r="G48" s="21">
        <v>74.757999999999996</v>
      </c>
      <c r="H48" s="22">
        <v>1747.944</v>
      </c>
      <c r="I48" s="13">
        <v>6.9</v>
      </c>
      <c r="J48" s="23">
        <v>2.5000000000000001E-2</v>
      </c>
      <c r="K48" s="28">
        <v>7.673</v>
      </c>
      <c r="L48" s="24">
        <v>25.845300000000002</v>
      </c>
      <c r="M48" s="13">
        <v>5.1936</v>
      </c>
      <c r="N48" s="23">
        <v>1.5900000000000001E-2</v>
      </c>
      <c r="O48" s="22">
        <v>126.9494</v>
      </c>
      <c r="P48" s="30">
        <v>5.0099999999999999E-2</v>
      </c>
      <c r="Q48" s="31">
        <v>5.508</v>
      </c>
    </row>
    <row r="49" spans="1:17" ht="14.25" customHeight="1" x14ac:dyDescent="0.35">
      <c r="A49" s="1">
        <v>2024</v>
      </c>
      <c r="B49" s="1" t="s">
        <v>23</v>
      </c>
      <c r="C49" s="1">
        <v>17</v>
      </c>
      <c r="D49" s="12">
        <v>128.85900000000001</v>
      </c>
      <c r="E49" s="12">
        <f t="shared" si="1"/>
        <v>161.07375000000002</v>
      </c>
      <c r="F49" s="13">
        <v>110</v>
      </c>
      <c r="G49" s="21">
        <v>74.775000000000006</v>
      </c>
      <c r="H49" s="22">
        <v>1719.7550000000001</v>
      </c>
      <c r="I49" s="13">
        <v>6.9</v>
      </c>
      <c r="J49" s="23">
        <v>2.5999999999999999E-2</v>
      </c>
      <c r="K49" s="13">
        <v>7.3479999999999999</v>
      </c>
      <c r="L49" s="24">
        <v>25.175000000000001</v>
      </c>
      <c r="M49" s="13">
        <v>5.1440000000000001</v>
      </c>
      <c r="N49" s="23">
        <v>1.2999999999999999E-2</v>
      </c>
      <c r="O49" s="22">
        <v>141.19499999999999</v>
      </c>
      <c r="P49" s="25">
        <v>5.0999999999999997E-2</v>
      </c>
      <c r="Q49" s="26">
        <v>5.4139999999999997</v>
      </c>
    </row>
    <row r="50" spans="1:17" ht="14.25" customHeight="1" x14ac:dyDescent="0.35">
      <c r="A50" s="1">
        <v>2024</v>
      </c>
      <c r="B50" s="1" t="s">
        <v>23</v>
      </c>
      <c r="C50" s="1">
        <v>18</v>
      </c>
      <c r="D50" s="12">
        <v>128.81299999999999</v>
      </c>
      <c r="E50" s="12">
        <f t="shared" si="1"/>
        <v>161.01624999999999</v>
      </c>
      <c r="F50" s="13">
        <v>110</v>
      </c>
      <c r="G50" s="21">
        <v>75.031999999999996</v>
      </c>
      <c r="H50" s="22">
        <v>1663.2619999999999</v>
      </c>
      <c r="I50" s="13">
        <v>6.9</v>
      </c>
      <c r="J50" s="23">
        <v>2.5000000000000001E-2</v>
      </c>
      <c r="K50" s="13">
        <v>7.2640000000000002</v>
      </c>
      <c r="L50" s="24">
        <v>24.475000000000001</v>
      </c>
      <c r="M50" s="13">
        <v>5.1559999999999997</v>
      </c>
      <c r="N50" s="23">
        <v>1.2999999999999999E-2</v>
      </c>
      <c r="O50" s="22">
        <v>137.46100000000001</v>
      </c>
      <c r="P50" s="25">
        <v>4.8000000000000001E-2</v>
      </c>
      <c r="Q50" s="26">
        <v>5.35</v>
      </c>
    </row>
    <row r="51" spans="1:17" ht="14.25" customHeight="1" x14ac:dyDescent="0.35">
      <c r="A51" s="1">
        <v>2024</v>
      </c>
      <c r="B51" s="1" t="s">
        <v>23</v>
      </c>
      <c r="C51" s="1">
        <v>19</v>
      </c>
      <c r="D51" s="12">
        <v>133.18799999999999</v>
      </c>
      <c r="E51" s="12">
        <f t="shared" si="1"/>
        <v>166.48499999999999</v>
      </c>
      <c r="F51" s="13">
        <v>113.688</v>
      </c>
      <c r="G51" s="21">
        <v>74.501999999999995</v>
      </c>
      <c r="H51" s="22">
        <v>1662.1369999999999</v>
      </c>
      <c r="I51" s="13">
        <v>6.9</v>
      </c>
      <c r="J51" s="23">
        <v>2.5999999999999999E-2</v>
      </c>
      <c r="K51" s="13">
        <v>7.5819999999999999</v>
      </c>
      <c r="L51" s="24">
        <v>25.754999999999999</v>
      </c>
      <c r="M51" s="13">
        <v>5.15</v>
      </c>
      <c r="N51" s="23">
        <v>1.2999999999999999E-2</v>
      </c>
      <c r="O51" s="22">
        <v>139.68299999999999</v>
      </c>
      <c r="P51" s="25">
        <v>4.9000000000000002E-2</v>
      </c>
      <c r="Q51" s="26">
        <v>5.7030000000000003</v>
      </c>
    </row>
    <row r="52" spans="1:17" ht="14.25" customHeight="1" x14ac:dyDescent="0.35">
      <c r="A52" s="1">
        <v>2024</v>
      </c>
      <c r="B52" s="1" t="s">
        <v>23</v>
      </c>
      <c r="C52" s="1">
        <v>20</v>
      </c>
      <c r="D52" s="12">
        <v>134.672</v>
      </c>
      <c r="E52" s="12">
        <f t="shared" si="1"/>
        <v>168.34</v>
      </c>
      <c r="F52" s="13">
        <v>115</v>
      </c>
      <c r="G52" s="21">
        <v>73.894999999999996</v>
      </c>
      <c r="H52" s="22">
        <v>1616.9839999999999</v>
      </c>
      <c r="I52" s="13">
        <v>6.9</v>
      </c>
      <c r="J52" s="23">
        <v>2.5999999999999999E-2</v>
      </c>
      <c r="K52" s="13">
        <v>7.5419999999999998</v>
      </c>
      <c r="L52" s="24">
        <v>24.117000000000001</v>
      </c>
      <c r="M52" s="13">
        <v>5.1580000000000004</v>
      </c>
      <c r="N52" s="23">
        <v>1.2999999999999999E-2</v>
      </c>
      <c r="O52" s="22">
        <v>136.67699999999999</v>
      </c>
      <c r="P52" s="25">
        <v>4.9000000000000002E-2</v>
      </c>
      <c r="Q52" s="26">
        <v>5.6289999999999996</v>
      </c>
    </row>
    <row r="53" spans="1:17" ht="14.25" customHeight="1" x14ac:dyDescent="0.35">
      <c r="A53" s="1">
        <v>2024</v>
      </c>
      <c r="B53" s="1" t="s">
        <v>23</v>
      </c>
      <c r="C53" s="1">
        <v>21</v>
      </c>
      <c r="D53" s="12">
        <v>134.73400000000001</v>
      </c>
      <c r="E53" s="12">
        <f t="shared" si="1"/>
        <v>168.41750000000002</v>
      </c>
      <c r="F53" s="13">
        <v>115</v>
      </c>
      <c r="G53" s="21">
        <v>73.662000000000006</v>
      </c>
      <c r="H53" s="22">
        <v>1678.3019999999999</v>
      </c>
      <c r="I53" s="13">
        <v>6.9</v>
      </c>
      <c r="J53" s="23">
        <v>2.5999999999999999E-2</v>
      </c>
      <c r="K53" s="13">
        <v>7.2510000000000003</v>
      </c>
      <c r="L53" s="24">
        <v>24.264199999999999</v>
      </c>
      <c r="M53" s="13">
        <v>5.1574</v>
      </c>
      <c r="N53" s="23">
        <v>1.3299999999999999E-2</v>
      </c>
      <c r="O53" s="22">
        <v>137.05690000000001</v>
      </c>
      <c r="P53" s="25">
        <v>4.87E-2</v>
      </c>
      <c r="Q53" s="26">
        <v>5.2110000000000003</v>
      </c>
    </row>
    <row r="54" spans="1:17" ht="14.25" customHeight="1" x14ac:dyDescent="0.35">
      <c r="A54" s="1">
        <v>2024</v>
      </c>
      <c r="B54" s="1" t="s">
        <v>23</v>
      </c>
      <c r="C54" s="1">
        <v>22</v>
      </c>
      <c r="D54" s="12">
        <v>134.78100000000001</v>
      </c>
      <c r="E54" s="12">
        <f t="shared" si="1"/>
        <v>168.47624999999999</v>
      </c>
      <c r="F54" s="13">
        <v>115</v>
      </c>
      <c r="G54" s="21">
        <v>74.323999999999998</v>
      </c>
      <c r="H54" s="22">
        <v>1779.3820000000001</v>
      </c>
      <c r="I54" s="13">
        <v>6.899</v>
      </c>
      <c r="J54" s="23">
        <v>2.5000000000000001E-2</v>
      </c>
      <c r="K54" s="13">
        <v>7.4420000000000002</v>
      </c>
      <c r="L54" s="24">
        <v>25.238600000000002</v>
      </c>
      <c r="M54" s="13">
        <v>5.1544999999999996</v>
      </c>
      <c r="N54" s="23">
        <v>1.3299999999999999E-2</v>
      </c>
      <c r="O54" s="22">
        <v>138.2534</v>
      </c>
      <c r="P54" s="25">
        <v>5.1799999999999999E-2</v>
      </c>
      <c r="Q54" s="26">
        <v>4.601</v>
      </c>
    </row>
    <row r="55" spans="1:17" ht="14.25" customHeight="1" x14ac:dyDescent="0.35">
      <c r="A55" s="1">
        <v>2024</v>
      </c>
      <c r="B55" s="1" t="s">
        <v>23</v>
      </c>
      <c r="C55" s="1">
        <v>23</v>
      </c>
      <c r="D55" s="12">
        <v>108.51600000000001</v>
      </c>
      <c r="E55" s="12">
        <f t="shared" si="1"/>
        <v>135.64500000000001</v>
      </c>
      <c r="F55" s="13">
        <v>92.313000000000002</v>
      </c>
      <c r="G55" s="21">
        <v>74.863</v>
      </c>
      <c r="H55" s="22">
        <v>1819.97</v>
      </c>
      <c r="I55" s="13">
        <v>6.9</v>
      </c>
      <c r="J55" s="23">
        <v>2.4E-2</v>
      </c>
      <c r="K55" s="13">
        <v>7.23</v>
      </c>
      <c r="L55" s="24">
        <v>25.486499999999999</v>
      </c>
      <c r="M55" s="13">
        <v>5.1967999999999996</v>
      </c>
      <c r="N55" s="23">
        <v>1.3299999999999999E-2</v>
      </c>
      <c r="O55" s="22">
        <v>129.6739</v>
      </c>
      <c r="P55" s="25">
        <v>5.3199999999999997E-2</v>
      </c>
      <c r="Q55" s="26">
        <v>3.1859999999999999</v>
      </c>
    </row>
    <row r="56" spans="1:17" ht="14.25" customHeight="1" x14ac:dyDescent="0.35">
      <c r="A56" s="1">
        <v>2024</v>
      </c>
      <c r="B56" s="1" t="s">
        <v>23</v>
      </c>
      <c r="C56" s="1">
        <v>24</v>
      </c>
      <c r="D56" s="12">
        <v>94.171999999999997</v>
      </c>
      <c r="E56" s="12">
        <f t="shared" si="1"/>
        <v>117.715</v>
      </c>
      <c r="F56" s="13">
        <v>80</v>
      </c>
      <c r="G56" s="21">
        <v>74.888999999999996</v>
      </c>
      <c r="H56" s="22">
        <v>1811.5909999999999</v>
      </c>
      <c r="I56" s="13">
        <v>6.9</v>
      </c>
      <c r="J56" s="23">
        <v>2.4E-2</v>
      </c>
      <c r="K56" s="13">
        <v>7.2309999999999999</v>
      </c>
      <c r="L56" s="24">
        <v>25.888100000000001</v>
      </c>
      <c r="M56" s="13">
        <v>5.2458999999999998</v>
      </c>
      <c r="N56" s="23">
        <v>1.3299999999999999E-2</v>
      </c>
      <c r="O56" s="22">
        <v>112.3648</v>
      </c>
      <c r="P56" s="25">
        <v>5.4800000000000001E-2</v>
      </c>
      <c r="Q56" s="26">
        <v>2.9569999999999999</v>
      </c>
    </row>
    <row r="57" spans="1:17" ht="14.25" customHeight="1" x14ac:dyDescent="0.35">
      <c r="A57" s="1">
        <v>2024</v>
      </c>
      <c r="B57" s="1" t="s">
        <v>23</v>
      </c>
      <c r="C57" s="1">
        <v>25</v>
      </c>
      <c r="D57" s="12">
        <v>94.125</v>
      </c>
      <c r="E57" s="12">
        <f t="shared" si="1"/>
        <v>117.65625</v>
      </c>
      <c r="F57" s="13">
        <v>80</v>
      </c>
      <c r="G57" s="21">
        <v>75.113</v>
      </c>
      <c r="H57" s="22">
        <v>1761.7380000000001</v>
      </c>
      <c r="I57" s="13">
        <v>6.9</v>
      </c>
      <c r="J57" s="23">
        <v>2.5000000000000001E-2</v>
      </c>
      <c r="K57" s="13">
        <v>7.3070000000000004</v>
      </c>
      <c r="L57" s="24">
        <v>25.323</v>
      </c>
      <c r="M57" s="13">
        <v>5.2709999999999999</v>
      </c>
      <c r="N57" s="23">
        <v>1.2999999999999999E-2</v>
      </c>
      <c r="O57" s="22">
        <v>105.813</v>
      </c>
      <c r="P57" s="25">
        <v>5.2999999999999999E-2</v>
      </c>
      <c r="Q57" s="26">
        <v>3.64</v>
      </c>
    </row>
    <row r="58" spans="1:17" ht="14.25" customHeight="1" x14ac:dyDescent="0.35">
      <c r="A58" s="1">
        <v>2024</v>
      </c>
      <c r="B58" s="1" t="s">
        <v>23</v>
      </c>
      <c r="C58" s="1">
        <v>26</v>
      </c>
      <c r="D58" s="12">
        <v>94.233999999999995</v>
      </c>
      <c r="E58" s="12">
        <f t="shared" si="1"/>
        <v>117.79249999999999</v>
      </c>
      <c r="F58" s="13">
        <v>79.968999999999994</v>
      </c>
      <c r="G58" s="21">
        <v>74.884</v>
      </c>
      <c r="H58" s="22">
        <v>1717.7650000000001</v>
      </c>
      <c r="I58" s="13">
        <v>6.9</v>
      </c>
      <c r="J58" s="23">
        <v>2.5000000000000001E-2</v>
      </c>
      <c r="K58" s="13">
        <v>7.4829999999999997</v>
      </c>
      <c r="L58" s="24">
        <v>25.718</v>
      </c>
      <c r="M58" s="13">
        <v>5.3</v>
      </c>
      <c r="N58" s="23">
        <v>1.2999999999999999E-2</v>
      </c>
      <c r="O58" s="22">
        <v>98.561999999999998</v>
      </c>
      <c r="P58" s="25">
        <v>5.6000000000000001E-2</v>
      </c>
      <c r="Q58" s="26">
        <v>1.837</v>
      </c>
    </row>
    <row r="59" spans="1:17" ht="14.25" customHeight="1" x14ac:dyDescent="0.35">
      <c r="A59" s="1">
        <v>2024</v>
      </c>
      <c r="B59" s="1" t="s">
        <v>23</v>
      </c>
      <c r="C59" s="1">
        <v>27</v>
      </c>
      <c r="D59" s="12">
        <v>94.171999999999997</v>
      </c>
      <c r="E59" s="12">
        <f t="shared" si="1"/>
        <v>117.715</v>
      </c>
      <c r="F59" s="13">
        <v>79.875</v>
      </c>
      <c r="G59" s="21">
        <v>75.016999999999996</v>
      </c>
      <c r="H59" s="22">
        <v>1769.701</v>
      </c>
      <c r="I59" s="13">
        <v>6.9</v>
      </c>
      <c r="J59" s="23">
        <v>2.5000000000000001E-2</v>
      </c>
      <c r="K59" s="13">
        <v>7.5670000000000002</v>
      </c>
      <c r="L59" s="24">
        <v>26.477</v>
      </c>
      <c r="M59" s="13">
        <v>5.2949999999999999</v>
      </c>
      <c r="N59" s="23">
        <v>1.2999999999999999E-2</v>
      </c>
      <c r="O59" s="22">
        <v>98.819000000000003</v>
      </c>
      <c r="P59" s="25">
        <v>6.4000000000000001E-2</v>
      </c>
      <c r="Q59" s="26">
        <v>0.47299999999999998</v>
      </c>
    </row>
    <row r="60" spans="1:17" ht="14.25" customHeight="1" x14ac:dyDescent="0.35">
      <c r="A60" s="1">
        <v>2024</v>
      </c>
      <c r="B60" s="1" t="s">
        <v>23</v>
      </c>
      <c r="C60" s="1">
        <v>28</v>
      </c>
      <c r="D60" s="12">
        <v>94.218999999999994</v>
      </c>
      <c r="E60" s="12">
        <f t="shared" si="1"/>
        <v>117.77374999999999</v>
      </c>
      <c r="F60" s="13">
        <v>79.968999999999994</v>
      </c>
      <c r="G60" s="21">
        <v>75.236000000000004</v>
      </c>
      <c r="H60" s="22">
        <v>1785.42</v>
      </c>
      <c r="I60" s="13">
        <v>6.9</v>
      </c>
      <c r="J60" s="23">
        <v>2.5000000000000001E-2</v>
      </c>
      <c r="K60" s="13">
        <v>7.43</v>
      </c>
      <c r="L60" s="24">
        <v>26.113299999999999</v>
      </c>
      <c r="M60" s="13">
        <v>5.2462999999999997</v>
      </c>
      <c r="N60" s="23">
        <v>1.3299999999999999E-2</v>
      </c>
      <c r="O60" s="22">
        <v>111.8232</v>
      </c>
      <c r="P60" s="25">
        <v>5.91E-2</v>
      </c>
      <c r="Q60" s="26">
        <v>0.47599999999999998</v>
      </c>
    </row>
    <row r="61" spans="1:17" ht="14.25" customHeight="1" x14ac:dyDescent="0.35">
      <c r="A61" s="1">
        <v>2024</v>
      </c>
      <c r="B61" s="1" t="s">
        <v>23</v>
      </c>
      <c r="C61" s="1">
        <v>29</v>
      </c>
      <c r="D61" s="34">
        <v>94.218999999999994</v>
      </c>
      <c r="E61" s="12">
        <f t="shared" si="1"/>
        <v>117.77374999999999</v>
      </c>
      <c r="F61" s="35">
        <v>80.031000000000006</v>
      </c>
      <c r="G61" s="21">
        <v>75.266999999999996</v>
      </c>
      <c r="H61" s="22">
        <v>1776.771</v>
      </c>
      <c r="I61" s="13">
        <v>6.9</v>
      </c>
      <c r="J61" s="23">
        <v>2.5999999999999999E-2</v>
      </c>
      <c r="K61" s="13">
        <v>7.3680000000000003</v>
      </c>
      <c r="L61" s="24">
        <v>25.635000000000002</v>
      </c>
      <c r="M61" s="13">
        <v>5.2792000000000003</v>
      </c>
      <c r="N61" s="23">
        <v>1.3299999999999999E-2</v>
      </c>
      <c r="O61" s="22">
        <v>103.5005</v>
      </c>
      <c r="P61" s="25">
        <v>5.5100000000000003E-2</v>
      </c>
      <c r="Q61" s="26">
        <v>0.47899999999999998</v>
      </c>
    </row>
    <row r="62" spans="1:17" ht="14.25" customHeight="1" x14ac:dyDescent="0.35">
      <c r="A62" s="1">
        <v>2024</v>
      </c>
      <c r="B62" s="1" t="s">
        <v>25</v>
      </c>
      <c r="C62" s="1">
        <v>1</v>
      </c>
      <c r="D62" s="12">
        <v>94.203000000000003</v>
      </c>
      <c r="E62" s="12">
        <f t="shared" si="1"/>
        <v>117.75375</v>
      </c>
      <c r="F62" s="13">
        <v>79.968999999999994</v>
      </c>
      <c r="G62" s="14">
        <v>75.325000000000003</v>
      </c>
      <c r="H62" s="15">
        <v>1751.0920000000001</v>
      </c>
      <c r="I62" s="16">
        <v>6.9</v>
      </c>
      <c r="J62" s="17">
        <v>2.5999999999999999E-2</v>
      </c>
      <c r="K62" s="16">
        <v>8.016</v>
      </c>
      <c r="L62" s="18">
        <v>24.831700000000001</v>
      </c>
      <c r="M62" s="16">
        <v>5.2275</v>
      </c>
      <c r="N62" s="17">
        <v>1.32E-2</v>
      </c>
      <c r="O62" s="15">
        <v>117.4593</v>
      </c>
      <c r="P62" s="19">
        <v>5.3999999999999999E-2</v>
      </c>
      <c r="Q62" s="20">
        <v>0.63</v>
      </c>
    </row>
    <row r="63" spans="1:17" ht="14.25" customHeight="1" x14ac:dyDescent="0.35">
      <c r="A63" s="1">
        <v>2024</v>
      </c>
      <c r="B63" s="1" t="s">
        <v>25</v>
      </c>
      <c r="C63" s="1">
        <v>2</v>
      </c>
      <c r="D63" s="12">
        <v>94.188000000000002</v>
      </c>
      <c r="E63" s="12">
        <f t="shared" si="1"/>
        <v>117.735</v>
      </c>
      <c r="F63" s="13">
        <v>80.031000000000006</v>
      </c>
      <c r="G63" s="21">
        <v>74.798000000000002</v>
      </c>
      <c r="H63" s="22">
        <v>1714.8019999999999</v>
      </c>
      <c r="I63" s="13">
        <v>6.9</v>
      </c>
      <c r="J63" s="23">
        <v>2.5999999999999999E-2</v>
      </c>
      <c r="K63" s="13">
        <v>8.3490000000000002</v>
      </c>
      <c r="L63" s="24">
        <v>23.788</v>
      </c>
      <c r="M63" s="13">
        <v>5.1849999999999996</v>
      </c>
      <c r="N63" s="23">
        <v>1.2999999999999999E-2</v>
      </c>
      <c r="O63" s="22">
        <v>128.34700000000001</v>
      </c>
      <c r="P63" s="25">
        <v>5.2999999999999999E-2</v>
      </c>
      <c r="Q63" s="26">
        <v>0.88400000000000001</v>
      </c>
    </row>
    <row r="64" spans="1:17" ht="14.25" customHeight="1" x14ac:dyDescent="0.35">
      <c r="A64" s="1">
        <v>2024</v>
      </c>
      <c r="B64" s="1" t="s">
        <v>25</v>
      </c>
      <c r="C64" s="1">
        <v>3</v>
      </c>
      <c r="D64" s="12">
        <v>94.233999999999995</v>
      </c>
      <c r="E64" s="12">
        <f t="shared" si="1"/>
        <v>117.79249999999999</v>
      </c>
      <c r="F64" s="13">
        <v>80</v>
      </c>
      <c r="G64" s="21">
        <v>74.704999999999998</v>
      </c>
      <c r="H64" s="22">
        <v>1660.9280000000001</v>
      </c>
      <c r="I64" s="13">
        <v>6.9</v>
      </c>
      <c r="J64" s="23">
        <v>2.5999999999999999E-2</v>
      </c>
      <c r="K64" s="13">
        <v>8.36</v>
      </c>
      <c r="L64" s="24">
        <v>22.704000000000001</v>
      </c>
      <c r="M64" s="13">
        <v>5.1820000000000004</v>
      </c>
      <c r="N64" s="23">
        <v>1.2999999999999999E-2</v>
      </c>
      <c r="O64" s="22">
        <v>129.51</v>
      </c>
      <c r="P64" s="25">
        <v>0.05</v>
      </c>
      <c r="Q64" s="26">
        <v>0.873</v>
      </c>
    </row>
    <row r="65" spans="1:17" ht="14.25" customHeight="1" x14ac:dyDescent="0.35">
      <c r="A65" s="1">
        <v>2024</v>
      </c>
      <c r="B65" s="1" t="s">
        <v>25</v>
      </c>
      <c r="C65" s="1">
        <v>4</v>
      </c>
      <c r="D65" s="12">
        <v>94.203000000000003</v>
      </c>
      <c r="E65" s="12">
        <f t="shared" si="1"/>
        <v>117.75375</v>
      </c>
      <c r="F65" s="13">
        <v>79.968999999999994</v>
      </c>
      <c r="G65" s="21">
        <v>74.736999999999995</v>
      </c>
      <c r="H65" s="22">
        <v>1652.723</v>
      </c>
      <c r="I65" s="13">
        <v>6.9</v>
      </c>
      <c r="J65" s="23">
        <v>2.5999999999999999E-2</v>
      </c>
      <c r="K65" s="13">
        <v>8.4930000000000003</v>
      </c>
      <c r="L65" s="24">
        <v>22.2</v>
      </c>
      <c r="M65" s="13">
        <v>5.1840000000000002</v>
      </c>
      <c r="N65" s="23">
        <v>1.2999999999999999E-2</v>
      </c>
      <c r="O65" s="22">
        <v>128.99</v>
      </c>
      <c r="P65" s="25">
        <v>0.05</v>
      </c>
      <c r="Q65" s="26">
        <v>0.81100000000000005</v>
      </c>
    </row>
    <row r="66" spans="1:17" ht="14.25" customHeight="1" x14ac:dyDescent="0.35">
      <c r="A66" s="1">
        <v>2024</v>
      </c>
      <c r="B66" s="1" t="s">
        <v>25</v>
      </c>
      <c r="C66" s="1">
        <v>5</v>
      </c>
      <c r="D66" s="12">
        <v>94.25</v>
      </c>
      <c r="E66" s="12">
        <f t="shared" si="1"/>
        <v>117.8125</v>
      </c>
      <c r="F66" s="13">
        <v>80</v>
      </c>
      <c r="G66" s="21">
        <v>74.944999999999993</v>
      </c>
      <c r="H66" s="22">
        <v>1719.1279999999999</v>
      </c>
      <c r="I66" s="13">
        <v>6.9</v>
      </c>
      <c r="J66" s="23">
        <v>2.7E-2</v>
      </c>
      <c r="K66" s="13">
        <v>8.6280000000000001</v>
      </c>
      <c r="L66" s="24">
        <v>23.442</v>
      </c>
      <c r="M66" s="13">
        <v>5.181</v>
      </c>
      <c r="N66" s="23">
        <v>1.2999999999999999E-2</v>
      </c>
      <c r="O66" s="22">
        <v>130.261</v>
      </c>
      <c r="P66" s="25">
        <v>5.1999999999999998E-2</v>
      </c>
      <c r="Q66" s="26">
        <v>0.81100000000000005</v>
      </c>
    </row>
    <row r="67" spans="1:17" ht="14.25" customHeight="1" x14ac:dyDescent="0.35">
      <c r="A67" s="1">
        <v>2024</v>
      </c>
      <c r="B67" s="1" t="s">
        <v>25</v>
      </c>
      <c r="C67" s="1">
        <v>6</v>
      </c>
      <c r="D67" s="12">
        <v>63.140999999999998</v>
      </c>
      <c r="E67" s="12">
        <f t="shared" si="1"/>
        <v>78.926249999999996</v>
      </c>
      <c r="F67" s="13">
        <v>53.625</v>
      </c>
      <c r="G67" s="21">
        <v>74.978999999999999</v>
      </c>
      <c r="H67" s="22">
        <v>1739.2860000000001</v>
      </c>
      <c r="I67" s="13">
        <v>6.9</v>
      </c>
      <c r="J67" s="23">
        <v>2.5999999999999999E-2</v>
      </c>
      <c r="K67" s="13">
        <v>8.2919999999999998</v>
      </c>
      <c r="L67" s="24">
        <v>24.476400000000002</v>
      </c>
      <c r="M67" s="13">
        <v>5.1769999999999996</v>
      </c>
      <c r="N67" s="23">
        <v>1.3299999999999999E-2</v>
      </c>
      <c r="O67" s="22">
        <v>131.02000000000001</v>
      </c>
      <c r="P67" s="25">
        <v>5.1799999999999999E-2</v>
      </c>
      <c r="Q67" s="26">
        <v>0.93200000000000005</v>
      </c>
    </row>
    <row r="68" spans="1:17" ht="14.25" customHeight="1" x14ac:dyDescent="0.35">
      <c r="A68" s="1">
        <v>2024</v>
      </c>
      <c r="B68" s="1" t="s">
        <v>25</v>
      </c>
      <c r="C68" s="1">
        <v>7</v>
      </c>
      <c r="D68" s="12">
        <v>42.734000000000002</v>
      </c>
      <c r="E68" s="12">
        <f t="shared" si="1"/>
        <v>53.417500000000004</v>
      </c>
      <c r="F68" s="13">
        <v>36.375</v>
      </c>
      <c r="G68" s="21">
        <v>74.387</v>
      </c>
      <c r="H68" s="22">
        <v>1690.585</v>
      </c>
      <c r="I68" s="13">
        <v>6.9</v>
      </c>
      <c r="J68" s="23">
        <v>2.5999999999999999E-2</v>
      </c>
      <c r="K68" s="13">
        <v>7.9569999999999999</v>
      </c>
      <c r="L68" s="24">
        <v>23.705500000000001</v>
      </c>
      <c r="M68" s="13">
        <v>5.1775000000000002</v>
      </c>
      <c r="N68" s="23">
        <v>1.32E-2</v>
      </c>
      <c r="O68" s="22">
        <v>131.376</v>
      </c>
      <c r="P68" s="25">
        <v>4.7E-2</v>
      </c>
      <c r="Q68" s="26">
        <v>0.82599999999999996</v>
      </c>
    </row>
    <row r="69" spans="1:17" ht="14.25" customHeight="1" x14ac:dyDescent="0.35">
      <c r="A69" s="1">
        <v>2024</v>
      </c>
      <c r="B69" s="1" t="s">
        <v>25</v>
      </c>
      <c r="C69" s="1">
        <v>8</v>
      </c>
      <c r="D69" s="12">
        <v>41.063000000000002</v>
      </c>
      <c r="E69" s="12">
        <f t="shared" si="1"/>
        <v>51.328749999999999</v>
      </c>
      <c r="F69" s="13">
        <v>35.030999999999999</v>
      </c>
      <c r="G69" s="21">
        <v>74.852000000000004</v>
      </c>
      <c r="H69" s="22">
        <v>1750.3989999999999</v>
      </c>
      <c r="I69" s="13">
        <v>6.9</v>
      </c>
      <c r="J69" s="23">
        <v>2.7E-2</v>
      </c>
      <c r="K69" s="13">
        <v>8.34</v>
      </c>
      <c r="L69" s="24">
        <v>23.329799999999999</v>
      </c>
      <c r="M69" s="13">
        <v>4.9766000000000004</v>
      </c>
      <c r="N69" s="23">
        <v>1.3299999999999999E-2</v>
      </c>
      <c r="O69" s="22">
        <v>213.75020000000001</v>
      </c>
      <c r="P69" s="25">
        <v>6.2300000000000001E-2</v>
      </c>
      <c r="Q69" s="26">
        <v>0.76700000000000002</v>
      </c>
    </row>
    <row r="70" spans="1:17" ht="14.25" customHeight="1" x14ac:dyDescent="0.35">
      <c r="A70" s="1">
        <v>2024</v>
      </c>
      <c r="B70" s="1" t="s">
        <v>25</v>
      </c>
      <c r="C70" s="1">
        <v>9</v>
      </c>
      <c r="D70" s="12">
        <v>41.078000000000003</v>
      </c>
      <c r="E70" s="12">
        <f t="shared" si="1"/>
        <v>51.347500000000004</v>
      </c>
      <c r="F70" s="13">
        <v>34.969000000000001</v>
      </c>
      <c r="G70" s="21">
        <v>75.052999999999997</v>
      </c>
      <c r="H70" s="22">
        <v>1730.65</v>
      </c>
      <c r="I70" s="13">
        <v>6.9</v>
      </c>
      <c r="J70" s="23">
        <v>2.8000000000000001E-2</v>
      </c>
      <c r="K70" s="13">
        <v>8.3469999999999995</v>
      </c>
      <c r="L70" s="24">
        <v>22.9587</v>
      </c>
      <c r="M70" s="13">
        <v>4.8403999999999998</v>
      </c>
      <c r="N70" s="23">
        <v>1.3299999999999999E-2</v>
      </c>
      <c r="O70" s="22">
        <v>287.7928</v>
      </c>
      <c r="P70" s="25">
        <v>4.8399999999999999E-2</v>
      </c>
      <c r="Q70" s="26">
        <v>0.80800000000000005</v>
      </c>
    </row>
    <row r="71" spans="1:17" ht="14.25" customHeight="1" x14ac:dyDescent="0.35">
      <c r="A71" s="1">
        <v>2024</v>
      </c>
      <c r="B71" s="1" t="s">
        <v>25</v>
      </c>
      <c r="C71" s="1">
        <v>10</v>
      </c>
      <c r="D71" s="12">
        <v>39.328000000000003</v>
      </c>
      <c r="E71" s="12">
        <f t="shared" si="1"/>
        <v>49.160000000000004</v>
      </c>
      <c r="F71" s="13">
        <v>33.563000000000002</v>
      </c>
      <c r="G71" s="27">
        <v>75.203000000000003</v>
      </c>
      <c r="H71" s="22">
        <v>1678.914</v>
      </c>
      <c r="I71" s="13">
        <v>6.9</v>
      </c>
      <c r="J71" s="23">
        <v>2.5999999999999999E-2</v>
      </c>
      <c r="K71" s="28">
        <v>8.3819999999999997</v>
      </c>
      <c r="L71" s="24">
        <v>22.071999999999999</v>
      </c>
      <c r="M71" s="13">
        <v>4.8289999999999997</v>
      </c>
      <c r="N71" s="29">
        <v>1.2999999999999999E-2</v>
      </c>
      <c r="O71" s="22">
        <v>295.40199999999999</v>
      </c>
      <c r="P71" s="30">
        <v>4.7E-2</v>
      </c>
      <c r="Q71" s="31">
        <v>0.73199999999999998</v>
      </c>
    </row>
    <row r="72" spans="1:17" ht="14.25" customHeight="1" x14ac:dyDescent="0.35">
      <c r="A72" s="1">
        <v>2024</v>
      </c>
      <c r="B72" s="1" t="s">
        <v>25</v>
      </c>
      <c r="C72" s="1">
        <v>11</v>
      </c>
      <c r="D72" s="12">
        <v>41.078000000000003</v>
      </c>
      <c r="E72" s="12">
        <f t="shared" si="1"/>
        <v>51.347500000000004</v>
      </c>
      <c r="F72" s="13">
        <v>35</v>
      </c>
      <c r="G72" s="27">
        <v>75.123000000000005</v>
      </c>
      <c r="H72" s="22">
        <v>1679.93</v>
      </c>
      <c r="I72" s="13">
        <v>6.9</v>
      </c>
      <c r="J72" s="23">
        <v>2.5999999999999999E-2</v>
      </c>
      <c r="K72" s="28">
        <v>8.7010000000000005</v>
      </c>
      <c r="L72" s="24">
        <v>22.052</v>
      </c>
      <c r="M72" s="13">
        <v>4.8419999999999996</v>
      </c>
      <c r="N72" s="29">
        <v>1.2999999999999999E-2</v>
      </c>
      <c r="O72" s="22">
        <v>288.56</v>
      </c>
      <c r="P72" s="30">
        <v>4.5999999999999999E-2</v>
      </c>
      <c r="Q72" s="31">
        <v>0.75900000000000001</v>
      </c>
    </row>
    <row r="73" spans="1:17" ht="14.25" customHeight="1" x14ac:dyDescent="0.35">
      <c r="A73" s="1">
        <v>2024</v>
      </c>
      <c r="B73" s="1" t="s">
        <v>25</v>
      </c>
      <c r="C73" s="1">
        <v>12</v>
      </c>
      <c r="D73" s="12">
        <v>41.063000000000002</v>
      </c>
      <c r="E73" s="12">
        <f t="shared" si="1"/>
        <v>51.328749999999999</v>
      </c>
      <c r="F73" s="13">
        <v>34.969000000000001</v>
      </c>
      <c r="G73" s="27">
        <v>75.397999999999996</v>
      </c>
      <c r="H73" s="22">
        <v>1720.2940000000001</v>
      </c>
      <c r="I73" s="13">
        <v>6.9</v>
      </c>
      <c r="J73" s="23">
        <v>2.5999999999999999E-2</v>
      </c>
      <c r="K73" s="28">
        <v>8.5250000000000004</v>
      </c>
      <c r="L73" s="24">
        <v>22.471</v>
      </c>
      <c r="M73" s="13">
        <v>4.8689999999999998</v>
      </c>
      <c r="N73" s="29">
        <v>1.2999999999999999E-2</v>
      </c>
      <c r="O73" s="22">
        <v>267.27</v>
      </c>
      <c r="P73" s="30">
        <v>5.5E-2</v>
      </c>
      <c r="Q73" s="31">
        <v>0.66400000000000003</v>
      </c>
    </row>
    <row r="74" spans="1:17" ht="14.25" customHeight="1" x14ac:dyDescent="0.35">
      <c r="A74" s="1">
        <v>2024</v>
      </c>
      <c r="B74" s="1" t="s">
        <v>25</v>
      </c>
      <c r="C74" s="1">
        <v>13</v>
      </c>
      <c r="D74" s="12">
        <v>41.219000000000001</v>
      </c>
      <c r="E74" s="12">
        <f t="shared" si="1"/>
        <v>51.52375</v>
      </c>
      <c r="F74" s="13">
        <v>34.875</v>
      </c>
      <c r="G74" s="27">
        <v>75.558000000000007</v>
      </c>
      <c r="H74" s="22">
        <v>1771.404</v>
      </c>
      <c r="I74" s="13">
        <v>6.899</v>
      </c>
      <c r="J74" s="23">
        <v>3.2000000000000001E-2</v>
      </c>
      <c r="K74" s="28">
        <v>8.6880000000000006</v>
      </c>
      <c r="L74" s="24">
        <v>24.465599999999998</v>
      </c>
      <c r="M74" s="13">
        <v>4.8692000000000002</v>
      </c>
      <c r="N74" s="23">
        <v>1.34E-2</v>
      </c>
      <c r="O74" s="22">
        <v>267.49950000000001</v>
      </c>
      <c r="P74" s="30">
        <v>6.6799999999999998E-2</v>
      </c>
      <c r="Q74" s="31">
        <v>0.81499999999999995</v>
      </c>
    </row>
    <row r="75" spans="1:17" ht="14.25" customHeight="1" x14ac:dyDescent="0.35">
      <c r="A75" s="1">
        <v>2024</v>
      </c>
      <c r="B75" s="1" t="s">
        <v>25</v>
      </c>
      <c r="C75" s="1">
        <v>14</v>
      </c>
      <c r="D75" s="12">
        <v>41.328000000000003</v>
      </c>
      <c r="E75" s="12">
        <f t="shared" si="1"/>
        <v>51.660000000000004</v>
      </c>
      <c r="F75" s="13">
        <v>34.969000000000001</v>
      </c>
      <c r="G75" s="21">
        <v>75.231999999999999</v>
      </c>
      <c r="H75" s="22">
        <v>1766.846</v>
      </c>
      <c r="I75" s="13">
        <v>6.9</v>
      </c>
      <c r="J75" s="23">
        <v>2.7E-2</v>
      </c>
      <c r="K75" s="28">
        <v>8.6210000000000004</v>
      </c>
      <c r="L75" s="33">
        <v>30.574200000000001</v>
      </c>
      <c r="M75" s="13">
        <v>4.8266</v>
      </c>
      <c r="N75" s="23">
        <v>1.3299999999999999E-2</v>
      </c>
      <c r="O75" s="22">
        <v>294.13490000000002</v>
      </c>
      <c r="P75" s="30">
        <v>0.08</v>
      </c>
      <c r="Q75" s="31">
        <v>0.93500000000000005</v>
      </c>
    </row>
    <row r="76" spans="1:17" ht="14.25" customHeight="1" x14ac:dyDescent="0.35">
      <c r="A76" s="1">
        <v>2024</v>
      </c>
      <c r="B76" s="1" t="s">
        <v>25</v>
      </c>
      <c r="C76" s="1">
        <v>15</v>
      </c>
      <c r="D76" s="12">
        <v>41.453000000000003</v>
      </c>
      <c r="E76" s="12">
        <f t="shared" si="1"/>
        <v>51.816250000000004</v>
      </c>
      <c r="F76" s="13">
        <v>35</v>
      </c>
      <c r="G76" s="21">
        <v>75.132000000000005</v>
      </c>
      <c r="H76" s="22">
        <v>1756.31</v>
      </c>
      <c r="I76" s="13">
        <v>6.9</v>
      </c>
      <c r="J76" s="23">
        <v>2.7E-2</v>
      </c>
      <c r="K76" s="28">
        <v>8.593</v>
      </c>
      <c r="L76" s="24">
        <v>26.784500000000001</v>
      </c>
      <c r="M76" s="13">
        <v>5.1445999999999996</v>
      </c>
      <c r="N76" s="23">
        <v>1.2800000000000001E-2</v>
      </c>
      <c r="O76" s="22">
        <v>184.54400000000001</v>
      </c>
      <c r="P76" s="30">
        <v>5.8400000000000001E-2</v>
      </c>
      <c r="Q76" s="31">
        <v>0.92400000000000004</v>
      </c>
    </row>
    <row r="77" spans="1:17" ht="14.25" customHeight="1" x14ac:dyDescent="0.35">
      <c r="A77" s="1">
        <v>2024</v>
      </c>
      <c r="B77" s="1" t="s">
        <v>25</v>
      </c>
      <c r="C77" s="1">
        <v>16</v>
      </c>
      <c r="D77" s="12">
        <v>41.421999999999997</v>
      </c>
      <c r="E77" s="12">
        <f t="shared" si="1"/>
        <v>51.777499999999996</v>
      </c>
      <c r="F77" s="13">
        <v>35</v>
      </c>
      <c r="G77" s="21">
        <v>75.540000000000006</v>
      </c>
      <c r="H77" s="22">
        <v>1716.2260000000001</v>
      </c>
      <c r="I77" s="13">
        <v>6.9</v>
      </c>
      <c r="J77" s="23">
        <v>2.5999999999999999E-2</v>
      </c>
      <c r="K77" s="28">
        <v>8.6590000000000007</v>
      </c>
      <c r="L77" s="24">
        <v>25.306000000000001</v>
      </c>
      <c r="M77" s="13">
        <v>5.3460000000000001</v>
      </c>
      <c r="N77" s="23">
        <v>1.2999999999999999E-2</v>
      </c>
      <c r="O77" s="22">
        <v>88.543000000000006</v>
      </c>
      <c r="P77" s="30">
        <v>5.6000000000000001E-2</v>
      </c>
      <c r="Q77" s="31">
        <v>0.86799999999999999</v>
      </c>
    </row>
    <row r="78" spans="1:17" ht="14.25" customHeight="1" x14ac:dyDescent="0.35">
      <c r="A78" s="1">
        <v>2024</v>
      </c>
      <c r="B78" s="1" t="s">
        <v>25</v>
      </c>
      <c r="C78" s="1">
        <v>17</v>
      </c>
      <c r="D78" s="12">
        <v>34.780999999999999</v>
      </c>
      <c r="E78" s="12">
        <f t="shared" si="1"/>
        <v>43.47625</v>
      </c>
      <c r="F78" s="13">
        <v>29.125</v>
      </c>
      <c r="G78" s="21">
        <v>75.558000000000007</v>
      </c>
      <c r="H78" s="22">
        <v>1665.8889999999999</v>
      </c>
      <c r="I78" s="13">
        <v>6.7809999999999997</v>
      </c>
      <c r="J78" s="23">
        <v>2.7E-2</v>
      </c>
      <c r="K78" s="13">
        <v>8.5060000000000002</v>
      </c>
      <c r="L78" s="24">
        <v>34.085000000000001</v>
      </c>
      <c r="M78" s="13">
        <v>5.266</v>
      </c>
      <c r="N78" s="23">
        <v>1.2999999999999999E-2</v>
      </c>
      <c r="O78" s="22">
        <v>423.53500000000003</v>
      </c>
      <c r="P78" s="25">
        <v>5.8000000000000003E-2</v>
      </c>
      <c r="Q78" s="26">
        <v>0.50800000000000001</v>
      </c>
    </row>
    <row r="79" spans="1:17" ht="14.25" customHeight="1" x14ac:dyDescent="0.35">
      <c r="A79" s="1">
        <v>2024</v>
      </c>
      <c r="B79" s="1" t="s">
        <v>25</v>
      </c>
      <c r="C79" s="1">
        <v>18</v>
      </c>
      <c r="D79" s="12">
        <v>41.328000000000003</v>
      </c>
      <c r="E79" s="12">
        <f t="shared" si="1"/>
        <v>51.660000000000004</v>
      </c>
      <c r="F79" s="13">
        <v>35</v>
      </c>
      <c r="G79" s="21">
        <v>75.686000000000007</v>
      </c>
      <c r="H79" s="22">
        <v>1636.0340000000001</v>
      </c>
      <c r="I79" s="13">
        <v>6.9</v>
      </c>
      <c r="J79" s="23">
        <v>2.5999999999999999E-2</v>
      </c>
      <c r="K79" s="13">
        <v>8.8019999999999996</v>
      </c>
      <c r="L79" s="24">
        <v>23.385999999999999</v>
      </c>
      <c r="M79" s="13">
        <v>5.3719999999999999</v>
      </c>
      <c r="N79" s="23">
        <v>1.2999999999999999E-2</v>
      </c>
      <c r="O79" s="22">
        <v>83.381</v>
      </c>
      <c r="P79" s="25">
        <v>5.1999999999999998E-2</v>
      </c>
      <c r="Q79" s="26">
        <v>0.443</v>
      </c>
    </row>
    <row r="80" spans="1:17" ht="14.25" customHeight="1" x14ac:dyDescent="0.35">
      <c r="A80" s="1">
        <v>2024</v>
      </c>
      <c r="B80" s="1" t="s">
        <v>25</v>
      </c>
      <c r="C80" s="1">
        <v>19</v>
      </c>
      <c r="D80" s="12">
        <v>41.344000000000001</v>
      </c>
      <c r="E80" s="12">
        <f t="shared" si="1"/>
        <v>51.68</v>
      </c>
      <c r="F80" s="13">
        <v>35</v>
      </c>
      <c r="G80" s="21">
        <v>75.972999999999999</v>
      </c>
      <c r="H80" s="22">
        <v>1690.635</v>
      </c>
      <c r="I80" s="13">
        <v>6.9</v>
      </c>
      <c r="J80" s="23">
        <v>2.5999999999999999E-2</v>
      </c>
      <c r="K80" s="13">
        <v>8.4659999999999993</v>
      </c>
      <c r="L80" s="24">
        <v>23.507000000000001</v>
      </c>
      <c r="M80" s="13">
        <v>5.3739999999999997</v>
      </c>
      <c r="N80" s="23">
        <v>1.2999999999999999E-2</v>
      </c>
      <c r="O80" s="22">
        <v>82.819000000000003</v>
      </c>
      <c r="P80" s="25">
        <v>5.5E-2</v>
      </c>
      <c r="Q80" s="26">
        <v>0.50600000000000001</v>
      </c>
    </row>
    <row r="81" spans="1:17" ht="14.25" customHeight="1" x14ac:dyDescent="0.35">
      <c r="A81" s="1">
        <v>2024</v>
      </c>
      <c r="B81" s="1" t="s">
        <v>25</v>
      </c>
      <c r="C81" s="1">
        <v>20</v>
      </c>
      <c r="D81" s="12">
        <v>41.328000000000003</v>
      </c>
      <c r="E81" s="12">
        <f t="shared" si="1"/>
        <v>51.660000000000004</v>
      </c>
      <c r="F81" s="13">
        <v>35.030999999999999</v>
      </c>
      <c r="G81" s="21">
        <v>76.278999999999996</v>
      </c>
      <c r="H81" s="22">
        <v>1744.462</v>
      </c>
      <c r="I81" s="13">
        <v>6.9</v>
      </c>
      <c r="J81" s="23">
        <v>2.5999999999999999E-2</v>
      </c>
      <c r="K81" s="13">
        <v>7.91</v>
      </c>
      <c r="L81" s="24">
        <v>24.1906</v>
      </c>
      <c r="M81" s="13">
        <v>5.3807999999999998</v>
      </c>
      <c r="N81" s="23">
        <v>1.2699999999999999E-2</v>
      </c>
      <c r="O81" s="22">
        <v>82.089299999999994</v>
      </c>
      <c r="P81" s="25">
        <v>6.0100000000000001E-2</v>
      </c>
      <c r="Q81" s="26">
        <v>0.59799999999999998</v>
      </c>
    </row>
    <row r="82" spans="1:17" ht="14.25" customHeight="1" x14ac:dyDescent="0.35">
      <c r="A82" s="1">
        <v>2024</v>
      </c>
      <c r="B82" s="1" t="s">
        <v>25</v>
      </c>
      <c r="C82" s="1">
        <v>21</v>
      </c>
      <c r="D82" s="12">
        <v>41.296999999999997</v>
      </c>
      <c r="E82" s="12">
        <f t="shared" si="1"/>
        <v>51.621249999999996</v>
      </c>
      <c r="F82" s="13">
        <v>35</v>
      </c>
      <c r="G82" s="21">
        <v>76.332999999999998</v>
      </c>
      <c r="H82" s="22">
        <v>1733.441</v>
      </c>
      <c r="I82" s="13">
        <v>6.9</v>
      </c>
      <c r="J82" s="23">
        <v>2.5999999999999999E-2</v>
      </c>
      <c r="K82" s="13">
        <v>7.8620000000000001</v>
      </c>
      <c r="L82" s="24">
        <v>24.301400000000001</v>
      </c>
      <c r="M82" s="13">
        <v>5.1624999999999996</v>
      </c>
      <c r="N82" s="23">
        <v>1.26E-2</v>
      </c>
      <c r="O82" s="22">
        <v>142.89279999999999</v>
      </c>
      <c r="P82" s="25">
        <v>6.4500000000000002E-2</v>
      </c>
      <c r="Q82" s="26">
        <v>0.871</v>
      </c>
    </row>
    <row r="83" spans="1:17" ht="14.25" customHeight="1" x14ac:dyDescent="0.35">
      <c r="A83" s="1">
        <v>2024</v>
      </c>
      <c r="B83" s="1" t="s">
        <v>25</v>
      </c>
      <c r="C83" s="1">
        <v>22</v>
      </c>
      <c r="D83" s="12">
        <v>59.063000000000002</v>
      </c>
      <c r="E83" s="12">
        <f t="shared" si="1"/>
        <v>73.828749999999999</v>
      </c>
      <c r="F83" s="13">
        <v>49.875</v>
      </c>
      <c r="G83" s="21">
        <v>76.372</v>
      </c>
      <c r="H83" s="22">
        <v>1736.779</v>
      </c>
      <c r="I83" s="13">
        <v>6.9</v>
      </c>
      <c r="J83" s="23">
        <v>2.5999999999999999E-2</v>
      </c>
      <c r="K83" s="13">
        <v>8.0820000000000007</v>
      </c>
      <c r="L83" s="24">
        <v>24.710699999999999</v>
      </c>
      <c r="M83" s="13">
        <v>5.0559000000000003</v>
      </c>
      <c r="N83" s="23">
        <v>1.2699999999999999E-2</v>
      </c>
      <c r="O83" s="22">
        <v>173.74539999999999</v>
      </c>
      <c r="P83" s="25">
        <v>6.1600000000000002E-2</v>
      </c>
      <c r="Q83" s="26">
        <v>0.92300000000000004</v>
      </c>
    </row>
    <row r="84" spans="1:17" ht="14.25" customHeight="1" x14ac:dyDescent="0.35">
      <c r="A84" s="1">
        <v>2024</v>
      </c>
      <c r="B84" s="1" t="s">
        <v>25</v>
      </c>
      <c r="C84" s="1">
        <v>23</v>
      </c>
      <c r="D84" s="12">
        <v>76.843999999999994</v>
      </c>
      <c r="E84" s="12">
        <f t="shared" si="1"/>
        <v>96.054999999999993</v>
      </c>
      <c r="F84" s="13">
        <v>65</v>
      </c>
      <c r="G84" s="21">
        <v>75.650999999999996</v>
      </c>
      <c r="H84" s="22">
        <v>1709.9490000000001</v>
      </c>
      <c r="I84" s="13">
        <v>6.9</v>
      </c>
      <c r="J84" s="23">
        <v>2.5999999999999999E-2</v>
      </c>
      <c r="K84" s="13">
        <v>8.1329999999999991</v>
      </c>
      <c r="L84" s="24">
        <v>22.502600000000001</v>
      </c>
      <c r="M84" s="13">
        <v>5.0213000000000001</v>
      </c>
      <c r="N84" s="23">
        <v>1.2699999999999999E-2</v>
      </c>
      <c r="O84" s="22">
        <v>187.3193</v>
      </c>
      <c r="P84" s="25">
        <v>4.4900000000000002E-2</v>
      </c>
      <c r="Q84" s="26">
        <v>1.127</v>
      </c>
    </row>
    <row r="85" spans="1:17" ht="14.25" customHeight="1" x14ac:dyDescent="0.35">
      <c r="A85" s="1">
        <v>2024</v>
      </c>
      <c r="B85" s="1" t="s">
        <v>25</v>
      </c>
      <c r="C85" s="1">
        <v>24</v>
      </c>
      <c r="D85" s="12">
        <v>76.858999999999995</v>
      </c>
      <c r="E85" s="12">
        <f t="shared" si="1"/>
        <v>96.07374999999999</v>
      </c>
      <c r="F85" s="13">
        <v>65</v>
      </c>
      <c r="G85" s="21">
        <v>74.938999999999993</v>
      </c>
      <c r="H85" s="22">
        <v>1663.1320000000001</v>
      </c>
      <c r="I85" s="13">
        <v>6.9</v>
      </c>
      <c r="J85" s="23">
        <v>2.5999999999999999E-2</v>
      </c>
      <c r="K85" s="13">
        <v>7.9960000000000004</v>
      </c>
      <c r="L85" s="24">
        <v>21.212</v>
      </c>
      <c r="M85" s="13">
        <v>5.032</v>
      </c>
      <c r="N85" s="23">
        <v>1.2999999999999999E-2</v>
      </c>
      <c r="O85" s="22">
        <v>183.328</v>
      </c>
      <c r="P85" s="25">
        <v>0.04</v>
      </c>
      <c r="Q85" s="26">
        <v>1.0660000000000001</v>
      </c>
    </row>
    <row r="86" spans="1:17" ht="14.25" customHeight="1" x14ac:dyDescent="0.35">
      <c r="A86" s="1">
        <v>2024</v>
      </c>
      <c r="B86" s="1" t="s">
        <v>25</v>
      </c>
      <c r="C86" s="1">
        <v>25</v>
      </c>
      <c r="D86" s="12">
        <v>68.688000000000002</v>
      </c>
      <c r="E86" s="12">
        <f t="shared" si="1"/>
        <v>85.86</v>
      </c>
      <c r="F86" s="13">
        <v>58.094000000000001</v>
      </c>
      <c r="G86" s="21">
        <v>75.403999999999996</v>
      </c>
      <c r="H86" s="22">
        <v>1661.61</v>
      </c>
      <c r="I86" s="13">
        <v>6.9</v>
      </c>
      <c r="J86" s="23">
        <v>2.5999999999999999E-2</v>
      </c>
      <c r="K86" s="13">
        <v>8.1479999999999997</v>
      </c>
      <c r="L86" s="24">
        <v>21.451000000000001</v>
      </c>
      <c r="M86" s="13">
        <v>5.056</v>
      </c>
      <c r="N86" s="23">
        <v>1.2999999999999999E-2</v>
      </c>
      <c r="O86" s="22">
        <v>173.82599999999999</v>
      </c>
      <c r="P86" s="25">
        <v>4.1000000000000002E-2</v>
      </c>
      <c r="Q86" s="26">
        <v>0.96</v>
      </c>
    </row>
    <row r="87" spans="1:17" ht="14.25" customHeight="1" x14ac:dyDescent="0.35">
      <c r="A87" s="1">
        <v>2024</v>
      </c>
      <c r="B87" s="1" t="s">
        <v>25</v>
      </c>
      <c r="C87" s="1">
        <v>26</v>
      </c>
      <c r="D87" s="12">
        <v>8.8130000000000006</v>
      </c>
      <c r="E87" s="12">
        <f t="shared" si="1"/>
        <v>11.016250000000001</v>
      </c>
      <c r="F87" s="13">
        <v>7.375</v>
      </c>
      <c r="G87" s="21">
        <v>73.849999999999994</v>
      </c>
      <c r="H87" s="22">
        <v>1683.6079999999999</v>
      </c>
      <c r="I87" s="13">
        <v>6.9219999999999997</v>
      </c>
      <c r="J87" s="23">
        <v>3.5999999999999997E-2</v>
      </c>
      <c r="K87" s="13">
        <v>8.7370000000000001</v>
      </c>
      <c r="L87" s="24">
        <v>27.863</v>
      </c>
      <c r="M87" s="13">
        <v>5.0780000000000003</v>
      </c>
      <c r="N87" s="23">
        <v>1.2999999999999999E-2</v>
      </c>
      <c r="O87" s="22">
        <v>165.70599999999999</v>
      </c>
      <c r="P87" s="25">
        <v>0.06</v>
      </c>
      <c r="Q87" s="26">
        <v>0.747</v>
      </c>
    </row>
    <row r="88" spans="1:17" ht="14.25" customHeight="1" x14ac:dyDescent="0.35">
      <c r="A88" s="1">
        <v>2024</v>
      </c>
      <c r="B88" s="1" t="s">
        <v>25</v>
      </c>
      <c r="C88" s="1">
        <v>27</v>
      </c>
      <c r="D88" s="12">
        <v>0.65600000000000003</v>
      </c>
      <c r="E88" s="12">
        <f t="shared" si="1"/>
        <v>0.82000000000000006</v>
      </c>
      <c r="F88" s="13">
        <v>0.5</v>
      </c>
      <c r="G88" s="21">
        <v>72.605000000000004</v>
      </c>
      <c r="H88" s="22">
        <v>1681.164</v>
      </c>
      <c r="I88" s="13">
        <v>6.8949999999999996</v>
      </c>
      <c r="J88" s="23">
        <v>5.8000000000000003E-2</v>
      </c>
      <c r="K88" s="13">
        <v>6.899</v>
      </c>
      <c r="L88" s="24">
        <v>49.139499999999998</v>
      </c>
      <c r="M88" s="13">
        <v>5.2866999999999997</v>
      </c>
      <c r="N88" s="23">
        <v>4.1300000000000003E-2</v>
      </c>
      <c r="O88" s="22">
        <v>209.83250000000001</v>
      </c>
      <c r="P88" s="25">
        <v>8.9999999999999998E-4</v>
      </c>
      <c r="Q88" s="26">
        <v>0.85799999999999998</v>
      </c>
    </row>
    <row r="89" spans="1:17" ht="14.25" customHeight="1" x14ac:dyDescent="0.35">
      <c r="A89" s="1">
        <v>2024</v>
      </c>
      <c r="B89" s="1" t="s">
        <v>25</v>
      </c>
      <c r="C89" s="1">
        <v>28</v>
      </c>
      <c r="D89" s="12">
        <v>48.875</v>
      </c>
      <c r="E89" s="12">
        <f t="shared" si="1"/>
        <v>61.09375</v>
      </c>
      <c r="F89" s="13">
        <v>41.280999999999999</v>
      </c>
      <c r="G89" s="21">
        <v>75.608000000000004</v>
      </c>
      <c r="H89" s="22">
        <v>1738.655</v>
      </c>
      <c r="I89" s="13">
        <v>6.8929999999999998</v>
      </c>
      <c r="J89" s="23">
        <v>2.8000000000000001E-2</v>
      </c>
      <c r="K89" s="13">
        <v>9.0039999999999996</v>
      </c>
      <c r="L89" s="24">
        <v>29.268000000000001</v>
      </c>
      <c r="M89" s="13">
        <v>5.0720000000000001</v>
      </c>
      <c r="N89" s="23">
        <v>3.7999999999999999E-2</v>
      </c>
      <c r="O89" s="22">
        <v>173.28139999999999</v>
      </c>
      <c r="P89" s="25">
        <v>0.09</v>
      </c>
      <c r="Q89" s="26">
        <v>1.901</v>
      </c>
    </row>
    <row r="90" spans="1:17" ht="14.25" customHeight="1" x14ac:dyDescent="0.35">
      <c r="A90" s="1">
        <v>2024</v>
      </c>
      <c r="B90" s="1" t="s">
        <v>25</v>
      </c>
      <c r="C90" s="1">
        <v>29</v>
      </c>
      <c r="D90" s="12">
        <v>102.09399999999999</v>
      </c>
      <c r="E90" s="12">
        <f t="shared" si="1"/>
        <v>127.61749999999999</v>
      </c>
      <c r="F90" s="13">
        <v>86.781000000000006</v>
      </c>
      <c r="G90" s="21">
        <v>75.692999999999998</v>
      </c>
      <c r="H90" s="22">
        <v>1714.809</v>
      </c>
      <c r="I90" s="13">
        <v>6.9</v>
      </c>
      <c r="J90" s="23">
        <v>2.8000000000000001E-2</v>
      </c>
      <c r="K90" s="13">
        <v>8.641</v>
      </c>
      <c r="L90" s="24">
        <v>24.311</v>
      </c>
      <c r="M90" s="13">
        <v>5.2050000000000001</v>
      </c>
      <c r="N90" s="23">
        <v>1.2999999999999999E-2</v>
      </c>
      <c r="O90" s="22">
        <v>133.63399999999999</v>
      </c>
      <c r="P90" s="25">
        <v>0.05</v>
      </c>
      <c r="Q90" s="26">
        <v>2.3769999999999998</v>
      </c>
    </row>
    <row r="91" spans="1:17" ht="14.25" customHeight="1" x14ac:dyDescent="0.35">
      <c r="A91" s="1">
        <v>2024</v>
      </c>
      <c r="B91" s="1" t="s">
        <v>25</v>
      </c>
      <c r="C91" s="1">
        <v>30</v>
      </c>
      <c r="D91" s="12">
        <v>107.46899999999999</v>
      </c>
      <c r="E91" s="12">
        <f t="shared" si="1"/>
        <v>134.33625000000001</v>
      </c>
      <c r="F91" s="13">
        <v>91.375</v>
      </c>
      <c r="G91" s="21">
        <v>74.290999999999997</v>
      </c>
      <c r="H91" s="22">
        <v>1605.921</v>
      </c>
      <c r="I91" s="13">
        <v>6.9</v>
      </c>
      <c r="J91" s="23">
        <v>2.8000000000000001E-2</v>
      </c>
      <c r="K91" s="13">
        <v>7.9370000000000003</v>
      </c>
      <c r="L91" s="24">
        <v>22.012</v>
      </c>
      <c r="M91" s="13">
        <v>5.3460000000000001</v>
      </c>
      <c r="N91" s="23">
        <v>1.2999999999999999E-2</v>
      </c>
      <c r="O91" s="22">
        <v>88.721999999999994</v>
      </c>
      <c r="P91" s="25">
        <v>3.6999999999999998E-2</v>
      </c>
      <c r="Q91" s="26">
        <v>2.1440000000000001</v>
      </c>
    </row>
    <row r="92" spans="1:17" ht="14.25" customHeight="1" x14ac:dyDescent="0.35">
      <c r="A92" s="1">
        <v>2024</v>
      </c>
      <c r="B92" s="1" t="s">
        <v>25</v>
      </c>
      <c r="C92" s="1">
        <v>31</v>
      </c>
      <c r="D92" s="42">
        <v>109.53100000000001</v>
      </c>
      <c r="E92" s="12">
        <f t="shared" si="1"/>
        <v>136.91374999999999</v>
      </c>
      <c r="F92" s="43">
        <v>93.218999999999994</v>
      </c>
      <c r="G92" s="36">
        <v>73.956000000000003</v>
      </c>
      <c r="H92" s="37">
        <v>1560.5989999999999</v>
      </c>
      <c r="I92" s="35">
        <v>6.9</v>
      </c>
      <c r="J92" s="38">
        <v>2.5000000000000001E-2</v>
      </c>
      <c r="K92" s="35">
        <v>7.4660000000000002</v>
      </c>
      <c r="L92" s="39">
        <v>19.434000000000001</v>
      </c>
      <c r="M92" s="35">
        <v>5.2889999999999997</v>
      </c>
      <c r="N92" s="38">
        <v>1.2999999999999999E-2</v>
      </c>
      <c r="O92" s="37">
        <v>101.17100000000001</v>
      </c>
      <c r="P92" s="40">
        <v>3.4000000000000002E-2</v>
      </c>
      <c r="Q92" s="41">
        <v>1.653</v>
      </c>
    </row>
    <row r="93" spans="1:17" ht="14.25" customHeight="1" x14ac:dyDescent="0.35">
      <c r="A93" s="1">
        <v>2024</v>
      </c>
      <c r="B93" s="1" t="s">
        <v>26</v>
      </c>
      <c r="C93" s="1">
        <v>1</v>
      </c>
      <c r="D93" s="12">
        <v>92.453000000000003</v>
      </c>
      <c r="E93" s="12">
        <f t="shared" si="1"/>
        <v>115.56625</v>
      </c>
      <c r="F93" s="13">
        <v>78.468999999999994</v>
      </c>
      <c r="G93" s="14">
        <v>74.481999999999999</v>
      </c>
      <c r="H93" s="15">
        <v>1652.0350000000001</v>
      </c>
      <c r="I93" s="16">
        <v>6.9</v>
      </c>
      <c r="J93" s="17">
        <v>2.5999999999999999E-2</v>
      </c>
      <c r="K93" s="16">
        <v>7.476</v>
      </c>
      <c r="L93" s="18">
        <v>20.9771</v>
      </c>
      <c r="M93" s="16">
        <v>5.2910000000000004</v>
      </c>
      <c r="N93" s="17">
        <v>1.2699999999999999E-2</v>
      </c>
      <c r="O93" s="15">
        <v>100.6721</v>
      </c>
      <c r="P93" s="19">
        <v>3.73E-2</v>
      </c>
      <c r="Q93" s="20">
        <v>0.93</v>
      </c>
    </row>
    <row r="94" spans="1:17" ht="14.25" customHeight="1" x14ac:dyDescent="0.35">
      <c r="A94" s="1">
        <v>2024</v>
      </c>
      <c r="B94" s="1" t="s">
        <v>26</v>
      </c>
      <c r="C94" s="1">
        <v>2</v>
      </c>
      <c r="D94" s="12">
        <v>93.781000000000006</v>
      </c>
      <c r="E94" s="12">
        <f t="shared" si="1"/>
        <v>117.22625000000001</v>
      </c>
      <c r="F94" s="13">
        <v>79.563000000000002</v>
      </c>
      <c r="G94" s="21">
        <v>75.457999999999998</v>
      </c>
      <c r="H94" s="22">
        <v>1767.8579999999999</v>
      </c>
      <c r="I94" s="13">
        <v>6.9</v>
      </c>
      <c r="J94" s="23">
        <v>2.7E-2</v>
      </c>
      <c r="K94" s="13">
        <v>7.9450000000000003</v>
      </c>
      <c r="L94" s="24">
        <v>22.625</v>
      </c>
      <c r="M94" s="13">
        <v>5.298</v>
      </c>
      <c r="N94" s="23">
        <v>1.2999999999999999E-2</v>
      </c>
      <c r="O94" s="22">
        <v>99.165999999999997</v>
      </c>
      <c r="P94" s="25">
        <v>4.2999999999999997E-2</v>
      </c>
      <c r="Q94" s="26">
        <v>1.167</v>
      </c>
    </row>
    <row r="95" spans="1:17" ht="14.25" customHeight="1" x14ac:dyDescent="0.35">
      <c r="A95" s="1">
        <v>2024</v>
      </c>
      <c r="B95" s="1" t="s">
        <v>26</v>
      </c>
      <c r="C95" s="1">
        <v>3</v>
      </c>
      <c r="D95" s="12">
        <v>102.078</v>
      </c>
      <c r="E95" s="12">
        <f t="shared" si="1"/>
        <v>127.5975</v>
      </c>
      <c r="F95" s="13">
        <v>86.781000000000006</v>
      </c>
      <c r="G95" s="21">
        <v>76.088999999999999</v>
      </c>
      <c r="H95" s="22">
        <v>1796.492</v>
      </c>
      <c r="I95" s="13">
        <v>6.9</v>
      </c>
      <c r="J95" s="23">
        <v>2.7E-2</v>
      </c>
      <c r="K95" s="13">
        <v>7.8810000000000002</v>
      </c>
      <c r="L95" s="24">
        <v>25.632000000000001</v>
      </c>
      <c r="M95" s="13">
        <v>5.319</v>
      </c>
      <c r="N95" s="23">
        <v>1.2999999999999999E-2</v>
      </c>
      <c r="O95" s="22">
        <v>94.494</v>
      </c>
      <c r="P95" s="25">
        <v>4.9000000000000002E-2</v>
      </c>
      <c r="Q95" s="26">
        <v>1.1599999999999999</v>
      </c>
    </row>
    <row r="96" spans="1:17" ht="14.25" customHeight="1" x14ac:dyDescent="0.35">
      <c r="A96" s="1">
        <v>2024</v>
      </c>
      <c r="B96" s="1" t="s">
        <v>26</v>
      </c>
      <c r="C96" s="1">
        <v>4</v>
      </c>
      <c r="D96" s="12">
        <v>116.797</v>
      </c>
      <c r="E96" s="12">
        <f t="shared" si="1"/>
        <v>145.99625</v>
      </c>
      <c r="F96" s="13">
        <v>99.438000000000002</v>
      </c>
      <c r="G96" s="21">
        <v>75.772000000000006</v>
      </c>
      <c r="H96" s="22">
        <v>1792.4860000000001</v>
      </c>
      <c r="I96" s="13">
        <v>6.9</v>
      </c>
      <c r="J96" s="23">
        <v>2.8000000000000001E-2</v>
      </c>
      <c r="K96" s="13">
        <v>8.2040000000000006</v>
      </c>
      <c r="L96" s="24">
        <v>24.78</v>
      </c>
      <c r="M96" s="13">
        <v>5.3209999999999997</v>
      </c>
      <c r="N96" s="23">
        <v>1.2999999999999999E-2</v>
      </c>
      <c r="O96" s="22">
        <v>94.06</v>
      </c>
      <c r="P96" s="25">
        <v>5.0999999999999997E-2</v>
      </c>
      <c r="Q96" s="26">
        <v>1.673</v>
      </c>
    </row>
    <row r="97" spans="1:17" ht="14.25" customHeight="1" x14ac:dyDescent="0.35">
      <c r="A97" s="1">
        <v>2024</v>
      </c>
      <c r="B97" s="1" t="s">
        <v>26</v>
      </c>
      <c r="C97" s="1">
        <v>5</v>
      </c>
      <c r="D97" s="12">
        <v>115.34399999999999</v>
      </c>
      <c r="E97" s="12">
        <f t="shared" si="1"/>
        <v>144.18</v>
      </c>
      <c r="F97" s="13">
        <v>98.218999999999994</v>
      </c>
      <c r="G97" s="21">
        <v>74.850999999999999</v>
      </c>
      <c r="H97" s="22">
        <v>1797.5740000000001</v>
      </c>
      <c r="I97" s="13">
        <v>6.9</v>
      </c>
      <c r="J97" s="23">
        <v>2.7E-2</v>
      </c>
      <c r="K97" s="13">
        <v>7.7350000000000003</v>
      </c>
      <c r="L97" s="24">
        <v>23.395</v>
      </c>
      <c r="M97" s="13">
        <v>5.3529999999999998</v>
      </c>
      <c r="N97" s="23">
        <v>1.2999999999999999E-2</v>
      </c>
      <c r="O97" s="22">
        <v>88.418999999999997</v>
      </c>
      <c r="P97" s="25">
        <v>4.2999999999999997E-2</v>
      </c>
      <c r="Q97" s="26">
        <v>1.1459999999999999</v>
      </c>
    </row>
    <row r="98" spans="1:17" ht="14.25" customHeight="1" x14ac:dyDescent="0.35">
      <c r="A98" s="1">
        <v>2024</v>
      </c>
      <c r="B98" s="1" t="s">
        <v>26</v>
      </c>
      <c r="C98" s="1">
        <v>6</v>
      </c>
      <c r="D98" s="12">
        <v>111.547</v>
      </c>
      <c r="E98" s="12">
        <f t="shared" si="1"/>
        <v>139.43375</v>
      </c>
      <c r="F98" s="13">
        <v>95</v>
      </c>
      <c r="G98" s="21">
        <v>74.909000000000006</v>
      </c>
      <c r="H98" s="22">
        <v>1782.04</v>
      </c>
      <c r="I98" s="13">
        <v>6.9</v>
      </c>
      <c r="J98" s="23">
        <v>2.5999999999999999E-2</v>
      </c>
      <c r="K98" s="13">
        <v>7.5449999999999999</v>
      </c>
      <c r="L98" s="24">
        <v>22.471900000000002</v>
      </c>
      <c r="M98" s="13">
        <v>5.4109999999999996</v>
      </c>
      <c r="N98" s="23">
        <v>1.2699999999999999E-2</v>
      </c>
      <c r="O98" s="22">
        <v>76.178700000000006</v>
      </c>
      <c r="P98" s="25">
        <v>3.9600000000000003E-2</v>
      </c>
      <c r="Q98" s="26">
        <v>0.85599999999999998</v>
      </c>
    </row>
    <row r="99" spans="1:17" ht="14.25" customHeight="1" x14ac:dyDescent="0.35">
      <c r="A99" s="1">
        <v>2024</v>
      </c>
      <c r="B99" s="1" t="s">
        <v>26</v>
      </c>
      <c r="C99" s="1">
        <v>7</v>
      </c>
      <c r="D99" s="12">
        <v>111.563</v>
      </c>
      <c r="E99" s="12">
        <f t="shared" si="1"/>
        <v>139.45375000000001</v>
      </c>
      <c r="F99" s="13">
        <v>95</v>
      </c>
      <c r="G99" s="21">
        <v>75.061999999999998</v>
      </c>
      <c r="H99" s="22">
        <v>1726.125</v>
      </c>
      <c r="I99" s="13">
        <v>6.9</v>
      </c>
      <c r="J99" s="23">
        <v>2.5999999999999999E-2</v>
      </c>
      <c r="K99" s="13">
        <v>7.5919999999999996</v>
      </c>
      <c r="L99" s="24">
        <v>21.771000000000001</v>
      </c>
      <c r="M99" s="13">
        <v>5.4249999999999998</v>
      </c>
      <c r="N99" s="23">
        <v>1.2999999999999999E-2</v>
      </c>
      <c r="O99" s="22">
        <v>73.997</v>
      </c>
      <c r="P99" s="25">
        <v>3.9E-2</v>
      </c>
      <c r="Q99" s="26">
        <v>0.79300000000000004</v>
      </c>
    </row>
    <row r="100" spans="1:17" ht="14.25" customHeight="1" x14ac:dyDescent="0.35">
      <c r="A100" s="1">
        <v>2024</v>
      </c>
      <c r="B100" s="1" t="s">
        <v>26</v>
      </c>
      <c r="C100" s="1">
        <v>8</v>
      </c>
      <c r="D100" s="12">
        <v>114.10899999999999</v>
      </c>
      <c r="E100" s="12">
        <f t="shared" si="1"/>
        <v>142.63624999999999</v>
      </c>
      <c r="F100" s="13">
        <v>97.156000000000006</v>
      </c>
      <c r="G100" s="21">
        <v>75.47</v>
      </c>
      <c r="H100" s="22">
        <v>1703.75</v>
      </c>
      <c r="I100" s="13">
        <v>6.9</v>
      </c>
      <c r="J100" s="23">
        <v>2.7E-2</v>
      </c>
      <c r="K100" s="13">
        <v>7.8760000000000003</v>
      </c>
      <c r="L100" s="24">
        <v>21.765000000000001</v>
      </c>
      <c r="M100" s="13">
        <v>5.4390000000000001</v>
      </c>
      <c r="N100" s="23">
        <v>1.2999999999999999E-2</v>
      </c>
      <c r="O100" s="22">
        <v>71.616</v>
      </c>
      <c r="P100" s="25">
        <v>3.6999999999999998E-2</v>
      </c>
      <c r="Q100" s="26">
        <v>0.754</v>
      </c>
    </row>
    <row r="101" spans="1:17" ht="14.25" customHeight="1" x14ac:dyDescent="0.35">
      <c r="A101" s="1">
        <v>2024</v>
      </c>
      <c r="B101" s="1" t="s">
        <v>26</v>
      </c>
      <c r="C101" s="1">
        <v>9</v>
      </c>
      <c r="D101" s="12">
        <v>117.422</v>
      </c>
      <c r="E101" s="12">
        <f t="shared" si="1"/>
        <v>146.7775</v>
      </c>
      <c r="F101" s="13">
        <v>99.906000000000006</v>
      </c>
      <c r="G101" s="21">
        <v>76.234999999999999</v>
      </c>
      <c r="H101" s="22">
        <v>1752.9490000000001</v>
      </c>
      <c r="I101" s="13">
        <v>6.9</v>
      </c>
      <c r="J101" s="23">
        <v>2.8000000000000001E-2</v>
      </c>
      <c r="K101" s="13">
        <v>8.1</v>
      </c>
      <c r="L101" s="24">
        <v>22.361000000000001</v>
      </c>
      <c r="M101" s="13">
        <v>5.4359999999999999</v>
      </c>
      <c r="N101" s="23">
        <v>1.2999999999999999E-2</v>
      </c>
      <c r="O101" s="22">
        <v>72.010999999999996</v>
      </c>
      <c r="P101" s="25">
        <v>4.2000000000000003E-2</v>
      </c>
      <c r="Q101" s="26">
        <v>0.59899999999999998</v>
      </c>
    </row>
    <row r="102" spans="1:17" ht="14.25" customHeight="1" x14ac:dyDescent="0.35">
      <c r="A102" s="1">
        <v>2024</v>
      </c>
      <c r="B102" s="1" t="s">
        <v>26</v>
      </c>
      <c r="C102" s="1">
        <v>10</v>
      </c>
      <c r="D102" s="12">
        <v>117.422</v>
      </c>
      <c r="E102" s="12">
        <f t="shared" si="1"/>
        <v>146.7775</v>
      </c>
      <c r="F102" s="13">
        <v>100</v>
      </c>
      <c r="G102" s="27">
        <v>76.462999999999994</v>
      </c>
      <c r="H102" s="22">
        <v>2026.4739999999999</v>
      </c>
      <c r="I102" s="13">
        <v>6.9</v>
      </c>
      <c r="J102" s="23">
        <v>2.8000000000000001E-2</v>
      </c>
      <c r="K102" s="28">
        <v>8.0519999999999996</v>
      </c>
      <c r="L102" s="24">
        <v>26.626999999999999</v>
      </c>
      <c r="M102" s="13">
        <v>5.4589999999999996</v>
      </c>
      <c r="N102" s="29">
        <v>1.2999999999999999E-2</v>
      </c>
      <c r="O102" s="22">
        <v>68.66</v>
      </c>
      <c r="P102" s="30">
        <v>0.04</v>
      </c>
      <c r="Q102" s="31">
        <v>0.68600000000000005</v>
      </c>
    </row>
    <row r="103" spans="1:17" ht="14.25" customHeight="1" x14ac:dyDescent="0.35">
      <c r="A103" s="1">
        <v>2024</v>
      </c>
      <c r="B103" s="1" t="s">
        <v>26</v>
      </c>
      <c r="C103" s="1">
        <v>11</v>
      </c>
      <c r="D103" s="12">
        <v>117.75</v>
      </c>
      <c r="E103" s="12">
        <f t="shared" si="1"/>
        <v>147.1875</v>
      </c>
      <c r="F103" s="13">
        <v>100</v>
      </c>
      <c r="G103" s="27">
        <v>76.325000000000003</v>
      </c>
      <c r="H103" s="22">
        <v>2084.797</v>
      </c>
      <c r="I103" s="13">
        <v>6.9</v>
      </c>
      <c r="J103" s="23">
        <v>2.9000000000000001E-2</v>
      </c>
      <c r="K103" s="28">
        <v>8.1790000000000003</v>
      </c>
      <c r="L103" s="24">
        <v>28.353999999999999</v>
      </c>
      <c r="M103" s="13">
        <v>5.4880000000000004</v>
      </c>
      <c r="N103" s="29">
        <v>1.2999999999999999E-2</v>
      </c>
      <c r="O103" s="22">
        <v>63.973999999999997</v>
      </c>
      <c r="P103" s="30">
        <v>3.5999999999999997E-2</v>
      </c>
      <c r="Q103" s="31">
        <v>0.95099999999999996</v>
      </c>
    </row>
    <row r="104" spans="1:17" ht="14.25" customHeight="1" x14ac:dyDescent="0.35">
      <c r="A104" s="1">
        <v>2024</v>
      </c>
      <c r="B104" s="1" t="s">
        <v>26</v>
      </c>
      <c r="C104" s="1">
        <v>12</v>
      </c>
      <c r="D104" s="12">
        <v>117.84399999999999</v>
      </c>
      <c r="E104" s="12">
        <f t="shared" si="1"/>
        <v>147.30500000000001</v>
      </c>
      <c r="F104" s="13">
        <v>99.938000000000002</v>
      </c>
      <c r="G104" s="27">
        <v>75.825999999999993</v>
      </c>
      <c r="H104" s="22">
        <v>2099.8310000000001</v>
      </c>
      <c r="I104" s="13">
        <v>6.9</v>
      </c>
      <c r="J104" s="23">
        <v>0.03</v>
      </c>
      <c r="K104" s="28">
        <v>7.8109999999999999</v>
      </c>
      <c r="L104" s="24">
        <v>28.802</v>
      </c>
      <c r="M104" s="13">
        <v>5.4790000000000001</v>
      </c>
      <c r="N104" s="29">
        <v>1.2999999999999999E-2</v>
      </c>
      <c r="O104" s="22">
        <v>65.277000000000001</v>
      </c>
      <c r="P104" s="30">
        <v>3.6999999999999998E-2</v>
      </c>
      <c r="Q104" s="31">
        <v>1.016</v>
      </c>
    </row>
    <row r="105" spans="1:17" ht="14.25" customHeight="1" x14ac:dyDescent="0.35">
      <c r="A105" s="1">
        <v>2024</v>
      </c>
      <c r="B105" s="1" t="s">
        <v>26</v>
      </c>
      <c r="C105" s="1">
        <v>13</v>
      </c>
      <c r="D105" s="12">
        <v>117.65600000000001</v>
      </c>
      <c r="E105" s="12">
        <f t="shared" si="1"/>
        <v>147.07</v>
      </c>
      <c r="F105" s="13">
        <v>99.968999999999994</v>
      </c>
      <c r="G105" s="27">
        <v>75.319999999999993</v>
      </c>
      <c r="H105" s="22">
        <v>2157.7779999999998</v>
      </c>
      <c r="I105" s="13">
        <v>6.9</v>
      </c>
      <c r="J105" s="23">
        <v>0.03</v>
      </c>
      <c r="K105" s="28">
        <v>7.883</v>
      </c>
      <c r="L105" s="24">
        <v>29.510999999999999</v>
      </c>
      <c r="M105" s="13">
        <v>5.5019999999999998</v>
      </c>
      <c r="N105" s="23">
        <v>1.2999999999999999E-2</v>
      </c>
      <c r="O105" s="22">
        <v>61.738999999999997</v>
      </c>
      <c r="P105" s="30">
        <v>3.6999999999999998E-2</v>
      </c>
      <c r="Q105" s="31">
        <v>1.155</v>
      </c>
    </row>
    <row r="106" spans="1:17" ht="14.25" customHeight="1" x14ac:dyDescent="0.35">
      <c r="A106" s="1">
        <v>2024</v>
      </c>
      <c r="B106" s="1" t="s">
        <v>26</v>
      </c>
      <c r="C106" s="1">
        <v>14</v>
      </c>
      <c r="D106" s="12">
        <v>117.76600000000001</v>
      </c>
      <c r="E106" s="12">
        <f t="shared" si="1"/>
        <v>147.20750000000001</v>
      </c>
      <c r="F106" s="13">
        <v>100</v>
      </c>
      <c r="G106" s="21">
        <v>74.994</v>
      </c>
      <c r="H106" s="22">
        <v>2064.7080000000001</v>
      </c>
      <c r="I106" s="13">
        <v>6.9</v>
      </c>
      <c r="J106" s="23">
        <v>0.03</v>
      </c>
      <c r="K106" s="28">
        <v>7.7709999999999999</v>
      </c>
      <c r="L106" s="33">
        <v>27.774999999999999</v>
      </c>
      <c r="M106" s="13">
        <v>5.4939999999999998</v>
      </c>
      <c r="N106" s="23">
        <v>1.2999999999999999E-2</v>
      </c>
      <c r="O106" s="22">
        <v>63.033000000000001</v>
      </c>
      <c r="P106" s="30">
        <v>3.4000000000000002E-2</v>
      </c>
      <c r="Q106" s="31">
        <v>1.198</v>
      </c>
    </row>
    <row r="107" spans="1:17" ht="14.25" customHeight="1" x14ac:dyDescent="0.35">
      <c r="A107" s="1">
        <v>2024</v>
      </c>
      <c r="B107" s="1" t="s">
        <v>26</v>
      </c>
      <c r="C107" s="1">
        <v>15</v>
      </c>
      <c r="D107" s="12">
        <v>108.85899999999999</v>
      </c>
      <c r="E107" s="12">
        <f t="shared" si="1"/>
        <v>136.07374999999999</v>
      </c>
      <c r="F107" s="13">
        <v>92.468999999999994</v>
      </c>
      <c r="G107" s="21">
        <v>75.918000000000006</v>
      </c>
      <c r="H107" s="22">
        <v>2047.9690000000001</v>
      </c>
      <c r="I107" s="13">
        <v>6.9</v>
      </c>
      <c r="J107" s="23">
        <v>0.03</v>
      </c>
      <c r="K107" s="28">
        <v>8.0350000000000001</v>
      </c>
      <c r="L107" s="24">
        <v>27.931000000000001</v>
      </c>
      <c r="M107" s="13">
        <v>5.52</v>
      </c>
      <c r="N107" s="23">
        <v>1.2999999999999999E-2</v>
      </c>
      <c r="O107" s="22">
        <v>59.319000000000003</v>
      </c>
      <c r="P107" s="30">
        <v>3.4000000000000002E-2</v>
      </c>
      <c r="Q107" s="31">
        <v>1.165</v>
      </c>
    </row>
    <row r="108" spans="1:17" ht="14.25" customHeight="1" x14ac:dyDescent="0.35">
      <c r="A108" s="1">
        <v>2024</v>
      </c>
      <c r="B108" s="1" t="s">
        <v>26</v>
      </c>
      <c r="C108" s="1">
        <v>16</v>
      </c>
      <c r="D108" s="12">
        <v>108.547</v>
      </c>
      <c r="E108" s="12">
        <f t="shared" si="1"/>
        <v>135.68375</v>
      </c>
      <c r="F108" s="13">
        <v>92.563000000000002</v>
      </c>
      <c r="G108" s="21">
        <v>76.36</v>
      </c>
      <c r="H108" s="22">
        <v>2156.2170000000001</v>
      </c>
      <c r="I108" s="13">
        <v>6.9</v>
      </c>
      <c r="J108" s="23">
        <v>3.1E-2</v>
      </c>
      <c r="K108" s="28">
        <v>8.1999999999999993</v>
      </c>
      <c r="L108" s="24">
        <v>31.254000000000001</v>
      </c>
      <c r="M108" s="13">
        <v>5.5119999999999996</v>
      </c>
      <c r="N108" s="23">
        <v>1.2999999999999999E-2</v>
      </c>
      <c r="O108" s="22">
        <v>60.603999999999999</v>
      </c>
      <c r="P108" s="30">
        <v>4.5999999999999999E-2</v>
      </c>
      <c r="Q108" s="31">
        <v>0.96899999999999997</v>
      </c>
    </row>
    <row r="109" spans="1:17" ht="14.25" customHeight="1" x14ac:dyDescent="0.35">
      <c r="A109" s="1">
        <v>2024</v>
      </c>
      <c r="B109" s="1" t="s">
        <v>26</v>
      </c>
      <c r="C109" s="1">
        <v>17</v>
      </c>
      <c r="D109" s="12">
        <v>111.53100000000001</v>
      </c>
      <c r="E109" s="12">
        <f t="shared" si="1"/>
        <v>139.41374999999999</v>
      </c>
      <c r="F109" s="13">
        <v>94.968999999999994</v>
      </c>
      <c r="G109" s="21">
        <v>76.466999999999999</v>
      </c>
      <c r="H109" s="22">
        <v>2250.7930000000001</v>
      </c>
      <c r="I109" s="13">
        <v>6.9</v>
      </c>
      <c r="J109" s="23">
        <v>3.2000000000000001E-2</v>
      </c>
      <c r="K109" s="13">
        <v>8.3480000000000008</v>
      </c>
      <c r="L109" s="24">
        <v>33.265999999999998</v>
      </c>
      <c r="M109" s="13">
        <v>5.4989999999999997</v>
      </c>
      <c r="N109" s="23">
        <v>1.2999999999999999E-2</v>
      </c>
      <c r="O109" s="22">
        <v>62.344999999999999</v>
      </c>
      <c r="P109" s="25">
        <v>5.0999999999999997E-2</v>
      </c>
      <c r="Q109" s="26">
        <v>1.028</v>
      </c>
    </row>
    <row r="110" spans="1:17" ht="14.25" customHeight="1" x14ac:dyDescent="0.35">
      <c r="A110" s="1">
        <v>2024</v>
      </c>
      <c r="B110" s="1" t="s">
        <v>26</v>
      </c>
      <c r="C110" s="1">
        <v>18</v>
      </c>
      <c r="D110" s="12">
        <v>111.688</v>
      </c>
      <c r="E110" s="12">
        <f t="shared" si="1"/>
        <v>139.61000000000001</v>
      </c>
      <c r="F110" s="13">
        <v>94.968999999999994</v>
      </c>
      <c r="G110" s="21">
        <v>76.709999999999994</v>
      </c>
      <c r="H110" s="22">
        <v>2262.9859999999999</v>
      </c>
      <c r="I110" s="13">
        <v>6.9</v>
      </c>
      <c r="J110" s="23">
        <v>3.2000000000000001E-2</v>
      </c>
      <c r="K110" s="13">
        <v>8.7070000000000007</v>
      </c>
      <c r="L110" s="24">
        <v>34.334000000000003</v>
      </c>
      <c r="M110" s="13">
        <v>5.5149999999999997</v>
      </c>
      <c r="N110" s="23">
        <v>1.2999999999999999E-2</v>
      </c>
      <c r="O110" s="22">
        <v>60.119</v>
      </c>
      <c r="P110" s="25">
        <v>4.8000000000000001E-2</v>
      </c>
      <c r="Q110" s="26">
        <v>1.3049999999999999</v>
      </c>
    </row>
    <row r="111" spans="1:17" ht="14.25" customHeight="1" x14ac:dyDescent="0.35">
      <c r="A111" s="1">
        <v>2024</v>
      </c>
      <c r="B111" s="1" t="s">
        <v>26</v>
      </c>
      <c r="C111" s="1">
        <v>19</v>
      </c>
      <c r="D111" s="12">
        <v>111.64100000000001</v>
      </c>
      <c r="E111" s="12">
        <f t="shared" si="1"/>
        <v>139.55125000000001</v>
      </c>
      <c r="F111" s="13">
        <v>95</v>
      </c>
      <c r="G111" s="21">
        <v>76.56</v>
      </c>
      <c r="H111" s="22">
        <v>2243.9479999999999</v>
      </c>
      <c r="I111" s="13">
        <v>6.9</v>
      </c>
      <c r="J111" s="23">
        <v>3.5000000000000003E-2</v>
      </c>
      <c r="K111" s="13">
        <v>9.1329999999999991</v>
      </c>
      <c r="L111" s="24">
        <v>33.161000000000001</v>
      </c>
      <c r="M111" s="13">
        <v>5.15</v>
      </c>
      <c r="N111" s="23">
        <v>1.6E-2</v>
      </c>
      <c r="O111" s="22">
        <v>156.00899999999999</v>
      </c>
      <c r="P111" s="25">
        <v>4.9000000000000002E-2</v>
      </c>
      <c r="Q111" s="26">
        <v>2.8340000000000001</v>
      </c>
    </row>
    <row r="112" spans="1:17" ht="14.25" customHeight="1" x14ac:dyDescent="0.35">
      <c r="A112" s="1">
        <v>2024</v>
      </c>
      <c r="B112" s="1" t="s">
        <v>26</v>
      </c>
      <c r="C112" s="1">
        <v>20</v>
      </c>
      <c r="D112" s="12">
        <v>111.625</v>
      </c>
      <c r="E112" s="12">
        <f t="shared" si="1"/>
        <v>139.53125</v>
      </c>
      <c r="F112" s="13">
        <v>95</v>
      </c>
      <c r="G112" s="21">
        <v>76.563000000000002</v>
      </c>
      <c r="H112" s="22">
        <v>2221.8760000000002</v>
      </c>
      <c r="I112" s="13">
        <v>6.9</v>
      </c>
      <c r="J112" s="23">
        <v>3.6999999999999998E-2</v>
      </c>
      <c r="K112" s="13">
        <v>9.4649999999999999</v>
      </c>
      <c r="L112" s="24">
        <v>33.317</v>
      </c>
      <c r="M112" s="13">
        <v>4.9989999999999997</v>
      </c>
      <c r="N112" s="23">
        <v>1.7000000000000001E-2</v>
      </c>
      <c r="O112" s="22">
        <v>197.04900000000001</v>
      </c>
      <c r="P112" s="25">
        <v>0.05</v>
      </c>
      <c r="Q112" s="26">
        <v>4.26</v>
      </c>
    </row>
    <row r="113" spans="1:17" ht="14.25" customHeight="1" x14ac:dyDescent="0.35">
      <c r="A113" s="1">
        <v>2024</v>
      </c>
      <c r="B113" s="1" t="s">
        <v>26</v>
      </c>
      <c r="C113" s="1">
        <v>21</v>
      </c>
      <c r="D113" s="12">
        <v>111.563</v>
      </c>
      <c r="E113" s="12">
        <f t="shared" si="1"/>
        <v>139.45375000000001</v>
      </c>
      <c r="F113" s="13">
        <v>95</v>
      </c>
      <c r="G113" s="21">
        <v>76.909000000000006</v>
      </c>
      <c r="H113" s="22">
        <v>2174.203</v>
      </c>
      <c r="I113" s="13">
        <v>6.9</v>
      </c>
      <c r="J113" s="23">
        <v>3.6999999999999998E-2</v>
      </c>
      <c r="K113" s="13">
        <v>9.5749999999999993</v>
      </c>
      <c r="L113" s="24">
        <v>33.942999999999998</v>
      </c>
      <c r="M113" s="13">
        <v>4.9550000000000001</v>
      </c>
      <c r="N113" s="23">
        <v>1.7000000000000001E-2</v>
      </c>
      <c r="O113" s="22">
        <v>218.459</v>
      </c>
      <c r="P113" s="25">
        <v>4.8000000000000001E-2</v>
      </c>
      <c r="Q113" s="26">
        <v>3.734</v>
      </c>
    </row>
    <row r="114" spans="1:17" ht="14.25" customHeight="1" x14ac:dyDescent="0.35">
      <c r="A114" s="1">
        <v>2024</v>
      </c>
      <c r="B114" s="1" t="s">
        <v>26</v>
      </c>
      <c r="C114" s="1">
        <v>22</v>
      </c>
      <c r="D114" s="12">
        <v>111.328</v>
      </c>
      <c r="E114" s="12">
        <f t="shared" si="1"/>
        <v>139.16</v>
      </c>
      <c r="F114" s="13">
        <v>94.781000000000006</v>
      </c>
      <c r="G114" s="21">
        <v>76.730999999999995</v>
      </c>
      <c r="H114" s="22">
        <v>2147.4870000000001</v>
      </c>
      <c r="I114" s="13">
        <v>6.9009999999999998</v>
      </c>
      <c r="J114" s="23">
        <v>3.6999999999999998E-2</v>
      </c>
      <c r="K114" s="13">
        <v>9.8320000000000007</v>
      </c>
      <c r="L114" s="24">
        <v>33.439</v>
      </c>
      <c r="M114" s="13">
        <v>4.9089999999999998</v>
      </c>
      <c r="N114" s="23">
        <v>1.7000000000000001E-2</v>
      </c>
      <c r="O114" s="22">
        <v>242.15299999999999</v>
      </c>
      <c r="P114" s="25">
        <v>0.05</v>
      </c>
      <c r="Q114" s="26">
        <v>4.0860000000000003</v>
      </c>
    </row>
    <row r="115" spans="1:17" ht="14.25" customHeight="1" x14ac:dyDescent="0.35">
      <c r="A115" s="1">
        <v>2024</v>
      </c>
      <c r="B115" s="1" t="s">
        <v>26</v>
      </c>
      <c r="C115" s="1">
        <v>23</v>
      </c>
      <c r="D115" s="12">
        <v>107.297</v>
      </c>
      <c r="E115" s="12">
        <f t="shared" si="1"/>
        <v>134.12125</v>
      </c>
      <c r="F115" s="13">
        <v>91.531000000000006</v>
      </c>
      <c r="G115" s="21">
        <v>76.95</v>
      </c>
      <c r="H115" s="22">
        <v>2216.8560000000002</v>
      </c>
      <c r="I115" s="13">
        <v>6.9</v>
      </c>
      <c r="J115" s="23">
        <v>3.4000000000000002E-2</v>
      </c>
      <c r="K115" s="13">
        <v>9.7140000000000004</v>
      </c>
      <c r="L115" s="24">
        <v>34.534999999999997</v>
      </c>
      <c r="M115" s="13">
        <v>4.9080000000000004</v>
      </c>
      <c r="N115" s="23">
        <v>1.7000000000000001E-2</v>
      </c>
      <c r="O115" s="22">
        <v>243.11199999999999</v>
      </c>
      <c r="P115" s="25">
        <v>5.5E-2</v>
      </c>
      <c r="Q115" s="26">
        <v>4.0279999999999996</v>
      </c>
    </row>
    <row r="116" spans="1:17" ht="14.25" customHeight="1" x14ac:dyDescent="0.35">
      <c r="A116" s="1">
        <v>2024</v>
      </c>
      <c r="B116" s="1" t="s">
        <v>26</v>
      </c>
      <c r="C116" s="1">
        <v>24</v>
      </c>
      <c r="D116" s="12">
        <v>98.438000000000002</v>
      </c>
      <c r="E116" s="12">
        <f t="shared" si="1"/>
        <v>123.0475</v>
      </c>
      <c r="F116" s="13">
        <v>84.031000000000006</v>
      </c>
      <c r="G116" s="21">
        <v>76.915000000000006</v>
      </c>
      <c r="H116" s="22">
        <v>2187.8829999999998</v>
      </c>
      <c r="I116" s="13">
        <v>6.9</v>
      </c>
      <c r="J116" s="23">
        <v>3.1E-2</v>
      </c>
      <c r="K116" s="13">
        <v>9.3040000000000003</v>
      </c>
      <c r="L116" s="24">
        <v>33.74</v>
      </c>
      <c r="M116" s="13">
        <v>4.9340000000000002</v>
      </c>
      <c r="N116" s="23">
        <v>1.7000000000000001E-2</v>
      </c>
      <c r="O116" s="22">
        <v>230.047</v>
      </c>
      <c r="P116" s="25">
        <v>5.5E-2</v>
      </c>
      <c r="Q116" s="26">
        <v>3.6070000000000002</v>
      </c>
    </row>
    <row r="117" spans="1:17" ht="14.25" customHeight="1" x14ac:dyDescent="0.35">
      <c r="A117" s="1">
        <v>2024</v>
      </c>
      <c r="B117" s="1" t="s">
        <v>26</v>
      </c>
      <c r="C117" s="1">
        <v>25</v>
      </c>
      <c r="D117" s="12">
        <v>94.233999999999995</v>
      </c>
      <c r="E117" s="12">
        <f t="shared" si="1"/>
        <v>117.79249999999999</v>
      </c>
      <c r="F117" s="13">
        <v>80.218999999999994</v>
      </c>
      <c r="G117" s="21">
        <v>76.894999999999996</v>
      </c>
      <c r="H117" s="22">
        <v>2187.4780000000001</v>
      </c>
      <c r="I117" s="13">
        <v>6.9</v>
      </c>
      <c r="J117" s="23">
        <v>3.1E-2</v>
      </c>
      <c r="K117" s="13">
        <v>9.2989999999999995</v>
      </c>
      <c r="L117" s="24">
        <v>32.770000000000003</v>
      </c>
      <c r="M117" s="13">
        <v>4.9589999999999996</v>
      </c>
      <c r="N117" s="23">
        <v>1.7000000000000001E-2</v>
      </c>
      <c r="O117" s="22">
        <v>216.04300000000001</v>
      </c>
      <c r="P117" s="25">
        <v>0.05</v>
      </c>
      <c r="Q117" s="26">
        <v>4.1669999999999998</v>
      </c>
    </row>
    <row r="118" spans="1:17" ht="14.25" customHeight="1" x14ac:dyDescent="0.35">
      <c r="A118" s="1">
        <v>2024</v>
      </c>
      <c r="B118" s="1" t="s">
        <v>26</v>
      </c>
      <c r="C118" s="1">
        <v>26</v>
      </c>
      <c r="D118" s="12">
        <v>111.59399999999999</v>
      </c>
      <c r="E118" s="12">
        <f t="shared" si="1"/>
        <v>139.49250000000001</v>
      </c>
      <c r="F118" s="13">
        <v>94.938000000000002</v>
      </c>
      <c r="G118" s="21">
        <v>76.97</v>
      </c>
      <c r="H118" s="22">
        <v>2286.1559999999999</v>
      </c>
      <c r="I118" s="13">
        <v>6.9</v>
      </c>
      <c r="J118" s="23">
        <v>2.9000000000000001E-2</v>
      </c>
      <c r="K118" s="13">
        <v>8.93</v>
      </c>
      <c r="L118" s="24">
        <v>34.853000000000002</v>
      </c>
      <c r="M118" s="13">
        <v>5.1740000000000004</v>
      </c>
      <c r="N118" s="23">
        <v>1.4E-2</v>
      </c>
      <c r="O118" s="22">
        <v>141.53800000000001</v>
      </c>
      <c r="P118" s="25">
        <v>4.5999999999999999E-2</v>
      </c>
      <c r="Q118" s="26">
        <v>4.2210000000000001</v>
      </c>
    </row>
    <row r="119" spans="1:17" ht="14.25" customHeight="1" x14ac:dyDescent="0.35">
      <c r="A119" s="1">
        <v>2024</v>
      </c>
      <c r="B119" s="1" t="s">
        <v>26</v>
      </c>
      <c r="C119" s="1">
        <v>27</v>
      </c>
      <c r="D119" s="12">
        <v>111.578</v>
      </c>
      <c r="E119" s="12">
        <f t="shared" si="1"/>
        <v>139.4725</v>
      </c>
      <c r="F119" s="13">
        <v>94.906000000000006</v>
      </c>
      <c r="G119" s="21">
        <v>76.828999999999994</v>
      </c>
      <c r="H119" s="22">
        <v>2266.5990000000002</v>
      </c>
      <c r="I119" s="13">
        <v>6.9</v>
      </c>
      <c r="J119" s="23">
        <v>2.5999999999999999E-2</v>
      </c>
      <c r="K119" s="13">
        <v>8.9870000000000001</v>
      </c>
      <c r="L119" s="24">
        <v>34.29</v>
      </c>
      <c r="M119" s="13">
        <v>5.2919999999999998</v>
      </c>
      <c r="N119" s="23">
        <v>1.2999999999999999E-2</v>
      </c>
      <c r="O119" s="22">
        <v>100.593</v>
      </c>
      <c r="P119" s="25">
        <v>4.4999999999999998E-2</v>
      </c>
      <c r="Q119" s="26">
        <v>3.4009999999999998</v>
      </c>
    </row>
    <row r="120" spans="1:17" ht="14.25" customHeight="1" x14ac:dyDescent="0.35">
      <c r="A120" s="1">
        <v>2024</v>
      </c>
      <c r="B120" s="1" t="s">
        <v>26</v>
      </c>
      <c r="C120" s="1">
        <v>28</v>
      </c>
      <c r="D120" s="12">
        <v>107.563</v>
      </c>
      <c r="E120" s="12">
        <f t="shared" si="1"/>
        <v>134.45375000000001</v>
      </c>
      <c r="F120" s="13">
        <v>91.563000000000002</v>
      </c>
      <c r="G120" s="21">
        <v>76.995000000000005</v>
      </c>
      <c r="H120" s="22">
        <v>2204.6390000000001</v>
      </c>
      <c r="I120" s="13">
        <v>6.9</v>
      </c>
      <c r="J120" s="23">
        <v>2.7E-2</v>
      </c>
      <c r="K120" s="13">
        <v>9.157</v>
      </c>
      <c r="L120" s="24">
        <v>34.985999999999997</v>
      </c>
      <c r="M120" s="13">
        <v>5.327</v>
      </c>
      <c r="N120" s="23">
        <v>1.2999999999999999E-2</v>
      </c>
      <c r="O120" s="22">
        <v>92.671000000000006</v>
      </c>
      <c r="P120" s="25">
        <v>4.4999999999999998E-2</v>
      </c>
      <c r="Q120" s="26">
        <v>3.1110000000000002</v>
      </c>
    </row>
    <row r="121" spans="1:17" ht="14.25" customHeight="1" x14ac:dyDescent="0.35">
      <c r="A121" s="1">
        <v>2024</v>
      </c>
      <c r="B121" s="1" t="s">
        <v>26</v>
      </c>
      <c r="C121" s="1">
        <v>29</v>
      </c>
      <c r="D121" s="12">
        <v>111.578</v>
      </c>
      <c r="E121" s="12">
        <f t="shared" si="1"/>
        <v>139.4725</v>
      </c>
      <c r="F121" s="13">
        <v>94.968999999999994</v>
      </c>
      <c r="G121" s="21">
        <v>77.376000000000005</v>
      </c>
      <c r="H121" s="22">
        <v>2213.701</v>
      </c>
      <c r="I121" s="13">
        <v>6.9009999999999998</v>
      </c>
      <c r="J121" s="23">
        <v>2.8000000000000001E-2</v>
      </c>
      <c r="K121" s="13">
        <v>9.0779999999999994</v>
      </c>
      <c r="L121" s="24">
        <v>34.44</v>
      </c>
      <c r="M121" s="13">
        <v>5.319</v>
      </c>
      <c r="N121" s="23">
        <v>1.2999999999999999E-2</v>
      </c>
      <c r="O121" s="22">
        <v>94.465000000000003</v>
      </c>
      <c r="P121" s="25">
        <v>0.05</v>
      </c>
      <c r="Q121" s="26">
        <v>6.43</v>
      </c>
    </row>
    <row r="122" spans="1:17" ht="14.25" customHeight="1" x14ac:dyDescent="0.35">
      <c r="A122" s="1">
        <v>2024</v>
      </c>
      <c r="B122" s="1" t="s">
        <v>26</v>
      </c>
      <c r="C122" s="1">
        <v>30</v>
      </c>
      <c r="D122" s="34">
        <v>100.578</v>
      </c>
      <c r="E122" s="12">
        <f t="shared" si="1"/>
        <v>125.7225</v>
      </c>
      <c r="F122" s="35">
        <v>85.563000000000002</v>
      </c>
      <c r="G122" s="21">
        <v>77.56</v>
      </c>
      <c r="H122" s="22">
        <v>2221.2399999999998</v>
      </c>
      <c r="I122" s="13">
        <v>6.9</v>
      </c>
      <c r="J122" s="23">
        <v>2.8000000000000001E-2</v>
      </c>
      <c r="K122" s="13">
        <v>9.5530000000000008</v>
      </c>
      <c r="L122" s="24">
        <v>33.719000000000001</v>
      </c>
      <c r="M122" s="13">
        <v>5.3049999999999997</v>
      </c>
      <c r="N122" s="23">
        <v>1.2999999999999999E-2</v>
      </c>
      <c r="O122" s="22">
        <v>97.679000000000002</v>
      </c>
      <c r="P122" s="25">
        <v>5.3999999999999999E-2</v>
      </c>
      <c r="Q122" s="26">
        <v>10.887</v>
      </c>
    </row>
    <row r="123" spans="1:17" ht="14.25" customHeight="1" x14ac:dyDescent="0.35">
      <c r="A123" s="1">
        <v>2024</v>
      </c>
      <c r="B123" s="1" t="s">
        <v>27</v>
      </c>
      <c r="C123" s="1">
        <v>1</v>
      </c>
      <c r="D123" s="44">
        <v>48.328000000000003</v>
      </c>
      <c r="E123" s="12">
        <f t="shared" si="1"/>
        <v>60.410000000000004</v>
      </c>
      <c r="F123" s="45">
        <v>41.155999999999999</v>
      </c>
      <c r="G123" s="21">
        <v>78.456000000000003</v>
      </c>
      <c r="H123" s="22">
        <v>1820.1079999999999</v>
      </c>
      <c r="I123" s="13">
        <v>6.9</v>
      </c>
      <c r="J123" s="23">
        <v>2.3E-2</v>
      </c>
      <c r="K123" s="13">
        <v>9.343</v>
      </c>
      <c r="L123" s="24">
        <v>23.245999999999999</v>
      </c>
      <c r="M123" s="13">
        <v>5.1470000000000002</v>
      </c>
      <c r="N123" s="23">
        <v>1.2999999999999999E-2</v>
      </c>
      <c r="O123" s="22">
        <v>141.64599999999999</v>
      </c>
      <c r="P123" s="25">
        <v>0.06</v>
      </c>
      <c r="Q123" s="26">
        <v>5.7530000000000001</v>
      </c>
    </row>
    <row r="124" spans="1:17" ht="14.25" customHeight="1" x14ac:dyDescent="0.35">
      <c r="A124" s="1">
        <v>2024</v>
      </c>
      <c r="B124" s="1" t="s">
        <v>27</v>
      </c>
      <c r="C124" s="1">
        <v>2</v>
      </c>
      <c r="D124" s="12">
        <v>68.671999999999997</v>
      </c>
      <c r="E124" s="12">
        <f t="shared" si="1"/>
        <v>85.84</v>
      </c>
      <c r="F124" s="13">
        <v>58.438000000000002</v>
      </c>
      <c r="G124" s="21">
        <v>78.484999999999999</v>
      </c>
      <c r="H124" s="22">
        <v>1768.289</v>
      </c>
      <c r="I124" s="13">
        <v>6.9</v>
      </c>
      <c r="J124" s="23">
        <v>2.3E-2</v>
      </c>
      <c r="K124" s="13">
        <v>8.9949999999999992</v>
      </c>
      <c r="L124" s="24">
        <v>23.196999999999999</v>
      </c>
      <c r="M124" s="13">
        <v>5.117</v>
      </c>
      <c r="N124" s="23">
        <v>1.2999999999999999E-2</v>
      </c>
      <c r="O124" s="22">
        <v>150.65600000000001</v>
      </c>
      <c r="P124" s="25">
        <v>5.6000000000000001E-2</v>
      </c>
      <c r="Q124" s="26">
        <v>4.9539999999999997</v>
      </c>
    </row>
    <row r="125" spans="1:17" ht="14.25" customHeight="1" x14ac:dyDescent="0.35">
      <c r="A125" s="1">
        <v>2024</v>
      </c>
      <c r="B125" s="1" t="s">
        <v>27</v>
      </c>
      <c r="C125" s="1">
        <v>3</v>
      </c>
      <c r="D125" s="12">
        <v>64.438000000000002</v>
      </c>
      <c r="E125" s="12">
        <f t="shared" si="1"/>
        <v>80.547499999999999</v>
      </c>
      <c r="F125" s="13">
        <v>54.780999999999999</v>
      </c>
      <c r="G125" s="21">
        <v>77.936999999999998</v>
      </c>
      <c r="H125" s="22">
        <v>1748.826</v>
      </c>
      <c r="I125" s="13">
        <v>6.9</v>
      </c>
      <c r="J125" s="23">
        <v>2.5999999999999999E-2</v>
      </c>
      <c r="K125" s="13">
        <v>8.6780000000000008</v>
      </c>
      <c r="L125" s="24">
        <v>24.276700000000002</v>
      </c>
      <c r="M125" s="13">
        <v>4.9569000000000001</v>
      </c>
      <c r="N125" s="23">
        <v>1.29E-2</v>
      </c>
      <c r="O125" s="22">
        <v>227.3896</v>
      </c>
      <c r="P125" s="25">
        <v>5.0099999999999999E-2</v>
      </c>
      <c r="Q125" s="26">
        <v>2.4769999999999999</v>
      </c>
    </row>
    <row r="126" spans="1:17" ht="14.25" customHeight="1" x14ac:dyDescent="0.35">
      <c r="A126" s="1">
        <v>2024</v>
      </c>
      <c r="B126" s="1" t="s">
        <v>27</v>
      </c>
      <c r="C126" s="1">
        <v>4</v>
      </c>
      <c r="D126" s="12">
        <v>68.233999999999995</v>
      </c>
      <c r="E126" s="12">
        <f t="shared" si="1"/>
        <v>85.29249999999999</v>
      </c>
      <c r="F126" s="13">
        <v>57.938000000000002</v>
      </c>
      <c r="G126" s="21">
        <v>78.355999999999995</v>
      </c>
      <c r="H126" s="22">
        <v>1719.2670000000001</v>
      </c>
      <c r="I126" s="13">
        <v>6.9</v>
      </c>
      <c r="J126" s="23">
        <v>2.1999999999999999E-2</v>
      </c>
      <c r="K126" s="13">
        <v>8.8810000000000002</v>
      </c>
      <c r="L126" s="24">
        <v>23.228100000000001</v>
      </c>
      <c r="M126" s="13">
        <v>4.7614000000000001</v>
      </c>
      <c r="N126" s="23">
        <v>1.32E-2</v>
      </c>
      <c r="O126" s="22">
        <v>340.77749999999997</v>
      </c>
      <c r="P126" s="25">
        <v>5.3400000000000003E-2</v>
      </c>
      <c r="Q126" s="26">
        <v>0.442</v>
      </c>
    </row>
    <row r="127" spans="1:17" ht="14.25" customHeight="1" x14ac:dyDescent="0.35">
      <c r="A127" s="1">
        <v>2024</v>
      </c>
      <c r="B127" s="1" t="s">
        <v>27</v>
      </c>
      <c r="C127" s="1">
        <v>5</v>
      </c>
      <c r="D127" s="12">
        <v>61.203000000000003</v>
      </c>
      <c r="E127" s="12">
        <f t="shared" si="1"/>
        <v>76.503749999999997</v>
      </c>
      <c r="F127" s="13">
        <v>52</v>
      </c>
      <c r="G127" s="21">
        <v>77.807000000000002</v>
      </c>
      <c r="H127" s="22">
        <v>1656.376</v>
      </c>
      <c r="I127" s="13">
        <v>6.9</v>
      </c>
      <c r="J127" s="23">
        <v>2.1999999999999999E-2</v>
      </c>
      <c r="K127" s="13">
        <v>8.9390000000000001</v>
      </c>
      <c r="L127" s="24">
        <v>22.132000000000001</v>
      </c>
      <c r="M127" s="13">
        <v>4.76</v>
      </c>
      <c r="N127" s="23">
        <v>1.4E-2</v>
      </c>
      <c r="O127" s="22">
        <v>342.40199999999999</v>
      </c>
      <c r="P127" s="25">
        <v>6.2E-2</v>
      </c>
      <c r="Q127" s="26">
        <v>0.373</v>
      </c>
    </row>
    <row r="128" spans="1:17" ht="14.25" customHeight="1" x14ac:dyDescent="0.35">
      <c r="A128" s="1">
        <v>2024</v>
      </c>
      <c r="B128" s="1" t="s">
        <v>27</v>
      </c>
      <c r="C128" s="1">
        <v>6</v>
      </c>
      <c r="D128" s="12">
        <v>71.016000000000005</v>
      </c>
      <c r="E128" s="12">
        <f t="shared" si="1"/>
        <v>88.77000000000001</v>
      </c>
      <c r="F128" s="13">
        <v>60.375</v>
      </c>
      <c r="G128" s="21">
        <v>78.099000000000004</v>
      </c>
      <c r="H128" s="22">
        <v>1649.9680000000001</v>
      </c>
      <c r="I128" s="13">
        <v>6.9</v>
      </c>
      <c r="J128" s="23">
        <v>2.5000000000000001E-2</v>
      </c>
      <c r="K128" s="13">
        <v>9.0250000000000004</v>
      </c>
      <c r="L128" s="24">
        <v>21.725999999999999</v>
      </c>
      <c r="M128" s="13">
        <v>4.7809999999999997</v>
      </c>
      <c r="N128" s="23">
        <v>1.2999999999999999E-2</v>
      </c>
      <c r="O128" s="22">
        <v>325.17500000000001</v>
      </c>
      <c r="P128" s="25">
        <v>0.06</v>
      </c>
      <c r="Q128" s="26">
        <v>0.20799999999999999</v>
      </c>
    </row>
    <row r="129" spans="1:17" ht="14.25" customHeight="1" x14ac:dyDescent="0.35">
      <c r="A129" s="1">
        <v>2024</v>
      </c>
      <c r="B129" s="1" t="s">
        <v>27</v>
      </c>
      <c r="C129" s="1">
        <v>7</v>
      </c>
      <c r="D129" s="12">
        <v>68.078000000000003</v>
      </c>
      <c r="E129" s="12">
        <f t="shared" si="1"/>
        <v>85.097499999999997</v>
      </c>
      <c r="F129" s="13">
        <v>57.969000000000001</v>
      </c>
      <c r="G129" s="21">
        <v>78.335999999999999</v>
      </c>
      <c r="H129" s="22">
        <v>1711.19</v>
      </c>
      <c r="I129" s="13">
        <v>6.9</v>
      </c>
      <c r="J129" s="23">
        <v>2.5000000000000001E-2</v>
      </c>
      <c r="K129" s="13">
        <v>8.8650000000000002</v>
      </c>
      <c r="L129" s="24">
        <v>22.094999999999999</v>
      </c>
      <c r="M129" s="13">
        <v>4.7789999999999999</v>
      </c>
      <c r="N129" s="23">
        <v>1.2999999999999999E-2</v>
      </c>
      <c r="O129" s="22">
        <v>327.61200000000002</v>
      </c>
      <c r="P129" s="25">
        <v>7.2999999999999995E-2</v>
      </c>
      <c r="Q129" s="26">
        <v>0.17100000000000001</v>
      </c>
    </row>
    <row r="130" spans="1:17" ht="14.25" customHeight="1" x14ac:dyDescent="0.35">
      <c r="A130" s="1">
        <v>2024</v>
      </c>
      <c r="B130" s="1" t="s">
        <v>27</v>
      </c>
      <c r="C130" s="1">
        <v>8</v>
      </c>
      <c r="D130" s="12">
        <v>68.906000000000006</v>
      </c>
      <c r="E130" s="12">
        <f t="shared" si="1"/>
        <v>86.132500000000007</v>
      </c>
      <c r="F130" s="13">
        <v>58.75</v>
      </c>
      <c r="G130" s="21">
        <v>78.637</v>
      </c>
      <c r="H130" s="22">
        <v>1740.913</v>
      </c>
      <c r="I130" s="13">
        <v>6.9</v>
      </c>
      <c r="J130" s="23">
        <v>2.9000000000000001E-2</v>
      </c>
      <c r="K130" s="13">
        <v>8.2789999999999999</v>
      </c>
      <c r="L130" s="24">
        <v>22.367000000000001</v>
      </c>
      <c r="M130" s="13">
        <v>4.8070000000000004</v>
      </c>
      <c r="N130" s="23">
        <v>1.2999999999999999E-2</v>
      </c>
      <c r="O130" s="22">
        <v>307.61599999999999</v>
      </c>
      <c r="P130" s="25">
        <v>8.2000000000000003E-2</v>
      </c>
      <c r="Q130" s="26">
        <v>0.20599999999999999</v>
      </c>
    </row>
    <row r="131" spans="1:17" ht="14.25" customHeight="1" x14ac:dyDescent="0.35">
      <c r="A131" s="1">
        <v>2024</v>
      </c>
      <c r="B131" s="1" t="s">
        <v>27</v>
      </c>
      <c r="C131" s="1">
        <v>9</v>
      </c>
      <c r="D131" s="12">
        <v>64.593999999999994</v>
      </c>
      <c r="E131" s="12">
        <f t="shared" si="1"/>
        <v>80.742499999999993</v>
      </c>
      <c r="F131" s="13">
        <v>55</v>
      </c>
      <c r="G131" s="21">
        <v>78.808999999999997</v>
      </c>
      <c r="H131" s="22">
        <v>1714.3140000000001</v>
      </c>
      <c r="I131" s="13">
        <v>6.9</v>
      </c>
      <c r="J131" s="23">
        <v>2.3E-2</v>
      </c>
      <c r="K131" s="13">
        <v>7.8550000000000004</v>
      </c>
      <c r="L131" s="24">
        <v>21.350999999999999</v>
      </c>
      <c r="M131" s="13">
        <v>4.79</v>
      </c>
      <c r="N131" s="23">
        <v>1.2999999999999999E-2</v>
      </c>
      <c r="O131" s="22">
        <v>319.17899999999997</v>
      </c>
      <c r="P131" s="25">
        <v>7.9000000000000001E-2</v>
      </c>
      <c r="Q131" s="26">
        <v>0.28899999999999998</v>
      </c>
    </row>
    <row r="132" spans="1:17" ht="14.25" customHeight="1" x14ac:dyDescent="0.35">
      <c r="A132" s="1">
        <v>2024</v>
      </c>
      <c r="B132" s="1" t="s">
        <v>27</v>
      </c>
      <c r="C132" s="1">
        <v>10</v>
      </c>
      <c r="D132" s="12">
        <v>70.233999999999995</v>
      </c>
      <c r="E132" s="12">
        <f t="shared" si="1"/>
        <v>87.79249999999999</v>
      </c>
      <c r="F132" s="13">
        <v>59.75</v>
      </c>
      <c r="G132" s="27">
        <v>78.739999999999995</v>
      </c>
      <c r="H132" s="22">
        <v>1731.2180000000001</v>
      </c>
      <c r="I132" s="13">
        <v>6.9</v>
      </c>
      <c r="J132" s="23">
        <v>2.4E-2</v>
      </c>
      <c r="K132" s="28">
        <v>8.3030000000000008</v>
      </c>
      <c r="L132" s="24">
        <v>21.56</v>
      </c>
      <c r="M132" s="13">
        <v>4.8769999999999998</v>
      </c>
      <c r="N132" s="29">
        <v>1.2999999999999999E-2</v>
      </c>
      <c r="O132" s="22">
        <v>264.19900000000001</v>
      </c>
      <c r="P132" s="30">
        <v>8.2000000000000003E-2</v>
      </c>
      <c r="Q132" s="31">
        <v>1.1299999999999999</v>
      </c>
    </row>
    <row r="133" spans="1:17" ht="14.25" customHeight="1" x14ac:dyDescent="0.35">
      <c r="A133" s="1">
        <v>2024</v>
      </c>
      <c r="B133" s="1" t="s">
        <v>27</v>
      </c>
      <c r="C133" s="1">
        <v>11</v>
      </c>
      <c r="D133" s="12">
        <v>65.328000000000003</v>
      </c>
      <c r="E133" s="12">
        <f t="shared" si="1"/>
        <v>81.66</v>
      </c>
      <c r="F133" s="13">
        <v>55.594000000000001</v>
      </c>
      <c r="G133" s="27">
        <v>78.462000000000003</v>
      </c>
      <c r="H133" s="22">
        <v>1755.2380000000001</v>
      </c>
      <c r="I133" s="13">
        <v>6.9</v>
      </c>
      <c r="J133" s="23">
        <v>2.1999999999999999E-2</v>
      </c>
      <c r="K133" s="28">
        <v>8.8529999999999998</v>
      </c>
      <c r="L133" s="24">
        <v>21.664000000000001</v>
      </c>
      <c r="M133" s="13">
        <v>4.9029999999999996</v>
      </c>
      <c r="N133" s="29">
        <v>1.2999999999999999E-2</v>
      </c>
      <c r="O133" s="22">
        <v>244.72</v>
      </c>
      <c r="P133" s="30">
        <v>7.1999999999999995E-2</v>
      </c>
      <c r="Q133" s="31">
        <v>1.754</v>
      </c>
    </row>
    <row r="134" spans="1:17" ht="14.25" customHeight="1" x14ac:dyDescent="0.35">
      <c r="A134" s="1">
        <v>2024</v>
      </c>
      <c r="B134" s="1" t="s">
        <v>27</v>
      </c>
      <c r="C134" s="1">
        <v>12</v>
      </c>
      <c r="D134" s="12">
        <v>67.75</v>
      </c>
      <c r="E134" s="12">
        <f t="shared" si="1"/>
        <v>84.6875</v>
      </c>
      <c r="F134" s="13">
        <v>57.594000000000001</v>
      </c>
      <c r="G134" s="27">
        <v>78.397000000000006</v>
      </c>
      <c r="H134" s="22">
        <v>1697.75</v>
      </c>
      <c r="I134" s="13">
        <v>6.9</v>
      </c>
      <c r="J134" s="23">
        <v>2.3E-2</v>
      </c>
      <c r="K134" s="28">
        <v>8.9320000000000004</v>
      </c>
      <c r="L134" s="24">
        <v>20.954000000000001</v>
      </c>
      <c r="M134" s="13">
        <v>4.9400000000000004</v>
      </c>
      <c r="N134" s="29">
        <v>1.2999999999999999E-2</v>
      </c>
      <c r="O134" s="22">
        <v>226.697</v>
      </c>
      <c r="P134" s="30">
        <v>6.3E-2</v>
      </c>
      <c r="Q134" s="31">
        <v>2.1030000000000002</v>
      </c>
    </row>
    <row r="135" spans="1:17" ht="14.25" customHeight="1" x14ac:dyDescent="0.35">
      <c r="A135" s="1">
        <v>2024</v>
      </c>
      <c r="B135" s="1" t="s">
        <v>27</v>
      </c>
      <c r="C135" s="1">
        <v>13</v>
      </c>
      <c r="D135" s="12">
        <v>63.046999999999997</v>
      </c>
      <c r="E135" s="12">
        <f t="shared" si="1"/>
        <v>78.808750000000003</v>
      </c>
      <c r="F135" s="13">
        <v>53.625</v>
      </c>
      <c r="G135" s="27">
        <v>78.494</v>
      </c>
      <c r="H135" s="22">
        <v>1685.7339999999999</v>
      </c>
      <c r="I135" s="13">
        <v>6.9</v>
      </c>
      <c r="J135" s="23">
        <v>2.4E-2</v>
      </c>
      <c r="K135" s="28">
        <v>9.157</v>
      </c>
      <c r="L135" s="24">
        <v>22.428999999999998</v>
      </c>
      <c r="M135" s="13">
        <v>4.9470000000000001</v>
      </c>
      <c r="N135" s="23">
        <v>1.2999999999999999E-2</v>
      </c>
      <c r="O135" s="22">
        <v>223.94300000000001</v>
      </c>
      <c r="P135" s="30">
        <v>5.7000000000000002E-2</v>
      </c>
      <c r="Q135" s="31">
        <v>2.65</v>
      </c>
    </row>
    <row r="136" spans="1:17" ht="14.25" customHeight="1" x14ac:dyDescent="0.35">
      <c r="A136" s="1">
        <v>2024</v>
      </c>
      <c r="B136" s="1" t="s">
        <v>27</v>
      </c>
      <c r="C136" s="1">
        <v>14</v>
      </c>
      <c r="D136" s="12">
        <v>65.813000000000002</v>
      </c>
      <c r="E136" s="12">
        <f t="shared" si="1"/>
        <v>82.266249999999999</v>
      </c>
      <c r="F136" s="13">
        <v>56</v>
      </c>
      <c r="G136" s="21">
        <v>78.774000000000001</v>
      </c>
      <c r="H136" s="22">
        <v>1718.415</v>
      </c>
      <c r="I136" s="13">
        <v>6.9</v>
      </c>
      <c r="J136" s="23">
        <v>2.3E-2</v>
      </c>
      <c r="K136" s="28">
        <v>8.8979999999999997</v>
      </c>
      <c r="L136" s="33">
        <v>21.984999999999999</v>
      </c>
      <c r="M136" s="13">
        <v>4.9059999999999997</v>
      </c>
      <c r="N136" s="23">
        <v>1.2999999999999999E-2</v>
      </c>
      <c r="O136" s="22">
        <v>243.87100000000001</v>
      </c>
      <c r="P136" s="30">
        <v>5.3999999999999999E-2</v>
      </c>
      <c r="Q136" s="31">
        <v>2.1059999999999999</v>
      </c>
    </row>
    <row r="137" spans="1:17" ht="14.25" customHeight="1" x14ac:dyDescent="0.35">
      <c r="A137" s="1">
        <v>2024</v>
      </c>
      <c r="B137" s="1" t="s">
        <v>27</v>
      </c>
      <c r="C137" s="1">
        <v>15</v>
      </c>
      <c r="D137" s="12">
        <v>63.203000000000003</v>
      </c>
      <c r="E137" s="12">
        <f t="shared" si="1"/>
        <v>79.003749999999997</v>
      </c>
      <c r="F137" s="13">
        <v>53.780999999999999</v>
      </c>
      <c r="G137" s="21">
        <v>78.739000000000004</v>
      </c>
      <c r="H137" s="22">
        <v>1741.4639999999999</v>
      </c>
      <c r="I137" s="13">
        <v>6.9</v>
      </c>
      <c r="J137" s="23">
        <v>2.1999999999999999E-2</v>
      </c>
      <c r="K137" s="28">
        <v>8.08</v>
      </c>
      <c r="L137" s="24">
        <v>21.372</v>
      </c>
      <c r="M137" s="13">
        <v>4.8769999999999998</v>
      </c>
      <c r="N137" s="23">
        <v>1.2999999999999999E-2</v>
      </c>
      <c r="O137" s="22">
        <v>261.32220000000001</v>
      </c>
      <c r="P137" s="30">
        <v>5.96E-2</v>
      </c>
      <c r="Q137" s="31">
        <v>1.889</v>
      </c>
    </row>
    <row r="138" spans="1:17" ht="14.25" customHeight="1" x14ac:dyDescent="0.35">
      <c r="A138" s="1">
        <v>2024</v>
      </c>
      <c r="B138" s="1" t="s">
        <v>27</v>
      </c>
      <c r="C138" s="1">
        <v>16</v>
      </c>
      <c r="D138" s="12">
        <v>59.469000000000001</v>
      </c>
      <c r="E138" s="12">
        <f t="shared" si="1"/>
        <v>74.336250000000007</v>
      </c>
      <c r="F138" s="13">
        <v>50.594000000000001</v>
      </c>
      <c r="G138" s="21">
        <v>78.585999999999999</v>
      </c>
      <c r="H138" s="22">
        <v>1770.5609999999999</v>
      </c>
      <c r="I138" s="13">
        <v>6.9</v>
      </c>
      <c r="J138" s="23">
        <v>2.1999999999999999E-2</v>
      </c>
      <c r="K138" s="28">
        <v>7.7569999999999997</v>
      </c>
      <c r="L138" s="24">
        <v>20.992999999999999</v>
      </c>
      <c r="M138" s="13">
        <v>4.8769999999999998</v>
      </c>
      <c r="N138" s="23">
        <v>1.2999999999999999E-2</v>
      </c>
      <c r="O138" s="22">
        <v>261.19</v>
      </c>
      <c r="P138" s="30">
        <v>5.2999999999999999E-2</v>
      </c>
      <c r="Q138" s="31">
        <v>1.9410000000000001</v>
      </c>
    </row>
    <row r="139" spans="1:17" ht="14.25" customHeight="1" x14ac:dyDescent="0.35">
      <c r="A139" s="1">
        <v>2024</v>
      </c>
      <c r="B139" s="1" t="s">
        <v>27</v>
      </c>
      <c r="C139" s="1">
        <v>17</v>
      </c>
      <c r="D139" s="12">
        <v>66.75</v>
      </c>
      <c r="E139" s="12">
        <f t="shared" si="1"/>
        <v>83.4375</v>
      </c>
      <c r="F139" s="13">
        <v>56.813000000000002</v>
      </c>
      <c r="G139" s="21">
        <v>78.641999999999996</v>
      </c>
      <c r="H139" s="22">
        <v>1738.8040000000001</v>
      </c>
      <c r="I139" s="13">
        <v>6.9</v>
      </c>
      <c r="J139" s="23">
        <v>2.1999999999999999E-2</v>
      </c>
      <c r="K139" s="13">
        <v>7.7110000000000003</v>
      </c>
      <c r="L139" s="24">
        <v>20.164999999999999</v>
      </c>
      <c r="M139" s="13">
        <v>4.8929999999999998</v>
      </c>
      <c r="N139" s="23">
        <v>1.2999999999999999E-2</v>
      </c>
      <c r="O139" s="22">
        <v>251.33799999999999</v>
      </c>
      <c r="P139" s="25">
        <v>5.7000000000000002E-2</v>
      </c>
      <c r="Q139" s="26">
        <v>0.70899999999999996</v>
      </c>
    </row>
    <row r="140" spans="1:17" ht="14.25" customHeight="1" x14ac:dyDescent="0.35">
      <c r="A140" s="1">
        <v>2024</v>
      </c>
      <c r="B140" s="1" t="s">
        <v>27</v>
      </c>
      <c r="C140" s="1">
        <v>18</v>
      </c>
      <c r="D140" s="12">
        <v>64.531000000000006</v>
      </c>
      <c r="E140" s="12">
        <f t="shared" si="1"/>
        <v>80.663750000000007</v>
      </c>
      <c r="F140" s="13">
        <v>54.969000000000001</v>
      </c>
      <c r="G140" s="21">
        <v>78.682000000000002</v>
      </c>
      <c r="H140" s="22">
        <v>1745.6279999999999</v>
      </c>
      <c r="I140" s="13">
        <v>6.9</v>
      </c>
      <c r="J140" s="23">
        <v>2.1999999999999999E-2</v>
      </c>
      <c r="K140" s="13">
        <v>7.7469999999999999</v>
      </c>
      <c r="L140" s="24">
        <v>20.013000000000002</v>
      </c>
      <c r="M140" s="13">
        <v>4.9135999999999997</v>
      </c>
      <c r="N140" s="23">
        <v>1.29E-2</v>
      </c>
      <c r="O140" s="22">
        <v>240.98830000000001</v>
      </c>
      <c r="P140" s="25">
        <v>4.9500000000000002E-2</v>
      </c>
      <c r="Q140" s="26">
        <v>4.2000000000000003E-2</v>
      </c>
    </row>
    <row r="141" spans="1:17" ht="14.25" customHeight="1" x14ac:dyDescent="0.35">
      <c r="A141" s="1">
        <v>2024</v>
      </c>
      <c r="B141" s="1" t="s">
        <v>27</v>
      </c>
      <c r="C141" s="1">
        <v>19</v>
      </c>
      <c r="D141" s="12">
        <v>64.531000000000006</v>
      </c>
      <c r="E141" s="12">
        <f t="shared" si="1"/>
        <v>80.663750000000007</v>
      </c>
      <c r="F141" s="13">
        <v>55</v>
      </c>
      <c r="G141" s="21">
        <v>78.692999999999998</v>
      </c>
      <c r="H141" s="22">
        <v>1698.9849999999999</v>
      </c>
      <c r="I141" s="13">
        <v>6.9</v>
      </c>
      <c r="J141" s="23">
        <v>2.3E-2</v>
      </c>
      <c r="K141" s="13">
        <v>7.7430000000000003</v>
      </c>
      <c r="L141" s="24">
        <v>19.620999999999999</v>
      </c>
      <c r="M141" s="13">
        <v>4.9240000000000004</v>
      </c>
      <c r="N141" s="23">
        <v>1.2999999999999999E-2</v>
      </c>
      <c r="O141" s="22">
        <v>233.696</v>
      </c>
      <c r="P141" s="25">
        <v>5.7000000000000002E-2</v>
      </c>
      <c r="Q141" s="26">
        <v>4.2999999999999997E-2</v>
      </c>
    </row>
    <row r="142" spans="1:17" ht="14.25" customHeight="1" x14ac:dyDescent="0.35">
      <c r="A142" s="1">
        <v>2024</v>
      </c>
      <c r="B142" s="1" t="s">
        <v>27</v>
      </c>
      <c r="C142" s="1">
        <v>20</v>
      </c>
      <c r="D142" s="12">
        <v>64.546999999999997</v>
      </c>
      <c r="E142" s="12">
        <f t="shared" si="1"/>
        <v>80.683750000000003</v>
      </c>
      <c r="F142" s="13">
        <v>54.969000000000001</v>
      </c>
      <c r="G142" s="21">
        <v>78.637</v>
      </c>
      <c r="H142" s="22">
        <v>1664.5509999999999</v>
      </c>
      <c r="I142" s="13">
        <v>6.9</v>
      </c>
      <c r="J142" s="23">
        <v>2.3E-2</v>
      </c>
      <c r="K142" s="13">
        <v>7.7229999999999999</v>
      </c>
      <c r="L142" s="24">
        <v>19.562000000000001</v>
      </c>
      <c r="M142" s="13">
        <v>4.931</v>
      </c>
      <c r="N142" s="23">
        <v>1.2999999999999999E-2</v>
      </c>
      <c r="O142" s="22">
        <v>230.62299999999999</v>
      </c>
      <c r="P142" s="25">
        <v>5.0999999999999997E-2</v>
      </c>
      <c r="Q142" s="26">
        <v>3.6999999999999998E-2</v>
      </c>
    </row>
    <row r="143" spans="1:17" ht="14.25" customHeight="1" x14ac:dyDescent="0.35">
      <c r="A143" s="1">
        <v>2024</v>
      </c>
      <c r="B143" s="1" t="s">
        <v>27</v>
      </c>
      <c r="C143" s="1">
        <v>21</v>
      </c>
      <c r="D143" s="12">
        <v>81.813000000000002</v>
      </c>
      <c r="E143" s="12">
        <f t="shared" si="1"/>
        <v>102.26625</v>
      </c>
      <c r="F143" s="13">
        <v>69.75</v>
      </c>
      <c r="G143" s="21">
        <v>78.366</v>
      </c>
      <c r="H143" s="22">
        <v>1734.2950000000001</v>
      </c>
      <c r="I143" s="13">
        <v>6.9</v>
      </c>
      <c r="J143" s="23">
        <v>2.5000000000000001E-2</v>
      </c>
      <c r="K143" s="13">
        <v>8.2590000000000003</v>
      </c>
      <c r="L143" s="24">
        <v>22.126999999999999</v>
      </c>
      <c r="M143" s="13">
        <v>4.9649999999999999</v>
      </c>
      <c r="N143" s="23">
        <v>1.2999999999999999E-2</v>
      </c>
      <c r="O143" s="22">
        <v>213.39699999999999</v>
      </c>
      <c r="P143" s="25">
        <v>4.9000000000000002E-2</v>
      </c>
      <c r="Q143" s="26">
        <v>5.1999999999999998E-2</v>
      </c>
    </row>
    <row r="144" spans="1:17" ht="14.25" customHeight="1" x14ac:dyDescent="0.35">
      <c r="A144" s="1">
        <v>2024</v>
      </c>
      <c r="B144" s="1" t="s">
        <v>27</v>
      </c>
      <c r="C144" s="1">
        <v>22</v>
      </c>
      <c r="D144" s="12">
        <v>102.797</v>
      </c>
      <c r="E144" s="12">
        <f t="shared" si="1"/>
        <v>128.49625</v>
      </c>
      <c r="F144" s="13">
        <v>87.781000000000006</v>
      </c>
      <c r="G144" s="21">
        <v>78.338999999999999</v>
      </c>
      <c r="H144" s="22">
        <v>1779.202</v>
      </c>
      <c r="I144" s="13">
        <v>6.9</v>
      </c>
      <c r="J144" s="23">
        <v>2.5000000000000001E-2</v>
      </c>
      <c r="K144" s="13">
        <v>8.6050000000000004</v>
      </c>
      <c r="L144" s="24">
        <v>24.0854</v>
      </c>
      <c r="M144" s="13">
        <v>4.9793000000000003</v>
      </c>
      <c r="N144" s="23">
        <v>1.29E-2</v>
      </c>
      <c r="O144" s="22">
        <v>206.59440000000001</v>
      </c>
      <c r="P144" s="25">
        <v>5.2499999999999998E-2</v>
      </c>
      <c r="Q144" s="26">
        <v>5.6000000000000001E-2</v>
      </c>
    </row>
    <row r="145" spans="1:17" ht="14.25" customHeight="1" x14ac:dyDescent="0.35">
      <c r="A145" s="1">
        <v>2024</v>
      </c>
      <c r="B145" s="1" t="s">
        <v>27</v>
      </c>
      <c r="C145" s="1">
        <v>23</v>
      </c>
      <c r="D145" s="12">
        <v>98.593999999999994</v>
      </c>
      <c r="E145" s="12">
        <f t="shared" si="1"/>
        <v>123.24249999999999</v>
      </c>
      <c r="F145" s="13">
        <v>84.25</v>
      </c>
      <c r="G145" s="21">
        <v>78.506</v>
      </c>
      <c r="H145" s="22">
        <v>1753.069</v>
      </c>
      <c r="I145" s="13">
        <v>6.9</v>
      </c>
      <c r="J145" s="23">
        <v>2.5000000000000001E-2</v>
      </c>
      <c r="K145" s="13">
        <v>8.8469999999999995</v>
      </c>
      <c r="L145" s="24">
        <v>24.387</v>
      </c>
      <c r="M145" s="13">
        <v>4.9770000000000003</v>
      </c>
      <c r="N145" s="23">
        <v>1.2999999999999999E-2</v>
      </c>
      <c r="O145" s="22">
        <v>207.54400000000001</v>
      </c>
      <c r="P145" s="25">
        <v>6.2E-2</v>
      </c>
      <c r="Q145" s="26">
        <v>5.6000000000000001E-2</v>
      </c>
    </row>
    <row r="146" spans="1:17" ht="14.25" customHeight="1" x14ac:dyDescent="0.35">
      <c r="A146" s="1">
        <v>2024</v>
      </c>
      <c r="B146" s="1" t="s">
        <v>27</v>
      </c>
      <c r="C146" s="1">
        <v>24</v>
      </c>
      <c r="D146" s="12">
        <v>93.5</v>
      </c>
      <c r="E146" s="32">
        <v>116.22</v>
      </c>
      <c r="F146" s="13">
        <v>79.843999999999994</v>
      </c>
      <c r="G146" s="21">
        <v>78.218999999999994</v>
      </c>
      <c r="H146" s="22">
        <v>1773.623</v>
      </c>
      <c r="I146" s="13">
        <v>6.9</v>
      </c>
      <c r="J146" s="23">
        <v>2.5000000000000001E-2</v>
      </c>
      <c r="K146" s="13">
        <v>8.8989999999999991</v>
      </c>
      <c r="L146" s="24">
        <v>24.893999999999998</v>
      </c>
      <c r="M146" s="13">
        <v>4.8639999999999999</v>
      </c>
      <c r="N146" s="23">
        <v>1.2999999999999999E-2</v>
      </c>
      <c r="O146" s="22">
        <v>274.267</v>
      </c>
      <c r="P146" s="25">
        <v>6.3E-2</v>
      </c>
      <c r="Q146" s="26">
        <v>0.251</v>
      </c>
    </row>
    <row r="147" spans="1:17" ht="14.25" customHeight="1" x14ac:dyDescent="0.35">
      <c r="A147" s="1">
        <v>2024</v>
      </c>
      <c r="B147" s="1" t="s">
        <v>27</v>
      </c>
      <c r="C147" s="1">
        <v>25</v>
      </c>
      <c r="D147" s="12">
        <v>102.23399999999999</v>
      </c>
      <c r="E147" s="12">
        <f t="shared" ref="E147:E149" si="2">D147*1.25</f>
        <v>127.79249999999999</v>
      </c>
      <c r="F147" s="13">
        <v>87.375</v>
      </c>
      <c r="G147" s="21">
        <v>78.314999999999998</v>
      </c>
      <c r="H147" s="22">
        <v>1721.1669999999999</v>
      </c>
      <c r="I147" s="13">
        <v>6.9</v>
      </c>
      <c r="J147" s="23">
        <v>2.4E-2</v>
      </c>
      <c r="K147" s="13">
        <v>8.7850000000000001</v>
      </c>
      <c r="L147" s="24">
        <v>25.157</v>
      </c>
      <c r="M147" s="13">
        <v>4.7910000000000004</v>
      </c>
      <c r="N147" s="23">
        <v>1.2999999999999999E-2</v>
      </c>
      <c r="O147" s="22">
        <v>318.87799999999999</v>
      </c>
      <c r="P147" s="25">
        <v>6.0999999999999999E-2</v>
      </c>
      <c r="Q147" s="26">
        <v>4.4999999999999998E-2</v>
      </c>
    </row>
    <row r="148" spans="1:17" ht="14.25" customHeight="1" x14ac:dyDescent="0.35">
      <c r="A148" s="1">
        <v>2024</v>
      </c>
      <c r="B148" s="1" t="s">
        <v>27</v>
      </c>
      <c r="C148" s="1">
        <v>26</v>
      </c>
      <c r="D148" s="12">
        <v>97.281000000000006</v>
      </c>
      <c r="E148" s="12">
        <f t="shared" si="2"/>
        <v>121.60125000000001</v>
      </c>
      <c r="F148" s="13">
        <v>83.218999999999994</v>
      </c>
      <c r="G148" s="21">
        <v>78.251999999999995</v>
      </c>
      <c r="H148" s="22">
        <v>1652.15</v>
      </c>
      <c r="I148" s="13">
        <v>6.9</v>
      </c>
      <c r="J148" s="23">
        <v>2.4E-2</v>
      </c>
      <c r="K148" s="13">
        <v>8.6110000000000007</v>
      </c>
      <c r="L148" s="24">
        <v>29.823</v>
      </c>
      <c r="M148" s="13">
        <v>4.8369999999999997</v>
      </c>
      <c r="N148" s="23">
        <v>1.2999999999999999E-2</v>
      </c>
      <c r="O148" s="22">
        <v>287.36099999999999</v>
      </c>
      <c r="P148" s="25">
        <v>7.5999999999999998E-2</v>
      </c>
      <c r="Q148" s="26">
        <v>5.5E-2</v>
      </c>
    </row>
    <row r="149" spans="1:17" ht="14.25" customHeight="1" x14ac:dyDescent="0.35">
      <c r="A149" s="1">
        <v>2024</v>
      </c>
      <c r="B149" s="1" t="s">
        <v>27</v>
      </c>
      <c r="C149" s="1">
        <v>27</v>
      </c>
      <c r="D149" s="12">
        <v>92.688000000000002</v>
      </c>
      <c r="E149" s="12">
        <f t="shared" si="2"/>
        <v>115.86</v>
      </c>
      <c r="F149" s="13">
        <v>79.313000000000002</v>
      </c>
      <c r="G149" s="21">
        <v>78.269000000000005</v>
      </c>
      <c r="H149" s="22">
        <v>1637.979</v>
      </c>
      <c r="I149" s="13">
        <v>6.9</v>
      </c>
      <c r="J149" s="23">
        <v>2.4E-2</v>
      </c>
      <c r="K149" s="13">
        <v>8.6219999999999999</v>
      </c>
      <c r="L149" s="24">
        <v>29.663</v>
      </c>
      <c r="M149" s="13">
        <v>4.8479999999999999</v>
      </c>
      <c r="N149" s="23">
        <v>1.2999999999999999E-2</v>
      </c>
      <c r="O149" s="22">
        <v>278.23599999999999</v>
      </c>
      <c r="P149" s="25">
        <v>7.4999999999999997E-2</v>
      </c>
      <c r="Q149" s="26">
        <v>5.5E-2</v>
      </c>
    </row>
    <row r="150" spans="1:17" ht="14.25" customHeight="1" x14ac:dyDescent="0.35">
      <c r="A150" s="1">
        <v>2024</v>
      </c>
      <c r="B150" s="1" t="s">
        <v>27</v>
      </c>
      <c r="C150" s="1">
        <v>28</v>
      </c>
      <c r="D150" s="12">
        <v>85.531000000000006</v>
      </c>
      <c r="E150" s="32">
        <v>106.23</v>
      </c>
      <c r="F150" s="13">
        <v>72.813000000000002</v>
      </c>
      <c r="G150" s="21">
        <v>78.381</v>
      </c>
      <c r="H150" s="22">
        <v>1624.8789999999999</v>
      </c>
      <c r="I150" s="13">
        <v>6.9</v>
      </c>
      <c r="J150" s="23">
        <v>2.4E-2</v>
      </c>
      <c r="K150" s="13">
        <v>8.7520000000000007</v>
      </c>
      <c r="L150" s="24">
        <v>27.067</v>
      </c>
      <c r="M150" s="13">
        <v>4.8220000000000001</v>
      </c>
      <c r="N150" s="23">
        <v>1.2999999999999999E-2</v>
      </c>
      <c r="O150" s="22">
        <v>296.21899999999999</v>
      </c>
      <c r="P150" s="25">
        <v>7.0000000000000007E-2</v>
      </c>
      <c r="Q150" s="26">
        <v>4.4999999999999998E-2</v>
      </c>
    </row>
    <row r="151" spans="1:17" ht="14.25" customHeight="1" x14ac:dyDescent="0.35">
      <c r="A151" s="1">
        <v>2024</v>
      </c>
      <c r="B151" s="1" t="s">
        <v>27</v>
      </c>
      <c r="C151" s="1">
        <v>29</v>
      </c>
      <c r="D151" s="12">
        <v>10.531000000000001</v>
      </c>
      <c r="E151" s="12">
        <f t="shared" ref="E151:E238" si="3">D151*1.25</f>
        <v>13.16375</v>
      </c>
      <c r="F151" s="13">
        <v>8.9380000000000006</v>
      </c>
      <c r="G151" s="21">
        <v>75.722999999999999</v>
      </c>
      <c r="H151" s="22">
        <v>1671.5809999999999</v>
      </c>
      <c r="I151" s="13">
        <v>6.9980000000000002</v>
      </c>
      <c r="J151" s="23">
        <v>3.3000000000000002E-2</v>
      </c>
      <c r="K151" s="13">
        <v>8.9269999999999996</v>
      </c>
      <c r="L151" s="24">
        <v>30.471</v>
      </c>
      <c r="M151" s="13">
        <v>4.8079999999999998</v>
      </c>
      <c r="N151" s="23">
        <v>1.6E-2</v>
      </c>
      <c r="O151" s="22">
        <v>307.56099999999998</v>
      </c>
      <c r="P151" s="25">
        <v>7.6999999999999999E-2</v>
      </c>
      <c r="Q151" s="26">
        <v>3.4000000000000002E-2</v>
      </c>
    </row>
    <row r="152" spans="1:17" ht="14.25" customHeight="1" x14ac:dyDescent="0.35">
      <c r="A152" s="1">
        <v>2024</v>
      </c>
      <c r="B152" s="1" t="s">
        <v>27</v>
      </c>
      <c r="C152" s="1">
        <v>30</v>
      </c>
      <c r="D152" s="12">
        <v>16.219000000000001</v>
      </c>
      <c r="E152" s="12">
        <f t="shared" si="3"/>
        <v>20.27375</v>
      </c>
      <c r="F152" s="13">
        <v>13.718999999999999</v>
      </c>
      <c r="G152" s="21">
        <v>75.698999999999998</v>
      </c>
      <c r="H152" s="22">
        <v>1691.1410000000001</v>
      </c>
      <c r="I152" s="13">
        <v>6.9729999999999999</v>
      </c>
      <c r="J152" s="23">
        <v>5.6000000000000001E-2</v>
      </c>
      <c r="K152" s="13">
        <v>8.3689999999999998</v>
      </c>
      <c r="L152" s="24">
        <v>33.322000000000003</v>
      </c>
      <c r="M152" s="13">
        <v>4.72</v>
      </c>
      <c r="N152" s="23">
        <v>1.2999999999999999E-2</v>
      </c>
      <c r="O152" s="22">
        <v>381.15</v>
      </c>
      <c r="P152" s="25">
        <v>6.4000000000000001E-2</v>
      </c>
      <c r="Q152" s="26">
        <v>3.5000000000000003E-2</v>
      </c>
    </row>
    <row r="153" spans="1:17" ht="14.25" customHeight="1" x14ac:dyDescent="0.35">
      <c r="A153" s="1">
        <v>2024</v>
      </c>
      <c r="B153" s="1" t="s">
        <v>27</v>
      </c>
      <c r="C153" s="1">
        <v>31</v>
      </c>
      <c r="D153" s="34">
        <v>100.96899999999999</v>
      </c>
      <c r="E153" s="12">
        <f t="shared" si="3"/>
        <v>126.21124999999999</v>
      </c>
      <c r="F153" s="35">
        <v>86.25</v>
      </c>
      <c r="G153" s="36">
        <v>78.915999999999997</v>
      </c>
      <c r="H153" s="37">
        <v>1695.741</v>
      </c>
      <c r="I153" s="35">
        <v>6.9</v>
      </c>
      <c r="J153" s="38">
        <v>2.4E-2</v>
      </c>
      <c r="K153" s="35">
        <v>8.0640000000000001</v>
      </c>
      <c r="L153" s="39">
        <v>26.902999999999999</v>
      </c>
      <c r="M153" s="35">
        <v>4.9180000000000001</v>
      </c>
      <c r="N153" s="38">
        <v>1.2999999999999999E-2</v>
      </c>
      <c r="O153" s="37">
        <v>247.70099999999999</v>
      </c>
      <c r="P153" s="40">
        <v>7.5999999999999998E-2</v>
      </c>
      <c r="Q153" s="41">
        <v>0.60799999999999998</v>
      </c>
    </row>
    <row r="154" spans="1:17" ht="14.25" customHeight="1" x14ac:dyDescent="0.35">
      <c r="A154" s="1">
        <v>2024</v>
      </c>
      <c r="B154" s="1" t="s">
        <v>28</v>
      </c>
      <c r="C154" s="1">
        <v>1</v>
      </c>
      <c r="D154" s="12">
        <v>97.343999999999994</v>
      </c>
      <c r="E154" s="12">
        <f t="shared" si="3"/>
        <v>121.67999999999999</v>
      </c>
      <c r="F154" s="13">
        <v>83.281000000000006</v>
      </c>
      <c r="G154" s="21">
        <v>78.873999999999995</v>
      </c>
      <c r="H154" s="22">
        <v>1676.72</v>
      </c>
      <c r="I154" s="13">
        <v>6.9</v>
      </c>
      <c r="J154" s="23">
        <v>2.4E-2</v>
      </c>
      <c r="K154" s="13">
        <v>8.6890000000000001</v>
      </c>
      <c r="L154" s="24">
        <v>24.7422</v>
      </c>
      <c r="M154" s="13">
        <v>5.0056000000000003</v>
      </c>
      <c r="N154" s="23">
        <v>1.29E-2</v>
      </c>
      <c r="O154" s="22">
        <v>194.6233</v>
      </c>
      <c r="P154" s="25">
        <v>6.5699999999999995E-2</v>
      </c>
      <c r="Q154" s="26">
        <v>1.302</v>
      </c>
    </row>
    <row r="155" spans="1:17" ht="14.25" customHeight="1" x14ac:dyDescent="0.35">
      <c r="A155" s="1">
        <v>2024</v>
      </c>
      <c r="B155" s="1" t="s">
        <v>28</v>
      </c>
      <c r="C155" s="1">
        <v>2</v>
      </c>
      <c r="D155" s="12">
        <v>104.60899999999999</v>
      </c>
      <c r="E155" s="12">
        <f t="shared" si="3"/>
        <v>130.76124999999999</v>
      </c>
      <c r="F155" s="13">
        <v>89.625</v>
      </c>
      <c r="G155" s="21">
        <v>78.843999999999994</v>
      </c>
      <c r="H155" s="22">
        <v>1615.057</v>
      </c>
      <c r="I155" s="13">
        <v>6.9</v>
      </c>
      <c r="J155" s="23">
        <v>2.5000000000000001E-2</v>
      </c>
      <c r="K155" s="13">
        <v>8.532</v>
      </c>
      <c r="L155" s="24">
        <v>22.596</v>
      </c>
      <c r="M155" s="13">
        <v>5.0010000000000003</v>
      </c>
      <c r="N155" s="23">
        <v>1.2999999999999999E-2</v>
      </c>
      <c r="O155" s="22">
        <v>196.91</v>
      </c>
      <c r="P155" s="25">
        <v>5.7000000000000002E-2</v>
      </c>
      <c r="Q155" s="26">
        <v>1.4670000000000001</v>
      </c>
    </row>
    <row r="156" spans="1:17" ht="14.25" customHeight="1" x14ac:dyDescent="0.35">
      <c r="A156" s="1">
        <v>2024</v>
      </c>
      <c r="B156" s="1" t="s">
        <v>28</v>
      </c>
      <c r="C156" s="1">
        <v>3</v>
      </c>
      <c r="D156" s="12">
        <v>97.75</v>
      </c>
      <c r="E156" s="12">
        <f t="shared" si="3"/>
        <v>122.1875</v>
      </c>
      <c r="F156" s="13">
        <v>83.563000000000002</v>
      </c>
      <c r="G156" s="21">
        <v>78.622</v>
      </c>
      <c r="H156" s="22">
        <v>1628.558</v>
      </c>
      <c r="I156" s="13">
        <v>6.9</v>
      </c>
      <c r="J156" s="23">
        <v>2.5999999999999999E-2</v>
      </c>
      <c r="K156" s="13">
        <v>9.2590000000000003</v>
      </c>
      <c r="L156" s="24">
        <v>23.34036</v>
      </c>
      <c r="M156" s="13">
        <v>5.0190000000000001</v>
      </c>
      <c r="N156" s="23">
        <v>1.2999999999999999E-2</v>
      </c>
      <c r="O156" s="22">
        <v>190.941</v>
      </c>
      <c r="P156" s="25">
        <v>7.0000000000000007E-2</v>
      </c>
      <c r="Q156" s="26">
        <v>1.5549999999999999</v>
      </c>
    </row>
    <row r="157" spans="1:17" ht="14.25" customHeight="1" x14ac:dyDescent="0.35">
      <c r="A157" s="1">
        <v>2024</v>
      </c>
      <c r="B157" s="1" t="s">
        <v>28</v>
      </c>
      <c r="C157" s="1">
        <v>4</v>
      </c>
      <c r="D157" s="12">
        <v>104.60899999999999</v>
      </c>
      <c r="E157" s="12">
        <f t="shared" si="3"/>
        <v>130.76124999999999</v>
      </c>
      <c r="F157" s="13">
        <v>89.406000000000006</v>
      </c>
      <c r="G157" s="21">
        <v>79.171999999999997</v>
      </c>
      <c r="H157" s="22">
        <v>1664.3340000000001</v>
      </c>
      <c r="I157" s="13">
        <v>6.9</v>
      </c>
      <c r="J157" s="23">
        <v>2.5999999999999999E-2</v>
      </c>
      <c r="K157" s="13">
        <v>9.1739999999999995</v>
      </c>
      <c r="L157" s="24">
        <v>22.748000000000001</v>
      </c>
      <c r="M157" s="13">
        <v>4.99</v>
      </c>
      <c r="N157" s="23">
        <v>1.2999999999999999E-2</v>
      </c>
      <c r="O157" s="22">
        <v>202.28800000000001</v>
      </c>
      <c r="P157" s="25">
        <v>6.6000000000000003E-2</v>
      </c>
      <c r="Q157" s="26">
        <v>1.327</v>
      </c>
    </row>
    <row r="158" spans="1:17" ht="14.25" customHeight="1" x14ac:dyDescent="0.35">
      <c r="A158" s="1">
        <v>2024</v>
      </c>
      <c r="B158" s="1" t="s">
        <v>28</v>
      </c>
      <c r="C158" s="1">
        <v>5</v>
      </c>
      <c r="D158" s="12">
        <v>105.25</v>
      </c>
      <c r="E158" s="12">
        <f t="shared" si="3"/>
        <v>131.5625</v>
      </c>
      <c r="F158" s="13">
        <v>89.968999999999994</v>
      </c>
      <c r="G158" s="21">
        <v>79.503</v>
      </c>
      <c r="H158" s="22">
        <v>1672.865</v>
      </c>
      <c r="I158" s="13">
        <v>6.9</v>
      </c>
      <c r="J158" s="23">
        <v>2.5000000000000001E-2</v>
      </c>
      <c r="K158" s="13">
        <v>8.2680000000000007</v>
      </c>
      <c r="L158" s="24">
        <v>22.809000000000001</v>
      </c>
      <c r="M158" s="13">
        <v>4.9770000000000003</v>
      </c>
      <c r="N158" s="23">
        <v>1.2999999999999999E-2</v>
      </c>
      <c r="O158" s="22">
        <v>208.637</v>
      </c>
      <c r="P158" s="25">
        <v>6.7000000000000004E-2</v>
      </c>
      <c r="Q158" s="26">
        <v>1.073</v>
      </c>
    </row>
    <row r="159" spans="1:17" ht="14.25" customHeight="1" x14ac:dyDescent="0.35">
      <c r="A159" s="1">
        <v>2024</v>
      </c>
      <c r="B159" s="1" t="s">
        <v>28</v>
      </c>
      <c r="C159" s="1">
        <v>6</v>
      </c>
      <c r="D159" s="12">
        <v>102.828</v>
      </c>
      <c r="E159" s="12">
        <f t="shared" si="3"/>
        <v>128.535</v>
      </c>
      <c r="F159" s="13">
        <v>87.906000000000006</v>
      </c>
      <c r="G159" s="21">
        <v>79.569000000000003</v>
      </c>
      <c r="H159" s="22">
        <v>1730.6020000000001</v>
      </c>
      <c r="I159" s="13">
        <v>6.9</v>
      </c>
      <c r="J159" s="23">
        <v>2.5000000000000001E-2</v>
      </c>
      <c r="K159" s="13">
        <v>8.0779999999999994</v>
      </c>
      <c r="L159" s="24">
        <v>24.652999999999999</v>
      </c>
      <c r="M159" s="13">
        <v>4.9610000000000003</v>
      </c>
      <c r="N159" s="23">
        <v>1.2999999999999999E-2</v>
      </c>
      <c r="O159" s="22">
        <v>215.56700000000001</v>
      </c>
      <c r="P159" s="25">
        <v>7.8E-2</v>
      </c>
      <c r="Q159" s="26">
        <v>1.081</v>
      </c>
    </row>
    <row r="160" spans="1:17" ht="14.25" customHeight="1" x14ac:dyDescent="0.35">
      <c r="A160" s="1">
        <v>2024</v>
      </c>
      <c r="B160" s="1" t="s">
        <v>28</v>
      </c>
      <c r="C160" s="1">
        <v>7</v>
      </c>
      <c r="D160" s="12">
        <v>101.563</v>
      </c>
      <c r="E160" s="12">
        <f t="shared" si="3"/>
        <v>126.95375</v>
      </c>
      <c r="F160" s="13">
        <v>87.063000000000002</v>
      </c>
      <c r="G160" s="21">
        <v>79.477000000000004</v>
      </c>
      <c r="H160" s="22">
        <v>1710.8309999999999</v>
      </c>
      <c r="I160" s="13">
        <v>6.9</v>
      </c>
      <c r="J160" s="23">
        <v>2.5000000000000001E-2</v>
      </c>
      <c r="K160" s="13">
        <v>7.9710000000000001</v>
      </c>
      <c r="L160" s="24">
        <v>27.553000000000001</v>
      </c>
      <c r="M160" s="13">
        <v>4.99</v>
      </c>
      <c r="N160" s="23">
        <v>1.2999999999999999E-2</v>
      </c>
      <c r="O160" s="22">
        <v>201.113</v>
      </c>
      <c r="P160" s="25">
        <v>8.6999999999999994E-2</v>
      </c>
      <c r="Q160" s="26">
        <v>1.06</v>
      </c>
    </row>
    <row r="161" spans="1:17" ht="14.25" customHeight="1" x14ac:dyDescent="0.35">
      <c r="A161" s="1">
        <v>2024</v>
      </c>
      <c r="B161" s="1" t="s">
        <v>28</v>
      </c>
      <c r="C161" s="1">
        <v>8</v>
      </c>
      <c r="D161" s="12">
        <v>101.01600000000001</v>
      </c>
      <c r="E161" s="12">
        <f t="shared" si="3"/>
        <v>126.27000000000001</v>
      </c>
      <c r="F161" s="13">
        <v>86.593999999999994</v>
      </c>
      <c r="G161" s="21">
        <v>79.385000000000005</v>
      </c>
      <c r="H161" s="22">
        <v>1705.289</v>
      </c>
      <c r="I161" s="13">
        <v>6.9</v>
      </c>
      <c r="J161" s="23">
        <v>2.3E-2</v>
      </c>
      <c r="K161" s="13">
        <v>7.7779999999999996</v>
      </c>
      <c r="L161" s="24">
        <v>27.216999999999999</v>
      </c>
      <c r="M161" s="13">
        <v>5</v>
      </c>
      <c r="N161" s="23">
        <v>1.2999999999999999E-2</v>
      </c>
      <c r="O161" s="22">
        <v>197.90100000000001</v>
      </c>
      <c r="P161" s="25">
        <v>7.9000000000000001E-2</v>
      </c>
      <c r="Q161" s="26">
        <v>1.0089999999999999</v>
      </c>
    </row>
    <row r="162" spans="1:17" ht="14.25" customHeight="1" x14ac:dyDescent="0.35">
      <c r="A162" s="1">
        <v>2024</v>
      </c>
      <c r="B162" s="1" t="s">
        <v>28</v>
      </c>
      <c r="C162" s="1">
        <v>9</v>
      </c>
      <c r="D162" s="12">
        <v>79.921999999999997</v>
      </c>
      <c r="E162" s="12">
        <f t="shared" si="3"/>
        <v>99.902500000000003</v>
      </c>
      <c r="F162" s="13">
        <v>68.375</v>
      </c>
      <c r="G162" s="21">
        <v>79.335999999999999</v>
      </c>
      <c r="H162" s="22">
        <v>1619.348</v>
      </c>
      <c r="I162" s="13">
        <v>6.9020000000000001</v>
      </c>
      <c r="J162" s="23">
        <v>3.2000000000000001E-2</v>
      </c>
      <c r="K162" s="13">
        <v>7.0739999999999998</v>
      </c>
      <c r="L162" s="24">
        <v>31.698</v>
      </c>
      <c r="M162" s="13">
        <v>5.0380000000000003</v>
      </c>
      <c r="N162" s="23">
        <v>1.2999999999999999E-2</v>
      </c>
      <c r="O162" s="22">
        <v>185.26300000000001</v>
      </c>
      <c r="P162" s="25">
        <v>7.8E-2</v>
      </c>
      <c r="Q162" s="26">
        <v>0.873</v>
      </c>
    </row>
    <row r="163" spans="1:17" ht="14.25" customHeight="1" x14ac:dyDescent="0.35">
      <c r="A163" s="1">
        <v>2024</v>
      </c>
      <c r="B163" s="1" t="s">
        <v>28</v>
      </c>
      <c r="C163" s="1">
        <v>10</v>
      </c>
      <c r="D163" s="12">
        <v>97.141000000000005</v>
      </c>
      <c r="E163" s="12">
        <f t="shared" si="3"/>
        <v>121.42625000000001</v>
      </c>
      <c r="F163" s="13">
        <v>83.313000000000002</v>
      </c>
      <c r="G163" s="27">
        <v>79.581000000000003</v>
      </c>
      <c r="H163" s="22">
        <v>1600.1320000000001</v>
      </c>
      <c r="I163" s="13">
        <v>6.9</v>
      </c>
      <c r="J163" s="23">
        <v>2.1999999999999999E-2</v>
      </c>
      <c r="K163" s="28">
        <v>7.423</v>
      </c>
      <c r="L163" s="24">
        <v>23.271999999999998</v>
      </c>
      <c r="M163" s="13">
        <v>4.9400000000000004</v>
      </c>
      <c r="N163" s="29">
        <v>1.2999999999999999E-2</v>
      </c>
      <c r="O163" s="22">
        <v>225.77600000000001</v>
      </c>
      <c r="P163" s="30">
        <v>7.3999999999999996E-2</v>
      </c>
      <c r="Q163" s="31">
        <v>0.79900000000000004</v>
      </c>
    </row>
    <row r="164" spans="1:17" ht="14.25" customHeight="1" x14ac:dyDescent="0.35">
      <c r="A164" s="1">
        <v>2024</v>
      </c>
      <c r="B164" s="1" t="s">
        <v>28</v>
      </c>
      <c r="C164" s="1">
        <v>11</v>
      </c>
      <c r="D164" s="12">
        <v>101.96899999999999</v>
      </c>
      <c r="E164" s="12">
        <f t="shared" si="3"/>
        <v>127.46124999999999</v>
      </c>
      <c r="F164" s="13">
        <v>87.375</v>
      </c>
      <c r="G164" s="27">
        <v>79.537000000000006</v>
      </c>
      <c r="H164" s="22">
        <v>1659.848</v>
      </c>
      <c r="I164" s="13">
        <v>6.9</v>
      </c>
      <c r="J164" s="23">
        <v>2.1999999999999999E-2</v>
      </c>
      <c r="K164" s="28">
        <v>7.6520000000000001</v>
      </c>
      <c r="L164" s="24">
        <v>25.305</v>
      </c>
      <c r="M164" s="13">
        <v>4.96</v>
      </c>
      <c r="N164" s="29">
        <v>1.2999999999999999E-2</v>
      </c>
      <c r="O164" s="22">
        <v>215.62799999999999</v>
      </c>
      <c r="P164" s="30">
        <v>7.5999999999999998E-2</v>
      </c>
      <c r="Q164" s="31">
        <v>0.71099999999999997</v>
      </c>
    </row>
    <row r="165" spans="1:17" ht="14.25" customHeight="1" x14ac:dyDescent="0.35">
      <c r="A165" s="1">
        <v>2024</v>
      </c>
      <c r="B165" s="1" t="s">
        <v>28</v>
      </c>
      <c r="C165" s="1">
        <v>12</v>
      </c>
      <c r="D165" s="12">
        <v>97.813000000000002</v>
      </c>
      <c r="E165" s="12">
        <f t="shared" si="3"/>
        <v>122.26625</v>
      </c>
      <c r="F165" s="13">
        <v>83.656000000000006</v>
      </c>
      <c r="G165" s="27">
        <v>80.040999999999997</v>
      </c>
      <c r="H165" s="22">
        <v>1683.06</v>
      </c>
      <c r="I165" s="13">
        <v>6.9</v>
      </c>
      <c r="J165" s="23">
        <v>2.1000000000000001E-2</v>
      </c>
      <c r="K165" s="28">
        <v>7.4</v>
      </c>
      <c r="L165" s="24">
        <v>25.21</v>
      </c>
      <c r="M165" s="13">
        <v>4.9420000000000002</v>
      </c>
      <c r="N165" s="29">
        <v>1.2999999999999999E-2</v>
      </c>
      <c r="O165" s="22">
        <v>224.429</v>
      </c>
      <c r="P165" s="30">
        <v>7.1999999999999995E-2</v>
      </c>
      <c r="Q165" s="31">
        <v>0.63100000000000001</v>
      </c>
    </row>
    <row r="166" spans="1:17" ht="14.25" customHeight="1" x14ac:dyDescent="0.35">
      <c r="A166" s="1">
        <v>2024</v>
      </c>
      <c r="B166" s="1" t="s">
        <v>28</v>
      </c>
      <c r="C166" s="1">
        <v>13</v>
      </c>
      <c r="D166" s="12">
        <v>103.15600000000001</v>
      </c>
      <c r="E166" s="12">
        <f t="shared" si="3"/>
        <v>128.94499999999999</v>
      </c>
      <c r="F166" s="13">
        <v>88.218999999999994</v>
      </c>
      <c r="G166" s="27">
        <v>80.117999999999995</v>
      </c>
      <c r="H166" s="22">
        <v>1687.702</v>
      </c>
      <c r="I166" s="13">
        <v>6.9</v>
      </c>
      <c r="J166" s="23">
        <v>2.1000000000000001E-2</v>
      </c>
      <c r="K166" s="28">
        <v>7.5190000000000001</v>
      </c>
      <c r="L166" s="24">
        <v>24.14</v>
      </c>
      <c r="M166" s="13">
        <v>4.9240000000000004</v>
      </c>
      <c r="N166" s="23">
        <v>1.2999999999999999E-2</v>
      </c>
      <c r="O166" s="22">
        <v>233.48480000000001</v>
      </c>
      <c r="P166" s="30">
        <v>8.1600000000000006E-2</v>
      </c>
      <c r="Q166" s="31">
        <v>0.59699999999999998</v>
      </c>
    </row>
    <row r="167" spans="1:17" ht="14.25" customHeight="1" x14ac:dyDescent="0.35">
      <c r="A167" s="1">
        <v>2024</v>
      </c>
      <c r="B167" s="1" t="s">
        <v>28</v>
      </c>
      <c r="C167" s="1">
        <v>14</v>
      </c>
      <c r="D167" s="12">
        <v>97.188000000000002</v>
      </c>
      <c r="E167" s="12">
        <f t="shared" si="3"/>
        <v>121.485</v>
      </c>
      <c r="F167" s="13">
        <v>83.156000000000006</v>
      </c>
      <c r="G167" s="21">
        <v>79.997</v>
      </c>
      <c r="H167" s="22">
        <v>1664.732</v>
      </c>
      <c r="I167" s="13">
        <v>6.9</v>
      </c>
      <c r="J167" s="23">
        <v>2.1000000000000001E-2</v>
      </c>
      <c r="K167" s="28">
        <v>7.6219999999999999</v>
      </c>
      <c r="L167" s="33">
        <v>22.725000000000001</v>
      </c>
      <c r="M167" s="13">
        <v>4.8369999999999997</v>
      </c>
      <c r="N167" s="23">
        <v>1.2999999999999999E-2</v>
      </c>
      <c r="O167" s="22">
        <v>287.56700000000001</v>
      </c>
      <c r="P167" s="30">
        <v>8.1000000000000003E-2</v>
      </c>
      <c r="Q167" s="31">
        <v>0.54800000000000004</v>
      </c>
    </row>
    <row r="168" spans="1:17" ht="14.25" customHeight="1" x14ac:dyDescent="0.35">
      <c r="A168" s="1">
        <v>2024</v>
      </c>
      <c r="B168" s="1" t="s">
        <v>28</v>
      </c>
      <c r="C168" s="1">
        <v>15</v>
      </c>
      <c r="D168" s="12">
        <v>100.09399999999999</v>
      </c>
      <c r="E168" s="12">
        <f t="shared" si="3"/>
        <v>125.11749999999999</v>
      </c>
      <c r="F168" s="13">
        <v>85.688000000000002</v>
      </c>
      <c r="G168" s="21">
        <v>80.265000000000001</v>
      </c>
      <c r="H168" s="22">
        <v>1658.84</v>
      </c>
      <c r="I168" s="13">
        <v>6.9</v>
      </c>
      <c r="J168" s="23">
        <v>2.1999999999999999E-2</v>
      </c>
      <c r="K168" s="28">
        <v>7.54</v>
      </c>
      <c r="L168" s="24">
        <v>23.125</v>
      </c>
      <c r="M168" s="13">
        <v>4.7969999999999997</v>
      </c>
      <c r="N168" s="23">
        <v>1.2999999999999999E-2</v>
      </c>
      <c r="O168" s="22">
        <v>314.45400000000001</v>
      </c>
      <c r="P168" s="30">
        <v>7.2999999999999995E-2</v>
      </c>
      <c r="Q168" s="31">
        <v>0.48599999999999999</v>
      </c>
    </row>
    <row r="169" spans="1:17" ht="14.25" customHeight="1" x14ac:dyDescent="0.35">
      <c r="A169" s="1">
        <v>2024</v>
      </c>
      <c r="B169" s="1" t="s">
        <v>28</v>
      </c>
      <c r="C169" s="1">
        <v>16</v>
      </c>
      <c r="D169" s="12">
        <v>95.218999999999994</v>
      </c>
      <c r="E169" s="12">
        <f t="shared" si="3"/>
        <v>119.02374999999999</v>
      </c>
      <c r="F169" s="13">
        <v>81.531000000000006</v>
      </c>
      <c r="G169" s="21">
        <v>80.228999999999999</v>
      </c>
      <c r="H169" s="22">
        <v>1588.423</v>
      </c>
      <c r="I169" s="13">
        <v>6.9</v>
      </c>
      <c r="J169" s="23">
        <v>2.1999999999999999E-2</v>
      </c>
      <c r="K169" s="28">
        <v>7.32</v>
      </c>
      <c r="L169" s="24">
        <v>24.337</v>
      </c>
      <c r="M169" s="13">
        <v>4.8230000000000004</v>
      </c>
      <c r="N169" s="23">
        <v>1.2999999999999999E-2</v>
      </c>
      <c r="O169" s="22">
        <v>296.04899999999998</v>
      </c>
      <c r="P169" s="30">
        <v>6.8000000000000005E-2</v>
      </c>
      <c r="Q169" s="31">
        <v>0.55600000000000005</v>
      </c>
    </row>
    <row r="170" spans="1:17" ht="14.25" customHeight="1" x14ac:dyDescent="0.35">
      <c r="A170" s="1">
        <v>2024</v>
      </c>
      <c r="B170" s="1" t="s">
        <v>28</v>
      </c>
      <c r="C170" s="1">
        <v>17</v>
      </c>
      <c r="D170" s="12">
        <v>99.296999999999997</v>
      </c>
      <c r="E170" s="12">
        <f t="shared" si="3"/>
        <v>124.12125</v>
      </c>
      <c r="F170" s="13">
        <v>84.906000000000006</v>
      </c>
      <c r="G170" s="21">
        <v>80.013999999999996</v>
      </c>
      <c r="H170" s="22">
        <v>1598.248</v>
      </c>
      <c r="I170" s="13">
        <v>6.9</v>
      </c>
      <c r="J170" s="23">
        <v>2.1999999999999999E-2</v>
      </c>
      <c r="K170" s="13">
        <v>7.47</v>
      </c>
      <c r="L170" s="24">
        <v>22.928000000000001</v>
      </c>
      <c r="M170" s="13">
        <v>4.819</v>
      </c>
      <c r="N170" s="23">
        <v>1.2999999999999999E-2</v>
      </c>
      <c r="O170" s="22">
        <v>299.24200000000002</v>
      </c>
      <c r="P170" s="25">
        <v>0.06</v>
      </c>
      <c r="Q170" s="26">
        <v>0.60699999999999998</v>
      </c>
    </row>
    <row r="171" spans="1:17" ht="14.25" customHeight="1" x14ac:dyDescent="0.35">
      <c r="A171" s="1">
        <v>2024</v>
      </c>
      <c r="B171" s="1" t="s">
        <v>28</v>
      </c>
      <c r="C171" s="1">
        <v>18</v>
      </c>
      <c r="D171" s="12">
        <v>105.01600000000001</v>
      </c>
      <c r="E171" s="12">
        <f t="shared" si="3"/>
        <v>131.27000000000001</v>
      </c>
      <c r="F171" s="13">
        <v>89.875</v>
      </c>
      <c r="G171" s="21">
        <v>80.25</v>
      </c>
      <c r="H171" s="22">
        <v>1649.971</v>
      </c>
      <c r="I171" s="13">
        <v>6.9</v>
      </c>
      <c r="J171" s="23">
        <v>2.1999999999999999E-2</v>
      </c>
      <c r="K171" s="13">
        <v>8.2100000000000009</v>
      </c>
      <c r="L171" s="24">
        <v>22.736999999999998</v>
      </c>
      <c r="M171" s="13">
        <v>4.8159999999999998</v>
      </c>
      <c r="N171" s="23">
        <v>1.2999999999999999E-2</v>
      </c>
      <c r="O171" s="22">
        <v>300.76</v>
      </c>
      <c r="P171" s="25">
        <v>6.7000000000000004E-2</v>
      </c>
      <c r="Q171" s="26">
        <v>0.63500000000000001</v>
      </c>
    </row>
    <row r="172" spans="1:17" ht="14.25" customHeight="1" x14ac:dyDescent="0.35">
      <c r="A172" s="1">
        <v>2024</v>
      </c>
      <c r="B172" s="1" t="s">
        <v>28</v>
      </c>
      <c r="C172" s="1">
        <v>19</v>
      </c>
      <c r="D172" s="12">
        <v>99.453000000000003</v>
      </c>
      <c r="E172" s="12">
        <f t="shared" si="3"/>
        <v>124.31625</v>
      </c>
      <c r="F172" s="13">
        <v>85.25</v>
      </c>
      <c r="G172" s="21">
        <v>80.39</v>
      </c>
      <c r="H172" s="22">
        <v>1706.279</v>
      </c>
      <c r="I172" s="13">
        <v>6.9</v>
      </c>
      <c r="J172" s="23">
        <v>2.1999999999999999E-2</v>
      </c>
      <c r="K172" s="13">
        <v>8.3010000000000002</v>
      </c>
      <c r="L172" s="24">
        <v>23.364999999999998</v>
      </c>
      <c r="M172" s="13">
        <v>4.8040000000000003</v>
      </c>
      <c r="N172" s="23">
        <v>1.2999999999999999E-2</v>
      </c>
      <c r="O172" s="22">
        <v>309.541</v>
      </c>
      <c r="P172" s="25">
        <v>6.9000000000000006E-2</v>
      </c>
      <c r="Q172" s="26">
        <v>0.6</v>
      </c>
    </row>
    <row r="173" spans="1:17" ht="14.25" customHeight="1" x14ac:dyDescent="0.35">
      <c r="A173" s="1">
        <v>2024</v>
      </c>
      <c r="B173" s="1" t="s">
        <v>28</v>
      </c>
      <c r="C173" s="1">
        <v>20</v>
      </c>
      <c r="D173" s="12">
        <v>100.672</v>
      </c>
      <c r="E173" s="12">
        <f t="shared" si="3"/>
        <v>125.84</v>
      </c>
      <c r="F173" s="13">
        <v>86.218999999999994</v>
      </c>
      <c r="G173" s="21">
        <v>80.861000000000004</v>
      </c>
      <c r="H173" s="22">
        <v>1696.7670000000001</v>
      </c>
      <c r="I173" s="13">
        <v>6.9</v>
      </c>
      <c r="J173" s="23">
        <v>2.1999999999999999E-2</v>
      </c>
      <c r="K173" s="13">
        <v>8.4030000000000005</v>
      </c>
      <c r="L173" s="24">
        <v>24.047999999999998</v>
      </c>
      <c r="M173" s="13">
        <v>4.7990000000000004</v>
      </c>
      <c r="N173" s="23">
        <v>1.2999999999999999E-2</v>
      </c>
      <c r="O173" s="22">
        <v>312.32499999999999</v>
      </c>
      <c r="P173" s="25">
        <v>7.5999999999999998E-2</v>
      </c>
      <c r="Q173" s="26">
        <v>1.2230000000000001</v>
      </c>
    </row>
    <row r="174" spans="1:17" ht="14.25" customHeight="1" x14ac:dyDescent="0.35">
      <c r="A174" s="1">
        <v>2024</v>
      </c>
      <c r="B174" s="1" t="s">
        <v>28</v>
      </c>
      <c r="C174" s="1">
        <v>21</v>
      </c>
      <c r="D174" s="12">
        <v>105.03100000000001</v>
      </c>
      <c r="E174" s="12">
        <f t="shared" si="3"/>
        <v>131.28874999999999</v>
      </c>
      <c r="F174" s="13">
        <v>90.031000000000006</v>
      </c>
      <c r="G174" s="21">
        <v>80.852999999999994</v>
      </c>
      <c r="H174" s="22">
        <v>1647.538</v>
      </c>
      <c r="I174" s="13">
        <v>6.9</v>
      </c>
      <c r="J174" s="23">
        <v>2.1999999999999999E-2</v>
      </c>
      <c r="K174" s="13">
        <v>8.0060000000000002</v>
      </c>
      <c r="L174" s="24">
        <v>22.466000000000001</v>
      </c>
      <c r="M174" s="13">
        <v>4.7690000000000001</v>
      </c>
      <c r="N174" s="23">
        <v>1.2999999999999999E-2</v>
      </c>
      <c r="O174" s="22">
        <v>336.23599999999999</v>
      </c>
      <c r="P174" s="25">
        <v>6.9000000000000006E-2</v>
      </c>
      <c r="Q174" s="26">
        <v>1.88</v>
      </c>
    </row>
    <row r="175" spans="1:17" ht="14.25" customHeight="1" x14ac:dyDescent="0.35">
      <c r="A175" s="1">
        <v>2024</v>
      </c>
      <c r="B175" s="1" t="s">
        <v>28</v>
      </c>
      <c r="C175" s="1">
        <v>22</v>
      </c>
      <c r="D175" s="12">
        <v>104.09399999999999</v>
      </c>
      <c r="E175" s="12">
        <f t="shared" si="3"/>
        <v>130.11750000000001</v>
      </c>
      <c r="F175" s="13">
        <v>89.125</v>
      </c>
      <c r="G175" s="21">
        <v>81.266999999999996</v>
      </c>
      <c r="H175" s="22">
        <v>1610.5309999999999</v>
      </c>
      <c r="I175" s="13">
        <v>6.9</v>
      </c>
      <c r="J175" s="23">
        <v>2.1000000000000001E-2</v>
      </c>
      <c r="K175" s="13">
        <v>7.6449999999999996</v>
      </c>
      <c r="L175" s="24">
        <v>23.34</v>
      </c>
      <c r="M175" s="13">
        <v>4.7779999999999996</v>
      </c>
      <c r="N175" s="23">
        <v>1.2999999999999999E-2</v>
      </c>
      <c r="O175" s="22">
        <v>328.12799999999999</v>
      </c>
      <c r="P175" s="25">
        <v>7.0999999999999994E-2</v>
      </c>
      <c r="Q175" s="26">
        <v>1.587</v>
      </c>
    </row>
    <row r="176" spans="1:17" ht="14.25" customHeight="1" x14ac:dyDescent="0.35">
      <c r="A176" s="1">
        <v>2024</v>
      </c>
      <c r="B176" s="1" t="s">
        <v>28</v>
      </c>
      <c r="C176" s="1">
        <v>23</v>
      </c>
      <c r="D176" s="12">
        <v>99.125</v>
      </c>
      <c r="E176" s="12">
        <f t="shared" si="3"/>
        <v>123.90625</v>
      </c>
      <c r="F176" s="13">
        <v>84.938000000000002</v>
      </c>
      <c r="G176" s="21">
        <v>81.599999999999994</v>
      </c>
      <c r="H176" s="22">
        <v>1532.7329999999999</v>
      </c>
      <c r="I176" s="13">
        <v>6.9</v>
      </c>
      <c r="J176" s="23">
        <v>2.1000000000000001E-2</v>
      </c>
      <c r="K176" s="13">
        <v>7.6890000000000001</v>
      </c>
      <c r="L176" s="24">
        <v>21.72</v>
      </c>
      <c r="M176" s="13">
        <v>4.7830000000000004</v>
      </c>
      <c r="N176" s="23">
        <v>1.2999999999999999E-2</v>
      </c>
      <c r="O176" s="22">
        <v>324.73099999999999</v>
      </c>
      <c r="P176" s="25">
        <v>7.3999999999999996E-2</v>
      </c>
      <c r="Q176" s="26">
        <v>1.4319999999999999</v>
      </c>
    </row>
    <row r="177" spans="1:17" ht="14.25" customHeight="1" x14ac:dyDescent="0.35">
      <c r="A177" s="1">
        <v>2024</v>
      </c>
      <c r="B177" s="1" t="s">
        <v>28</v>
      </c>
      <c r="C177" s="1">
        <v>24</v>
      </c>
      <c r="D177" s="12">
        <v>99.031000000000006</v>
      </c>
      <c r="E177" s="12">
        <f t="shared" si="3"/>
        <v>123.78875000000001</v>
      </c>
      <c r="F177" s="13">
        <v>84.813000000000002</v>
      </c>
      <c r="G177" s="21">
        <v>81.88</v>
      </c>
      <c r="H177" s="22">
        <v>1515.4349999999999</v>
      </c>
      <c r="I177" s="13">
        <v>6.9</v>
      </c>
      <c r="J177" s="23">
        <v>2.1999999999999999E-2</v>
      </c>
      <c r="K177" s="13">
        <v>7.758</v>
      </c>
      <c r="L177" s="24">
        <v>21.536999999999999</v>
      </c>
      <c r="M177" s="13">
        <v>4.7830000000000004</v>
      </c>
      <c r="N177" s="23">
        <v>1.2999999999999999E-2</v>
      </c>
      <c r="O177" s="22">
        <v>324.44600000000003</v>
      </c>
      <c r="P177" s="25">
        <v>4.9000000000000002E-2</v>
      </c>
      <c r="Q177" s="26">
        <v>1.2549999999999999</v>
      </c>
    </row>
    <row r="178" spans="1:17" ht="14.25" customHeight="1" x14ac:dyDescent="0.35">
      <c r="A178" s="1">
        <v>2024</v>
      </c>
      <c r="B178" s="1" t="s">
        <v>28</v>
      </c>
      <c r="C178" s="1">
        <v>25</v>
      </c>
      <c r="D178" s="12">
        <v>104.563</v>
      </c>
      <c r="E178" s="12">
        <f t="shared" si="3"/>
        <v>130.70375000000001</v>
      </c>
      <c r="F178" s="13">
        <v>89.531000000000006</v>
      </c>
      <c r="G178" s="21">
        <v>82.045000000000002</v>
      </c>
      <c r="H178" s="22">
        <v>1578.2370000000001</v>
      </c>
      <c r="I178" s="13">
        <v>6.9</v>
      </c>
      <c r="J178" s="23">
        <v>0.02</v>
      </c>
      <c r="K178" s="13">
        <v>7.242</v>
      </c>
      <c r="L178" s="24">
        <v>22.943000000000001</v>
      </c>
      <c r="M178" s="13">
        <v>4.75</v>
      </c>
      <c r="N178" s="23">
        <v>1.2999999999999999E-2</v>
      </c>
      <c r="O178" s="22">
        <v>348.95400000000001</v>
      </c>
      <c r="P178" s="25">
        <v>5.7000000000000002E-2</v>
      </c>
      <c r="Q178" s="26">
        <v>1.1839999999999999</v>
      </c>
    </row>
    <row r="179" spans="1:17" ht="14.25" customHeight="1" x14ac:dyDescent="0.35">
      <c r="A179" s="1">
        <v>2024</v>
      </c>
      <c r="B179" s="1" t="s">
        <v>28</v>
      </c>
      <c r="C179" s="1">
        <v>26</v>
      </c>
      <c r="D179" s="12">
        <v>99.078000000000003</v>
      </c>
      <c r="E179" s="12">
        <f t="shared" si="3"/>
        <v>123.8475</v>
      </c>
      <c r="F179" s="13">
        <v>84.843999999999994</v>
      </c>
      <c r="G179" s="21">
        <v>82.004000000000005</v>
      </c>
      <c r="H179" s="22">
        <v>1606.723</v>
      </c>
      <c r="I179" s="13">
        <v>6.9</v>
      </c>
      <c r="J179" s="23">
        <v>0.02</v>
      </c>
      <c r="K179" s="13">
        <v>6.8090000000000002</v>
      </c>
      <c r="L179" s="24">
        <v>23.257000000000001</v>
      </c>
      <c r="M179" s="13">
        <v>4.74</v>
      </c>
      <c r="N179" s="23">
        <v>1.2999999999999999E-2</v>
      </c>
      <c r="O179" s="22">
        <v>357.74099999999999</v>
      </c>
      <c r="P179" s="25">
        <v>0.06</v>
      </c>
      <c r="Q179" s="26">
        <v>2.3420000000000001</v>
      </c>
    </row>
    <row r="180" spans="1:17" ht="14.25" customHeight="1" x14ac:dyDescent="0.35">
      <c r="A180" s="1">
        <v>2024</v>
      </c>
      <c r="B180" s="1" t="s">
        <v>28</v>
      </c>
      <c r="C180" s="1">
        <v>27</v>
      </c>
      <c r="D180" s="12">
        <v>96.578000000000003</v>
      </c>
      <c r="E180" s="12">
        <f t="shared" si="3"/>
        <v>120.7225</v>
      </c>
      <c r="F180" s="13">
        <v>82.75</v>
      </c>
      <c r="G180" s="21">
        <v>82.090999999999994</v>
      </c>
      <c r="H180" s="22">
        <v>1620.077</v>
      </c>
      <c r="I180" s="13">
        <v>6.9</v>
      </c>
      <c r="J180" s="23">
        <v>0.02</v>
      </c>
      <c r="K180" s="13">
        <v>7.0510000000000002</v>
      </c>
      <c r="L180" s="24">
        <v>23.763000000000002</v>
      </c>
      <c r="M180" s="13">
        <v>4.734</v>
      </c>
      <c r="N180" s="23">
        <v>1.2999999999999999E-2</v>
      </c>
      <c r="O180" s="22">
        <v>363.56</v>
      </c>
      <c r="P180" s="25">
        <v>6.2E-2</v>
      </c>
      <c r="Q180" s="26">
        <v>0.95099999999999996</v>
      </c>
    </row>
    <row r="181" spans="1:17" ht="14.25" customHeight="1" x14ac:dyDescent="0.35">
      <c r="A181" s="1">
        <v>2024</v>
      </c>
      <c r="B181" s="1" t="s">
        <v>28</v>
      </c>
      <c r="C181" s="1">
        <v>28</v>
      </c>
      <c r="D181" s="12">
        <v>100.78100000000001</v>
      </c>
      <c r="E181" s="12">
        <f t="shared" si="3"/>
        <v>125.97625000000001</v>
      </c>
      <c r="F181" s="13">
        <v>86.375</v>
      </c>
      <c r="G181" s="21">
        <v>82.034999999999997</v>
      </c>
      <c r="H181" s="22">
        <v>1683.769</v>
      </c>
      <c r="I181" s="13">
        <v>6.9</v>
      </c>
      <c r="J181" s="23">
        <v>0.02</v>
      </c>
      <c r="K181" s="13">
        <v>7.0289999999999999</v>
      </c>
      <c r="L181" s="24">
        <v>24.486999999999998</v>
      </c>
      <c r="M181" s="13">
        <v>5.1660000000000004</v>
      </c>
      <c r="N181" s="23">
        <v>1.4E-2</v>
      </c>
      <c r="O181" s="22">
        <v>189.82900000000001</v>
      </c>
      <c r="P181" s="25">
        <v>6.5000000000000002E-2</v>
      </c>
      <c r="Q181" s="26">
        <v>4.0000000000000001E-3</v>
      </c>
    </row>
    <row r="182" spans="1:17" ht="14.25" customHeight="1" x14ac:dyDescent="0.35">
      <c r="A182" s="1">
        <v>2024</v>
      </c>
      <c r="B182" s="1" t="s">
        <v>28</v>
      </c>
      <c r="C182" s="1">
        <v>29</v>
      </c>
      <c r="D182" s="12">
        <v>101.797</v>
      </c>
      <c r="E182" s="12">
        <f t="shared" si="3"/>
        <v>127.24625</v>
      </c>
      <c r="F182" s="13">
        <v>87.25</v>
      </c>
      <c r="G182" s="21">
        <v>82.031999999999996</v>
      </c>
      <c r="H182" s="22">
        <v>1700.077</v>
      </c>
      <c r="I182" s="13">
        <v>6.9</v>
      </c>
      <c r="J182" s="23">
        <v>1.9E-2</v>
      </c>
      <c r="K182" s="13">
        <v>6.8769999999999998</v>
      </c>
      <c r="L182" s="24">
        <v>25.292000000000002</v>
      </c>
      <c r="M182" s="13">
        <v>5.4710000000000001</v>
      </c>
      <c r="N182" s="23">
        <v>1.4999999999999999E-2</v>
      </c>
      <c r="O182" s="22">
        <v>66.375</v>
      </c>
      <c r="P182" s="25">
        <v>6.6000000000000003E-2</v>
      </c>
      <c r="Q182" s="26">
        <v>0</v>
      </c>
    </row>
    <row r="183" spans="1:17" ht="14.25" customHeight="1" x14ac:dyDescent="0.35">
      <c r="A183" s="1">
        <v>2024</v>
      </c>
      <c r="B183" s="1" t="s">
        <v>28</v>
      </c>
      <c r="C183" s="1">
        <v>30</v>
      </c>
      <c r="D183" s="34">
        <v>101.797</v>
      </c>
      <c r="E183" s="12">
        <f t="shared" si="3"/>
        <v>127.24625</v>
      </c>
      <c r="F183" s="35">
        <v>87.281000000000006</v>
      </c>
      <c r="G183" s="21">
        <v>81.787999999999997</v>
      </c>
      <c r="H183" s="22">
        <v>1657.076</v>
      </c>
      <c r="I183" s="13">
        <v>6.9</v>
      </c>
      <c r="J183" s="23">
        <v>0.02</v>
      </c>
      <c r="K183" s="13">
        <v>6.7359999999999998</v>
      </c>
      <c r="L183" s="24">
        <v>25.242000000000001</v>
      </c>
      <c r="M183" s="13">
        <v>5.4560000000000004</v>
      </c>
      <c r="N183" s="23">
        <v>1.4999999999999999E-2</v>
      </c>
      <c r="O183" s="22">
        <v>68.77</v>
      </c>
      <c r="P183" s="25">
        <v>5.8999999999999997E-2</v>
      </c>
      <c r="Q183" s="26">
        <v>-1E-3</v>
      </c>
    </row>
    <row r="184" spans="1:17" ht="14.25" customHeight="1" x14ac:dyDescent="0.35">
      <c r="A184" s="1">
        <v>2024</v>
      </c>
      <c r="B184" s="1" t="s">
        <v>29</v>
      </c>
      <c r="C184" s="1">
        <v>1</v>
      </c>
      <c r="D184" s="12">
        <v>100.85899999999999</v>
      </c>
      <c r="E184" s="12">
        <f t="shared" si="3"/>
        <v>126.07374999999999</v>
      </c>
      <c r="F184" s="13">
        <v>86.438000000000002</v>
      </c>
      <c r="G184" s="14">
        <v>81.885999999999996</v>
      </c>
      <c r="H184" s="15">
        <v>1626.5419999999999</v>
      </c>
      <c r="I184" s="16">
        <v>6.9</v>
      </c>
      <c r="J184" s="17">
        <v>0.02</v>
      </c>
      <c r="K184" s="16">
        <v>6.8940000000000001</v>
      </c>
      <c r="L184" s="18">
        <v>24.0442</v>
      </c>
      <c r="M184" s="16">
        <v>5.4859</v>
      </c>
      <c r="N184" s="17">
        <v>1.5100000000000001E-2</v>
      </c>
      <c r="O184" s="15">
        <v>64.209900000000005</v>
      </c>
      <c r="P184" s="19">
        <v>5.28E-2</v>
      </c>
      <c r="Q184" s="20">
        <v>0</v>
      </c>
    </row>
    <row r="185" spans="1:17" ht="14.25" customHeight="1" x14ac:dyDescent="0.35">
      <c r="A185" s="1">
        <v>2024</v>
      </c>
      <c r="B185" s="1" t="s">
        <v>29</v>
      </c>
      <c r="C185" s="1">
        <v>2</v>
      </c>
      <c r="D185" s="12">
        <v>104.21899999999999</v>
      </c>
      <c r="E185" s="12">
        <f t="shared" si="3"/>
        <v>130.27375000000001</v>
      </c>
      <c r="F185" s="13">
        <v>89.188000000000002</v>
      </c>
      <c r="G185" s="21">
        <v>81.99</v>
      </c>
      <c r="H185" s="22">
        <v>1690.742</v>
      </c>
      <c r="I185" s="13">
        <v>6.9</v>
      </c>
      <c r="J185" s="23">
        <v>0.02</v>
      </c>
      <c r="K185" s="13">
        <v>7.2759999999999998</v>
      </c>
      <c r="L185" s="24">
        <v>24.684000000000001</v>
      </c>
      <c r="M185" s="13">
        <v>5.4640000000000004</v>
      </c>
      <c r="N185" s="23">
        <v>1.4999999999999999E-2</v>
      </c>
      <c r="O185" s="22">
        <v>67.680000000000007</v>
      </c>
      <c r="P185" s="25">
        <v>6.2E-2</v>
      </c>
      <c r="Q185" s="26">
        <v>0</v>
      </c>
    </row>
    <row r="186" spans="1:17" ht="14.25" customHeight="1" x14ac:dyDescent="0.35">
      <c r="A186" s="1">
        <v>2024</v>
      </c>
      <c r="B186" s="1" t="s">
        <v>29</v>
      </c>
      <c r="C186" s="1">
        <v>3</v>
      </c>
      <c r="D186" s="12">
        <v>99.141000000000005</v>
      </c>
      <c r="E186" s="12">
        <f t="shared" si="3"/>
        <v>123.92625000000001</v>
      </c>
      <c r="F186" s="13">
        <v>85</v>
      </c>
      <c r="G186" s="21">
        <v>82.043999999999997</v>
      </c>
      <c r="H186" s="22">
        <v>1701.415</v>
      </c>
      <c r="I186" s="13">
        <v>6.9</v>
      </c>
      <c r="J186" s="23">
        <v>0.02</v>
      </c>
      <c r="K186" s="13">
        <v>7.673</v>
      </c>
      <c r="L186" s="24">
        <v>23.931000000000001</v>
      </c>
      <c r="M186" s="13">
        <v>5.484</v>
      </c>
      <c r="N186" s="23">
        <v>1.4999999999999999E-2</v>
      </c>
      <c r="O186" s="22">
        <v>64.459999999999994</v>
      </c>
      <c r="P186" s="25">
        <v>6.4000000000000001E-2</v>
      </c>
      <c r="Q186" s="26">
        <v>0</v>
      </c>
    </row>
    <row r="187" spans="1:17" ht="14.25" customHeight="1" x14ac:dyDescent="0.35">
      <c r="A187" s="1">
        <v>2024</v>
      </c>
      <c r="B187" s="1" t="s">
        <v>29</v>
      </c>
      <c r="C187" s="1">
        <v>4</v>
      </c>
      <c r="D187" s="12">
        <v>100.063</v>
      </c>
      <c r="E187" s="12">
        <f t="shared" si="3"/>
        <v>125.07875</v>
      </c>
      <c r="F187" s="13">
        <v>85.75</v>
      </c>
      <c r="G187" s="21">
        <v>82.034999999999997</v>
      </c>
      <c r="H187" s="22">
        <v>1733.82</v>
      </c>
      <c r="I187" s="13">
        <v>6.9</v>
      </c>
      <c r="J187" s="23">
        <v>0.02</v>
      </c>
      <c r="K187" s="13">
        <v>8.1140000000000008</v>
      </c>
      <c r="L187" s="24">
        <v>24.690999999999999</v>
      </c>
      <c r="M187" s="13">
        <v>5.4809999999999999</v>
      </c>
      <c r="N187" s="23">
        <v>1.4999999999999999E-2</v>
      </c>
      <c r="O187" s="22">
        <v>64.875</v>
      </c>
      <c r="P187" s="25">
        <v>6.0999999999999999E-2</v>
      </c>
      <c r="Q187" s="26">
        <v>0</v>
      </c>
    </row>
    <row r="188" spans="1:17" ht="14.25" customHeight="1" x14ac:dyDescent="0.35">
      <c r="A188" s="1">
        <v>2024</v>
      </c>
      <c r="B188" s="1" t="s">
        <v>29</v>
      </c>
      <c r="C188" s="1">
        <v>5</v>
      </c>
      <c r="D188" s="12">
        <v>95.891000000000005</v>
      </c>
      <c r="E188" s="12">
        <f t="shared" si="3"/>
        <v>119.86375000000001</v>
      </c>
      <c r="F188" s="13">
        <v>82.188000000000002</v>
      </c>
      <c r="G188" s="21">
        <v>82.088999999999999</v>
      </c>
      <c r="H188" s="22">
        <v>1655.973</v>
      </c>
      <c r="I188" s="13">
        <v>6.9</v>
      </c>
      <c r="J188" s="23">
        <v>0.02</v>
      </c>
      <c r="K188" s="13">
        <v>7.1619999999999999</v>
      </c>
      <c r="L188" s="24">
        <v>24.521999999999998</v>
      </c>
      <c r="M188" s="13">
        <v>5.1070000000000002</v>
      </c>
      <c r="N188" s="23">
        <v>1.4999999999999999E-2</v>
      </c>
      <c r="O188" s="22">
        <v>181.02</v>
      </c>
      <c r="P188" s="25">
        <v>5.6000000000000001E-2</v>
      </c>
      <c r="Q188" s="26">
        <v>0</v>
      </c>
    </row>
    <row r="189" spans="1:17" ht="14.25" customHeight="1" x14ac:dyDescent="0.35">
      <c r="A189" s="1">
        <v>2024</v>
      </c>
      <c r="B189" s="1" t="s">
        <v>29</v>
      </c>
      <c r="C189" s="1">
        <v>6</v>
      </c>
      <c r="D189" s="12">
        <v>99.468999999999994</v>
      </c>
      <c r="E189" s="12">
        <f t="shared" si="3"/>
        <v>124.33624999999999</v>
      </c>
      <c r="F189" s="13">
        <v>85.25</v>
      </c>
      <c r="G189" s="21">
        <v>82.334999999999994</v>
      </c>
      <c r="H189" s="22">
        <v>1610.1020000000001</v>
      </c>
      <c r="I189" s="13">
        <v>6.9</v>
      </c>
      <c r="J189" s="23">
        <v>0.02</v>
      </c>
      <c r="K189" s="13">
        <v>7.0140000000000002</v>
      </c>
      <c r="L189" s="24">
        <v>24.28</v>
      </c>
      <c r="M189" s="13">
        <v>4.9089999999999998</v>
      </c>
      <c r="N189" s="23">
        <v>1.4999999999999999E-2</v>
      </c>
      <c r="O189" s="22">
        <v>242.33699999999999</v>
      </c>
      <c r="P189" s="25">
        <v>5.8999999999999997E-2</v>
      </c>
      <c r="Q189" s="26">
        <v>-3.0000000000000001E-3</v>
      </c>
    </row>
    <row r="190" spans="1:17" ht="14.25" customHeight="1" x14ac:dyDescent="0.35">
      <c r="A190" s="1">
        <v>2024</v>
      </c>
      <c r="B190" s="1" t="s">
        <v>29</v>
      </c>
      <c r="C190" s="1">
        <v>7</v>
      </c>
      <c r="D190" s="12">
        <v>101.53100000000001</v>
      </c>
      <c r="E190" s="12">
        <f t="shared" si="3"/>
        <v>126.91375000000001</v>
      </c>
      <c r="F190" s="13">
        <v>86.968999999999994</v>
      </c>
      <c r="G190" s="21">
        <v>82.492999999999995</v>
      </c>
      <c r="H190" s="22">
        <v>1577.183</v>
      </c>
      <c r="I190" s="13">
        <v>6.9</v>
      </c>
      <c r="J190" s="23">
        <v>2.1000000000000001E-2</v>
      </c>
      <c r="K190" s="13">
        <v>6.968</v>
      </c>
      <c r="L190" s="24">
        <v>24.413</v>
      </c>
      <c r="M190" s="13">
        <v>4.9249999999999998</v>
      </c>
      <c r="N190" s="23">
        <v>1.4999999999999999E-2</v>
      </c>
      <c r="O190" s="22">
        <v>234.43299999999999</v>
      </c>
      <c r="P190" s="25">
        <v>5.0999999999999997E-2</v>
      </c>
      <c r="Q190" s="26">
        <v>0</v>
      </c>
    </row>
    <row r="191" spans="1:17" ht="14.25" customHeight="1" x14ac:dyDescent="0.35">
      <c r="A191" s="1">
        <v>2024</v>
      </c>
      <c r="B191" s="1" t="s">
        <v>29</v>
      </c>
      <c r="C191" s="1">
        <v>8</v>
      </c>
      <c r="D191" s="12">
        <v>82.063000000000002</v>
      </c>
      <c r="E191" s="12">
        <f t="shared" si="3"/>
        <v>102.57875</v>
      </c>
      <c r="F191" s="13">
        <v>70.281000000000006</v>
      </c>
      <c r="G191" s="21">
        <v>82.78</v>
      </c>
      <c r="H191" s="22">
        <v>1555.221</v>
      </c>
      <c r="I191" s="13">
        <v>6.9</v>
      </c>
      <c r="J191" s="23">
        <v>0.02</v>
      </c>
      <c r="K191" s="13">
        <v>7.0780000000000003</v>
      </c>
      <c r="L191" s="24">
        <v>22.588999999999999</v>
      </c>
      <c r="M191" s="13">
        <v>4.9089999999999998</v>
      </c>
      <c r="N191" s="23">
        <v>1.4999999999999999E-2</v>
      </c>
      <c r="O191" s="22">
        <v>242.916</v>
      </c>
      <c r="P191" s="25">
        <v>5.6000000000000001E-2</v>
      </c>
      <c r="Q191" s="26">
        <v>0</v>
      </c>
    </row>
    <row r="192" spans="1:17" ht="14.25" customHeight="1" x14ac:dyDescent="0.35">
      <c r="A192" s="1">
        <v>2024</v>
      </c>
      <c r="B192" s="1" t="s">
        <v>29</v>
      </c>
      <c r="C192" s="1">
        <v>9</v>
      </c>
      <c r="D192" s="12">
        <v>68.968999999999994</v>
      </c>
      <c r="E192" s="12">
        <f t="shared" si="3"/>
        <v>86.211249999999993</v>
      </c>
      <c r="F192" s="13">
        <v>59.219000000000001</v>
      </c>
      <c r="G192" s="21">
        <v>83.381</v>
      </c>
      <c r="H192" s="22">
        <v>1627.694</v>
      </c>
      <c r="I192" s="13">
        <v>6.9</v>
      </c>
      <c r="J192" s="23">
        <v>2.4E-2</v>
      </c>
      <c r="K192" s="13">
        <v>7.8890000000000002</v>
      </c>
      <c r="L192" s="24">
        <v>24.681000000000001</v>
      </c>
      <c r="M192" s="13">
        <v>4.9450000000000003</v>
      </c>
      <c r="N192" s="23">
        <v>1.4999999999999999E-2</v>
      </c>
      <c r="O192" s="22">
        <v>223.86699999999999</v>
      </c>
      <c r="P192" s="25">
        <v>7.3999999999999996E-2</v>
      </c>
      <c r="Q192" s="26">
        <v>-4.0000000000000001E-3</v>
      </c>
    </row>
    <row r="193" spans="1:17" ht="14.25" customHeight="1" x14ac:dyDescent="0.35">
      <c r="A193" s="1">
        <v>2024</v>
      </c>
      <c r="B193" s="1" t="s">
        <v>29</v>
      </c>
      <c r="C193" s="1">
        <v>10</v>
      </c>
      <c r="D193" s="12">
        <v>96.25</v>
      </c>
      <c r="E193" s="12">
        <f t="shared" si="3"/>
        <v>120.3125</v>
      </c>
      <c r="F193" s="13">
        <v>82.406000000000006</v>
      </c>
      <c r="G193" s="27">
        <v>83.165999999999997</v>
      </c>
      <c r="H193" s="22">
        <v>1703.3510000000001</v>
      </c>
      <c r="I193" s="13">
        <v>6.9</v>
      </c>
      <c r="J193" s="23">
        <v>2.3E-2</v>
      </c>
      <c r="K193" s="28">
        <v>7.7190000000000003</v>
      </c>
      <c r="L193" s="24">
        <v>26.527999999999999</v>
      </c>
      <c r="M193" s="13">
        <v>4.9290000000000003</v>
      </c>
      <c r="N193" s="29">
        <v>1.4999999999999999E-2</v>
      </c>
      <c r="O193" s="22">
        <v>231.46199999999999</v>
      </c>
      <c r="P193" s="30">
        <v>4.8000000000000001E-2</v>
      </c>
      <c r="Q193" s="31">
        <v>1E-3</v>
      </c>
    </row>
    <row r="194" spans="1:17" ht="14.25" customHeight="1" x14ac:dyDescent="0.35">
      <c r="A194" s="1">
        <v>2024</v>
      </c>
      <c r="B194" s="1" t="s">
        <v>29</v>
      </c>
      <c r="C194" s="1">
        <v>11</v>
      </c>
      <c r="D194" s="12">
        <v>105.09399999999999</v>
      </c>
      <c r="E194" s="12">
        <f t="shared" si="3"/>
        <v>131.36750000000001</v>
      </c>
      <c r="F194" s="13">
        <v>90</v>
      </c>
      <c r="G194" s="27">
        <v>83.114000000000004</v>
      </c>
      <c r="H194" s="22">
        <v>1693.61</v>
      </c>
      <c r="I194" s="13">
        <v>6.9</v>
      </c>
      <c r="J194" s="23">
        <v>2.1000000000000001E-2</v>
      </c>
      <c r="K194" s="28">
        <v>7.5960000000000001</v>
      </c>
      <c r="L194" s="24">
        <v>25.989000000000001</v>
      </c>
      <c r="M194" s="13">
        <v>4.9050000000000002</v>
      </c>
      <c r="N194" s="29">
        <v>1.4999999999999999E-2</v>
      </c>
      <c r="O194" s="22">
        <v>244.72</v>
      </c>
      <c r="P194" s="30">
        <v>5.7000000000000002E-2</v>
      </c>
      <c r="Q194" s="31">
        <v>0</v>
      </c>
    </row>
    <row r="195" spans="1:17" ht="14.25" customHeight="1" x14ac:dyDescent="0.35">
      <c r="A195" s="1">
        <v>2024</v>
      </c>
      <c r="B195" s="1" t="s">
        <v>29</v>
      </c>
      <c r="C195" s="1">
        <v>12</v>
      </c>
      <c r="D195" s="12">
        <v>105.172</v>
      </c>
      <c r="E195" s="12">
        <f t="shared" si="3"/>
        <v>131.465</v>
      </c>
      <c r="F195" s="13">
        <v>90</v>
      </c>
      <c r="G195" s="27">
        <v>82.64</v>
      </c>
      <c r="H195" s="22">
        <v>1728.694</v>
      </c>
      <c r="I195" s="13">
        <v>6.9</v>
      </c>
      <c r="J195" s="23">
        <v>2.1000000000000001E-2</v>
      </c>
      <c r="K195" s="28">
        <v>7.74</v>
      </c>
      <c r="L195" s="24">
        <v>26.007999999999999</v>
      </c>
      <c r="M195" s="13">
        <v>4.9429999999999996</v>
      </c>
      <c r="N195" s="29">
        <v>1.4999999999999999E-2</v>
      </c>
      <c r="O195" s="22">
        <v>225.95599999999999</v>
      </c>
      <c r="P195" s="30">
        <v>6.7000000000000004E-2</v>
      </c>
      <c r="Q195" s="31">
        <v>0</v>
      </c>
    </row>
    <row r="196" spans="1:17" ht="14.25" customHeight="1" x14ac:dyDescent="0.35">
      <c r="A196" s="1">
        <v>2024</v>
      </c>
      <c r="B196" s="1" t="s">
        <v>29</v>
      </c>
      <c r="C196" s="1">
        <v>13</v>
      </c>
      <c r="D196" s="12">
        <v>100.34399999999999</v>
      </c>
      <c r="E196" s="12">
        <f t="shared" si="3"/>
        <v>125.42999999999999</v>
      </c>
      <c r="F196" s="13">
        <v>85.688000000000002</v>
      </c>
      <c r="G196" s="27">
        <v>82.989000000000004</v>
      </c>
      <c r="H196" s="22">
        <v>1734.2180000000001</v>
      </c>
      <c r="I196" s="13">
        <v>6.9</v>
      </c>
      <c r="J196" s="23">
        <v>2.1999999999999999E-2</v>
      </c>
      <c r="K196" s="28">
        <v>7.92</v>
      </c>
      <c r="L196" s="24">
        <v>29.029</v>
      </c>
      <c r="M196" s="13">
        <v>5.0359999999999996</v>
      </c>
      <c r="N196" s="23">
        <v>1.4999999999999999E-2</v>
      </c>
      <c r="O196" s="22">
        <v>185.86099999999999</v>
      </c>
      <c r="P196" s="30">
        <v>6.9000000000000006E-2</v>
      </c>
      <c r="Q196" s="31">
        <v>2.1999999999999999E-2</v>
      </c>
    </row>
    <row r="197" spans="1:17" ht="14.25" customHeight="1" x14ac:dyDescent="0.35">
      <c r="A197" s="1">
        <v>2024</v>
      </c>
      <c r="B197" s="1" t="s">
        <v>29</v>
      </c>
      <c r="C197" s="1">
        <v>14</v>
      </c>
      <c r="D197" s="12">
        <v>103.01600000000001</v>
      </c>
      <c r="E197" s="12">
        <f t="shared" si="3"/>
        <v>128.77000000000001</v>
      </c>
      <c r="F197" s="13">
        <v>87.968999999999994</v>
      </c>
      <c r="G197" s="21">
        <v>82.888000000000005</v>
      </c>
      <c r="H197" s="22">
        <v>1656.029</v>
      </c>
      <c r="I197" s="13">
        <v>6.9</v>
      </c>
      <c r="J197" s="23">
        <v>2.3E-2</v>
      </c>
      <c r="K197" s="28">
        <v>7.6120000000000001</v>
      </c>
      <c r="L197" s="33">
        <v>28.071000000000002</v>
      </c>
      <c r="M197" s="13">
        <v>5.0460000000000003</v>
      </c>
      <c r="N197" s="23">
        <v>1.4999999999999999E-2</v>
      </c>
      <c r="O197" s="22">
        <v>176.41399999999999</v>
      </c>
      <c r="P197" s="30">
        <v>5.5E-2</v>
      </c>
      <c r="Q197" s="31">
        <v>1.0999999999999999E-2</v>
      </c>
    </row>
    <row r="198" spans="1:17" ht="14.25" customHeight="1" x14ac:dyDescent="0.35">
      <c r="A198" s="1">
        <v>2024</v>
      </c>
      <c r="B198" s="1" t="s">
        <v>29</v>
      </c>
      <c r="C198" s="1">
        <v>15</v>
      </c>
      <c r="D198" s="12">
        <v>99.046999999999997</v>
      </c>
      <c r="E198" s="12">
        <f t="shared" si="3"/>
        <v>123.80875</v>
      </c>
      <c r="F198" s="13">
        <v>84.781000000000006</v>
      </c>
      <c r="G198" s="21">
        <v>82.962000000000003</v>
      </c>
      <c r="H198" s="22">
        <v>1611.8530000000001</v>
      </c>
      <c r="I198" s="13">
        <v>6.9</v>
      </c>
      <c r="J198" s="23">
        <v>2.1999999999999999E-2</v>
      </c>
      <c r="K198" s="28">
        <v>7.6</v>
      </c>
      <c r="L198" s="24">
        <v>25.774999999999999</v>
      </c>
      <c r="M198" s="13">
        <v>4.9950000000000001</v>
      </c>
      <c r="N198" s="23">
        <v>1.4999999999999999E-2</v>
      </c>
      <c r="O198" s="22">
        <v>199.56299999999999</v>
      </c>
      <c r="P198" s="30">
        <v>0.05</v>
      </c>
      <c r="Q198" s="31">
        <v>-1E-3</v>
      </c>
    </row>
    <row r="199" spans="1:17" ht="14.25" customHeight="1" x14ac:dyDescent="0.35">
      <c r="A199" s="1">
        <v>2024</v>
      </c>
      <c r="B199" s="1" t="s">
        <v>29</v>
      </c>
      <c r="C199" s="1">
        <v>16</v>
      </c>
      <c r="D199" s="12">
        <v>94.343999999999994</v>
      </c>
      <c r="E199" s="12">
        <f t="shared" si="3"/>
        <v>117.92999999999999</v>
      </c>
      <c r="F199" s="13">
        <v>81</v>
      </c>
      <c r="G199" s="21">
        <v>83.262</v>
      </c>
      <c r="H199" s="22">
        <v>1680.232</v>
      </c>
      <c r="I199" s="13">
        <v>6.9</v>
      </c>
      <c r="J199" s="23">
        <v>2.3E-2</v>
      </c>
      <c r="K199" s="28">
        <v>8.077</v>
      </c>
      <c r="L199" s="24">
        <v>29.151</v>
      </c>
      <c r="M199" s="13">
        <v>5.0039999999999996</v>
      </c>
      <c r="N199" s="23">
        <v>1.4999999999999999E-2</v>
      </c>
      <c r="O199" s="22">
        <v>194.71700000000001</v>
      </c>
      <c r="P199" s="30">
        <v>5.6000000000000001E-2</v>
      </c>
      <c r="Q199" s="31">
        <v>0</v>
      </c>
    </row>
    <row r="200" spans="1:17" ht="14.25" customHeight="1" x14ac:dyDescent="0.35">
      <c r="A200" s="1">
        <v>2024</v>
      </c>
      <c r="B200" s="1" t="s">
        <v>29</v>
      </c>
      <c r="C200" s="1">
        <v>17</v>
      </c>
      <c r="D200" s="12">
        <v>94.625</v>
      </c>
      <c r="E200" s="12">
        <f t="shared" si="3"/>
        <v>118.28125</v>
      </c>
      <c r="F200" s="13">
        <v>81.188000000000002</v>
      </c>
      <c r="G200" s="21">
        <v>83.204999999999998</v>
      </c>
      <c r="H200" s="22">
        <v>1703.1189999999999</v>
      </c>
      <c r="I200" s="13">
        <v>6.9</v>
      </c>
      <c r="J200" s="23">
        <v>2.1999999999999999E-2</v>
      </c>
      <c r="K200" s="13">
        <v>7.907</v>
      </c>
      <c r="L200" s="24">
        <v>28.425000000000001</v>
      </c>
      <c r="M200" s="13">
        <v>4.9850000000000003</v>
      </c>
      <c r="N200" s="23">
        <v>1.4999999999999999E-2</v>
      </c>
      <c r="O200" s="22">
        <v>203.28700000000001</v>
      </c>
      <c r="P200" s="25">
        <v>5.5E-2</v>
      </c>
      <c r="Q200" s="26">
        <v>0</v>
      </c>
    </row>
    <row r="201" spans="1:17" ht="14.25" customHeight="1" x14ac:dyDescent="0.35">
      <c r="A201" s="1">
        <v>2024</v>
      </c>
      <c r="B201" s="1" t="s">
        <v>29</v>
      </c>
      <c r="C201" s="1">
        <v>18</v>
      </c>
      <c r="D201" s="12">
        <v>103.438</v>
      </c>
      <c r="E201" s="12">
        <f t="shared" si="3"/>
        <v>129.29750000000001</v>
      </c>
      <c r="F201" s="13">
        <v>88.468999999999994</v>
      </c>
      <c r="G201" s="21">
        <v>83.323999999999998</v>
      </c>
      <c r="H201" s="22">
        <v>1728.0930000000001</v>
      </c>
      <c r="I201" s="13">
        <v>6.9</v>
      </c>
      <c r="J201" s="23">
        <v>2.3E-2</v>
      </c>
      <c r="K201" s="13">
        <v>7.8090000000000002</v>
      </c>
      <c r="L201" s="24">
        <v>27.623000000000001</v>
      </c>
      <c r="M201" s="13">
        <v>4.9800000000000004</v>
      </c>
      <c r="N201" s="23">
        <v>1.4999999999999999E-2</v>
      </c>
      <c r="O201" s="22">
        <v>206.02500000000001</v>
      </c>
      <c r="P201" s="25">
        <v>5.6000000000000001E-2</v>
      </c>
      <c r="Q201" s="26">
        <v>0</v>
      </c>
    </row>
    <row r="202" spans="1:17" ht="14.25" customHeight="1" x14ac:dyDescent="0.35">
      <c r="A202" s="1">
        <v>2024</v>
      </c>
      <c r="B202" s="1" t="s">
        <v>29</v>
      </c>
      <c r="C202" s="1">
        <v>19</v>
      </c>
      <c r="D202" s="12">
        <v>104.03100000000001</v>
      </c>
      <c r="E202" s="12">
        <f t="shared" si="3"/>
        <v>130.03874999999999</v>
      </c>
      <c r="F202" s="13">
        <v>89.031000000000006</v>
      </c>
      <c r="G202" s="21">
        <v>83.373999999999995</v>
      </c>
      <c r="H202" s="22">
        <v>1750.7090000000001</v>
      </c>
      <c r="I202" s="13">
        <v>6.9</v>
      </c>
      <c r="J202" s="23">
        <v>2.4E-2</v>
      </c>
      <c r="K202" s="13">
        <v>7.5759999999999996</v>
      </c>
      <c r="L202" s="24">
        <v>30.393000000000001</v>
      </c>
      <c r="M202" s="13">
        <v>5.3079999999999998</v>
      </c>
      <c r="N202" s="23">
        <v>1.6E-2</v>
      </c>
      <c r="O202" s="22">
        <v>114.78</v>
      </c>
      <c r="P202" s="25">
        <v>5.0999999999999997E-2</v>
      </c>
      <c r="Q202" s="26">
        <v>2E-3</v>
      </c>
    </row>
    <row r="203" spans="1:17" ht="14.25" customHeight="1" x14ac:dyDescent="0.35">
      <c r="A203" s="1">
        <v>2024</v>
      </c>
      <c r="B203" s="1" t="s">
        <v>29</v>
      </c>
      <c r="C203" s="1">
        <v>20</v>
      </c>
      <c r="D203" s="12">
        <v>104.96899999999999</v>
      </c>
      <c r="E203" s="12">
        <f t="shared" si="3"/>
        <v>131.21125000000001</v>
      </c>
      <c r="F203" s="13">
        <v>89.75</v>
      </c>
      <c r="G203" s="21">
        <v>83.262</v>
      </c>
      <c r="H203" s="22">
        <v>1710.9079999999999</v>
      </c>
      <c r="I203" s="13">
        <v>6.9</v>
      </c>
      <c r="J203" s="23">
        <v>2.4E-2</v>
      </c>
      <c r="K203" s="13">
        <v>7.52</v>
      </c>
      <c r="L203" s="24">
        <v>29.61</v>
      </c>
      <c r="M203" s="13">
        <v>5.4560000000000004</v>
      </c>
      <c r="N203" s="23">
        <v>1.6E-2</v>
      </c>
      <c r="O203" s="22">
        <v>68.846999999999994</v>
      </c>
      <c r="P203" s="25">
        <v>0.05</v>
      </c>
      <c r="Q203" s="26">
        <v>3.0000000000000001E-3</v>
      </c>
    </row>
    <row r="204" spans="1:17" ht="14.25" customHeight="1" x14ac:dyDescent="0.35">
      <c r="A204" s="1">
        <v>2024</v>
      </c>
      <c r="B204" s="1" t="s">
        <v>29</v>
      </c>
      <c r="C204" s="1">
        <v>21</v>
      </c>
      <c r="D204" s="12">
        <v>103.03100000000001</v>
      </c>
      <c r="E204" s="12">
        <f t="shared" si="3"/>
        <v>128.78874999999999</v>
      </c>
      <c r="F204" s="13">
        <v>88.313000000000002</v>
      </c>
      <c r="G204" s="21">
        <v>83.238</v>
      </c>
      <c r="H204" s="22">
        <v>1660.375</v>
      </c>
      <c r="I204" s="13">
        <v>6.9</v>
      </c>
      <c r="J204" s="23">
        <v>2.3E-2</v>
      </c>
      <c r="K204" s="13">
        <v>7.2439999999999998</v>
      </c>
      <c r="L204" s="24">
        <v>32.055999999999997</v>
      </c>
      <c r="M204" s="13">
        <v>5.4669999999999996</v>
      </c>
      <c r="N204" s="23">
        <v>1.6E-2</v>
      </c>
      <c r="O204" s="22">
        <v>67.2</v>
      </c>
      <c r="P204" s="25">
        <v>5.0999999999999997E-2</v>
      </c>
      <c r="Q204" s="26">
        <v>1E-3</v>
      </c>
    </row>
    <row r="205" spans="1:17" ht="14.25" customHeight="1" x14ac:dyDescent="0.35">
      <c r="A205" s="1">
        <v>2024</v>
      </c>
      <c r="B205" s="1" t="s">
        <v>29</v>
      </c>
      <c r="C205" s="1">
        <v>22</v>
      </c>
      <c r="D205" s="12">
        <v>104.89100000000001</v>
      </c>
      <c r="E205" s="12">
        <f t="shared" si="3"/>
        <v>131.11375000000001</v>
      </c>
      <c r="F205" s="13">
        <v>89.968999999999994</v>
      </c>
      <c r="G205" s="21">
        <v>83.468000000000004</v>
      </c>
      <c r="H205" s="22">
        <v>1654.5419999999999</v>
      </c>
      <c r="I205" s="13">
        <v>6.9</v>
      </c>
      <c r="J205" s="23">
        <v>2.3E-2</v>
      </c>
      <c r="K205" s="13">
        <v>7.5430000000000001</v>
      </c>
      <c r="L205" s="24">
        <v>31.802</v>
      </c>
      <c r="M205" s="13">
        <v>5.4610000000000003</v>
      </c>
      <c r="N205" s="23">
        <v>1.6E-2</v>
      </c>
      <c r="O205" s="22">
        <v>68.055999999999997</v>
      </c>
      <c r="P205" s="25">
        <v>4.9000000000000002E-2</v>
      </c>
      <c r="Q205" s="26">
        <v>2E-3</v>
      </c>
    </row>
    <row r="206" spans="1:17" ht="14.25" customHeight="1" x14ac:dyDescent="0.35">
      <c r="A206" s="1">
        <v>2024</v>
      </c>
      <c r="B206" s="1" t="s">
        <v>29</v>
      </c>
      <c r="C206" s="1">
        <v>23</v>
      </c>
      <c r="D206" s="12">
        <v>104.125</v>
      </c>
      <c r="E206" s="12">
        <f t="shared" si="3"/>
        <v>130.15625</v>
      </c>
      <c r="F206" s="13">
        <v>89.25</v>
      </c>
      <c r="G206" s="21">
        <v>83.641000000000005</v>
      </c>
      <c r="H206" s="22">
        <v>1715.623</v>
      </c>
      <c r="I206" s="13">
        <v>6.9</v>
      </c>
      <c r="J206" s="23">
        <v>2.1999999999999999E-2</v>
      </c>
      <c r="K206" s="13">
        <v>7.59</v>
      </c>
      <c r="L206" s="24">
        <v>31.51</v>
      </c>
      <c r="M206" s="13">
        <v>5.4020000000000001</v>
      </c>
      <c r="N206" s="23">
        <v>1.7000000000000001E-2</v>
      </c>
      <c r="O206" s="22">
        <v>78.102999999999994</v>
      </c>
      <c r="P206" s="25">
        <v>5.7000000000000002E-2</v>
      </c>
      <c r="Q206" s="26">
        <v>0.29199999999999998</v>
      </c>
    </row>
    <row r="207" spans="1:17" ht="14.25" customHeight="1" x14ac:dyDescent="0.35">
      <c r="A207" s="1">
        <v>2024</v>
      </c>
      <c r="B207" s="1" t="s">
        <v>29</v>
      </c>
      <c r="C207" s="1">
        <v>24</v>
      </c>
      <c r="D207" s="12">
        <v>95.078000000000003</v>
      </c>
      <c r="E207" s="12">
        <f t="shared" si="3"/>
        <v>118.8475</v>
      </c>
      <c r="F207" s="13">
        <v>81.5</v>
      </c>
      <c r="G207" s="21">
        <v>83.801000000000002</v>
      </c>
      <c r="H207" s="22">
        <v>1739.8889999999999</v>
      </c>
      <c r="I207" s="13">
        <v>6.9</v>
      </c>
      <c r="J207" s="23">
        <v>2.1999999999999999E-2</v>
      </c>
      <c r="K207" s="13">
        <v>7.5529999999999999</v>
      </c>
      <c r="L207" s="24">
        <v>31.74</v>
      </c>
      <c r="M207" s="13">
        <v>5.4020000000000001</v>
      </c>
      <c r="N207" s="23">
        <v>1.7000000000000001E-2</v>
      </c>
      <c r="O207" s="22">
        <v>78.108000000000004</v>
      </c>
      <c r="P207" s="25">
        <v>6.2E-2</v>
      </c>
      <c r="Q207" s="26">
        <v>0.53800000000000003</v>
      </c>
    </row>
    <row r="208" spans="1:17" ht="14.25" customHeight="1" x14ac:dyDescent="0.35">
      <c r="A208" s="1">
        <v>2024</v>
      </c>
      <c r="B208" s="1" t="s">
        <v>29</v>
      </c>
      <c r="C208" s="1">
        <v>25</v>
      </c>
      <c r="D208" s="12">
        <v>100.313</v>
      </c>
      <c r="E208" s="12">
        <f t="shared" si="3"/>
        <v>125.39125</v>
      </c>
      <c r="F208" s="13">
        <v>86.031000000000006</v>
      </c>
      <c r="G208" s="21">
        <v>83.774000000000001</v>
      </c>
      <c r="H208" s="22">
        <v>1740.9760000000001</v>
      </c>
      <c r="I208" s="13">
        <v>6.9</v>
      </c>
      <c r="J208" s="23">
        <v>2.1999999999999999E-2</v>
      </c>
      <c r="K208" s="13">
        <v>7.508</v>
      </c>
      <c r="L208" s="24">
        <v>32.670999999999999</v>
      </c>
      <c r="M208" s="13">
        <v>5.4619999999999997</v>
      </c>
      <c r="N208" s="23">
        <v>1.7000000000000001E-2</v>
      </c>
      <c r="O208" s="22">
        <v>68.010000000000005</v>
      </c>
      <c r="P208" s="25">
        <v>5.8000000000000003E-2</v>
      </c>
      <c r="Q208" s="26">
        <v>0.504</v>
      </c>
    </row>
    <row r="209" spans="1:17" ht="14.25" customHeight="1" x14ac:dyDescent="0.35">
      <c r="A209" s="1">
        <v>2024</v>
      </c>
      <c r="B209" s="1" t="s">
        <v>29</v>
      </c>
      <c r="C209" s="1">
        <v>26</v>
      </c>
      <c r="D209" s="12">
        <v>101.28100000000001</v>
      </c>
      <c r="E209" s="12">
        <f t="shared" si="3"/>
        <v>126.60125000000001</v>
      </c>
      <c r="F209" s="13">
        <v>86.906000000000006</v>
      </c>
      <c r="G209" s="21">
        <v>83.528999999999996</v>
      </c>
      <c r="H209" s="22">
        <v>1751.653</v>
      </c>
      <c r="I209" s="13">
        <v>6.9</v>
      </c>
      <c r="J209" s="23">
        <v>2.1000000000000001E-2</v>
      </c>
      <c r="K209" s="13">
        <v>7.5650000000000004</v>
      </c>
      <c r="L209" s="24">
        <v>30.343</v>
      </c>
      <c r="M209" s="13">
        <v>5.0510000000000002</v>
      </c>
      <c r="N209" s="23">
        <v>1.7000000000000001E-2</v>
      </c>
      <c r="O209" s="22">
        <v>201.62100000000001</v>
      </c>
      <c r="P209" s="25">
        <v>6.2E-2</v>
      </c>
      <c r="Q209" s="26">
        <v>0.44900000000000001</v>
      </c>
    </row>
    <row r="210" spans="1:17" ht="14.25" customHeight="1" x14ac:dyDescent="0.35">
      <c r="A210" s="1">
        <v>2024</v>
      </c>
      <c r="B210" s="1" t="s">
        <v>29</v>
      </c>
      <c r="C210" s="1">
        <v>27</v>
      </c>
      <c r="D210" s="12">
        <v>101.922</v>
      </c>
      <c r="E210" s="12">
        <f t="shared" si="3"/>
        <v>127.4025</v>
      </c>
      <c r="F210" s="13">
        <v>87.438000000000002</v>
      </c>
      <c r="G210" s="21">
        <v>83.438999999999993</v>
      </c>
      <c r="H210" s="22">
        <v>1716.4</v>
      </c>
      <c r="I210" s="13">
        <v>6.9</v>
      </c>
      <c r="J210" s="23">
        <v>2.1000000000000001E-2</v>
      </c>
      <c r="K210" s="13">
        <v>7.45</v>
      </c>
      <c r="L210" s="24">
        <v>28.655000000000001</v>
      </c>
      <c r="M210" s="13">
        <v>4.867</v>
      </c>
      <c r="N210" s="23">
        <v>1.7000000000000001E-2</v>
      </c>
      <c r="O210" s="22">
        <v>266.97500000000002</v>
      </c>
      <c r="P210" s="25">
        <v>5.6000000000000001E-2</v>
      </c>
      <c r="Q210" s="26">
        <v>0.48699999999999999</v>
      </c>
    </row>
    <row r="211" spans="1:17" ht="14.25" customHeight="1" x14ac:dyDescent="0.35">
      <c r="A211" s="1">
        <v>2024</v>
      </c>
      <c r="B211" s="1" t="s">
        <v>29</v>
      </c>
      <c r="C211" s="1">
        <v>28</v>
      </c>
      <c r="D211" s="12">
        <v>100.313</v>
      </c>
      <c r="E211" s="12">
        <f t="shared" si="3"/>
        <v>125.39125</v>
      </c>
      <c r="F211" s="13">
        <v>86.063000000000002</v>
      </c>
      <c r="G211" s="21">
        <v>83.206999999999994</v>
      </c>
      <c r="H211" s="22">
        <v>1666.0160000000001</v>
      </c>
      <c r="I211" s="13">
        <v>6.9</v>
      </c>
      <c r="J211" s="23">
        <v>2.1000000000000001E-2</v>
      </c>
      <c r="K211" s="13">
        <v>7.5090000000000003</v>
      </c>
      <c r="L211" s="24">
        <v>27.51</v>
      </c>
      <c r="M211" s="13">
        <v>4.8570000000000002</v>
      </c>
      <c r="N211" s="23">
        <v>1.7000000000000001E-2</v>
      </c>
      <c r="O211" s="22">
        <v>273.33199999999999</v>
      </c>
      <c r="P211" s="25">
        <v>5.6000000000000001E-2</v>
      </c>
      <c r="Q211" s="26">
        <v>0.46700000000000003</v>
      </c>
    </row>
    <row r="212" spans="1:17" ht="14.25" customHeight="1" x14ac:dyDescent="0.35">
      <c r="A212" s="1">
        <v>2024</v>
      </c>
      <c r="B212" s="1" t="s">
        <v>29</v>
      </c>
      <c r="C212" s="1">
        <v>29</v>
      </c>
      <c r="D212" s="12">
        <v>96.953000000000003</v>
      </c>
      <c r="E212" s="12">
        <f t="shared" si="3"/>
        <v>121.19125</v>
      </c>
      <c r="F212" s="13">
        <v>83.188000000000002</v>
      </c>
      <c r="G212" s="21">
        <v>83.15</v>
      </c>
      <c r="H212" s="22">
        <v>1641.825</v>
      </c>
      <c r="I212" s="13">
        <v>6.9</v>
      </c>
      <c r="J212" s="23">
        <v>2.1000000000000001E-2</v>
      </c>
      <c r="K212" s="13">
        <v>7.0990000000000002</v>
      </c>
      <c r="L212" s="24">
        <v>27.974</v>
      </c>
      <c r="M212" s="13">
        <v>4.8650000000000002</v>
      </c>
      <c r="N212" s="23">
        <v>1.7000000000000001E-2</v>
      </c>
      <c r="O212" s="22">
        <v>268.33699999999999</v>
      </c>
      <c r="P212" s="25">
        <v>5.5E-2</v>
      </c>
      <c r="Q212" s="26">
        <v>0.41799999999999998</v>
      </c>
    </row>
    <row r="213" spans="1:17" ht="14.25" customHeight="1" x14ac:dyDescent="0.35">
      <c r="A213" s="1">
        <v>2024</v>
      </c>
      <c r="B213" s="1" t="s">
        <v>29</v>
      </c>
      <c r="C213" s="1">
        <v>30</v>
      </c>
      <c r="D213" s="12">
        <v>103.563</v>
      </c>
      <c r="E213" s="12">
        <f t="shared" si="3"/>
        <v>129.45375000000001</v>
      </c>
      <c r="F213" s="13">
        <v>88.843999999999994</v>
      </c>
      <c r="G213" s="21">
        <v>83.236999999999995</v>
      </c>
      <c r="H213" s="22">
        <v>1698.9580000000001</v>
      </c>
      <c r="I213" s="13">
        <v>6.9</v>
      </c>
      <c r="J213" s="23">
        <v>2.1000000000000001E-2</v>
      </c>
      <c r="K213" s="13">
        <v>6.7220000000000004</v>
      </c>
      <c r="L213" s="24">
        <v>27.36</v>
      </c>
      <c r="M213" s="13">
        <v>4.8339999999999996</v>
      </c>
      <c r="N213" s="23">
        <v>1.7000000000000001E-2</v>
      </c>
      <c r="O213" s="22">
        <v>287.47699999999998</v>
      </c>
      <c r="P213" s="25">
        <v>6.5000000000000002E-2</v>
      </c>
      <c r="Q213" s="26">
        <v>0.35899999999999999</v>
      </c>
    </row>
    <row r="214" spans="1:17" ht="14.25" customHeight="1" x14ac:dyDescent="0.35">
      <c r="A214" s="1">
        <v>2024</v>
      </c>
      <c r="B214" s="1" t="s">
        <v>29</v>
      </c>
      <c r="C214" s="1">
        <v>31</v>
      </c>
      <c r="D214" s="34">
        <v>99.891000000000005</v>
      </c>
      <c r="E214" s="12">
        <f t="shared" si="3"/>
        <v>124.86375000000001</v>
      </c>
      <c r="F214" s="35">
        <v>85.75</v>
      </c>
      <c r="G214" s="36">
        <v>83.22</v>
      </c>
      <c r="H214" s="37">
        <v>1720.847</v>
      </c>
      <c r="I214" s="35">
        <v>6.9</v>
      </c>
      <c r="J214" s="38">
        <v>2.1000000000000001E-2</v>
      </c>
      <c r="K214" s="35">
        <v>6.7229999999999999</v>
      </c>
      <c r="L214" s="39">
        <v>27.600999999999999</v>
      </c>
      <c r="M214" s="35">
        <v>4.8280000000000003</v>
      </c>
      <c r="N214" s="38">
        <v>1.7000000000000001E-2</v>
      </c>
      <c r="O214" s="37">
        <v>291.88299999999998</v>
      </c>
      <c r="P214" s="40">
        <v>7.6999999999999999E-2</v>
      </c>
      <c r="Q214" s="41">
        <v>0.37</v>
      </c>
    </row>
    <row r="215" spans="1:17" ht="14.25" customHeight="1" x14ac:dyDescent="0.35">
      <c r="A215" s="1">
        <v>2024</v>
      </c>
      <c r="B215" s="1" t="s">
        <v>30</v>
      </c>
      <c r="C215" s="1">
        <v>1</v>
      </c>
      <c r="D215" s="12">
        <v>99.796999999999997</v>
      </c>
      <c r="E215" s="12">
        <f t="shared" si="3"/>
        <v>124.74625</v>
      </c>
      <c r="F215" s="13">
        <v>85.563000000000002</v>
      </c>
      <c r="G215" s="14">
        <v>83.144999999999996</v>
      </c>
      <c r="H215" s="15">
        <v>1730.548</v>
      </c>
      <c r="I215" s="16">
        <v>6.9080000000000004</v>
      </c>
      <c r="J215" s="17">
        <v>2.1000000000000001E-2</v>
      </c>
      <c r="K215" s="16">
        <v>6.8140000000000001</v>
      </c>
      <c r="L215" s="18">
        <v>27.2043</v>
      </c>
      <c r="M215" s="16">
        <v>5.1951999999999998</v>
      </c>
      <c r="N215" s="17">
        <v>1.7100000000000001E-2</v>
      </c>
      <c r="O215" s="15">
        <v>164.75829999999999</v>
      </c>
      <c r="P215" s="19">
        <v>6.7799999999999999E-2</v>
      </c>
      <c r="Q215" s="20">
        <v>0.38500000000000001</v>
      </c>
    </row>
    <row r="216" spans="1:17" ht="14.25" customHeight="1" x14ac:dyDescent="0.35">
      <c r="A216" s="1">
        <v>2024</v>
      </c>
      <c r="B216" s="1" t="s">
        <v>30</v>
      </c>
      <c r="C216" s="1">
        <v>2</v>
      </c>
      <c r="D216" s="12">
        <v>103.84399999999999</v>
      </c>
      <c r="E216" s="12">
        <f t="shared" si="3"/>
        <v>129.80500000000001</v>
      </c>
      <c r="F216" s="13">
        <v>89.063000000000002</v>
      </c>
      <c r="G216" s="21">
        <v>83</v>
      </c>
      <c r="H216" s="22">
        <v>1747.491</v>
      </c>
      <c r="I216" s="13">
        <v>6.9</v>
      </c>
      <c r="J216" s="23">
        <v>2.1000000000000001E-2</v>
      </c>
      <c r="K216" s="13">
        <v>6.6689999999999996</v>
      </c>
      <c r="L216" s="24">
        <v>27.789000000000001</v>
      </c>
      <c r="M216" s="13">
        <v>5.4349999999999996</v>
      </c>
      <c r="N216" s="23">
        <v>1.6E-2</v>
      </c>
      <c r="O216" s="22">
        <v>77.594999999999999</v>
      </c>
      <c r="P216" s="25">
        <v>6.5000000000000002E-2</v>
      </c>
      <c r="Q216" s="26">
        <v>0.36399999999999999</v>
      </c>
    </row>
    <row r="217" spans="1:17" ht="14.25" customHeight="1" x14ac:dyDescent="0.35">
      <c r="A217" s="1">
        <v>2024</v>
      </c>
      <c r="B217" s="1" t="s">
        <v>30</v>
      </c>
      <c r="C217" s="1">
        <v>3</v>
      </c>
      <c r="D217" s="12">
        <v>104.23399999999999</v>
      </c>
      <c r="E217" s="12">
        <f t="shared" si="3"/>
        <v>130.29249999999999</v>
      </c>
      <c r="F217" s="13">
        <v>89.375</v>
      </c>
      <c r="G217" s="21">
        <v>83.849000000000004</v>
      </c>
      <c r="H217" s="22">
        <v>1703.2049999999999</v>
      </c>
      <c r="I217" s="13">
        <v>6.9</v>
      </c>
      <c r="J217" s="23">
        <v>2.1999999999999999E-2</v>
      </c>
      <c r="K217" s="13">
        <v>7.1189999999999998</v>
      </c>
      <c r="L217" s="24">
        <v>27.321000000000002</v>
      </c>
      <c r="M217" s="13">
        <v>5.4219999999999997</v>
      </c>
      <c r="N217" s="23">
        <v>1.4E-2</v>
      </c>
      <c r="O217" s="22">
        <v>74.373000000000005</v>
      </c>
      <c r="P217" s="25">
        <v>5.7000000000000002E-2</v>
      </c>
      <c r="Q217" s="26">
        <v>0.38200000000000001</v>
      </c>
    </row>
    <row r="218" spans="1:17" ht="14.25" customHeight="1" x14ac:dyDescent="0.35">
      <c r="A218" s="1">
        <v>2024</v>
      </c>
      <c r="B218" s="1" t="s">
        <v>30</v>
      </c>
      <c r="C218" s="1">
        <v>4</v>
      </c>
      <c r="D218" s="12">
        <v>97.156000000000006</v>
      </c>
      <c r="E218" s="12">
        <f t="shared" si="3"/>
        <v>121.44500000000001</v>
      </c>
      <c r="F218" s="13">
        <v>83.406000000000006</v>
      </c>
      <c r="G218" s="21">
        <v>83.706999999999994</v>
      </c>
      <c r="H218" s="22">
        <v>1633.913</v>
      </c>
      <c r="I218" s="13">
        <v>6.9</v>
      </c>
      <c r="J218" s="23">
        <v>0.02</v>
      </c>
      <c r="K218" s="13">
        <v>7.3639999999999999</v>
      </c>
      <c r="L218" s="24">
        <v>26.873999999999999</v>
      </c>
      <c r="M218" s="13">
        <v>5.4269999999999996</v>
      </c>
      <c r="N218" s="23">
        <v>1.4E-2</v>
      </c>
      <c r="O218" s="22">
        <v>73.524000000000001</v>
      </c>
      <c r="P218" s="25">
        <v>5.6000000000000001E-2</v>
      </c>
      <c r="Q218" s="26">
        <v>0.34300000000000003</v>
      </c>
    </row>
    <row r="219" spans="1:17" ht="14.25" customHeight="1" x14ac:dyDescent="0.35">
      <c r="A219" s="1">
        <v>2024</v>
      </c>
      <c r="B219" s="1" t="s">
        <v>30</v>
      </c>
      <c r="C219" s="1">
        <v>5</v>
      </c>
      <c r="D219" s="12">
        <v>103.703</v>
      </c>
      <c r="E219" s="12">
        <f t="shared" si="3"/>
        <v>129.62875</v>
      </c>
      <c r="F219" s="13">
        <v>88.875</v>
      </c>
      <c r="G219" s="21">
        <v>83.837999999999994</v>
      </c>
      <c r="H219" s="22">
        <v>1627.915</v>
      </c>
      <c r="I219" s="13">
        <v>6.9</v>
      </c>
      <c r="J219" s="23">
        <v>2.1000000000000001E-2</v>
      </c>
      <c r="K219" s="13">
        <v>7.4029999999999996</v>
      </c>
      <c r="L219" s="24">
        <v>27.007000000000001</v>
      </c>
      <c r="M219" s="13">
        <v>5.4269999999999996</v>
      </c>
      <c r="N219" s="23">
        <v>1.4E-2</v>
      </c>
      <c r="O219" s="22">
        <v>73.534000000000006</v>
      </c>
      <c r="P219" s="25">
        <v>5.8000000000000003E-2</v>
      </c>
      <c r="Q219" s="26">
        <v>0.33600000000000002</v>
      </c>
    </row>
    <row r="220" spans="1:17" ht="14.25" customHeight="1" x14ac:dyDescent="0.35">
      <c r="A220" s="1">
        <v>2024</v>
      </c>
      <c r="B220" s="1" t="s">
        <v>30</v>
      </c>
      <c r="C220" s="1">
        <v>6</v>
      </c>
      <c r="D220" s="12">
        <v>99.983999999999995</v>
      </c>
      <c r="E220" s="12">
        <f t="shared" si="3"/>
        <v>124.97999999999999</v>
      </c>
      <c r="F220" s="13">
        <v>85.718999999999994</v>
      </c>
      <c r="G220" s="21">
        <v>83.903000000000006</v>
      </c>
      <c r="H220" s="22">
        <v>1683.0450000000001</v>
      </c>
      <c r="I220" s="13">
        <v>6.9</v>
      </c>
      <c r="J220" s="23">
        <v>2.1000000000000001E-2</v>
      </c>
      <c r="K220" s="13">
        <v>7.52</v>
      </c>
      <c r="L220" s="24">
        <v>28.387</v>
      </c>
      <c r="M220" s="13">
        <v>5.4379999999999997</v>
      </c>
      <c r="N220" s="23">
        <v>1.4E-2</v>
      </c>
      <c r="O220" s="22">
        <v>71.656000000000006</v>
      </c>
      <c r="P220" s="25">
        <v>5.5E-2</v>
      </c>
      <c r="Q220" s="26">
        <v>0.35799999999999998</v>
      </c>
    </row>
    <row r="221" spans="1:17" ht="14.25" customHeight="1" x14ac:dyDescent="0.35">
      <c r="A221" s="1">
        <v>2024</v>
      </c>
      <c r="B221" s="1" t="s">
        <v>30</v>
      </c>
      <c r="C221" s="1">
        <v>7</v>
      </c>
      <c r="D221" s="12">
        <v>104.578</v>
      </c>
      <c r="E221" s="12">
        <f t="shared" si="3"/>
        <v>130.7225</v>
      </c>
      <c r="F221" s="13">
        <v>89.563000000000002</v>
      </c>
      <c r="G221" s="21">
        <v>84.061000000000007</v>
      </c>
      <c r="H221" s="22">
        <v>1704.9929999999999</v>
      </c>
      <c r="I221" s="13">
        <v>6.9</v>
      </c>
      <c r="J221" s="23">
        <v>2.1000000000000001E-2</v>
      </c>
      <c r="K221" s="13">
        <v>7.5110000000000001</v>
      </c>
      <c r="L221" s="24">
        <v>27.608000000000001</v>
      </c>
      <c r="M221" s="13">
        <v>5.4169999999999998</v>
      </c>
      <c r="N221" s="23">
        <v>1.7000000000000001E-2</v>
      </c>
      <c r="O221" s="22">
        <v>75.293999999999997</v>
      </c>
      <c r="P221" s="25">
        <v>5.8000000000000003E-2</v>
      </c>
      <c r="Q221" s="26">
        <v>0.35399999999999998</v>
      </c>
    </row>
    <row r="222" spans="1:17" ht="14.25" customHeight="1" x14ac:dyDescent="0.35">
      <c r="A222" s="1">
        <v>2024</v>
      </c>
      <c r="B222" s="1" t="s">
        <v>30</v>
      </c>
      <c r="C222" s="1">
        <v>8</v>
      </c>
      <c r="D222" s="12">
        <v>103.89100000000001</v>
      </c>
      <c r="E222" s="12">
        <f t="shared" si="3"/>
        <v>129.86375000000001</v>
      </c>
      <c r="F222" s="13">
        <v>89.063000000000002</v>
      </c>
      <c r="G222" s="21">
        <v>83.855999999999995</v>
      </c>
      <c r="H222" s="22">
        <v>1684.7080000000001</v>
      </c>
      <c r="I222" s="13">
        <v>6.9</v>
      </c>
      <c r="J222" s="23">
        <v>2.1000000000000001E-2</v>
      </c>
      <c r="K222" s="13">
        <v>7.7140000000000004</v>
      </c>
      <c r="L222" s="24">
        <v>27.821000000000002</v>
      </c>
      <c r="M222" s="13">
        <v>5.431</v>
      </c>
      <c r="N222" s="23">
        <v>1.4999999999999999E-2</v>
      </c>
      <c r="O222" s="22">
        <v>72.935000000000002</v>
      </c>
      <c r="P222" s="25">
        <v>5.8999999999999997E-2</v>
      </c>
      <c r="Q222" s="26">
        <v>0.39900000000000002</v>
      </c>
    </row>
    <row r="223" spans="1:17" ht="14.25" customHeight="1" x14ac:dyDescent="0.35">
      <c r="A223" s="1">
        <v>2024</v>
      </c>
      <c r="B223" s="1" t="s">
        <v>30</v>
      </c>
      <c r="C223" s="1">
        <v>9</v>
      </c>
      <c r="D223" s="12">
        <v>104.922</v>
      </c>
      <c r="E223" s="12">
        <f t="shared" si="3"/>
        <v>131.1525</v>
      </c>
      <c r="F223" s="13">
        <v>89.968999999999994</v>
      </c>
      <c r="G223" s="21">
        <v>83.808999999999997</v>
      </c>
      <c r="H223" s="22">
        <v>1676.7560000000001</v>
      </c>
      <c r="I223" s="13">
        <v>6.9</v>
      </c>
      <c r="J223" s="23">
        <v>2.1000000000000001E-2</v>
      </c>
      <c r="K223" s="13">
        <v>7.32</v>
      </c>
      <c r="L223" s="24">
        <v>28.832000000000001</v>
      </c>
      <c r="M223" s="13">
        <v>5.375</v>
      </c>
      <c r="N223" s="23">
        <v>1.4E-2</v>
      </c>
      <c r="O223" s="22">
        <v>83.373999999999995</v>
      </c>
      <c r="P223" s="25">
        <v>5.5E-2</v>
      </c>
      <c r="Q223" s="26">
        <v>0.17100000000000001</v>
      </c>
    </row>
    <row r="224" spans="1:17" ht="14.25" customHeight="1" x14ac:dyDescent="0.35">
      <c r="A224" s="1">
        <v>2024</v>
      </c>
      <c r="B224" s="1" t="s">
        <v>30</v>
      </c>
      <c r="C224" s="1">
        <v>10</v>
      </c>
      <c r="D224" s="12">
        <v>106.84399999999999</v>
      </c>
      <c r="E224" s="12">
        <f t="shared" si="3"/>
        <v>133.55500000000001</v>
      </c>
      <c r="F224" s="13">
        <v>91.563000000000002</v>
      </c>
      <c r="G224" s="27">
        <v>83.93</v>
      </c>
      <c r="H224" s="22">
        <v>1619.9770000000001</v>
      </c>
      <c r="I224" s="13">
        <v>6.9</v>
      </c>
      <c r="J224" s="23">
        <v>2.1999999999999999E-2</v>
      </c>
      <c r="K224" s="28">
        <v>7.3719999999999999</v>
      </c>
      <c r="L224" s="24">
        <v>28.079000000000001</v>
      </c>
      <c r="M224" s="13">
        <v>5.3490000000000002</v>
      </c>
      <c r="N224" s="29">
        <v>1.4E-2</v>
      </c>
      <c r="O224" s="22">
        <v>88.116</v>
      </c>
      <c r="P224" s="30">
        <v>5.1999999999999998E-2</v>
      </c>
      <c r="Q224" s="31">
        <v>0.14799999999999999</v>
      </c>
    </row>
    <row r="225" spans="1:17" ht="14.25" customHeight="1" x14ac:dyDescent="0.35">
      <c r="A225" s="1">
        <v>2024</v>
      </c>
      <c r="B225" s="1" t="s">
        <v>30</v>
      </c>
      <c r="C225" s="1">
        <v>11</v>
      </c>
      <c r="D225" s="12">
        <v>108.875</v>
      </c>
      <c r="E225" s="12">
        <f t="shared" si="3"/>
        <v>136.09375</v>
      </c>
      <c r="F225" s="13">
        <v>93.218999999999994</v>
      </c>
      <c r="G225" s="27">
        <v>84.146000000000001</v>
      </c>
      <c r="H225" s="22">
        <v>1557.9190000000001</v>
      </c>
      <c r="I225" s="13">
        <v>6.9</v>
      </c>
      <c r="J225" s="23">
        <v>2.4E-2</v>
      </c>
      <c r="K225" s="28">
        <v>7.3920000000000003</v>
      </c>
      <c r="L225" s="24">
        <v>27.532</v>
      </c>
      <c r="M225" s="13">
        <v>5.3879999999999999</v>
      </c>
      <c r="N225" s="29">
        <v>1.4E-2</v>
      </c>
      <c r="O225" s="22">
        <v>80.683999999999997</v>
      </c>
      <c r="P225" s="30">
        <v>4.3999999999999997E-2</v>
      </c>
      <c r="Q225" s="31">
        <v>0.183</v>
      </c>
    </row>
    <row r="226" spans="1:17" ht="14.25" customHeight="1" x14ac:dyDescent="0.35">
      <c r="A226" s="1">
        <v>2024</v>
      </c>
      <c r="B226" s="1" t="s">
        <v>30</v>
      </c>
      <c r="C226" s="1">
        <v>12</v>
      </c>
      <c r="D226" s="12">
        <v>110.96899999999999</v>
      </c>
      <c r="E226" s="12">
        <f t="shared" si="3"/>
        <v>138.71125000000001</v>
      </c>
      <c r="F226" s="13">
        <v>95.031000000000006</v>
      </c>
      <c r="G226" s="27">
        <v>84.090999999999994</v>
      </c>
      <c r="H226" s="22">
        <v>1534.1479999999999</v>
      </c>
      <c r="I226" s="13">
        <v>6.9</v>
      </c>
      <c r="J226" s="23">
        <v>2.4E-2</v>
      </c>
      <c r="K226" s="28">
        <v>7.452</v>
      </c>
      <c r="L226" s="24">
        <v>26.446999999999999</v>
      </c>
      <c r="M226" s="13">
        <v>5.4169999999999998</v>
      </c>
      <c r="N226" s="29">
        <v>1.4E-2</v>
      </c>
      <c r="O226" s="22">
        <v>75.39</v>
      </c>
      <c r="P226" s="30">
        <v>4.8000000000000001E-2</v>
      </c>
      <c r="Q226" s="31">
        <v>0.17399999999999999</v>
      </c>
    </row>
    <row r="227" spans="1:17" ht="14.25" customHeight="1" x14ac:dyDescent="0.35">
      <c r="A227" s="1">
        <v>2024</v>
      </c>
      <c r="B227" s="1" t="s">
        <v>30</v>
      </c>
      <c r="C227" s="1">
        <v>13</v>
      </c>
      <c r="D227" s="12">
        <v>111.03100000000001</v>
      </c>
      <c r="E227" s="12">
        <f t="shared" si="3"/>
        <v>138.78874999999999</v>
      </c>
      <c r="F227" s="13">
        <v>95</v>
      </c>
      <c r="G227" s="27">
        <v>84.073999999999998</v>
      </c>
      <c r="H227" s="22">
        <v>1588.085</v>
      </c>
      <c r="I227" s="13">
        <v>6.9</v>
      </c>
      <c r="J227" s="23">
        <v>2.3E-2</v>
      </c>
      <c r="K227" s="28">
        <v>7.718</v>
      </c>
      <c r="L227" s="24">
        <v>26.850999999999999</v>
      </c>
      <c r="M227" s="13">
        <v>5.4089999999999998</v>
      </c>
      <c r="N227" s="23">
        <v>1.4E-2</v>
      </c>
      <c r="O227" s="22">
        <v>76.88</v>
      </c>
      <c r="P227" s="30">
        <v>5.8000000000000003E-2</v>
      </c>
      <c r="Q227" s="31">
        <v>0.19400000000000001</v>
      </c>
    </row>
    <row r="228" spans="1:17" ht="14.25" customHeight="1" x14ac:dyDescent="0.35">
      <c r="A228" s="1">
        <v>2024</v>
      </c>
      <c r="B228" s="1" t="s">
        <v>30</v>
      </c>
      <c r="C228" s="1">
        <v>14</v>
      </c>
      <c r="D228" s="12">
        <v>111.09399999999999</v>
      </c>
      <c r="E228" s="12">
        <f t="shared" si="3"/>
        <v>138.86750000000001</v>
      </c>
      <c r="F228" s="13">
        <v>94.968999999999994</v>
      </c>
      <c r="G228" s="21">
        <v>84.203000000000003</v>
      </c>
      <c r="H228" s="22">
        <v>1674.7159999999999</v>
      </c>
      <c r="I228" s="13">
        <v>6.9</v>
      </c>
      <c r="J228" s="23">
        <v>2.4E-2</v>
      </c>
      <c r="K228" s="28">
        <v>7.83</v>
      </c>
      <c r="L228" s="33">
        <v>28.922999999999998</v>
      </c>
      <c r="M228" s="13">
        <v>5.3869999999999996</v>
      </c>
      <c r="N228" s="23">
        <v>1.4E-2</v>
      </c>
      <c r="O228" s="22">
        <v>80.686000000000007</v>
      </c>
      <c r="P228" s="30">
        <v>5.8999999999999997E-2</v>
      </c>
      <c r="Q228" s="31">
        <v>0.191</v>
      </c>
    </row>
    <row r="229" spans="1:17" ht="14.25" customHeight="1" x14ac:dyDescent="0.35">
      <c r="A229" s="1">
        <v>2024</v>
      </c>
      <c r="B229" s="1" t="s">
        <v>30</v>
      </c>
      <c r="C229" s="1">
        <v>15</v>
      </c>
      <c r="D229" s="12">
        <v>110.59399999999999</v>
      </c>
      <c r="E229" s="12">
        <f t="shared" si="3"/>
        <v>138.24250000000001</v>
      </c>
      <c r="F229" s="13">
        <v>94.531000000000006</v>
      </c>
      <c r="G229" s="21">
        <v>84.340999999999994</v>
      </c>
      <c r="H229" s="22">
        <v>1650.836</v>
      </c>
      <c r="I229" s="13">
        <v>6.9</v>
      </c>
      <c r="J229" s="23">
        <v>2.5999999999999999E-2</v>
      </c>
      <c r="K229" s="28">
        <v>7.335</v>
      </c>
      <c r="L229" s="24">
        <v>27.81</v>
      </c>
      <c r="M229" s="13">
        <v>5.3620000000000001</v>
      </c>
      <c r="N229" s="23">
        <v>1.4E-2</v>
      </c>
      <c r="O229" s="22">
        <v>85.433999999999997</v>
      </c>
      <c r="P229" s="30">
        <v>5.7000000000000002E-2</v>
      </c>
      <c r="Q229" s="31">
        <v>0.17299999999999999</v>
      </c>
    </row>
    <row r="230" spans="1:17" ht="14.25" customHeight="1" x14ac:dyDescent="0.35">
      <c r="A230" s="1">
        <v>2024</v>
      </c>
      <c r="B230" s="1" t="s">
        <v>30</v>
      </c>
      <c r="C230" s="1">
        <v>16</v>
      </c>
      <c r="D230" s="12">
        <v>111.09399999999999</v>
      </c>
      <c r="E230" s="12">
        <f t="shared" si="3"/>
        <v>138.86750000000001</v>
      </c>
      <c r="F230" s="13">
        <v>95</v>
      </c>
      <c r="G230" s="21">
        <v>84.325000000000003</v>
      </c>
      <c r="H230" s="22">
        <v>1647.924</v>
      </c>
      <c r="I230" s="13">
        <v>6.9</v>
      </c>
      <c r="J230" s="23">
        <v>2.4E-2</v>
      </c>
      <c r="K230" s="28">
        <v>7.3</v>
      </c>
      <c r="L230" s="24">
        <v>27.215</v>
      </c>
      <c r="M230" s="13">
        <v>5.4539999999999997</v>
      </c>
      <c r="N230" s="23">
        <v>1.4E-2</v>
      </c>
      <c r="O230" s="22">
        <v>70.347999999999999</v>
      </c>
      <c r="P230" s="30">
        <v>6.3E-2</v>
      </c>
      <c r="Q230" s="31">
        <v>0.11700000000000001</v>
      </c>
    </row>
    <row r="231" spans="1:17" ht="14.25" customHeight="1" x14ac:dyDescent="0.35">
      <c r="A231" s="1">
        <v>2024</v>
      </c>
      <c r="B231" s="1" t="s">
        <v>30</v>
      </c>
      <c r="C231" s="1">
        <v>17</v>
      </c>
      <c r="D231" s="12">
        <v>115.03100000000001</v>
      </c>
      <c r="E231" s="12">
        <f t="shared" si="3"/>
        <v>143.78874999999999</v>
      </c>
      <c r="F231" s="13">
        <v>98.281000000000006</v>
      </c>
      <c r="G231" s="21">
        <v>84.183000000000007</v>
      </c>
      <c r="H231" s="22">
        <v>1616.03</v>
      </c>
      <c r="I231" s="13">
        <v>6.9</v>
      </c>
      <c r="J231" s="23">
        <v>2.3E-2</v>
      </c>
      <c r="K231" s="13">
        <v>7.7249999999999996</v>
      </c>
      <c r="L231" s="24">
        <v>26.872</v>
      </c>
      <c r="M231" s="13">
        <v>5.5129999999999999</v>
      </c>
      <c r="N231" s="23">
        <v>1.4E-2</v>
      </c>
      <c r="O231" s="22">
        <v>60.412999999999997</v>
      </c>
      <c r="P231" s="25">
        <v>0.06</v>
      </c>
      <c r="Q231" s="26">
        <v>7.9000000000000001E-2</v>
      </c>
    </row>
    <row r="232" spans="1:17" ht="14.25" customHeight="1" x14ac:dyDescent="0.35">
      <c r="A232" s="1">
        <v>2024</v>
      </c>
      <c r="B232" s="1" t="s">
        <v>30</v>
      </c>
      <c r="C232" s="1">
        <v>18</v>
      </c>
      <c r="D232" s="12">
        <v>115.25</v>
      </c>
      <c r="E232" s="12">
        <f t="shared" si="3"/>
        <v>144.0625</v>
      </c>
      <c r="F232" s="13">
        <v>98.563000000000002</v>
      </c>
      <c r="G232" s="21">
        <v>84.36</v>
      </c>
      <c r="H232" s="22">
        <v>1581.491</v>
      </c>
      <c r="I232" s="13">
        <v>6.9</v>
      </c>
      <c r="J232" s="23">
        <v>2.4E-2</v>
      </c>
      <c r="K232" s="13">
        <v>7.6669999999999998</v>
      </c>
      <c r="L232" s="24">
        <v>26.689</v>
      </c>
      <c r="M232" s="13">
        <v>5.5309999999999997</v>
      </c>
      <c r="N232" s="23">
        <v>1.4E-2</v>
      </c>
      <c r="O232" s="22">
        <v>57.957999999999998</v>
      </c>
      <c r="P232" s="25">
        <v>5.0999999999999997E-2</v>
      </c>
      <c r="Q232" s="26">
        <v>8.3000000000000004E-2</v>
      </c>
    </row>
    <row r="233" spans="1:17" ht="14.25" customHeight="1" x14ac:dyDescent="0.35">
      <c r="A233" s="1">
        <v>2024</v>
      </c>
      <c r="B233" s="1" t="s">
        <v>30</v>
      </c>
      <c r="C233" s="1">
        <v>19</v>
      </c>
      <c r="D233" s="12">
        <v>114.25</v>
      </c>
      <c r="E233" s="12">
        <f t="shared" si="3"/>
        <v>142.8125</v>
      </c>
      <c r="F233" s="13">
        <v>97.718999999999994</v>
      </c>
      <c r="G233" s="21">
        <v>84.52</v>
      </c>
      <c r="H233" s="22">
        <v>1575.123</v>
      </c>
      <c r="I233" s="13">
        <v>6.9</v>
      </c>
      <c r="J233" s="23">
        <v>2.4E-2</v>
      </c>
      <c r="K233" s="13">
        <v>7.843</v>
      </c>
      <c r="L233" s="24">
        <v>26.367000000000001</v>
      </c>
      <c r="M233" s="13">
        <v>5.5229999999999997</v>
      </c>
      <c r="N233" s="23">
        <v>1.4E-2</v>
      </c>
      <c r="O233" s="22">
        <v>58.99</v>
      </c>
      <c r="P233" s="25">
        <v>5.2999999999999999E-2</v>
      </c>
      <c r="Q233" s="26">
        <v>8.2000000000000003E-2</v>
      </c>
    </row>
    <row r="234" spans="1:17" ht="14.25" customHeight="1" x14ac:dyDescent="0.35">
      <c r="A234" s="1">
        <v>2024</v>
      </c>
      <c r="B234" s="1" t="s">
        <v>30</v>
      </c>
      <c r="C234" s="1">
        <v>20</v>
      </c>
      <c r="D234" s="12">
        <v>90.233999999999995</v>
      </c>
      <c r="E234" s="12">
        <f t="shared" si="3"/>
        <v>112.79249999999999</v>
      </c>
      <c r="F234" s="13">
        <v>77.031000000000006</v>
      </c>
      <c r="G234" s="21">
        <v>84.74</v>
      </c>
      <c r="H234" s="22">
        <v>1624.492</v>
      </c>
      <c r="I234" s="13">
        <v>6.8879999999999999</v>
      </c>
      <c r="J234" s="23">
        <v>7.2999999999999995E-2</v>
      </c>
      <c r="K234" s="13">
        <v>6.9050000000000002</v>
      </c>
      <c r="L234" s="24">
        <v>33.500999999999998</v>
      </c>
      <c r="M234" s="13">
        <v>5.5460000000000003</v>
      </c>
      <c r="N234" s="23">
        <v>7.3999999999999996E-2</v>
      </c>
      <c r="O234" s="22">
        <v>57.573</v>
      </c>
      <c r="P234" s="25">
        <v>7.0000000000000007E-2</v>
      </c>
      <c r="Q234" s="26">
        <v>7.5999999999999998E-2</v>
      </c>
    </row>
    <row r="235" spans="1:17" ht="14.25" customHeight="1" x14ac:dyDescent="0.35">
      <c r="A235" s="1">
        <v>2024</v>
      </c>
      <c r="B235" s="1" t="s">
        <v>30</v>
      </c>
      <c r="C235" s="1">
        <v>21</v>
      </c>
      <c r="D235" s="12">
        <v>115.14100000000001</v>
      </c>
      <c r="E235" s="12">
        <f t="shared" si="3"/>
        <v>143.92625000000001</v>
      </c>
      <c r="F235" s="13">
        <v>98.531000000000006</v>
      </c>
      <c r="G235" s="21">
        <v>84.805000000000007</v>
      </c>
      <c r="H235" s="22">
        <v>1649.0319999999999</v>
      </c>
      <c r="I235" s="13">
        <v>6.9</v>
      </c>
      <c r="J235" s="23">
        <v>2.3E-2</v>
      </c>
      <c r="K235" s="13">
        <v>7.6310000000000002</v>
      </c>
      <c r="L235" s="24">
        <v>29.099</v>
      </c>
      <c r="M235" s="13">
        <v>5.4859999999999998</v>
      </c>
      <c r="N235" s="23">
        <v>1.4E-2</v>
      </c>
      <c r="O235" s="22">
        <v>64.233000000000004</v>
      </c>
      <c r="P235" s="25">
        <v>5.8000000000000003E-2</v>
      </c>
      <c r="Q235" s="26">
        <v>8.2000000000000003E-2</v>
      </c>
    </row>
    <row r="236" spans="1:17" ht="14.25" customHeight="1" x14ac:dyDescent="0.35">
      <c r="A236" s="1">
        <v>2024</v>
      </c>
      <c r="B236" s="1" t="s">
        <v>30</v>
      </c>
      <c r="C236" s="1">
        <v>22</v>
      </c>
      <c r="D236" s="12">
        <v>111.01600000000001</v>
      </c>
      <c r="E236" s="12">
        <f t="shared" si="3"/>
        <v>138.77000000000001</v>
      </c>
      <c r="F236" s="13">
        <v>95</v>
      </c>
      <c r="G236" s="21">
        <v>84.552999999999997</v>
      </c>
      <c r="H236" s="22">
        <v>1657.568</v>
      </c>
      <c r="I236" s="13">
        <v>6.9</v>
      </c>
      <c r="J236" s="23">
        <v>2.3E-2</v>
      </c>
      <c r="K236" s="13">
        <v>7.8239999999999998</v>
      </c>
      <c r="L236" s="24">
        <v>27.693000000000001</v>
      </c>
      <c r="M236" s="13">
        <v>5.4649999999999999</v>
      </c>
      <c r="N236" s="23">
        <v>1.4E-2</v>
      </c>
      <c r="O236" s="22">
        <v>67.509</v>
      </c>
      <c r="P236" s="25">
        <v>5.5E-2</v>
      </c>
      <c r="Q236" s="26">
        <v>8.2000000000000003E-2</v>
      </c>
    </row>
    <row r="237" spans="1:17" ht="14.25" customHeight="1" x14ac:dyDescent="0.35">
      <c r="A237" s="1">
        <v>2024</v>
      </c>
      <c r="B237" s="1" t="s">
        <v>30</v>
      </c>
      <c r="C237" s="1">
        <v>23</v>
      </c>
      <c r="D237" s="12">
        <v>108.03100000000001</v>
      </c>
      <c r="E237" s="12">
        <f t="shared" si="3"/>
        <v>135.03874999999999</v>
      </c>
      <c r="F237" s="13">
        <v>92.375</v>
      </c>
      <c r="G237" s="21">
        <v>84.242999999999995</v>
      </c>
      <c r="H237" s="22">
        <v>1674.0920000000001</v>
      </c>
      <c r="I237" s="13">
        <v>6.9</v>
      </c>
      <c r="J237" s="23">
        <v>2.1999999999999999E-2</v>
      </c>
      <c r="K237" s="13">
        <v>7.7779999999999996</v>
      </c>
      <c r="L237" s="24">
        <v>27.527999999999999</v>
      </c>
      <c r="M237" s="13">
        <v>5.2720000000000002</v>
      </c>
      <c r="N237" s="23">
        <v>1.4E-2</v>
      </c>
      <c r="O237" s="22">
        <v>111.89400000000001</v>
      </c>
      <c r="P237" s="25">
        <v>5.8000000000000003E-2</v>
      </c>
      <c r="Q237" s="26">
        <v>5.8000000000000003E-2</v>
      </c>
    </row>
    <row r="238" spans="1:17" ht="14.25" customHeight="1" x14ac:dyDescent="0.35">
      <c r="A238" s="1">
        <v>2024</v>
      </c>
      <c r="B238" s="1" t="s">
        <v>30</v>
      </c>
      <c r="C238" s="1">
        <v>24</v>
      </c>
      <c r="D238" s="12">
        <v>108.98399999999999</v>
      </c>
      <c r="E238" s="12">
        <f t="shared" si="3"/>
        <v>136.22999999999999</v>
      </c>
      <c r="F238" s="13">
        <v>93.218999999999994</v>
      </c>
      <c r="G238" s="21">
        <v>83.911000000000001</v>
      </c>
      <c r="H238" s="22">
        <v>1672.0989999999999</v>
      </c>
      <c r="I238" s="13">
        <v>6.9</v>
      </c>
      <c r="J238" s="23">
        <v>2.1999999999999999E-2</v>
      </c>
      <c r="K238" s="13">
        <v>7.8010000000000002</v>
      </c>
      <c r="L238" s="24">
        <v>27.564</v>
      </c>
      <c r="M238" s="13">
        <v>5.1349999999999998</v>
      </c>
      <c r="N238" s="23">
        <v>1.4E-2</v>
      </c>
      <c r="O238" s="22">
        <v>144.15100000000001</v>
      </c>
      <c r="P238" s="25">
        <v>5.8999999999999997E-2</v>
      </c>
      <c r="Q238" s="26">
        <v>5.2999999999999999E-2</v>
      </c>
    </row>
    <row r="239" spans="1:17" ht="14.25" customHeight="1" x14ac:dyDescent="0.35">
      <c r="A239" s="1">
        <v>2024</v>
      </c>
      <c r="B239" s="1" t="s">
        <v>30</v>
      </c>
      <c r="C239" s="1">
        <v>25</v>
      </c>
      <c r="D239" s="12">
        <v>109.26600000000001</v>
      </c>
      <c r="E239" s="32">
        <v>136.22999999999999</v>
      </c>
      <c r="F239" s="13">
        <v>93.5</v>
      </c>
      <c r="G239" s="21">
        <v>83.945999999999998</v>
      </c>
      <c r="H239" s="22">
        <v>1603.797</v>
      </c>
      <c r="I239" s="13">
        <v>6.9</v>
      </c>
      <c r="J239" s="23">
        <v>2.1999999999999999E-2</v>
      </c>
      <c r="K239" s="13">
        <v>7.8869999999999996</v>
      </c>
      <c r="L239" s="24">
        <v>27.074999999999999</v>
      </c>
      <c r="M239" s="13">
        <v>5.1609999999999996</v>
      </c>
      <c r="N239" s="23">
        <v>1.4E-2</v>
      </c>
      <c r="O239" s="22">
        <v>135.93100000000001</v>
      </c>
      <c r="P239" s="25">
        <v>5.3999999999999999E-2</v>
      </c>
      <c r="Q239" s="26">
        <v>0.05</v>
      </c>
    </row>
    <row r="240" spans="1:17" ht="14.25" customHeight="1" x14ac:dyDescent="0.35">
      <c r="A240" s="1">
        <v>2024</v>
      </c>
      <c r="B240" s="1" t="s">
        <v>30</v>
      </c>
      <c r="C240" s="1">
        <v>26</v>
      </c>
      <c r="D240" s="12">
        <v>107.828</v>
      </c>
      <c r="E240" s="12">
        <f t="shared" ref="E240:E494" si="4">D240*1.25</f>
        <v>134.785</v>
      </c>
      <c r="F240" s="13">
        <v>92.281000000000006</v>
      </c>
      <c r="G240" s="21">
        <v>84.194999999999993</v>
      </c>
      <c r="H240" s="22">
        <v>1579.5309999999999</v>
      </c>
      <c r="I240" s="13">
        <v>6.9</v>
      </c>
      <c r="J240" s="23">
        <v>2.3E-2</v>
      </c>
      <c r="K240" s="13">
        <v>7.9539999999999997</v>
      </c>
      <c r="L240" s="24">
        <v>26.625</v>
      </c>
      <c r="M240" s="13">
        <v>5.1630000000000003</v>
      </c>
      <c r="N240" s="23">
        <v>1.4E-2</v>
      </c>
      <c r="O240" s="22">
        <v>135.376</v>
      </c>
      <c r="P240" s="25">
        <v>5.0999999999999997E-2</v>
      </c>
      <c r="Q240" s="26">
        <v>0.05</v>
      </c>
    </row>
    <row r="241" spans="1:17" ht="14.25" customHeight="1" x14ac:dyDescent="0.35">
      <c r="A241" s="1">
        <v>2024</v>
      </c>
      <c r="B241" s="1" t="s">
        <v>30</v>
      </c>
      <c r="C241" s="1">
        <v>27</v>
      </c>
      <c r="D241" s="12">
        <v>107.172</v>
      </c>
      <c r="E241" s="12">
        <f t="shared" si="4"/>
        <v>133.965</v>
      </c>
      <c r="F241" s="13">
        <v>91.843999999999994</v>
      </c>
      <c r="G241" s="21">
        <v>84.230999999999995</v>
      </c>
      <c r="H241" s="22">
        <v>1668.01</v>
      </c>
      <c r="I241" s="13">
        <v>6.9</v>
      </c>
      <c r="J241" s="23">
        <v>2.4E-2</v>
      </c>
      <c r="K241" s="13">
        <v>8.2070000000000007</v>
      </c>
      <c r="L241" s="24">
        <v>27.434000000000001</v>
      </c>
      <c r="M241" s="13">
        <v>5.1609999999999996</v>
      </c>
      <c r="N241" s="23">
        <v>1.4E-2</v>
      </c>
      <c r="O241" s="22">
        <v>135.94</v>
      </c>
      <c r="P241" s="25">
        <v>5.8000000000000003E-2</v>
      </c>
      <c r="Q241" s="26">
        <v>4.8000000000000001E-2</v>
      </c>
    </row>
    <row r="242" spans="1:17" ht="14.25" customHeight="1" x14ac:dyDescent="0.35">
      <c r="A242" s="1">
        <v>2024</v>
      </c>
      <c r="B242" s="1" t="s">
        <v>30</v>
      </c>
      <c r="C242" s="1">
        <v>28</v>
      </c>
      <c r="D242" s="12">
        <v>109.047</v>
      </c>
      <c r="E242" s="12">
        <f t="shared" si="4"/>
        <v>136.30875</v>
      </c>
      <c r="F242" s="13">
        <v>93.313000000000002</v>
      </c>
      <c r="G242" s="21">
        <v>84.204999999999998</v>
      </c>
      <c r="H242" s="22">
        <v>1658.796</v>
      </c>
      <c r="I242" s="13">
        <v>6.9</v>
      </c>
      <c r="J242" s="23">
        <v>2.4E-2</v>
      </c>
      <c r="K242" s="13">
        <v>7.3170000000000002</v>
      </c>
      <c r="L242" s="24">
        <v>27.228999999999999</v>
      </c>
      <c r="M242" s="13">
        <v>5.14</v>
      </c>
      <c r="N242" s="23">
        <v>1.4E-2</v>
      </c>
      <c r="O242" s="22">
        <v>142.774</v>
      </c>
      <c r="P242" s="25">
        <v>5.5E-2</v>
      </c>
      <c r="Q242" s="26">
        <v>4.8000000000000001E-2</v>
      </c>
    </row>
    <row r="243" spans="1:17" ht="14.25" customHeight="1" x14ac:dyDescent="0.35">
      <c r="A243" s="1">
        <v>2024</v>
      </c>
      <c r="B243" s="1" t="s">
        <v>30</v>
      </c>
      <c r="C243" s="1">
        <v>29</v>
      </c>
      <c r="D243" s="12">
        <v>105.64100000000001</v>
      </c>
      <c r="E243" s="12">
        <f t="shared" si="4"/>
        <v>132.05125000000001</v>
      </c>
      <c r="F243" s="13">
        <v>90.375</v>
      </c>
      <c r="G243" s="21">
        <v>84.087000000000003</v>
      </c>
      <c r="H243" s="22">
        <v>1687.394</v>
      </c>
      <c r="I243" s="13">
        <v>6.9</v>
      </c>
      <c r="J243" s="23">
        <v>2.4E-2</v>
      </c>
      <c r="K243" s="13">
        <v>6.9009999999999998</v>
      </c>
      <c r="L243" s="24">
        <v>27.695</v>
      </c>
      <c r="M243" s="13">
        <v>5.1210000000000004</v>
      </c>
      <c r="N243" s="23">
        <v>1.4E-2</v>
      </c>
      <c r="O243" s="22">
        <v>148.93199999999999</v>
      </c>
      <c r="P243" s="25">
        <v>5.5E-2</v>
      </c>
      <c r="Q243" s="26">
        <v>4.4999999999999998E-2</v>
      </c>
    </row>
    <row r="244" spans="1:17" ht="14.25" customHeight="1" x14ac:dyDescent="0.35">
      <c r="A244" s="1">
        <v>2024</v>
      </c>
      <c r="B244" s="1" t="s">
        <v>30</v>
      </c>
      <c r="C244" s="1">
        <v>30</v>
      </c>
      <c r="D244" s="12">
        <v>104.89100000000001</v>
      </c>
      <c r="E244" s="12">
        <f t="shared" si="4"/>
        <v>131.11375000000001</v>
      </c>
      <c r="F244" s="13">
        <v>89.875</v>
      </c>
      <c r="G244" s="21">
        <v>83.480999999999995</v>
      </c>
      <c r="H244" s="22">
        <v>1717.15</v>
      </c>
      <c r="I244" s="13">
        <v>6.9</v>
      </c>
      <c r="J244" s="23">
        <v>2.3E-2</v>
      </c>
      <c r="K244" s="13">
        <v>6.93</v>
      </c>
      <c r="L244" s="24">
        <v>28.376999999999999</v>
      </c>
      <c r="M244" s="13">
        <v>5.3010000000000002</v>
      </c>
      <c r="N244" s="23">
        <v>1.4E-2</v>
      </c>
      <c r="O244" s="22">
        <v>110.176</v>
      </c>
      <c r="P244" s="25">
        <v>0.06</v>
      </c>
      <c r="Q244" s="26">
        <v>8.7999999999999995E-2</v>
      </c>
    </row>
    <row r="245" spans="1:17" ht="14.25" customHeight="1" x14ac:dyDescent="0.35">
      <c r="A245" s="1">
        <v>2024</v>
      </c>
      <c r="B245" s="1" t="s">
        <v>30</v>
      </c>
      <c r="C245" s="1">
        <v>31</v>
      </c>
      <c r="D245" s="46">
        <v>107.047</v>
      </c>
      <c r="E245" s="12">
        <f t="shared" si="4"/>
        <v>133.80875</v>
      </c>
      <c r="F245" s="35">
        <v>91.656000000000006</v>
      </c>
      <c r="G245" s="36">
        <v>83.617000000000004</v>
      </c>
      <c r="H245" s="37">
        <v>1650.0920000000001</v>
      </c>
      <c r="I245" s="35">
        <v>6.9</v>
      </c>
      <c r="J245" s="38">
        <v>2.4E-2</v>
      </c>
      <c r="K245" s="35">
        <v>7.0380000000000003</v>
      </c>
      <c r="L245" s="39">
        <v>27.294</v>
      </c>
      <c r="M245" s="35">
        <v>5.4820000000000002</v>
      </c>
      <c r="N245" s="38">
        <v>1.4E-2</v>
      </c>
      <c r="O245" s="37">
        <v>64.938999999999993</v>
      </c>
      <c r="P245" s="40">
        <v>5.1999999999999998E-2</v>
      </c>
      <c r="Q245" s="41">
        <v>0.11</v>
      </c>
    </row>
    <row r="246" spans="1:17" ht="14.25" customHeight="1" x14ac:dyDescent="0.35">
      <c r="A246" s="1">
        <v>2024</v>
      </c>
      <c r="B246" s="1" t="s">
        <v>31</v>
      </c>
      <c r="C246" s="1">
        <v>1</v>
      </c>
      <c r="D246" s="12">
        <v>110.48399999999999</v>
      </c>
      <c r="E246" s="12">
        <f t="shared" si="4"/>
        <v>138.10499999999999</v>
      </c>
      <c r="F246" s="13">
        <v>94.438000000000002</v>
      </c>
      <c r="G246" s="14">
        <v>83.921000000000006</v>
      </c>
      <c r="H246" s="15">
        <v>1573.4110000000001</v>
      </c>
      <c r="I246" s="16">
        <v>6.9</v>
      </c>
      <c r="J246" s="17">
        <v>2.3E-2</v>
      </c>
      <c r="K246" s="16">
        <v>7.3730000000000002</v>
      </c>
      <c r="L246" s="18">
        <v>26.2896</v>
      </c>
      <c r="M246" s="16">
        <v>5.4790000000000001</v>
      </c>
      <c r="N246" s="17">
        <v>1.37E-2</v>
      </c>
      <c r="O246" s="15">
        <v>65.692700000000002</v>
      </c>
      <c r="P246" s="19">
        <v>0.05</v>
      </c>
      <c r="Q246" s="20">
        <v>0.11799999999999999</v>
      </c>
    </row>
    <row r="247" spans="1:17" ht="14.25" customHeight="1" x14ac:dyDescent="0.35">
      <c r="A247" s="1">
        <v>2024</v>
      </c>
      <c r="B247" s="1" t="s">
        <v>31</v>
      </c>
      <c r="C247" s="1">
        <v>2</v>
      </c>
      <c r="D247" s="12">
        <v>106.03100000000001</v>
      </c>
      <c r="E247" s="12">
        <f t="shared" si="4"/>
        <v>132.53874999999999</v>
      </c>
      <c r="F247" s="13">
        <v>90.781000000000006</v>
      </c>
      <c r="G247" s="21">
        <v>83.992999999999995</v>
      </c>
      <c r="H247" s="22">
        <v>1559.9259999999999</v>
      </c>
      <c r="I247" s="13">
        <v>6.9</v>
      </c>
      <c r="J247" s="23">
        <v>2.3E-2</v>
      </c>
      <c r="K247" s="13">
        <v>7.7869999999999999</v>
      </c>
      <c r="L247" s="24">
        <v>26.402999999999999</v>
      </c>
      <c r="M247" s="13">
        <v>5.4779999999999998</v>
      </c>
      <c r="N247" s="23">
        <v>1.4E-2</v>
      </c>
      <c r="O247" s="22">
        <v>65.700999999999993</v>
      </c>
      <c r="P247" s="25">
        <v>0.05</v>
      </c>
      <c r="Q247" s="26">
        <v>9.8000000000000004E-2</v>
      </c>
    </row>
    <row r="248" spans="1:17" ht="14.25" customHeight="1" x14ac:dyDescent="0.35">
      <c r="A248" s="1">
        <v>2024</v>
      </c>
      <c r="B248" s="1" t="s">
        <v>31</v>
      </c>
      <c r="C248" s="1">
        <v>3</v>
      </c>
      <c r="D248" s="12">
        <v>111.64100000000001</v>
      </c>
      <c r="E248" s="12">
        <f t="shared" si="4"/>
        <v>139.55125000000001</v>
      </c>
      <c r="F248" s="13">
        <v>95.438000000000002</v>
      </c>
      <c r="G248" s="21">
        <v>84.251999999999995</v>
      </c>
      <c r="H248" s="22">
        <v>1574.7</v>
      </c>
      <c r="I248" s="13">
        <v>6.9</v>
      </c>
      <c r="J248" s="23">
        <v>2.3E-2</v>
      </c>
      <c r="K248" s="13">
        <v>7.907</v>
      </c>
      <c r="L248" s="24">
        <v>25.651</v>
      </c>
      <c r="M248" s="13">
        <v>5.4690000000000003</v>
      </c>
      <c r="N248" s="23">
        <v>1.4E-2</v>
      </c>
      <c r="O248" s="22">
        <v>67.007999999999996</v>
      </c>
      <c r="P248" s="25">
        <v>5.0999999999999997E-2</v>
      </c>
      <c r="Q248" s="26">
        <v>9.9000000000000005E-2</v>
      </c>
    </row>
    <row r="249" spans="1:17" ht="14.25" customHeight="1" x14ac:dyDescent="0.35">
      <c r="A249" s="1">
        <v>2024</v>
      </c>
      <c r="B249" s="1" t="s">
        <v>31</v>
      </c>
      <c r="C249" s="1">
        <v>4</v>
      </c>
      <c r="D249" s="12">
        <v>108.547</v>
      </c>
      <c r="E249" s="12">
        <f t="shared" si="4"/>
        <v>135.68375</v>
      </c>
      <c r="F249" s="13">
        <v>92.813000000000002</v>
      </c>
      <c r="G249" s="21">
        <v>84.558999999999997</v>
      </c>
      <c r="H249" s="22">
        <v>1646.7439999999999</v>
      </c>
      <c r="I249" s="13">
        <v>6.9</v>
      </c>
      <c r="J249" s="23">
        <v>2.3E-2</v>
      </c>
      <c r="K249" s="13">
        <v>7.74</v>
      </c>
      <c r="L249" s="24">
        <v>26.696999999999999</v>
      </c>
      <c r="M249" s="13">
        <v>5.4539999999999997</v>
      </c>
      <c r="N249" s="23">
        <v>1.4E-2</v>
      </c>
      <c r="O249" s="22">
        <v>69.266999999999996</v>
      </c>
      <c r="P249" s="25">
        <v>0.06</v>
      </c>
      <c r="Q249" s="26">
        <v>9.5000000000000001E-2</v>
      </c>
    </row>
    <row r="250" spans="1:17" ht="14.25" customHeight="1" x14ac:dyDescent="0.35">
      <c r="A250" s="1">
        <v>2024</v>
      </c>
      <c r="B250" s="1" t="s">
        <v>31</v>
      </c>
      <c r="C250" s="1">
        <v>5</v>
      </c>
      <c r="D250" s="12">
        <v>108.938</v>
      </c>
      <c r="E250" s="12">
        <f t="shared" si="4"/>
        <v>136.17250000000001</v>
      </c>
      <c r="F250" s="13">
        <v>93.125</v>
      </c>
      <c r="G250" s="21">
        <v>84.905000000000001</v>
      </c>
      <c r="H250" s="22">
        <v>1677.2539999999999</v>
      </c>
      <c r="I250" s="13">
        <v>6.9</v>
      </c>
      <c r="J250" s="23">
        <v>2.3E-2</v>
      </c>
      <c r="K250" s="13">
        <v>7.8890000000000002</v>
      </c>
      <c r="L250" s="24">
        <v>27.289000000000001</v>
      </c>
      <c r="M250" s="13">
        <v>5.4589999999999996</v>
      </c>
      <c r="N250" s="23">
        <v>1.4E-2</v>
      </c>
      <c r="O250" s="22">
        <v>68.358000000000004</v>
      </c>
      <c r="P250" s="25">
        <v>6.2E-2</v>
      </c>
      <c r="Q250" s="26">
        <v>0.10100000000000001</v>
      </c>
    </row>
    <row r="251" spans="1:17" ht="14.25" customHeight="1" x14ac:dyDescent="0.35">
      <c r="A251" s="1">
        <v>2024</v>
      </c>
      <c r="B251" s="1" t="s">
        <v>31</v>
      </c>
      <c r="C251" s="1">
        <v>6</v>
      </c>
      <c r="D251" s="12">
        <v>112.813</v>
      </c>
      <c r="E251" s="12">
        <f t="shared" si="4"/>
        <v>141.01625000000001</v>
      </c>
      <c r="F251" s="13">
        <v>96.531000000000006</v>
      </c>
      <c r="G251" s="21">
        <v>85.290999999999997</v>
      </c>
      <c r="H251" s="22">
        <v>1676.6479999999999</v>
      </c>
      <c r="I251" s="13">
        <v>6.9</v>
      </c>
      <c r="J251" s="23">
        <v>2.1999999999999999E-2</v>
      </c>
      <c r="K251" s="13">
        <v>7.7560000000000002</v>
      </c>
      <c r="L251" s="24">
        <v>27.308</v>
      </c>
      <c r="M251" s="13">
        <v>5.4539999999999997</v>
      </c>
      <c r="N251" s="23">
        <v>1.4E-2</v>
      </c>
      <c r="O251" s="22">
        <v>69.379000000000005</v>
      </c>
      <c r="P251" s="25">
        <v>6.0999999999999999E-2</v>
      </c>
      <c r="Q251" s="26">
        <v>0.107</v>
      </c>
    </row>
    <row r="252" spans="1:17" ht="14.25" customHeight="1" x14ac:dyDescent="0.35">
      <c r="A252" s="1">
        <v>2024</v>
      </c>
      <c r="B252" s="1" t="s">
        <v>31</v>
      </c>
      <c r="C252" s="1">
        <v>7</v>
      </c>
      <c r="D252" s="12">
        <v>109.76600000000001</v>
      </c>
      <c r="E252" s="12">
        <f t="shared" si="4"/>
        <v>137.20750000000001</v>
      </c>
      <c r="F252" s="13">
        <v>93.938000000000002</v>
      </c>
      <c r="G252" s="21">
        <v>85.272000000000006</v>
      </c>
      <c r="H252" s="22">
        <v>1637.258</v>
      </c>
      <c r="I252" s="13">
        <v>6.9</v>
      </c>
      <c r="J252" s="23">
        <v>2.1999999999999999E-2</v>
      </c>
      <c r="K252" s="13">
        <v>7.6580000000000004</v>
      </c>
      <c r="L252" s="24">
        <v>27.268999999999998</v>
      </c>
      <c r="M252" s="13">
        <v>5.4420000000000002</v>
      </c>
      <c r="N252" s="23">
        <v>1.4E-2</v>
      </c>
      <c r="O252" s="22">
        <v>71.105000000000004</v>
      </c>
      <c r="P252" s="25">
        <v>0.06</v>
      </c>
      <c r="Q252" s="26">
        <v>9.9000000000000005E-2</v>
      </c>
    </row>
    <row r="253" spans="1:17" ht="14.25" customHeight="1" x14ac:dyDescent="0.35">
      <c r="A253" s="1">
        <v>2024</v>
      </c>
      <c r="B253" s="1" t="s">
        <v>31</v>
      </c>
      <c r="C253" s="1">
        <v>8</v>
      </c>
      <c r="D253" s="12">
        <v>110.672</v>
      </c>
      <c r="E253" s="12">
        <f t="shared" si="4"/>
        <v>138.34</v>
      </c>
      <c r="F253" s="13">
        <v>94.688000000000002</v>
      </c>
      <c r="G253" s="21">
        <v>85.320999999999998</v>
      </c>
      <c r="H253" s="22">
        <v>1594.2449999999999</v>
      </c>
      <c r="I253" s="13">
        <v>6.9</v>
      </c>
      <c r="J253" s="23">
        <v>2.1999999999999999E-2</v>
      </c>
      <c r="K253" s="13">
        <v>7.58</v>
      </c>
      <c r="L253" s="24">
        <v>26.869</v>
      </c>
      <c r="M253" s="13">
        <v>5.4390000000000001</v>
      </c>
      <c r="N253" s="23">
        <v>1.4E-2</v>
      </c>
      <c r="O253" s="22">
        <v>71.652000000000001</v>
      </c>
      <c r="P253" s="25">
        <v>5.1999999999999998E-2</v>
      </c>
      <c r="Q253" s="26">
        <v>0.11600000000000001</v>
      </c>
    </row>
    <row r="254" spans="1:17" ht="14.25" customHeight="1" x14ac:dyDescent="0.35">
      <c r="A254" s="1">
        <v>2024</v>
      </c>
      <c r="B254" s="1" t="s">
        <v>31</v>
      </c>
      <c r="C254" s="1">
        <v>9</v>
      </c>
      <c r="D254" s="12">
        <v>111.828</v>
      </c>
      <c r="E254" s="12">
        <f t="shared" si="4"/>
        <v>139.785</v>
      </c>
      <c r="F254" s="13">
        <v>95.563000000000002</v>
      </c>
      <c r="G254" s="21">
        <v>85.233000000000004</v>
      </c>
      <c r="H254" s="22">
        <v>1600.52</v>
      </c>
      <c r="I254" s="13">
        <v>6.9</v>
      </c>
      <c r="J254" s="23">
        <v>2.4E-2</v>
      </c>
      <c r="K254" s="13">
        <v>7.9320000000000004</v>
      </c>
      <c r="L254" s="24">
        <v>27.244</v>
      </c>
      <c r="M254" s="13">
        <v>5.4589999999999996</v>
      </c>
      <c r="N254" s="23">
        <v>1.4E-2</v>
      </c>
      <c r="O254" s="22">
        <v>68.870999999999995</v>
      </c>
      <c r="P254" s="25">
        <v>4.8000000000000001E-2</v>
      </c>
      <c r="Q254" s="26">
        <v>0.14599999999999999</v>
      </c>
    </row>
    <row r="255" spans="1:17" ht="14.25" customHeight="1" x14ac:dyDescent="0.35">
      <c r="A255" s="1">
        <v>2024</v>
      </c>
      <c r="B255" s="1" t="s">
        <v>31</v>
      </c>
      <c r="C255" s="1">
        <v>10</v>
      </c>
      <c r="D255" s="12">
        <v>109.828</v>
      </c>
      <c r="E255" s="12">
        <f t="shared" si="4"/>
        <v>137.285</v>
      </c>
      <c r="F255" s="13">
        <v>94</v>
      </c>
      <c r="G255" s="27">
        <v>84.92</v>
      </c>
      <c r="H255" s="22">
        <v>1665.7260000000001</v>
      </c>
      <c r="I255" s="13">
        <v>6.9</v>
      </c>
      <c r="J255" s="23">
        <v>2.4E-2</v>
      </c>
      <c r="K255" s="28">
        <v>8.2840000000000007</v>
      </c>
      <c r="L255" s="24">
        <v>28.29</v>
      </c>
      <c r="M255" s="13">
        <v>5.468</v>
      </c>
      <c r="N255" s="29">
        <v>1.4E-2</v>
      </c>
      <c r="O255" s="22">
        <v>67.236999999999995</v>
      </c>
      <c r="P255" s="30">
        <v>5.2999999999999999E-2</v>
      </c>
      <c r="Q255" s="31">
        <v>0.16300000000000001</v>
      </c>
    </row>
    <row r="256" spans="1:17" ht="14.25" customHeight="1" x14ac:dyDescent="0.35">
      <c r="A256" s="1">
        <v>2024</v>
      </c>
      <c r="B256" s="1" t="s">
        <v>31</v>
      </c>
      <c r="C256" s="1">
        <v>11</v>
      </c>
      <c r="D256" s="12">
        <v>115.10899999999999</v>
      </c>
      <c r="E256" s="12">
        <f t="shared" si="4"/>
        <v>143.88624999999999</v>
      </c>
      <c r="F256" s="13">
        <v>98.343999999999994</v>
      </c>
      <c r="G256" s="27">
        <v>84.337999999999994</v>
      </c>
      <c r="H256" s="22">
        <v>1681.1510000000001</v>
      </c>
      <c r="I256" s="13">
        <v>6.9</v>
      </c>
      <c r="J256" s="23">
        <v>2.5000000000000001E-2</v>
      </c>
      <c r="K256" s="28">
        <v>7.8959999999999999</v>
      </c>
      <c r="L256" s="24">
        <v>28.36</v>
      </c>
      <c r="M256" s="13">
        <v>5.4649999999999999</v>
      </c>
      <c r="N256" s="29">
        <v>1.4E-2</v>
      </c>
      <c r="O256" s="22">
        <v>67.760999999999996</v>
      </c>
      <c r="P256" s="30">
        <v>5.2999999999999999E-2</v>
      </c>
      <c r="Q256" s="31">
        <v>0.16400000000000001</v>
      </c>
    </row>
    <row r="257" spans="1:17" ht="14.25" customHeight="1" x14ac:dyDescent="0.35">
      <c r="A257" s="1">
        <v>2024</v>
      </c>
      <c r="B257" s="1" t="s">
        <v>31</v>
      </c>
      <c r="C257" s="1">
        <v>12</v>
      </c>
      <c r="D257" s="12">
        <v>106.84399999999999</v>
      </c>
      <c r="E257" s="12">
        <f t="shared" si="4"/>
        <v>133.55500000000001</v>
      </c>
      <c r="F257" s="13">
        <v>91.406000000000006</v>
      </c>
      <c r="G257" s="27">
        <v>84.147999999999996</v>
      </c>
      <c r="H257" s="22">
        <v>1682.6510000000001</v>
      </c>
      <c r="I257" s="13">
        <v>6.9</v>
      </c>
      <c r="J257" s="23">
        <v>2.5999999999999999E-2</v>
      </c>
      <c r="K257" s="28">
        <v>7.4269999999999996</v>
      </c>
      <c r="L257" s="24">
        <v>28.126999999999999</v>
      </c>
      <c r="M257" s="13">
        <v>5.4640000000000004</v>
      </c>
      <c r="N257" s="29">
        <v>1.4E-2</v>
      </c>
      <c r="O257" s="22">
        <v>67.762</v>
      </c>
      <c r="P257" s="30">
        <v>5.5E-2</v>
      </c>
      <c r="Q257" s="31">
        <v>0.13600000000000001</v>
      </c>
    </row>
    <row r="258" spans="1:17" ht="14.25" customHeight="1" x14ac:dyDescent="0.35">
      <c r="A258" s="1">
        <v>2024</v>
      </c>
      <c r="B258" s="1" t="s">
        <v>31</v>
      </c>
      <c r="C258" s="1">
        <v>13</v>
      </c>
      <c r="D258" s="12">
        <v>113.828</v>
      </c>
      <c r="E258" s="12">
        <f t="shared" si="4"/>
        <v>142.285</v>
      </c>
      <c r="F258" s="13">
        <v>97.188000000000002</v>
      </c>
      <c r="G258" s="27">
        <v>83.817999999999998</v>
      </c>
      <c r="H258" s="22">
        <v>1698.81</v>
      </c>
      <c r="I258" s="13">
        <v>6.9</v>
      </c>
      <c r="J258" s="23">
        <v>2.4E-2</v>
      </c>
      <c r="K258" s="28">
        <v>7.2430000000000003</v>
      </c>
      <c r="L258" s="24">
        <v>27.963000000000001</v>
      </c>
      <c r="M258" s="13">
        <v>5.4420000000000002</v>
      </c>
      <c r="N258" s="23">
        <v>1.4E-2</v>
      </c>
      <c r="O258" s="22">
        <v>71.356999999999999</v>
      </c>
      <c r="P258" s="30">
        <v>5.6000000000000001E-2</v>
      </c>
      <c r="Q258" s="31">
        <v>0.34899999999999998</v>
      </c>
    </row>
    <row r="259" spans="1:17" ht="14.25" customHeight="1" x14ac:dyDescent="0.35">
      <c r="A259" s="1">
        <v>2024</v>
      </c>
      <c r="B259" s="1" t="s">
        <v>31</v>
      </c>
      <c r="C259" s="1">
        <v>14</v>
      </c>
      <c r="D259" s="12">
        <v>109.98399999999999</v>
      </c>
      <c r="E259" s="12">
        <f t="shared" si="4"/>
        <v>137.47999999999999</v>
      </c>
      <c r="F259" s="13">
        <v>93.938000000000002</v>
      </c>
      <c r="G259" s="21">
        <v>83.608000000000004</v>
      </c>
      <c r="H259" s="22">
        <v>1677.558</v>
      </c>
      <c r="I259" s="13">
        <v>6.9</v>
      </c>
      <c r="J259" s="23">
        <v>2.4E-2</v>
      </c>
      <c r="K259" s="28">
        <v>7.8789999999999996</v>
      </c>
      <c r="L259" s="33">
        <v>27.596</v>
      </c>
      <c r="M259" s="13">
        <v>5.4459999999999997</v>
      </c>
      <c r="N259" s="23">
        <v>1.4E-2</v>
      </c>
      <c r="O259" s="22">
        <v>70.442999999999998</v>
      </c>
      <c r="P259" s="30">
        <v>5.5E-2</v>
      </c>
      <c r="Q259" s="31">
        <v>0.7</v>
      </c>
    </row>
    <row r="260" spans="1:17" ht="14.25" customHeight="1" x14ac:dyDescent="0.35">
      <c r="A260" s="1">
        <v>2024</v>
      </c>
      <c r="B260" s="1" t="s">
        <v>31</v>
      </c>
      <c r="C260" s="1">
        <v>15</v>
      </c>
      <c r="D260" s="12">
        <v>109.73399999999999</v>
      </c>
      <c r="E260" s="12">
        <f t="shared" si="4"/>
        <v>137.16749999999999</v>
      </c>
      <c r="F260" s="13">
        <v>93.718999999999994</v>
      </c>
      <c r="G260" s="21">
        <v>83.448999999999998</v>
      </c>
      <c r="H260" s="22">
        <v>1589.441</v>
      </c>
      <c r="I260" s="13">
        <v>6.9</v>
      </c>
      <c r="J260" s="23">
        <v>2.4E-2</v>
      </c>
      <c r="K260" s="28">
        <v>7.6269999999999998</v>
      </c>
      <c r="L260" s="24">
        <v>26.684999999999999</v>
      </c>
      <c r="M260" s="13">
        <v>5.45</v>
      </c>
      <c r="N260" s="23">
        <v>1.4E-2</v>
      </c>
      <c r="O260" s="22">
        <v>70.055999999999997</v>
      </c>
      <c r="P260" s="30">
        <v>4.5999999999999999E-2</v>
      </c>
      <c r="Q260" s="31">
        <v>0.91200000000000003</v>
      </c>
    </row>
    <row r="261" spans="1:17" ht="14.25" customHeight="1" x14ac:dyDescent="0.35">
      <c r="A261" s="1">
        <v>2024</v>
      </c>
      <c r="B261" s="1" t="s">
        <v>31</v>
      </c>
      <c r="C261" s="1">
        <v>16</v>
      </c>
      <c r="D261" s="12">
        <v>113.688</v>
      </c>
      <c r="E261" s="12">
        <f t="shared" si="4"/>
        <v>142.11000000000001</v>
      </c>
      <c r="F261" s="13">
        <v>97.188000000000002</v>
      </c>
      <c r="G261" s="21">
        <v>83.32</v>
      </c>
      <c r="H261" s="22">
        <v>1563.9929999999999</v>
      </c>
      <c r="I261" s="13">
        <v>6.9</v>
      </c>
      <c r="J261" s="23">
        <v>2.4E-2</v>
      </c>
      <c r="K261" s="28">
        <v>7.97</v>
      </c>
      <c r="L261" s="24">
        <v>26.302</v>
      </c>
      <c r="M261" s="13">
        <v>5.4669999999999996</v>
      </c>
      <c r="N261" s="23">
        <v>1.4E-2</v>
      </c>
      <c r="O261" s="22">
        <v>67.634</v>
      </c>
      <c r="P261" s="30">
        <v>4.5999999999999999E-2</v>
      </c>
      <c r="Q261" s="31">
        <v>0.92300000000000004</v>
      </c>
    </row>
    <row r="262" spans="1:17" ht="14.25" customHeight="1" x14ac:dyDescent="0.35">
      <c r="A262" s="1">
        <v>2024</v>
      </c>
      <c r="B262" s="1" t="s">
        <v>31</v>
      </c>
      <c r="C262" s="1">
        <v>17</v>
      </c>
      <c r="D262" s="12">
        <v>111.938</v>
      </c>
      <c r="E262" s="12">
        <f t="shared" si="4"/>
        <v>139.92250000000001</v>
      </c>
      <c r="F262" s="13">
        <v>95.781000000000006</v>
      </c>
      <c r="G262" s="21">
        <v>83.135000000000005</v>
      </c>
      <c r="H262" s="22">
        <v>1623.6590000000001</v>
      </c>
      <c r="I262" s="13">
        <v>6.9</v>
      </c>
      <c r="J262" s="23">
        <v>2.4E-2</v>
      </c>
      <c r="K262" s="13">
        <v>8.3620000000000001</v>
      </c>
      <c r="L262" s="24">
        <v>26.731000000000002</v>
      </c>
      <c r="M262" s="13">
        <v>5.4749999999999996</v>
      </c>
      <c r="N262" s="23">
        <v>1.4E-2</v>
      </c>
      <c r="O262" s="22">
        <v>66.396000000000001</v>
      </c>
      <c r="P262" s="25">
        <v>5.2999999999999999E-2</v>
      </c>
      <c r="Q262" s="26">
        <v>0.751</v>
      </c>
    </row>
    <row r="263" spans="1:17" ht="14.25" customHeight="1" x14ac:dyDescent="0.35">
      <c r="A263" s="1">
        <v>2024</v>
      </c>
      <c r="B263" s="1" t="s">
        <v>31</v>
      </c>
      <c r="C263" s="1">
        <v>18</v>
      </c>
      <c r="D263" s="12">
        <v>102.922</v>
      </c>
      <c r="E263" s="12">
        <f t="shared" si="4"/>
        <v>128.6525</v>
      </c>
      <c r="F263" s="13">
        <v>88.25</v>
      </c>
      <c r="G263" s="21">
        <v>83.149000000000001</v>
      </c>
      <c r="H263" s="22">
        <v>1669.1679999999999</v>
      </c>
      <c r="I263" s="13">
        <v>6.9</v>
      </c>
      <c r="J263" s="23">
        <v>2.4E-2</v>
      </c>
      <c r="K263" s="13">
        <v>8.0340000000000007</v>
      </c>
      <c r="L263" s="24">
        <v>27.215</v>
      </c>
      <c r="M263" s="13">
        <v>5.4740000000000002</v>
      </c>
      <c r="N263" s="23">
        <v>1.4E-2</v>
      </c>
      <c r="O263" s="22">
        <v>66.212000000000003</v>
      </c>
      <c r="P263" s="25">
        <v>5.0999999999999997E-2</v>
      </c>
      <c r="Q263" s="26">
        <v>0.88900000000000001</v>
      </c>
    </row>
    <row r="264" spans="1:17" ht="14.25" customHeight="1" x14ac:dyDescent="0.35">
      <c r="A264" s="1">
        <v>2024</v>
      </c>
      <c r="B264" s="1" t="s">
        <v>31</v>
      </c>
      <c r="C264" s="1">
        <v>19</v>
      </c>
      <c r="D264" s="12">
        <v>107.813</v>
      </c>
      <c r="E264" s="12">
        <f t="shared" si="4"/>
        <v>134.76625000000001</v>
      </c>
      <c r="F264" s="13">
        <v>92.313000000000002</v>
      </c>
      <c r="G264" s="21">
        <v>83.174000000000007</v>
      </c>
      <c r="H264" s="22">
        <v>1699.4169999999999</v>
      </c>
      <c r="I264" s="13">
        <v>6.9</v>
      </c>
      <c r="J264" s="23">
        <v>2.3E-2</v>
      </c>
      <c r="K264" s="13">
        <v>7.8970000000000002</v>
      </c>
      <c r="L264" s="24">
        <v>26.777000000000001</v>
      </c>
      <c r="M264" s="13">
        <v>5.4550000000000001</v>
      </c>
      <c r="N264" s="23">
        <v>1.4E-2</v>
      </c>
      <c r="O264" s="22">
        <v>69.326999999999998</v>
      </c>
      <c r="P264" s="25">
        <v>5.1999999999999998E-2</v>
      </c>
      <c r="Q264" s="26">
        <v>0.61199999999999999</v>
      </c>
    </row>
    <row r="265" spans="1:17" ht="14.25" customHeight="1" x14ac:dyDescent="0.35">
      <c r="A265" s="1">
        <v>2024</v>
      </c>
      <c r="B265" s="1" t="s">
        <v>31</v>
      </c>
      <c r="C265" s="1">
        <v>20</v>
      </c>
      <c r="D265" s="12">
        <v>109.46899999999999</v>
      </c>
      <c r="E265" s="12">
        <f t="shared" si="4"/>
        <v>136.83625000000001</v>
      </c>
      <c r="F265" s="13">
        <v>93.656000000000006</v>
      </c>
      <c r="G265" s="21">
        <v>83.192999999999998</v>
      </c>
      <c r="H265" s="22">
        <v>1692.5360000000001</v>
      </c>
      <c r="I265" s="13">
        <v>6.9</v>
      </c>
      <c r="J265" s="23">
        <v>2.3E-2</v>
      </c>
      <c r="K265" s="13">
        <v>8.0180000000000007</v>
      </c>
      <c r="L265" s="24">
        <v>26.751000000000001</v>
      </c>
      <c r="M265" s="13">
        <v>5.5149999999999997</v>
      </c>
      <c r="N265" s="23">
        <v>1.4E-2</v>
      </c>
      <c r="O265" s="22">
        <v>60.670999999999999</v>
      </c>
      <c r="P265" s="25">
        <v>5.3999999999999999E-2</v>
      </c>
      <c r="Q265" s="26">
        <v>0.57699999999999996</v>
      </c>
    </row>
    <row r="266" spans="1:17" ht="14.25" customHeight="1" x14ac:dyDescent="0.35">
      <c r="A266" s="1">
        <v>2024</v>
      </c>
      <c r="B266" s="1" t="s">
        <v>31</v>
      </c>
      <c r="C266" s="1">
        <v>21</v>
      </c>
      <c r="D266" s="12">
        <v>107.203</v>
      </c>
      <c r="E266" s="12">
        <f t="shared" si="4"/>
        <v>134.00375</v>
      </c>
      <c r="F266" s="13">
        <v>91.75</v>
      </c>
      <c r="G266" s="21">
        <v>82.881</v>
      </c>
      <c r="H266" s="22">
        <v>1672.491</v>
      </c>
      <c r="I266" s="13">
        <v>6.9</v>
      </c>
      <c r="J266" s="23">
        <v>2.3E-2</v>
      </c>
      <c r="K266" s="13">
        <v>7.444</v>
      </c>
      <c r="L266" s="24">
        <v>26.68</v>
      </c>
      <c r="M266" s="13">
        <v>5.5449999999999999</v>
      </c>
      <c r="N266" s="23">
        <v>1.4E-2</v>
      </c>
      <c r="O266" s="22">
        <v>56.262</v>
      </c>
      <c r="P266" s="25">
        <v>5.2999999999999999E-2</v>
      </c>
      <c r="Q266" s="26">
        <v>0.65900000000000003</v>
      </c>
    </row>
    <row r="267" spans="1:17" ht="14.25" customHeight="1" x14ac:dyDescent="0.35">
      <c r="A267" s="1">
        <v>2024</v>
      </c>
      <c r="B267" s="1" t="s">
        <v>31</v>
      </c>
      <c r="C267" s="1">
        <v>22</v>
      </c>
      <c r="D267" s="12">
        <v>109.547</v>
      </c>
      <c r="E267" s="12">
        <f t="shared" si="4"/>
        <v>136.93375</v>
      </c>
      <c r="F267" s="13">
        <v>93.563000000000002</v>
      </c>
      <c r="G267" s="21">
        <v>83.061000000000007</v>
      </c>
      <c r="H267" s="22">
        <v>1572.5609999999999</v>
      </c>
      <c r="I267" s="13">
        <v>6.9</v>
      </c>
      <c r="J267" s="23">
        <v>2.3E-2</v>
      </c>
      <c r="K267" s="13">
        <v>7.3380000000000001</v>
      </c>
      <c r="L267" s="24">
        <v>25.791</v>
      </c>
      <c r="M267" s="13">
        <v>5.5620000000000003</v>
      </c>
      <c r="N267" s="23">
        <v>0.02</v>
      </c>
      <c r="O267" s="22">
        <v>54.283000000000001</v>
      </c>
      <c r="P267" s="25">
        <v>4.9000000000000002E-2</v>
      </c>
      <c r="Q267" s="26">
        <v>0.873</v>
      </c>
    </row>
    <row r="268" spans="1:17" ht="14.25" customHeight="1" x14ac:dyDescent="0.35">
      <c r="A268" s="1">
        <v>2024</v>
      </c>
      <c r="B268" s="1" t="s">
        <v>31</v>
      </c>
      <c r="C268" s="1">
        <v>23</v>
      </c>
      <c r="D268" s="12">
        <v>111.46899999999999</v>
      </c>
      <c r="E268" s="12">
        <f t="shared" si="4"/>
        <v>139.33625000000001</v>
      </c>
      <c r="F268" s="13">
        <v>95.343999999999994</v>
      </c>
      <c r="G268" s="21">
        <v>82.93</v>
      </c>
      <c r="H268" s="22">
        <v>1565.6320000000001</v>
      </c>
      <c r="I268" s="13">
        <v>6.9</v>
      </c>
      <c r="J268" s="23">
        <v>2.3E-2</v>
      </c>
      <c r="K268" s="13">
        <v>7.9269999999999996</v>
      </c>
      <c r="L268" s="24">
        <v>25.532</v>
      </c>
      <c r="M268" s="13">
        <v>5.57</v>
      </c>
      <c r="N268" s="23">
        <v>4.5999999999999999E-2</v>
      </c>
      <c r="O268" s="22">
        <v>53.328000000000003</v>
      </c>
      <c r="P268" s="25">
        <v>4.9000000000000002E-2</v>
      </c>
      <c r="Q268" s="26">
        <v>0.95499999999999996</v>
      </c>
    </row>
    <row r="269" spans="1:17" ht="14.25" customHeight="1" x14ac:dyDescent="0.35">
      <c r="A269" s="1">
        <v>2024</v>
      </c>
      <c r="B269" s="1" t="s">
        <v>31</v>
      </c>
      <c r="C269" s="1">
        <v>24</v>
      </c>
      <c r="D269" s="12">
        <v>92.921999999999997</v>
      </c>
      <c r="E269" s="12">
        <f t="shared" si="4"/>
        <v>116.1525</v>
      </c>
      <c r="F269" s="13">
        <v>79.593999999999994</v>
      </c>
      <c r="G269" s="21">
        <v>82.7</v>
      </c>
      <c r="H269" s="22">
        <v>1633.94</v>
      </c>
      <c r="I269" s="13">
        <v>6.89</v>
      </c>
      <c r="J269" s="23">
        <v>2.4E-2</v>
      </c>
      <c r="K269" s="13">
        <v>8.298</v>
      </c>
      <c r="L269" s="24">
        <v>28.382000000000001</v>
      </c>
      <c r="M269" s="13">
        <v>5.5620000000000003</v>
      </c>
      <c r="N269" s="23">
        <v>5.2999999999999999E-2</v>
      </c>
      <c r="O269" s="22">
        <v>54.24</v>
      </c>
      <c r="P269" s="25">
        <v>5.7000000000000002E-2</v>
      </c>
      <c r="Q269" s="26">
        <v>0.77</v>
      </c>
    </row>
    <row r="270" spans="1:17" ht="14.25" customHeight="1" x14ac:dyDescent="0.35">
      <c r="A270" s="1">
        <v>2024</v>
      </c>
      <c r="B270" s="1" t="s">
        <v>31</v>
      </c>
      <c r="C270" s="1">
        <v>25</v>
      </c>
      <c r="D270" s="12">
        <v>112.953</v>
      </c>
      <c r="E270" s="12">
        <f t="shared" si="4"/>
        <v>141.19125</v>
      </c>
      <c r="F270" s="13">
        <v>96.718999999999994</v>
      </c>
      <c r="G270" s="21">
        <v>82.491</v>
      </c>
      <c r="H270" s="22">
        <v>1686.933</v>
      </c>
      <c r="I270" s="13">
        <v>6.9</v>
      </c>
      <c r="J270" s="23">
        <v>2.3E-2</v>
      </c>
      <c r="K270" s="13">
        <v>7.3630000000000004</v>
      </c>
      <c r="L270" s="24">
        <v>27.297999999999998</v>
      </c>
      <c r="M270" s="13">
        <v>5.4909999999999997</v>
      </c>
      <c r="N270" s="23">
        <v>3.3000000000000002E-2</v>
      </c>
      <c r="O270" s="22">
        <v>63.697000000000003</v>
      </c>
      <c r="P270" s="25">
        <v>5.3999999999999999E-2</v>
      </c>
      <c r="Q270" s="26">
        <v>0.752</v>
      </c>
    </row>
    <row r="271" spans="1:17" ht="14.25" customHeight="1" x14ac:dyDescent="0.35">
      <c r="A271" s="1">
        <v>2024</v>
      </c>
      <c r="B271" s="1" t="s">
        <v>31</v>
      </c>
      <c r="C271" s="1">
        <v>26</v>
      </c>
      <c r="D271" s="12">
        <v>105.078</v>
      </c>
      <c r="E271" s="12">
        <f t="shared" si="4"/>
        <v>131.3475</v>
      </c>
      <c r="F271" s="13">
        <v>90.031000000000006</v>
      </c>
      <c r="G271" s="21">
        <v>82.551000000000002</v>
      </c>
      <c r="H271" s="22">
        <v>1714.145</v>
      </c>
      <c r="I271" s="13">
        <v>6.9</v>
      </c>
      <c r="J271" s="23">
        <v>2.3E-2</v>
      </c>
      <c r="K271" s="13">
        <v>7.633</v>
      </c>
      <c r="L271" s="24">
        <v>27.555</v>
      </c>
      <c r="M271" s="13">
        <v>5.4279999999999999</v>
      </c>
      <c r="N271" s="23">
        <v>1.9E-2</v>
      </c>
      <c r="O271" s="22">
        <v>73.506</v>
      </c>
      <c r="P271" s="25">
        <v>5.5E-2</v>
      </c>
      <c r="Q271" s="26">
        <v>0.75900000000000001</v>
      </c>
    </row>
    <row r="272" spans="1:17" ht="14.25" customHeight="1" x14ac:dyDescent="0.35">
      <c r="A272" s="1">
        <v>2024</v>
      </c>
      <c r="B272" s="1" t="s">
        <v>31</v>
      </c>
      <c r="C272" s="1">
        <v>27</v>
      </c>
      <c r="D272" s="12">
        <v>109.51600000000001</v>
      </c>
      <c r="E272" s="12">
        <f t="shared" si="4"/>
        <v>136.89500000000001</v>
      </c>
      <c r="F272" s="13">
        <v>93.563000000000002</v>
      </c>
      <c r="G272" s="21">
        <v>82.364000000000004</v>
      </c>
      <c r="H272" s="22">
        <v>1674.3240000000001</v>
      </c>
      <c r="I272" s="13">
        <v>6.9</v>
      </c>
      <c r="J272" s="23">
        <v>2.1999999999999999E-2</v>
      </c>
      <c r="K272" s="13">
        <v>7.6420000000000003</v>
      </c>
      <c r="L272" s="24">
        <v>26.658000000000001</v>
      </c>
      <c r="M272" s="13">
        <v>5.3940000000000001</v>
      </c>
      <c r="N272" s="23">
        <v>1.4E-2</v>
      </c>
      <c r="O272" s="22">
        <v>79.465999999999994</v>
      </c>
      <c r="P272" s="25">
        <v>5.6000000000000001E-2</v>
      </c>
      <c r="Q272" s="26">
        <v>0.34399999999999997</v>
      </c>
    </row>
    <row r="273" spans="1:17" ht="14.25" customHeight="1" x14ac:dyDescent="0.35">
      <c r="A273" s="1">
        <v>2024</v>
      </c>
      <c r="B273" s="1" t="s">
        <v>31</v>
      </c>
      <c r="C273" s="1">
        <v>28</v>
      </c>
      <c r="D273" s="12">
        <v>111.672</v>
      </c>
      <c r="E273" s="12">
        <f t="shared" si="4"/>
        <v>139.59</v>
      </c>
      <c r="F273" s="13">
        <v>95.375</v>
      </c>
      <c r="G273" s="21">
        <v>82.311999999999998</v>
      </c>
      <c r="H273" s="22">
        <v>1609.5540000000001</v>
      </c>
      <c r="I273" s="13">
        <v>6.9</v>
      </c>
      <c r="J273" s="23">
        <v>2.1000000000000001E-2</v>
      </c>
      <c r="K273" s="13">
        <v>7.7569999999999997</v>
      </c>
      <c r="L273" s="24">
        <v>25.84</v>
      </c>
      <c r="M273" s="13">
        <v>5.42</v>
      </c>
      <c r="N273" s="23">
        <v>1.4E-2</v>
      </c>
      <c r="O273" s="22">
        <v>74.86</v>
      </c>
      <c r="P273" s="25">
        <v>5.5E-2</v>
      </c>
      <c r="Q273" s="26">
        <v>0.10199999999999999</v>
      </c>
    </row>
    <row r="274" spans="1:17" ht="14.25" customHeight="1" x14ac:dyDescent="0.35">
      <c r="A274" s="1">
        <v>2024</v>
      </c>
      <c r="B274" s="1" t="s">
        <v>31</v>
      </c>
      <c r="C274" s="1">
        <v>29</v>
      </c>
      <c r="D274" s="12">
        <v>109.703</v>
      </c>
      <c r="E274" s="12">
        <f t="shared" si="4"/>
        <v>137.12875</v>
      </c>
      <c r="F274" s="13">
        <v>93.813000000000002</v>
      </c>
      <c r="G274" s="21">
        <v>82.228999999999999</v>
      </c>
      <c r="H274" s="22">
        <v>1577.962</v>
      </c>
      <c r="I274" s="13">
        <v>6.9</v>
      </c>
      <c r="J274" s="23">
        <v>2.1999999999999999E-2</v>
      </c>
      <c r="K274" s="13">
        <v>7.9089999999999998</v>
      </c>
      <c r="L274" s="24">
        <v>25.683</v>
      </c>
      <c r="M274" s="13">
        <v>5.4429999999999996</v>
      </c>
      <c r="N274" s="23">
        <v>1.4E-2</v>
      </c>
      <c r="O274" s="22">
        <v>71.048000000000002</v>
      </c>
      <c r="P274" s="25">
        <v>5.2999999999999999E-2</v>
      </c>
      <c r="Q274" s="26">
        <v>0.1</v>
      </c>
    </row>
    <row r="275" spans="1:17" ht="14.25" customHeight="1" x14ac:dyDescent="0.35">
      <c r="A275" s="1">
        <v>2024</v>
      </c>
      <c r="B275" s="1" t="s">
        <v>31</v>
      </c>
      <c r="C275" s="1">
        <v>30</v>
      </c>
      <c r="D275" s="34">
        <v>106.78100000000001</v>
      </c>
      <c r="E275" s="12">
        <f t="shared" si="4"/>
        <v>133.47624999999999</v>
      </c>
      <c r="F275" s="35">
        <v>91.313000000000002</v>
      </c>
      <c r="G275" s="21">
        <v>82.293000000000006</v>
      </c>
      <c r="H275" s="22">
        <v>1565.0419999999999</v>
      </c>
      <c r="I275" s="13">
        <v>6.9</v>
      </c>
      <c r="J275" s="23">
        <v>2.1999999999999999E-2</v>
      </c>
      <c r="K275" s="13">
        <v>8.0559999999999992</v>
      </c>
      <c r="L275" s="24">
        <v>25.667000000000002</v>
      </c>
      <c r="M275" s="13">
        <v>5.4260000000000002</v>
      </c>
      <c r="N275" s="23">
        <v>1.4E-2</v>
      </c>
      <c r="O275" s="22">
        <v>73.915000000000006</v>
      </c>
      <c r="P275" s="25">
        <v>5.0999999999999997E-2</v>
      </c>
      <c r="Q275" s="26">
        <v>0.11799999999999999</v>
      </c>
    </row>
    <row r="276" spans="1:17" ht="14.25" customHeight="1" x14ac:dyDescent="0.35">
      <c r="A276" s="1">
        <v>2024</v>
      </c>
      <c r="B276" s="1" t="s">
        <v>32</v>
      </c>
      <c r="C276" s="1">
        <v>1</v>
      </c>
      <c r="D276" s="12">
        <v>108.328</v>
      </c>
      <c r="E276" s="12">
        <f t="shared" si="4"/>
        <v>135.41</v>
      </c>
      <c r="F276" s="13">
        <v>92.625</v>
      </c>
      <c r="G276" s="14">
        <v>82.62</v>
      </c>
      <c r="H276" s="15">
        <v>1664</v>
      </c>
      <c r="I276" s="16">
        <v>6.9</v>
      </c>
      <c r="J276" s="17">
        <v>2.1999999999999999E-2</v>
      </c>
      <c r="K276" s="16">
        <v>8.0500000000000007</v>
      </c>
      <c r="L276" s="18">
        <v>27</v>
      </c>
      <c r="M276" s="16">
        <v>5.45</v>
      </c>
      <c r="N276" s="17">
        <v>0.01</v>
      </c>
      <c r="O276" s="15">
        <v>70.39</v>
      </c>
      <c r="P276" s="19">
        <v>0.05</v>
      </c>
      <c r="Q276" s="20">
        <v>0.12</v>
      </c>
    </row>
    <row r="277" spans="1:17" ht="14.25" customHeight="1" x14ac:dyDescent="0.35">
      <c r="A277" s="1">
        <v>2024</v>
      </c>
      <c r="B277" s="1" t="s">
        <v>32</v>
      </c>
      <c r="C277" s="1">
        <v>2</v>
      </c>
      <c r="D277" s="12">
        <v>104.35899999999999</v>
      </c>
      <c r="E277" s="12">
        <f t="shared" si="4"/>
        <v>130.44874999999999</v>
      </c>
      <c r="F277" s="13">
        <v>89.313000000000002</v>
      </c>
      <c r="G277" s="21">
        <v>82.87</v>
      </c>
      <c r="H277" s="22">
        <v>1649</v>
      </c>
      <c r="I277" s="13">
        <v>6.9</v>
      </c>
      <c r="J277" s="23">
        <v>2.1999999999999999E-2</v>
      </c>
      <c r="K277" s="13">
        <v>7.9668999999999999</v>
      </c>
      <c r="L277" s="24">
        <v>26.69</v>
      </c>
      <c r="M277" s="13">
        <v>5.4080000000000004</v>
      </c>
      <c r="N277" s="23">
        <v>1.4E-2</v>
      </c>
      <c r="O277" s="22">
        <v>77.209000000000003</v>
      </c>
      <c r="P277" s="25">
        <v>5.3999999999999999E-2</v>
      </c>
      <c r="Q277" s="26">
        <v>0.09</v>
      </c>
    </row>
    <row r="278" spans="1:17" ht="14.25" customHeight="1" x14ac:dyDescent="0.35">
      <c r="A278" s="1">
        <v>2024</v>
      </c>
      <c r="B278" s="1" t="s">
        <v>32</v>
      </c>
      <c r="C278" s="1">
        <v>3</v>
      </c>
      <c r="D278" s="12">
        <v>105.15600000000001</v>
      </c>
      <c r="E278" s="12">
        <f t="shared" si="4"/>
        <v>131.44499999999999</v>
      </c>
      <c r="F278" s="13">
        <v>89.968999999999994</v>
      </c>
      <c r="G278" s="21">
        <v>82.460999999999999</v>
      </c>
      <c r="H278" s="22">
        <v>1665.876</v>
      </c>
      <c r="I278" s="13">
        <v>6.9</v>
      </c>
      <c r="J278" s="23">
        <v>2.1000000000000001E-2</v>
      </c>
      <c r="K278" s="13">
        <v>7.7249999999999996</v>
      </c>
      <c r="L278" s="24">
        <v>26.332000000000001</v>
      </c>
      <c r="M278" s="13">
        <v>5.3849999999999998</v>
      </c>
      <c r="N278" s="23">
        <v>1.4E-2</v>
      </c>
      <c r="O278" s="22">
        <v>81.066000000000003</v>
      </c>
      <c r="P278" s="25">
        <v>5.8000000000000003E-2</v>
      </c>
      <c r="Q278" s="26">
        <v>7.5999999999999998E-2</v>
      </c>
    </row>
    <row r="279" spans="1:17" ht="14.25" customHeight="1" x14ac:dyDescent="0.35">
      <c r="A279" s="1">
        <v>2024</v>
      </c>
      <c r="B279" s="1" t="s">
        <v>32</v>
      </c>
      <c r="C279" s="1">
        <v>4</v>
      </c>
      <c r="D279" s="12">
        <v>108.39100000000001</v>
      </c>
      <c r="E279" s="12">
        <f t="shared" si="4"/>
        <v>135.48875000000001</v>
      </c>
      <c r="F279" s="13">
        <v>92.531000000000006</v>
      </c>
      <c r="G279" s="21">
        <v>82.566000000000003</v>
      </c>
      <c r="H279" s="22">
        <v>1650.4680000000001</v>
      </c>
      <c r="I279" s="13">
        <v>6.9</v>
      </c>
      <c r="J279" s="23">
        <v>0.02</v>
      </c>
      <c r="K279" s="13">
        <v>7.53</v>
      </c>
      <c r="L279" s="24">
        <v>25.594999999999999</v>
      </c>
      <c r="M279" s="13">
        <v>5.2149999999999999</v>
      </c>
      <c r="N279" s="23">
        <v>1.4E-2</v>
      </c>
      <c r="O279" s="22">
        <v>124.267</v>
      </c>
      <c r="P279" s="25">
        <v>6.6000000000000003E-2</v>
      </c>
      <c r="Q279" s="26">
        <v>4.2000000000000003E-2</v>
      </c>
    </row>
    <row r="280" spans="1:17" ht="14.25" customHeight="1" x14ac:dyDescent="0.35">
      <c r="A280" s="1">
        <v>2024</v>
      </c>
      <c r="B280" s="1" t="s">
        <v>32</v>
      </c>
      <c r="C280" s="1">
        <v>5</v>
      </c>
      <c r="D280" s="12">
        <v>106.71899999999999</v>
      </c>
      <c r="E280" s="12">
        <f t="shared" si="4"/>
        <v>133.39875000000001</v>
      </c>
      <c r="F280" s="13">
        <v>91.25</v>
      </c>
      <c r="G280" s="21">
        <v>82.492999999999995</v>
      </c>
      <c r="H280" s="22">
        <v>1616.2950000000001</v>
      </c>
      <c r="I280" s="13">
        <v>6.9</v>
      </c>
      <c r="J280" s="23">
        <v>2.1000000000000001E-2</v>
      </c>
      <c r="K280" s="13">
        <v>7.9450000000000003</v>
      </c>
      <c r="L280" s="24">
        <v>26.048999999999999</v>
      </c>
      <c r="M280" s="13">
        <v>5.1449999999999996</v>
      </c>
      <c r="N280" s="23">
        <v>1.4E-2</v>
      </c>
      <c r="O280" s="22">
        <v>141.14400000000001</v>
      </c>
      <c r="P280" s="25">
        <v>7.3999999999999996E-2</v>
      </c>
      <c r="Q280" s="26">
        <v>1.0999999999999999E-2</v>
      </c>
    </row>
    <row r="281" spans="1:17" ht="14.25" customHeight="1" x14ac:dyDescent="0.35">
      <c r="A281" s="1">
        <v>2024</v>
      </c>
      <c r="B281" s="1" t="s">
        <v>32</v>
      </c>
      <c r="C281" s="1">
        <v>6</v>
      </c>
      <c r="D281" s="12">
        <v>105.578</v>
      </c>
      <c r="E281" s="12">
        <f t="shared" si="4"/>
        <v>131.9725</v>
      </c>
      <c r="F281" s="13">
        <v>90.156000000000006</v>
      </c>
      <c r="G281" s="21">
        <v>82.328999999999994</v>
      </c>
      <c r="H281" s="22">
        <v>1551.989</v>
      </c>
      <c r="I281" s="13">
        <v>6.9</v>
      </c>
      <c r="J281" s="23">
        <v>2.1999999999999999E-2</v>
      </c>
      <c r="K281" s="13">
        <v>7.8769999999999998</v>
      </c>
      <c r="L281" s="24">
        <v>25.832999999999998</v>
      </c>
      <c r="M281" s="13">
        <v>5.1719999999999997</v>
      </c>
      <c r="N281" s="23">
        <v>1.4E-2</v>
      </c>
      <c r="O281" s="22">
        <v>132.60900000000001</v>
      </c>
      <c r="P281" s="25">
        <v>5.8000000000000003E-2</v>
      </c>
      <c r="Q281" s="26">
        <v>1.6E-2</v>
      </c>
    </row>
    <row r="282" spans="1:17" ht="14.25" customHeight="1" x14ac:dyDescent="0.35">
      <c r="A282" s="1">
        <v>2024</v>
      </c>
      <c r="B282" s="1" t="s">
        <v>32</v>
      </c>
      <c r="C282" s="1">
        <v>7</v>
      </c>
      <c r="D282" s="12">
        <v>99.328000000000003</v>
      </c>
      <c r="E282" s="12">
        <f t="shared" si="4"/>
        <v>124.16</v>
      </c>
      <c r="F282" s="13">
        <v>84.875</v>
      </c>
      <c r="G282" s="21">
        <v>82.454999999999998</v>
      </c>
      <c r="H282" s="22">
        <v>1542.0820000000001</v>
      </c>
      <c r="I282" s="13">
        <v>6.9</v>
      </c>
      <c r="J282" s="23">
        <v>2.1999999999999999E-2</v>
      </c>
      <c r="K282" s="13">
        <v>7.9059999999999997</v>
      </c>
      <c r="L282" s="24">
        <v>25.466000000000001</v>
      </c>
      <c r="M282" s="13">
        <v>5.1790000000000003</v>
      </c>
      <c r="N282" s="23">
        <v>1.4E-2</v>
      </c>
      <c r="O282" s="22">
        <v>130.46899999999999</v>
      </c>
      <c r="P282" s="25">
        <v>5.3999999999999999E-2</v>
      </c>
      <c r="Q282" s="26">
        <v>1.7000000000000001E-2</v>
      </c>
    </row>
    <row r="283" spans="1:17" ht="14.25" customHeight="1" x14ac:dyDescent="0.35">
      <c r="A283" s="1">
        <v>2024</v>
      </c>
      <c r="B283" s="1" t="s">
        <v>32</v>
      </c>
      <c r="C283" s="1">
        <v>8</v>
      </c>
      <c r="D283" s="12">
        <v>110.03100000000001</v>
      </c>
      <c r="E283" s="12">
        <f t="shared" si="4"/>
        <v>137.53874999999999</v>
      </c>
      <c r="F283" s="13">
        <v>94.031000000000006</v>
      </c>
      <c r="G283" s="21">
        <v>82.448999999999998</v>
      </c>
      <c r="H283" s="22">
        <v>1606.6980000000001</v>
      </c>
      <c r="I283" s="13">
        <v>6.9</v>
      </c>
      <c r="J283" s="23">
        <v>2.1999999999999999E-2</v>
      </c>
      <c r="K283" s="13">
        <v>7.8029999999999999</v>
      </c>
      <c r="L283" s="24">
        <v>26.315000000000001</v>
      </c>
      <c r="M283" s="13">
        <v>5.1639999999999997</v>
      </c>
      <c r="N283" s="23">
        <v>1.4E-2</v>
      </c>
      <c r="O283" s="22">
        <v>134.774</v>
      </c>
      <c r="P283" s="25">
        <v>5.8999999999999997E-2</v>
      </c>
      <c r="Q283" s="26">
        <v>0.02</v>
      </c>
    </row>
    <row r="284" spans="1:17" ht="14.25" customHeight="1" x14ac:dyDescent="0.35">
      <c r="A284" s="1">
        <v>2024</v>
      </c>
      <c r="B284" s="1" t="s">
        <v>32</v>
      </c>
      <c r="C284" s="1">
        <v>9</v>
      </c>
      <c r="D284" s="12">
        <v>109.203</v>
      </c>
      <c r="E284" s="12">
        <f t="shared" si="4"/>
        <v>136.50375</v>
      </c>
      <c r="F284" s="13">
        <v>93.281000000000006</v>
      </c>
      <c r="G284" s="21">
        <v>82.265000000000001</v>
      </c>
      <c r="H284" s="22">
        <v>1623.5070000000001</v>
      </c>
      <c r="I284" s="13">
        <v>6.9</v>
      </c>
      <c r="J284" s="23">
        <v>2.1999999999999999E-2</v>
      </c>
      <c r="K284" s="13">
        <v>7.6230000000000002</v>
      </c>
      <c r="L284" s="24">
        <v>26.071999999999999</v>
      </c>
      <c r="M284" s="13">
        <v>5.1866000000000003</v>
      </c>
      <c r="N284" s="23">
        <v>1.4E-2</v>
      </c>
      <c r="O284" s="22">
        <v>128.60300000000001</v>
      </c>
      <c r="P284" s="25">
        <v>5.2999999999999999E-2</v>
      </c>
      <c r="Q284" s="26">
        <v>1.7000000000000001E-2</v>
      </c>
    </row>
    <row r="285" spans="1:17" ht="14.25" customHeight="1" x14ac:dyDescent="0.35">
      <c r="A285" s="1">
        <v>2024</v>
      </c>
      <c r="B285" s="1" t="s">
        <v>32</v>
      </c>
      <c r="C285" s="1">
        <v>10</v>
      </c>
      <c r="D285" s="12">
        <v>111.10899999999999</v>
      </c>
      <c r="E285" s="12">
        <f t="shared" si="4"/>
        <v>138.88624999999999</v>
      </c>
      <c r="F285" s="13">
        <v>95</v>
      </c>
      <c r="G285" s="27">
        <v>82.27</v>
      </c>
      <c r="H285" s="22">
        <v>1664.414</v>
      </c>
      <c r="I285" s="13">
        <v>6.9</v>
      </c>
      <c r="J285" s="23">
        <v>2.1999999999999999E-2</v>
      </c>
      <c r="K285" s="28">
        <v>6.8330000000000002</v>
      </c>
      <c r="L285" s="24">
        <v>25.963999999999999</v>
      </c>
      <c r="M285" s="13">
        <v>5.2030000000000003</v>
      </c>
      <c r="N285" s="29">
        <v>1.4E-2</v>
      </c>
      <c r="O285" s="22">
        <v>123.399</v>
      </c>
      <c r="P285" s="30">
        <v>5.1999999999999998E-2</v>
      </c>
      <c r="Q285" s="31">
        <v>1.7000000000000001E-2</v>
      </c>
    </row>
    <row r="286" spans="1:17" ht="14.25" customHeight="1" x14ac:dyDescent="0.35">
      <c r="A286" s="1">
        <v>2024</v>
      </c>
      <c r="B286" s="1" t="s">
        <v>32</v>
      </c>
      <c r="C286" s="1">
        <v>11</v>
      </c>
      <c r="D286" s="12">
        <v>110.563</v>
      </c>
      <c r="E286" s="12">
        <f t="shared" si="4"/>
        <v>138.20375000000001</v>
      </c>
      <c r="F286" s="13">
        <v>94.468999999999994</v>
      </c>
      <c r="G286" s="27">
        <v>82.2</v>
      </c>
      <c r="H286" s="22">
        <v>1639.702</v>
      </c>
      <c r="I286" s="13">
        <v>6.9</v>
      </c>
      <c r="J286" s="23">
        <v>2.1000000000000001E-2</v>
      </c>
      <c r="K286" s="28">
        <v>6.39</v>
      </c>
      <c r="L286" s="24">
        <v>26.006</v>
      </c>
      <c r="M286" s="13">
        <v>5.2430000000000003</v>
      </c>
      <c r="N286" s="29">
        <v>1.4E-2</v>
      </c>
      <c r="O286" s="22">
        <v>112.824</v>
      </c>
      <c r="P286" s="30">
        <v>5.5E-2</v>
      </c>
      <c r="Q286" s="31">
        <v>0.16500000000000001</v>
      </c>
    </row>
    <row r="287" spans="1:17" ht="14.25" customHeight="1" x14ac:dyDescent="0.35">
      <c r="A287" s="1">
        <v>2024</v>
      </c>
      <c r="B287" s="1" t="s">
        <v>32</v>
      </c>
      <c r="C287" s="1">
        <v>12</v>
      </c>
      <c r="D287" s="12">
        <v>110.5</v>
      </c>
      <c r="E287" s="12">
        <f t="shared" si="4"/>
        <v>138.125</v>
      </c>
      <c r="F287" s="13">
        <v>94.438000000000002</v>
      </c>
      <c r="G287" s="27">
        <v>81.971000000000004</v>
      </c>
      <c r="H287" s="22">
        <v>1633.3130000000001</v>
      </c>
      <c r="I287" s="13">
        <v>6.9</v>
      </c>
      <c r="J287" s="23">
        <v>2.1000000000000001E-2</v>
      </c>
      <c r="K287" s="28">
        <v>7.0430000000000001</v>
      </c>
      <c r="L287" s="24">
        <v>26.193000000000001</v>
      </c>
      <c r="M287" s="13">
        <v>5.2690000000000001</v>
      </c>
      <c r="N287" s="29">
        <v>1.4E-2</v>
      </c>
      <c r="O287" s="22">
        <v>106.024</v>
      </c>
      <c r="P287" s="30">
        <v>5.8999999999999997E-2</v>
      </c>
      <c r="Q287" s="31">
        <v>0.40400000000000003</v>
      </c>
    </row>
    <row r="288" spans="1:17" ht="14.25" customHeight="1" x14ac:dyDescent="0.35">
      <c r="A288" s="1">
        <v>2024</v>
      </c>
      <c r="B288" s="1" t="s">
        <v>32</v>
      </c>
      <c r="C288" s="1">
        <v>13</v>
      </c>
      <c r="D288" s="12">
        <v>108.85899999999999</v>
      </c>
      <c r="E288" s="12">
        <f t="shared" si="4"/>
        <v>136.07374999999999</v>
      </c>
      <c r="F288" s="13">
        <v>93</v>
      </c>
      <c r="G288" s="27">
        <v>81.938999999999993</v>
      </c>
      <c r="H288" s="22">
        <v>1557.8630000000001</v>
      </c>
      <c r="I288" s="13">
        <v>6.9</v>
      </c>
      <c r="J288" s="23">
        <v>2.1000000000000001E-2</v>
      </c>
      <c r="K288" s="28">
        <v>7.51</v>
      </c>
      <c r="L288" s="24">
        <v>25.956</v>
      </c>
      <c r="M288" s="13">
        <v>5.3049999999999997</v>
      </c>
      <c r="N288" s="23">
        <v>1.4E-2</v>
      </c>
      <c r="O288" s="22">
        <v>97.721000000000004</v>
      </c>
      <c r="P288" s="30">
        <v>4.9000000000000002E-2</v>
      </c>
      <c r="Q288" s="31">
        <v>0.52</v>
      </c>
    </row>
    <row r="289" spans="1:17" ht="14.25" customHeight="1" x14ac:dyDescent="0.35">
      <c r="A289" s="1">
        <v>2024</v>
      </c>
      <c r="B289" s="1" t="s">
        <v>32</v>
      </c>
      <c r="C289" s="1">
        <v>14</v>
      </c>
      <c r="D289" s="12">
        <v>108.688</v>
      </c>
      <c r="E289" s="12">
        <f t="shared" si="4"/>
        <v>135.86000000000001</v>
      </c>
      <c r="F289" s="13">
        <v>92.813000000000002</v>
      </c>
      <c r="G289" s="21">
        <v>81.908000000000001</v>
      </c>
      <c r="H289" s="22">
        <v>1555.0429999999999</v>
      </c>
      <c r="I289" s="13">
        <v>6.9</v>
      </c>
      <c r="J289" s="23">
        <v>2.1999999999999999E-2</v>
      </c>
      <c r="K289" s="28">
        <v>7.7930000000000001</v>
      </c>
      <c r="L289" s="33">
        <v>25.87</v>
      </c>
      <c r="M289" s="13">
        <v>5.3220000000000001</v>
      </c>
      <c r="N289" s="23">
        <v>1.4E-2</v>
      </c>
      <c r="O289" s="22">
        <v>94.087000000000003</v>
      </c>
      <c r="P289" s="30">
        <v>4.8000000000000001E-2</v>
      </c>
      <c r="Q289" s="31">
        <v>0.57299999999999995</v>
      </c>
    </row>
    <row r="290" spans="1:17" ht="14.25" customHeight="1" x14ac:dyDescent="0.35">
      <c r="A290" s="1">
        <v>2024</v>
      </c>
      <c r="B290" s="1" t="s">
        <v>32</v>
      </c>
      <c r="C290" s="1">
        <v>15</v>
      </c>
      <c r="D290" s="12">
        <v>104.76600000000001</v>
      </c>
      <c r="E290" s="12">
        <f t="shared" si="4"/>
        <v>130.95750000000001</v>
      </c>
      <c r="F290" s="13">
        <v>89.625</v>
      </c>
      <c r="G290" s="21">
        <v>81.694999999999993</v>
      </c>
      <c r="H290" s="22">
        <v>1623.075</v>
      </c>
      <c r="I290" s="13">
        <v>6.9</v>
      </c>
      <c r="J290" s="23">
        <v>2.3E-2</v>
      </c>
      <c r="K290" s="28">
        <v>7.9020000000000001</v>
      </c>
      <c r="L290" s="24">
        <v>26.963999999999999</v>
      </c>
      <c r="M290" s="13">
        <v>5.3369999999999997</v>
      </c>
      <c r="N290" s="23">
        <v>1.4E-2</v>
      </c>
      <c r="O290" s="22">
        <v>90.942999999999998</v>
      </c>
      <c r="P290" s="30">
        <v>0.06</v>
      </c>
      <c r="Q290" s="31">
        <v>0.51</v>
      </c>
    </row>
    <row r="291" spans="1:17" ht="14.25" customHeight="1" x14ac:dyDescent="0.35">
      <c r="A291" s="1">
        <v>2024</v>
      </c>
      <c r="B291" s="1" t="s">
        <v>32</v>
      </c>
      <c r="C291" s="1">
        <v>16</v>
      </c>
      <c r="D291" s="12">
        <v>108.46899999999999</v>
      </c>
      <c r="E291" s="12">
        <f t="shared" si="4"/>
        <v>135.58625000000001</v>
      </c>
      <c r="F291" s="13">
        <v>92.656000000000006</v>
      </c>
      <c r="G291" s="21">
        <v>81.694999999999993</v>
      </c>
      <c r="H291" s="22">
        <v>1638.4179999999999</v>
      </c>
      <c r="I291" s="13">
        <v>6.9</v>
      </c>
      <c r="J291" s="23">
        <v>2.3E-2</v>
      </c>
      <c r="K291" s="28">
        <v>7.5339999999999998</v>
      </c>
      <c r="L291" s="24">
        <v>26.946999999999999</v>
      </c>
      <c r="M291" s="13">
        <v>5.3120000000000003</v>
      </c>
      <c r="N291" s="23">
        <v>1.4E-2</v>
      </c>
      <c r="O291" s="22">
        <v>90.942999999999998</v>
      </c>
      <c r="P291" s="30">
        <v>5.1999999999999998E-2</v>
      </c>
      <c r="Q291" s="31">
        <v>0.45800000000000002</v>
      </c>
    </row>
    <row r="292" spans="1:17" ht="14.25" customHeight="1" x14ac:dyDescent="0.35">
      <c r="A292" s="1">
        <v>2024</v>
      </c>
      <c r="B292" s="1" t="s">
        <v>32</v>
      </c>
      <c r="C292" s="1">
        <v>17</v>
      </c>
      <c r="D292" s="12">
        <v>109.89100000000001</v>
      </c>
      <c r="E292" s="12">
        <f t="shared" si="4"/>
        <v>137.36375000000001</v>
      </c>
      <c r="F292" s="13">
        <v>94</v>
      </c>
      <c r="G292" s="21">
        <v>81.808999999999997</v>
      </c>
      <c r="H292" s="22">
        <v>1674.548</v>
      </c>
      <c r="I292" s="13">
        <v>6.9</v>
      </c>
      <c r="J292" s="23">
        <v>2.1999999999999999E-2</v>
      </c>
      <c r="K292" s="13">
        <v>7.4130000000000003</v>
      </c>
      <c r="L292" s="24">
        <v>27.245999999999999</v>
      </c>
      <c r="M292" s="13">
        <v>5.2770000000000001</v>
      </c>
      <c r="N292" s="23">
        <v>1.4E-2</v>
      </c>
      <c r="O292" s="22">
        <v>103.88</v>
      </c>
      <c r="P292" s="25">
        <v>5.1999999999999998E-2</v>
      </c>
      <c r="Q292" s="26">
        <v>0.441</v>
      </c>
    </row>
    <row r="293" spans="1:17" ht="14.25" customHeight="1" x14ac:dyDescent="0.35">
      <c r="A293" s="1">
        <v>2024</v>
      </c>
      <c r="B293" s="1" t="s">
        <v>32</v>
      </c>
      <c r="C293" s="1">
        <v>18</v>
      </c>
      <c r="D293" s="12">
        <v>109.90600000000001</v>
      </c>
      <c r="E293" s="12">
        <f t="shared" si="4"/>
        <v>137.38249999999999</v>
      </c>
      <c r="F293" s="13">
        <v>93.968999999999994</v>
      </c>
      <c r="G293" s="21">
        <v>81.507000000000005</v>
      </c>
      <c r="H293" s="22">
        <v>1652.4829999999999</v>
      </c>
      <c r="I293" s="13">
        <v>6.9</v>
      </c>
      <c r="J293" s="23">
        <v>2.1999999999999999E-2</v>
      </c>
      <c r="K293" s="13">
        <v>6.7919999999999998</v>
      </c>
      <c r="L293" s="24">
        <v>27.033000000000001</v>
      </c>
      <c r="M293" s="13">
        <v>5.2320000000000002</v>
      </c>
      <c r="N293" s="23">
        <v>1.4E-2</v>
      </c>
      <c r="O293" s="22">
        <v>115.148</v>
      </c>
      <c r="P293" s="25">
        <v>5.0999999999999997E-2</v>
      </c>
      <c r="Q293" s="26">
        <v>0.43099999999999999</v>
      </c>
    </row>
    <row r="294" spans="1:17" ht="14.25" customHeight="1" x14ac:dyDescent="0.35">
      <c r="A294" s="1">
        <v>2024</v>
      </c>
      <c r="B294" s="1" t="s">
        <v>32</v>
      </c>
      <c r="C294" s="1">
        <v>19</v>
      </c>
      <c r="D294" s="12">
        <v>108.547</v>
      </c>
      <c r="E294" s="12">
        <f t="shared" si="4"/>
        <v>135.68375</v>
      </c>
      <c r="F294" s="13">
        <v>92.968999999999994</v>
      </c>
      <c r="G294" s="21">
        <v>81.203999999999994</v>
      </c>
      <c r="H294" s="22">
        <v>1632.308</v>
      </c>
      <c r="I294" s="13">
        <v>6.9</v>
      </c>
      <c r="J294" s="23">
        <v>2.3E-2</v>
      </c>
      <c r="K294" s="13">
        <v>6.5309999999999997</v>
      </c>
      <c r="L294" s="24">
        <v>26.802</v>
      </c>
      <c r="M294" s="13">
        <v>5.2430000000000003</v>
      </c>
      <c r="N294" s="23">
        <v>1.4E-2</v>
      </c>
      <c r="O294" s="22">
        <v>112.416</v>
      </c>
      <c r="P294" s="25">
        <v>4.7E-2</v>
      </c>
      <c r="Q294" s="26">
        <v>0.45100000000000001</v>
      </c>
    </row>
    <row r="295" spans="1:17" ht="14.25" customHeight="1" x14ac:dyDescent="0.35">
      <c r="A295" s="1">
        <v>2024</v>
      </c>
      <c r="B295" s="1" t="s">
        <v>32</v>
      </c>
      <c r="C295" s="1">
        <v>20</v>
      </c>
      <c r="D295" s="12">
        <v>107.51600000000001</v>
      </c>
      <c r="E295" s="12">
        <f t="shared" si="4"/>
        <v>134.39500000000001</v>
      </c>
      <c r="F295" s="13">
        <v>92</v>
      </c>
      <c r="G295" s="21">
        <v>81.191999999999993</v>
      </c>
      <c r="H295" s="22">
        <v>1570.6780000000001</v>
      </c>
      <c r="I295" s="13">
        <v>6.9</v>
      </c>
      <c r="J295" s="23">
        <v>2.3E-2</v>
      </c>
      <c r="K295" s="13">
        <v>6.6710000000000003</v>
      </c>
      <c r="L295" s="24">
        <v>26.405999999999999</v>
      </c>
      <c r="M295" s="13">
        <v>5.2640000000000002</v>
      </c>
      <c r="N295" s="23">
        <v>1.4E-2</v>
      </c>
      <c r="O295" s="22">
        <v>107.503</v>
      </c>
      <c r="P295" s="25">
        <v>4.2999999999999997E-2</v>
      </c>
      <c r="Q295" s="26">
        <v>0.41199999999999998</v>
      </c>
    </row>
    <row r="296" spans="1:17" ht="14.25" customHeight="1" x14ac:dyDescent="0.35">
      <c r="A296" s="1">
        <v>2024</v>
      </c>
      <c r="B296" s="1" t="s">
        <v>32</v>
      </c>
      <c r="C296" s="1">
        <v>21</v>
      </c>
      <c r="D296" s="12">
        <v>108.65600000000001</v>
      </c>
      <c r="E296" s="12">
        <f t="shared" si="4"/>
        <v>135.82</v>
      </c>
      <c r="F296" s="13">
        <v>92.906000000000006</v>
      </c>
      <c r="G296" s="21">
        <v>81.239999999999995</v>
      </c>
      <c r="H296" s="22">
        <v>1574.345</v>
      </c>
      <c r="I296" s="13">
        <v>6.9</v>
      </c>
      <c r="J296" s="23">
        <v>2.4E-2</v>
      </c>
      <c r="K296" s="13">
        <v>7.6710000000000003</v>
      </c>
      <c r="L296" s="24">
        <v>26.731000000000002</v>
      </c>
      <c r="M296" s="13">
        <v>5.2930000000000001</v>
      </c>
      <c r="N296" s="23">
        <v>1.4E-2</v>
      </c>
      <c r="O296" s="22">
        <v>100.797</v>
      </c>
      <c r="P296" s="25">
        <v>4.3999999999999997E-2</v>
      </c>
      <c r="Q296" s="26">
        <v>0.49399999999999999</v>
      </c>
    </row>
    <row r="297" spans="1:17" ht="14.25" customHeight="1" x14ac:dyDescent="0.35">
      <c r="A297" s="1">
        <v>2024</v>
      </c>
      <c r="B297" s="1" t="s">
        <v>32</v>
      </c>
      <c r="C297" s="1">
        <v>22</v>
      </c>
      <c r="D297" s="12">
        <v>111.172</v>
      </c>
      <c r="E297" s="12">
        <f t="shared" si="4"/>
        <v>138.965</v>
      </c>
      <c r="F297" s="13">
        <v>94.938000000000002</v>
      </c>
      <c r="G297" s="21">
        <v>81.426000000000002</v>
      </c>
      <c r="H297" s="22">
        <v>1613.0429999999999</v>
      </c>
      <c r="I297" s="13">
        <v>6.9</v>
      </c>
      <c r="J297" s="23">
        <v>2.5000000000000001E-2</v>
      </c>
      <c r="K297" s="13">
        <v>8.2309999999999999</v>
      </c>
      <c r="L297" s="24">
        <v>27.393999999999998</v>
      </c>
      <c r="M297" s="13">
        <v>5.29</v>
      </c>
      <c r="N297" s="23">
        <v>1.4E-2</v>
      </c>
      <c r="O297" s="22">
        <v>101.73699999999999</v>
      </c>
      <c r="P297" s="25">
        <v>4.7E-2</v>
      </c>
      <c r="Q297" s="26">
        <v>0.73</v>
      </c>
    </row>
    <row r="298" spans="1:17" ht="14.25" customHeight="1" x14ac:dyDescent="0.35">
      <c r="A298" s="1">
        <v>2024</v>
      </c>
      <c r="B298" s="1" t="s">
        <v>32</v>
      </c>
      <c r="C298" s="1">
        <v>23</v>
      </c>
      <c r="D298" s="12">
        <v>112.14100000000001</v>
      </c>
      <c r="E298" s="12">
        <f t="shared" si="4"/>
        <v>140.17625000000001</v>
      </c>
      <c r="F298" s="13">
        <v>95.781000000000006</v>
      </c>
      <c r="G298" s="21">
        <v>81.554000000000002</v>
      </c>
      <c r="H298" s="22">
        <v>1618.461</v>
      </c>
      <c r="I298" s="13">
        <v>6.9</v>
      </c>
      <c r="J298" s="23">
        <v>2.5999999999999999E-2</v>
      </c>
      <c r="K298" s="13">
        <v>7.6539999999999999</v>
      </c>
      <c r="L298" s="24">
        <v>28.152000000000001</v>
      </c>
      <c r="M298" s="13">
        <v>5.29</v>
      </c>
      <c r="N298" s="23">
        <v>1.2999999999999999E-2</v>
      </c>
      <c r="O298" s="22">
        <v>101.13</v>
      </c>
      <c r="P298" s="25">
        <v>5.1999999999999998E-2</v>
      </c>
      <c r="Q298" s="26">
        <v>0.84</v>
      </c>
    </row>
    <row r="299" spans="1:17" ht="14.25" customHeight="1" x14ac:dyDescent="0.35">
      <c r="A299" s="1">
        <v>2024</v>
      </c>
      <c r="B299" s="1" t="s">
        <v>32</v>
      </c>
      <c r="C299" s="1">
        <v>24</v>
      </c>
      <c r="D299" s="12">
        <v>114.96899999999999</v>
      </c>
      <c r="E299" s="12">
        <f t="shared" si="4"/>
        <v>143.71125000000001</v>
      </c>
      <c r="F299" s="13">
        <v>98.156000000000006</v>
      </c>
      <c r="G299" s="21">
        <v>81.554000000000002</v>
      </c>
      <c r="H299" s="22">
        <v>1628.2470000000001</v>
      </c>
      <c r="I299" s="13">
        <v>6.9</v>
      </c>
      <c r="J299" s="23">
        <v>2.7E-2</v>
      </c>
      <c r="K299" s="13">
        <v>7.1849999999999996</v>
      </c>
      <c r="L299" s="24">
        <v>28.39</v>
      </c>
      <c r="M299" s="13">
        <v>5.2530000000000001</v>
      </c>
      <c r="N299" s="23">
        <v>1.2999999999999999E-2</v>
      </c>
      <c r="O299" s="22">
        <v>109.839</v>
      </c>
      <c r="P299" s="25">
        <v>4.5999999999999999E-2</v>
      </c>
      <c r="Q299" s="26">
        <v>0.68200000000000005</v>
      </c>
    </row>
    <row r="300" spans="1:17" ht="14.25" customHeight="1" x14ac:dyDescent="0.35">
      <c r="A300" s="1">
        <v>2024</v>
      </c>
      <c r="B300" s="1" t="s">
        <v>32</v>
      </c>
      <c r="C300" s="1">
        <v>25</v>
      </c>
      <c r="D300" s="12">
        <v>113.51600000000001</v>
      </c>
      <c r="E300" s="12">
        <f t="shared" si="4"/>
        <v>141.89500000000001</v>
      </c>
      <c r="F300" s="13">
        <v>96.968999999999994</v>
      </c>
      <c r="G300" s="21">
        <v>81.376999999999995</v>
      </c>
      <c r="H300" s="22">
        <v>1640.01</v>
      </c>
      <c r="I300" s="13">
        <v>6.899</v>
      </c>
      <c r="J300" s="23">
        <v>2.5000000000000001E-2</v>
      </c>
      <c r="K300" s="13">
        <v>6.907</v>
      </c>
      <c r="L300" s="24">
        <v>26.396999999999998</v>
      </c>
      <c r="M300" s="13">
        <v>5.3369999999999997</v>
      </c>
      <c r="N300" s="23">
        <v>1.2E-2</v>
      </c>
      <c r="O300" s="22">
        <v>92.504000000000005</v>
      </c>
      <c r="P300" s="25">
        <v>0.05</v>
      </c>
      <c r="Q300" s="26">
        <v>0.996</v>
      </c>
    </row>
    <row r="301" spans="1:17" ht="14.25" customHeight="1" x14ac:dyDescent="0.35">
      <c r="A301" s="1">
        <v>2024</v>
      </c>
      <c r="B301" s="1" t="s">
        <v>32</v>
      </c>
      <c r="C301" s="1">
        <v>26</v>
      </c>
      <c r="D301" s="12">
        <v>111.063</v>
      </c>
      <c r="E301" s="12">
        <f t="shared" si="4"/>
        <v>138.82875000000001</v>
      </c>
      <c r="F301" s="13">
        <v>94.906000000000006</v>
      </c>
      <c r="G301" s="21">
        <v>81.292000000000002</v>
      </c>
      <c r="H301" s="22">
        <v>1657.2629999999999</v>
      </c>
      <c r="I301" s="13">
        <v>6.9</v>
      </c>
      <c r="J301" s="23">
        <v>2.4E-2</v>
      </c>
      <c r="K301" s="13">
        <v>6.7169999999999996</v>
      </c>
      <c r="L301" s="24">
        <v>26.247</v>
      </c>
      <c r="M301" s="13">
        <v>5.4080000000000004</v>
      </c>
      <c r="N301" s="23">
        <v>1.2E-2</v>
      </c>
      <c r="O301" s="22">
        <v>77.251000000000005</v>
      </c>
      <c r="P301" s="25">
        <v>5.0999999999999997E-2</v>
      </c>
      <c r="Q301" s="26">
        <v>1.248</v>
      </c>
    </row>
    <row r="302" spans="1:17" ht="14.25" customHeight="1" x14ac:dyDescent="0.35">
      <c r="A302" s="1">
        <v>2024</v>
      </c>
      <c r="B302" s="1" t="s">
        <v>32</v>
      </c>
      <c r="C302" s="1">
        <v>27</v>
      </c>
      <c r="D302" s="12">
        <v>107.96899999999999</v>
      </c>
      <c r="E302" s="12">
        <f t="shared" si="4"/>
        <v>134.96125000000001</v>
      </c>
      <c r="F302" s="13">
        <v>92.218999999999994</v>
      </c>
      <c r="G302" s="21">
        <v>81.289000000000001</v>
      </c>
      <c r="H302" s="22">
        <v>1596.953</v>
      </c>
      <c r="I302" s="13">
        <v>6.9</v>
      </c>
      <c r="J302" s="23">
        <v>2.4E-2</v>
      </c>
      <c r="K302" s="13">
        <v>6.7309999999999999</v>
      </c>
      <c r="L302" s="24">
        <v>26.065000000000001</v>
      </c>
      <c r="M302" s="13">
        <v>5.423</v>
      </c>
      <c r="N302" s="23">
        <v>1.2E-2</v>
      </c>
      <c r="O302" s="22">
        <v>74.366</v>
      </c>
      <c r="P302" s="25">
        <v>4.8000000000000001E-2</v>
      </c>
      <c r="Q302" s="26">
        <v>1.24</v>
      </c>
    </row>
    <row r="303" spans="1:17" ht="14.25" customHeight="1" x14ac:dyDescent="0.35">
      <c r="A303" s="1">
        <v>2024</v>
      </c>
      <c r="B303" s="1" t="s">
        <v>32</v>
      </c>
      <c r="C303" s="1">
        <v>28</v>
      </c>
      <c r="D303" s="12">
        <v>110.89100000000001</v>
      </c>
      <c r="E303" s="12">
        <f t="shared" si="4"/>
        <v>138.61375000000001</v>
      </c>
      <c r="F303" s="13">
        <v>94.656000000000006</v>
      </c>
      <c r="G303" s="21">
        <v>81.114999999999995</v>
      </c>
      <c r="H303" s="22">
        <v>1583.5540000000001</v>
      </c>
      <c r="I303" s="13">
        <v>6.9009999999999998</v>
      </c>
      <c r="J303" s="23">
        <v>2.3E-2</v>
      </c>
      <c r="K303" s="13">
        <v>7.4989999999999997</v>
      </c>
      <c r="L303" s="24">
        <v>25.658999999999999</v>
      </c>
      <c r="M303" s="13">
        <v>5.3710000000000004</v>
      </c>
      <c r="N303" s="23">
        <v>1.2E-2</v>
      </c>
      <c r="O303" s="22">
        <v>83.921000000000006</v>
      </c>
      <c r="P303" s="25">
        <v>5.0999999999999997E-2</v>
      </c>
      <c r="Q303" s="26">
        <v>1.288</v>
      </c>
    </row>
    <row r="304" spans="1:17" ht="14.25" customHeight="1" x14ac:dyDescent="0.35">
      <c r="A304" s="1">
        <v>2024</v>
      </c>
      <c r="B304" s="1" t="s">
        <v>32</v>
      </c>
      <c r="C304" s="1">
        <v>29</v>
      </c>
      <c r="D304" s="12">
        <v>111.438</v>
      </c>
      <c r="E304" s="12">
        <f t="shared" si="4"/>
        <v>139.29750000000001</v>
      </c>
      <c r="F304" s="13">
        <v>95.063000000000002</v>
      </c>
      <c r="G304" s="21">
        <v>80.816000000000003</v>
      </c>
      <c r="H304" s="22">
        <v>1640.979</v>
      </c>
      <c r="I304" s="13">
        <v>6.9</v>
      </c>
      <c r="J304" s="23">
        <v>2.3E-2</v>
      </c>
      <c r="K304" s="13">
        <v>8.0389999999999997</v>
      </c>
      <c r="L304" s="24">
        <v>27.399000000000001</v>
      </c>
      <c r="M304" s="13">
        <v>5.3579999999999997</v>
      </c>
      <c r="N304" s="23">
        <v>1.2E-2</v>
      </c>
      <c r="O304" s="22">
        <v>86.605000000000004</v>
      </c>
      <c r="P304" s="25">
        <v>5.6000000000000001E-2</v>
      </c>
      <c r="Q304" s="26">
        <v>1.2</v>
      </c>
    </row>
    <row r="305" spans="1:17" ht="14.25" customHeight="1" x14ac:dyDescent="0.35">
      <c r="A305" s="1">
        <v>2024</v>
      </c>
      <c r="B305" s="1" t="s">
        <v>32</v>
      </c>
      <c r="C305" s="1">
        <v>30</v>
      </c>
      <c r="D305" s="12">
        <v>111.313</v>
      </c>
      <c r="E305" s="12">
        <f t="shared" si="4"/>
        <v>139.14125000000001</v>
      </c>
      <c r="F305" s="13">
        <v>94.843999999999994</v>
      </c>
      <c r="G305" s="21">
        <v>80.676000000000002</v>
      </c>
      <c r="H305" s="22">
        <v>1668.152</v>
      </c>
      <c r="I305" s="13">
        <v>6.9</v>
      </c>
      <c r="J305" s="23">
        <v>2.3E-2</v>
      </c>
      <c r="K305" s="13">
        <v>7.71</v>
      </c>
      <c r="L305" s="24">
        <v>28.690999999999999</v>
      </c>
      <c r="M305" s="13">
        <v>5.3410000000000002</v>
      </c>
      <c r="N305" s="23">
        <v>1.2E-2</v>
      </c>
      <c r="O305" s="22">
        <v>89.873999999999995</v>
      </c>
      <c r="P305" s="25">
        <v>0.05</v>
      </c>
      <c r="Q305" s="26">
        <v>1.1259999999999999</v>
      </c>
    </row>
    <row r="306" spans="1:17" ht="14.25" customHeight="1" x14ac:dyDescent="0.35">
      <c r="A306" s="1">
        <v>2024</v>
      </c>
      <c r="B306" s="1" t="s">
        <v>32</v>
      </c>
      <c r="C306" s="1">
        <v>31</v>
      </c>
      <c r="D306" s="34">
        <v>108.188</v>
      </c>
      <c r="E306" s="12">
        <f t="shared" si="4"/>
        <v>135.23500000000001</v>
      </c>
      <c r="F306" s="35">
        <v>92.156000000000006</v>
      </c>
      <c r="G306" s="36">
        <v>80.441999999999993</v>
      </c>
      <c r="H306" s="37">
        <v>1688.7270000000001</v>
      </c>
      <c r="I306" s="35">
        <v>6.9</v>
      </c>
      <c r="J306" s="38">
        <v>2.3E-2</v>
      </c>
      <c r="K306" s="35">
        <v>7.7110000000000003</v>
      </c>
      <c r="L306" s="39">
        <v>29.47</v>
      </c>
      <c r="M306" s="35">
        <v>5.3570000000000002</v>
      </c>
      <c r="N306" s="38">
        <v>1.2E-2</v>
      </c>
      <c r="O306" s="37">
        <v>86.631</v>
      </c>
      <c r="P306" s="40">
        <v>6.0999999999999999E-2</v>
      </c>
      <c r="Q306" s="41">
        <v>1.0740000000000001</v>
      </c>
    </row>
    <row r="307" spans="1:17" ht="14.25" customHeight="1" x14ac:dyDescent="0.35">
      <c r="A307" s="1">
        <v>2024</v>
      </c>
      <c r="B307" s="1" t="s">
        <v>33</v>
      </c>
      <c r="C307" s="1">
        <v>1</v>
      </c>
      <c r="D307" s="47">
        <v>107.313</v>
      </c>
      <c r="E307" s="12">
        <f t="shared" si="4"/>
        <v>134.14125000000001</v>
      </c>
      <c r="F307" s="16">
        <v>91.281000000000006</v>
      </c>
      <c r="G307" s="14">
        <v>80.16</v>
      </c>
      <c r="H307" s="15">
        <v>1718.74</v>
      </c>
      <c r="I307" s="16">
        <v>6.9</v>
      </c>
      <c r="J307" s="17">
        <v>0.02</v>
      </c>
      <c r="K307" s="16">
        <v>7.79</v>
      </c>
      <c r="L307" s="18">
        <v>29</v>
      </c>
      <c r="M307" s="16">
        <v>5.45</v>
      </c>
      <c r="N307" s="17">
        <v>0.01</v>
      </c>
      <c r="O307" s="15">
        <v>72.13</v>
      </c>
      <c r="P307" s="19">
        <v>0.06</v>
      </c>
      <c r="Q307" s="20">
        <v>1.07</v>
      </c>
    </row>
    <row r="308" spans="1:17" ht="14.25" customHeight="1" x14ac:dyDescent="0.35">
      <c r="A308" s="1">
        <v>2024</v>
      </c>
      <c r="B308" s="1" t="s">
        <v>33</v>
      </c>
      <c r="C308" s="1">
        <v>2</v>
      </c>
      <c r="D308" s="48">
        <v>115.39100000000001</v>
      </c>
      <c r="E308" s="12">
        <f t="shared" si="4"/>
        <v>144.23875000000001</v>
      </c>
      <c r="F308" s="13">
        <v>98.031000000000006</v>
      </c>
      <c r="G308" s="21">
        <v>80.245000000000005</v>
      </c>
      <c r="H308" s="22">
        <v>1657.16</v>
      </c>
      <c r="I308" s="13">
        <v>6.9</v>
      </c>
      <c r="J308" s="23">
        <v>2.3E-2</v>
      </c>
      <c r="K308" s="13">
        <v>8.1310000000000002</v>
      </c>
      <c r="L308" s="24">
        <v>29.620999999999999</v>
      </c>
      <c r="M308" s="13">
        <v>5.5110000000000001</v>
      </c>
      <c r="N308" s="23">
        <v>1.3100000000000001E-2</v>
      </c>
      <c r="O308" s="22">
        <v>60.902000000000001</v>
      </c>
      <c r="P308" s="25">
        <v>6.2E-2</v>
      </c>
      <c r="Q308" s="26">
        <v>1.1499999999999999</v>
      </c>
    </row>
    <row r="309" spans="1:17" ht="14.25" customHeight="1" x14ac:dyDescent="0.35">
      <c r="A309" s="1">
        <v>2024</v>
      </c>
      <c r="B309" s="1" t="s">
        <v>33</v>
      </c>
      <c r="C309" s="1">
        <v>3</v>
      </c>
      <c r="D309" s="48">
        <v>115.797</v>
      </c>
      <c r="E309" s="12">
        <f t="shared" si="4"/>
        <v>144.74625</v>
      </c>
      <c r="F309" s="13">
        <v>98.438000000000002</v>
      </c>
      <c r="G309" s="21">
        <v>80.293000000000006</v>
      </c>
      <c r="H309" s="22">
        <v>1586.095</v>
      </c>
      <c r="I309" s="13">
        <v>6.9</v>
      </c>
      <c r="J309" s="23">
        <v>2.3E-2</v>
      </c>
      <c r="K309" s="13">
        <v>8.2910000000000004</v>
      </c>
      <c r="L309" s="24">
        <v>29.134</v>
      </c>
      <c r="M309" s="13">
        <v>5.5380000000000003</v>
      </c>
      <c r="N309" s="23">
        <v>1.2999999999999999E-2</v>
      </c>
      <c r="O309" s="22">
        <v>60.902000000000001</v>
      </c>
      <c r="P309" s="25">
        <v>5.0999999999999997E-2</v>
      </c>
      <c r="Q309" s="26">
        <v>1.2250000000000001</v>
      </c>
    </row>
    <row r="310" spans="1:17" ht="14.25" customHeight="1" x14ac:dyDescent="0.35">
      <c r="A310" s="1">
        <v>2024</v>
      </c>
      <c r="B310" s="1" t="s">
        <v>33</v>
      </c>
      <c r="C310" s="1">
        <v>4</v>
      </c>
      <c r="D310" s="48">
        <v>100.01600000000001</v>
      </c>
      <c r="E310" s="12">
        <f t="shared" si="4"/>
        <v>125.02000000000001</v>
      </c>
      <c r="F310" s="13">
        <v>84.906000000000006</v>
      </c>
      <c r="G310" s="21">
        <v>80.159000000000006</v>
      </c>
      <c r="H310" s="22">
        <v>1575.855</v>
      </c>
      <c r="I310" s="13">
        <v>6.9</v>
      </c>
      <c r="J310" s="23">
        <v>2.3E-2</v>
      </c>
      <c r="K310" s="13">
        <v>8.3209999999999997</v>
      </c>
      <c r="L310" s="24">
        <v>28.957000000000001</v>
      </c>
      <c r="M310" s="13">
        <v>5.5389999999999997</v>
      </c>
      <c r="N310" s="23">
        <v>1.2999999999999999E-2</v>
      </c>
      <c r="O310" s="22">
        <v>57.174999999999997</v>
      </c>
      <c r="P310" s="25">
        <v>5.5E-2</v>
      </c>
      <c r="Q310" s="26">
        <v>1.28</v>
      </c>
    </row>
    <row r="311" spans="1:17" ht="14.25" customHeight="1" x14ac:dyDescent="0.35">
      <c r="A311" s="1">
        <v>2024</v>
      </c>
      <c r="B311" s="1" t="s">
        <v>33</v>
      </c>
      <c r="C311" s="1">
        <v>5</v>
      </c>
      <c r="D311" s="48">
        <v>6.375</v>
      </c>
      <c r="E311" s="12">
        <f t="shared" si="4"/>
        <v>7.96875</v>
      </c>
      <c r="F311" s="13">
        <v>5.3129999999999997</v>
      </c>
      <c r="G311" s="21">
        <v>74.558999999999997</v>
      </c>
      <c r="H311" s="22">
        <v>1639.6410000000001</v>
      </c>
      <c r="I311" s="13">
        <v>6.7160000000000002</v>
      </c>
      <c r="J311" s="23">
        <v>5.8000000000000003E-2</v>
      </c>
      <c r="K311" s="13">
        <v>4.0810000000000004</v>
      </c>
      <c r="L311" s="24">
        <v>40.133000000000003</v>
      </c>
      <c r="M311" s="13">
        <v>5.8570000000000002</v>
      </c>
      <c r="N311" s="23">
        <v>1.7999999999999999E-2</v>
      </c>
      <c r="O311" s="22">
        <v>29.611999999999998</v>
      </c>
      <c r="P311" s="25">
        <v>7.1999999999999995E-2</v>
      </c>
      <c r="Q311" s="26">
        <v>6.1820000000000004</v>
      </c>
    </row>
    <row r="312" spans="1:17" ht="14.25" customHeight="1" x14ac:dyDescent="0.35">
      <c r="A312" s="1">
        <v>2024</v>
      </c>
      <c r="B312" s="1" t="s">
        <v>33</v>
      </c>
      <c r="C312" s="1">
        <v>6</v>
      </c>
      <c r="D312" s="48">
        <v>10.734</v>
      </c>
      <c r="E312" s="12">
        <f t="shared" si="4"/>
        <v>13.4175</v>
      </c>
      <c r="F312" s="13">
        <v>9.2810000000000006</v>
      </c>
      <c r="G312" s="21">
        <v>73.798000000000002</v>
      </c>
      <c r="H312" s="22">
        <v>1674.896</v>
      </c>
      <c r="I312" s="13">
        <v>6.7729999999999997</v>
      </c>
      <c r="J312" s="23">
        <v>0.06</v>
      </c>
      <c r="K312" s="13">
        <v>8.0109999999999992</v>
      </c>
      <c r="L312" s="24">
        <v>53.286999999999999</v>
      </c>
      <c r="M312" s="13">
        <v>5.67</v>
      </c>
      <c r="N312" s="23">
        <v>2.7E-2</v>
      </c>
      <c r="O312" s="22">
        <v>42.905000000000001</v>
      </c>
      <c r="P312" s="25">
        <v>8.3000000000000004E-2</v>
      </c>
      <c r="Q312" s="26">
        <v>6.4749999999999996</v>
      </c>
    </row>
    <row r="313" spans="1:17" ht="14.25" customHeight="1" x14ac:dyDescent="0.35">
      <c r="A313" s="1">
        <v>2024</v>
      </c>
      <c r="B313" s="1" t="s">
        <v>33</v>
      </c>
      <c r="C313" s="1">
        <v>7</v>
      </c>
      <c r="D313" s="48">
        <v>53.688000000000002</v>
      </c>
      <c r="E313" s="12">
        <f t="shared" si="4"/>
        <v>67.11</v>
      </c>
      <c r="F313" s="13">
        <v>45.719000000000001</v>
      </c>
      <c r="G313" s="21">
        <v>79.281000000000006</v>
      </c>
      <c r="H313" s="22">
        <v>1722.059</v>
      </c>
      <c r="I313" s="13">
        <v>6.875</v>
      </c>
      <c r="J313" s="23">
        <v>3.2000000000000001E-2</v>
      </c>
      <c r="K313" s="13">
        <v>7.3780000000000001</v>
      </c>
      <c r="L313" s="24">
        <v>39.530999999999999</v>
      </c>
      <c r="M313" s="13">
        <v>5.5789999999999997</v>
      </c>
      <c r="N313" s="23">
        <v>1.4999999999999999E-2</v>
      </c>
      <c r="O313" s="22">
        <v>53.027000000000001</v>
      </c>
      <c r="P313" s="25">
        <v>0.105</v>
      </c>
      <c r="Q313" s="26">
        <v>1.0109999999999999</v>
      </c>
    </row>
    <row r="314" spans="1:17" ht="14.25" customHeight="1" x14ac:dyDescent="0.35">
      <c r="A314" s="1">
        <v>2024</v>
      </c>
      <c r="B314" s="1" t="s">
        <v>33</v>
      </c>
      <c r="C314" s="1">
        <v>8</v>
      </c>
      <c r="D314" s="48">
        <v>123.21899999999999</v>
      </c>
      <c r="E314" s="12">
        <f t="shared" si="4"/>
        <v>154.02375000000001</v>
      </c>
      <c r="F314" s="13">
        <v>104.875</v>
      </c>
      <c r="G314" s="21">
        <v>79.305999999999997</v>
      </c>
      <c r="H314" s="22">
        <v>1673.0070000000001</v>
      </c>
      <c r="I314" s="13">
        <v>6.9</v>
      </c>
      <c r="J314" s="23">
        <v>2.3E-2</v>
      </c>
      <c r="K314" s="13">
        <v>7.7720000000000002</v>
      </c>
      <c r="L314" s="24">
        <v>29.916</v>
      </c>
      <c r="M314" s="13">
        <v>5.3730000000000002</v>
      </c>
      <c r="N314" s="23">
        <v>1.2E-2</v>
      </c>
      <c r="O314" s="22">
        <v>84.608999999999995</v>
      </c>
      <c r="P314" s="25">
        <v>0.06</v>
      </c>
      <c r="Q314" s="26">
        <v>0.54200000000000004</v>
      </c>
    </row>
    <row r="315" spans="1:17" ht="14.25" customHeight="1" x14ac:dyDescent="0.35">
      <c r="A315" s="1">
        <v>2024</v>
      </c>
      <c r="B315" s="1" t="s">
        <v>33</v>
      </c>
      <c r="C315" s="1">
        <v>9</v>
      </c>
      <c r="D315" s="48">
        <v>122</v>
      </c>
      <c r="E315" s="12">
        <f t="shared" si="4"/>
        <v>152.5</v>
      </c>
      <c r="F315" s="13">
        <v>103.84399999999999</v>
      </c>
      <c r="G315" s="21">
        <v>79.161000000000001</v>
      </c>
      <c r="H315" s="22">
        <v>1622.413</v>
      </c>
      <c r="I315" s="13">
        <v>6.9</v>
      </c>
      <c r="J315" s="23">
        <v>2.4E-2</v>
      </c>
      <c r="K315" s="13">
        <v>8.2089999999999996</v>
      </c>
      <c r="L315" s="24">
        <v>28.48</v>
      </c>
      <c r="M315" s="13">
        <v>5.3330000000000002</v>
      </c>
      <c r="N315" s="23">
        <v>1.2999999999999999E-2</v>
      </c>
      <c r="O315" s="22">
        <v>91.721999999999994</v>
      </c>
      <c r="P315" s="25">
        <v>5.8000000000000003E-2</v>
      </c>
      <c r="Q315" s="26">
        <v>0.437</v>
      </c>
    </row>
    <row r="316" spans="1:17" ht="14.25" customHeight="1" x14ac:dyDescent="0.35">
      <c r="A316" s="1">
        <v>2024</v>
      </c>
      <c r="B316" s="1" t="s">
        <v>33</v>
      </c>
      <c r="C316" s="1">
        <v>10</v>
      </c>
      <c r="D316" s="48">
        <v>121.75</v>
      </c>
      <c r="E316" s="12">
        <f t="shared" si="4"/>
        <v>152.1875</v>
      </c>
      <c r="F316" s="13">
        <v>103.625</v>
      </c>
      <c r="G316" s="27">
        <v>79.337999999999994</v>
      </c>
      <c r="H316" s="22">
        <v>1522.6969999999999</v>
      </c>
      <c r="I316" s="13">
        <v>6.9</v>
      </c>
      <c r="J316" s="23">
        <v>2.3E-2</v>
      </c>
      <c r="K316" s="28">
        <v>8.0939999999999994</v>
      </c>
      <c r="L316" s="24">
        <v>27.216000000000001</v>
      </c>
      <c r="M316" s="13">
        <v>5.3230000000000004</v>
      </c>
      <c r="N316" s="29">
        <v>1.2E-2</v>
      </c>
      <c r="O316" s="22">
        <v>93.611999999999995</v>
      </c>
      <c r="P316" s="30">
        <v>5.2999999999999999E-2</v>
      </c>
      <c r="Q316" s="31">
        <v>0.42</v>
      </c>
    </row>
    <row r="317" spans="1:17" ht="14.25" customHeight="1" x14ac:dyDescent="0.35">
      <c r="A317" s="1">
        <v>2024</v>
      </c>
      <c r="B317" s="1" t="s">
        <v>33</v>
      </c>
      <c r="C317" s="1">
        <v>11</v>
      </c>
      <c r="D317" s="48">
        <v>121.5</v>
      </c>
      <c r="E317" s="12">
        <f t="shared" si="4"/>
        <v>151.875</v>
      </c>
      <c r="F317" s="13">
        <v>103.375</v>
      </c>
      <c r="G317" s="27">
        <v>79.278999999999996</v>
      </c>
      <c r="H317" s="22">
        <v>1514.415</v>
      </c>
      <c r="I317" s="13">
        <v>6.9</v>
      </c>
      <c r="J317" s="23">
        <v>2.4E-2</v>
      </c>
      <c r="K317" s="28">
        <v>8.1679999999999993</v>
      </c>
      <c r="L317" s="24">
        <v>27.943999999999999</v>
      </c>
      <c r="M317" s="13">
        <v>5.3239999999999998</v>
      </c>
      <c r="N317" s="29">
        <v>1.2999999999999999E-2</v>
      </c>
      <c r="O317" s="22">
        <v>93.475999999999999</v>
      </c>
      <c r="P317" s="30">
        <v>5.0999999999999997E-2</v>
      </c>
      <c r="Q317" s="31">
        <v>0.36799999999999999</v>
      </c>
    </row>
    <row r="318" spans="1:17" ht="14.25" customHeight="1" x14ac:dyDescent="0.35">
      <c r="A318" s="1">
        <v>2024</v>
      </c>
      <c r="B318" s="1" t="s">
        <v>33</v>
      </c>
      <c r="C318" s="1">
        <v>12</v>
      </c>
      <c r="D318" s="48">
        <v>124.813</v>
      </c>
      <c r="E318" s="12">
        <f t="shared" si="4"/>
        <v>156.01625000000001</v>
      </c>
      <c r="F318" s="13">
        <v>106.03100000000001</v>
      </c>
      <c r="G318" s="27">
        <v>79.483000000000004</v>
      </c>
      <c r="H318" s="22">
        <v>1567.115</v>
      </c>
      <c r="I318" s="13">
        <v>6.9</v>
      </c>
      <c r="J318" s="23">
        <v>2.4E-2</v>
      </c>
      <c r="K318" s="28">
        <v>8.5909999999999993</v>
      </c>
      <c r="L318" s="24">
        <v>27.524999999999999</v>
      </c>
      <c r="M318" s="13">
        <v>5.3209999999999997</v>
      </c>
      <c r="N318" s="29">
        <v>1.2E-2</v>
      </c>
      <c r="O318" s="22">
        <v>94.356999999999999</v>
      </c>
      <c r="P318" s="30">
        <v>5.3999999999999999E-2</v>
      </c>
      <c r="Q318" s="31">
        <v>0.437</v>
      </c>
    </row>
    <row r="319" spans="1:17" ht="14.25" customHeight="1" x14ac:dyDescent="0.35">
      <c r="A319" s="1">
        <v>2024</v>
      </c>
      <c r="B319" s="1" t="s">
        <v>33</v>
      </c>
      <c r="C319" s="1">
        <v>13</v>
      </c>
      <c r="D319" s="48">
        <v>128.73400000000001</v>
      </c>
      <c r="E319" s="12">
        <f t="shared" si="4"/>
        <v>160.91750000000002</v>
      </c>
      <c r="F319" s="13">
        <v>109.313</v>
      </c>
      <c r="G319" s="27">
        <v>79.287999999999997</v>
      </c>
      <c r="H319" s="22">
        <v>1823.08</v>
      </c>
      <c r="I319" s="13">
        <v>6.9</v>
      </c>
      <c r="J319" s="23">
        <v>2.5000000000000001E-2</v>
      </c>
      <c r="K319" s="28">
        <v>8.2159999999999993</v>
      </c>
      <c r="L319" s="24">
        <v>31.664999999999999</v>
      </c>
      <c r="M319" s="13">
        <v>5.335</v>
      </c>
      <c r="N319" s="23">
        <v>1.2E-2</v>
      </c>
      <c r="O319" s="22">
        <v>91.406999999999996</v>
      </c>
      <c r="P319" s="30">
        <v>5.3999999999999999E-2</v>
      </c>
      <c r="Q319" s="31">
        <v>0.41699999999999998</v>
      </c>
    </row>
    <row r="320" spans="1:17" ht="14.25" customHeight="1" x14ac:dyDescent="0.35">
      <c r="A320" s="1">
        <v>2024</v>
      </c>
      <c r="B320" s="1" t="s">
        <v>33</v>
      </c>
      <c r="C320" s="1">
        <v>14</v>
      </c>
      <c r="D320" s="48">
        <v>135.56299999999999</v>
      </c>
      <c r="E320" s="12">
        <f t="shared" si="4"/>
        <v>169.45374999999999</v>
      </c>
      <c r="F320" s="13">
        <v>115</v>
      </c>
      <c r="G320" s="21">
        <v>78.822999999999993</v>
      </c>
      <c r="H320" s="22">
        <v>2222.134</v>
      </c>
      <c r="I320" s="13">
        <v>6.9</v>
      </c>
      <c r="J320" s="23">
        <v>2.5000000000000001E-2</v>
      </c>
      <c r="K320" s="28">
        <v>7.2450000000000001</v>
      </c>
      <c r="L320" s="33">
        <v>37.497</v>
      </c>
      <c r="M320" s="13">
        <v>5.34</v>
      </c>
      <c r="N320" s="23">
        <v>1.2E-2</v>
      </c>
      <c r="O320" s="22">
        <v>89.772999999999996</v>
      </c>
      <c r="P320" s="30">
        <v>5.3999999999999999E-2</v>
      </c>
      <c r="Q320" s="31">
        <v>0.51200000000000001</v>
      </c>
    </row>
    <row r="321" spans="1:17" ht="14.25" customHeight="1" x14ac:dyDescent="0.35">
      <c r="A321" s="1">
        <v>2024</v>
      </c>
      <c r="B321" s="1" t="s">
        <v>33</v>
      </c>
      <c r="C321" s="1">
        <v>15</v>
      </c>
      <c r="D321" s="48">
        <v>135.60900000000001</v>
      </c>
      <c r="E321" s="12">
        <f t="shared" si="4"/>
        <v>169.51125000000002</v>
      </c>
      <c r="F321" s="13">
        <v>115</v>
      </c>
      <c r="G321" s="21">
        <v>78.414000000000001</v>
      </c>
      <c r="H321" s="22">
        <v>2215.3159999999998</v>
      </c>
      <c r="I321" s="13">
        <v>6.9</v>
      </c>
      <c r="J321" s="23">
        <v>2.5000000000000001E-2</v>
      </c>
      <c r="K321" s="28">
        <v>6.6180000000000003</v>
      </c>
      <c r="L321" s="24">
        <v>36.308999999999997</v>
      </c>
      <c r="M321" s="13">
        <v>5.34</v>
      </c>
      <c r="N321" s="23">
        <v>1.2E-2</v>
      </c>
      <c r="O321" s="22">
        <v>89.918000000000006</v>
      </c>
      <c r="P321" s="30">
        <v>5.1999999999999998E-2</v>
      </c>
      <c r="Q321" s="31">
        <v>1.014</v>
      </c>
    </row>
    <row r="322" spans="1:17" ht="14.25" customHeight="1" x14ac:dyDescent="0.35">
      <c r="A322" s="1">
        <v>2024</v>
      </c>
      <c r="B322" s="1" t="s">
        <v>33</v>
      </c>
      <c r="C322" s="1">
        <v>16</v>
      </c>
      <c r="D322" s="48">
        <v>135.39099999999999</v>
      </c>
      <c r="E322" s="12">
        <f t="shared" si="4"/>
        <v>169.23874999999998</v>
      </c>
      <c r="F322" s="13">
        <v>114.84399999999999</v>
      </c>
      <c r="G322" s="21">
        <v>78.210999999999999</v>
      </c>
      <c r="H322" s="22">
        <v>2167.0680000000002</v>
      </c>
      <c r="I322" s="13">
        <v>6.9</v>
      </c>
      <c r="J322" s="23">
        <v>2.5000000000000001E-2</v>
      </c>
      <c r="K322" s="28">
        <v>6.819</v>
      </c>
      <c r="L322" s="24">
        <v>36.530999999999999</v>
      </c>
      <c r="M322" s="13">
        <v>5.3419999999999996</v>
      </c>
      <c r="N322" s="23">
        <v>1.2E-2</v>
      </c>
      <c r="O322" s="22">
        <v>89.48</v>
      </c>
      <c r="P322" s="30">
        <v>4.9000000000000002E-2</v>
      </c>
      <c r="Q322" s="31">
        <v>1.5920000000000001</v>
      </c>
    </row>
    <row r="323" spans="1:17" ht="14.25" customHeight="1" x14ac:dyDescent="0.35">
      <c r="A323" s="1">
        <v>2024</v>
      </c>
      <c r="B323" s="1" t="s">
        <v>33</v>
      </c>
      <c r="C323" s="1">
        <v>17</v>
      </c>
      <c r="D323" s="48">
        <v>135.46899999999999</v>
      </c>
      <c r="E323" s="12">
        <f t="shared" si="4"/>
        <v>169.33625000000001</v>
      </c>
      <c r="F323" s="13">
        <v>115.03100000000001</v>
      </c>
      <c r="G323" s="21">
        <v>78.063000000000002</v>
      </c>
      <c r="H323" s="22">
        <v>2093.2339999999999</v>
      </c>
      <c r="I323" s="13">
        <v>6.9</v>
      </c>
      <c r="J323" s="23">
        <v>2.4E-2</v>
      </c>
      <c r="K323" s="13">
        <v>7.0039999999999996</v>
      </c>
      <c r="L323" s="24">
        <v>34.951000000000001</v>
      </c>
      <c r="M323" s="13">
        <v>5.3419999999999996</v>
      </c>
      <c r="N323" s="23">
        <v>1.2E-2</v>
      </c>
      <c r="O323" s="22">
        <v>89.656999999999996</v>
      </c>
      <c r="P323" s="25">
        <v>4.5999999999999999E-2</v>
      </c>
      <c r="Q323" s="26">
        <v>1.6970000000000001</v>
      </c>
    </row>
    <row r="324" spans="1:17" ht="14.25" customHeight="1" x14ac:dyDescent="0.35">
      <c r="A324" s="1">
        <v>2024</v>
      </c>
      <c r="B324" s="1" t="s">
        <v>33</v>
      </c>
      <c r="C324" s="1">
        <v>18</v>
      </c>
      <c r="D324" s="48">
        <v>135.43799999999999</v>
      </c>
      <c r="E324" s="12">
        <f t="shared" si="4"/>
        <v>169.29749999999999</v>
      </c>
      <c r="F324" s="13">
        <v>114.96899999999999</v>
      </c>
      <c r="G324" s="21">
        <v>78.022000000000006</v>
      </c>
      <c r="H324" s="22">
        <v>2066.8510000000001</v>
      </c>
      <c r="I324" s="13">
        <v>6.9</v>
      </c>
      <c r="J324" s="23">
        <v>2.4E-2</v>
      </c>
      <c r="K324" s="13">
        <v>7.6639999999999997</v>
      </c>
      <c r="L324" s="24">
        <v>34.301000000000002</v>
      </c>
      <c r="M324" s="13">
        <v>5.3520000000000003</v>
      </c>
      <c r="N324" s="23">
        <v>1.2E-2</v>
      </c>
      <c r="O324" s="22">
        <v>87.474999999999994</v>
      </c>
      <c r="P324" s="25">
        <v>4.4999999999999998E-2</v>
      </c>
      <c r="Q324" s="26">
        <v>1.732</v>
      </c>
    </row>
    <row r="325" spans="1:17" ht="14.25" customHeight="1" x14ac:dyDescent="0.35">
      <c r="A325" s="1">
        <v>2024</v>
      </c>
      <c r="B325" s="1" t="s">
        <v>33</v>
      </c>
      <c r="C325" s="1">
        <v>19</v>
      </c>
      <c r="D325" s="48">
        <v>135.453</v>
      </c>
      <c r="E325" s="12">
        <f t="shared" si="4"/>
        <v>169.31625</v>
      </c>
      <c r="F325" s="13">
        <v>115.03100000000001</v>
      </c>
      <c r="G325" s="21">
        <v>78.233999999999995</v>
      </c>
      <c r="H325" s="22">
        <v>2178.9079999999999</v>
      </c>
      <c r="I325" s="13">
        <v>6.9</v>
      </c>
      <c r="J325" s="23">
        <v>2.4E-2</v>
      </c>
      <c r="K325" s="13">
        <v>7.6479999999999997</v>
      </c>
      <c r="L325" s="24">
        <v>35.918999999999997</v>
      </c>
      <c r="M325" s="13">
        <v>5.3470000000000004</v>
      </c>
      <c r="N325" s="23">
        <v>1.2E-2</v>
      </c>
      <c r="O325" s="22">
        <v>88.697000000000003</v>
      </c>
      <c r="P325" s="25">
        <v>4.9000000000000002E-2</v>
      </c>
      <c r="Q325" s="26">
        <v>1.7170000000000001</v>
      </c>
    </row>
    <row r="326" spans="1:17" ht="14.25" customHeight="1" x14ac:dyDescent="0.35">
      <c r="A326" s="1">
        <v>2024</v>
      </c>
      <c r="B326" s="1" t="s">
        <v>33</v>
      </c>
      <c r="C326" s="1">
        <v>20</v>
      </c>
      <c r="D326" s="48">
        <v>138.46899999999999</v>
      </c>
      <c r="E326" s="12">
        <f t="shared" si="4"/>
        <v>173.08625000000001</v>
      </c>
      <c r="F326" s="13">
        <v>117.625</v>
      </c>
      <c r="G326" s="21">
        <v>78.379000000000005</v>
      </c>
      <c r="H326" s="22">
        <v>2251.9760000000001</v>
      </c>
      <c r="I326" s="13">
        <v>6.9</v>
      </c>
      <c r="J326" s="23">
        <v>2.4E-2</v>
      </c>
      <c r="K326" s="13">
        <v>7.5259999999999998</v>
      </c>
      <c r="L326" s="24">
        <v>36.530999999999999</v>
      </c>
      <c r="M326" s="13">
        <v>5.3280000000000003</v>
      </c>
      <c r="N326" s="23">
        <v>1.2E-2</v>
      </c>
      <c r="O326" s="22">
        <v>92.644999999999996</v>
      </c>
      <c r="P326" s="25">
        <v>4.9000000000000002E-2</v>
      </c>
      <c r="Q326" s="26">
        <v>1.6220000000000001</v>
      </c>
    </row>
    <row r="327" spans="1:17" ht="14.25" customHeight="1" x14ac:dyDescent="0.35">
      <c r="A327" s="1">
        <v>2024</v>
      </c>
      <c r="B327" s="1" t="s">
        <v>33</v>
      </c>
      <c r="C327" s="1">
        <v>21</v>
      </c>
      <c r="D327" s="48">
        <v>141.797</v>
      </c>
      <c r="E327" s="12">
        <f t="shared" si="4"/>
        <v>177.24625</v>
      </c>
      <c r="F327" s="13">
        <v>120.71899999999999</v>
      </c>
      <c r="G327" s="21">
        <v>78.097999999999999</v>
      </c>
      <c r="H327" s="22">
        <v>2190.3310000000001</v>
      </c>
      <c r="I327" s="13">
        <v>6.9</v>
      </c>
      <c r="J327" s="23">
        <v>2.4E-2</v>
      </c>
      <c r="K327" s="13">
        <v>7.7149999999999999</v>
      </c>
      <c r="L327" s="24">
        <v>35.908000000000001</v>
      </c>
      <c r="M327" s="13">
        <v>5.3529999999999998</v>
      </c>
      <c r="N327" s="23">
        <v>1.2E-2</v>
      </c>
      <c r="O327" s="22">
        <v>87.415000000000006</v>
      </c>
      <c r="P327" s="25">
        <v>5.0999999999999997E-2</v>
      </c>
      <c r="Q327" s="26">
        <v>1.6819999999999999</v>
      </c>
    </row>
    <row r="328" spans="1:17" ht="14.25" customHeight="1" x14ac:dyDescent="0.35">
      <c r="A328" s="1">
        <v>2024</v>
      </c>
      <c r="B328" s="1" t="s">
        <v>33</v>
      </c>
      <c r="C328" s="1">
        <v>22</v>
      </c>
      <c r="D328" s="48">
        <v>141.125</v>
      </c>
      <c r="E328" s="12">
        <f t="shared" si="4"/>
        <v>176.40625</v>
      </c>
      <c r="F328" s="13">
        <v>119.96899999999999</v>
      </c>
      <c r="G328" s="21">
        <v>77.926000000000002</v>
      </c>
      <c r="H328" s="22">
        <v>2122.5210000000002</v>
      </c>
      <c r="I328" s="13">
        <v>6.9</v>
      </c>
      <c r="J328" s="23">
        <v>2.5999999999999999E-2</v>
      </c>
      <c r="K328" s="13">
        <v>7.665</v>
      </c>
      <c r="L328" s="24">
        <v>34.655999999999999</v>
      </c>
      <c r="M328" s="13">
        <v>5.5069999999999997</v>
      </c>
      <c r="N328" s="23">
        <v>1.2E-2</v>
      </c>
      <c r="O328" s="22">
        <v>65.622</v>
      </c>
      <c r="P328" s="25">
        <v>0.05</v>
      </c>
      <c r="Q328" s="26">
        <v>1.724</v>
      </c>
    </row>
    <row r="329" spans="1:17" ht="14.25" customHeight="1" x14ac:dyDescent="0.35">
      <c r="A329" s="1">
        <v>2024</v>
      </c>
      <c r="B329" s="1" t="s">
        <v>33</v>
      </c>
      <c r="C329" s="1">
        <v>23</v>
      </c>
      <c r="D329" s="48">
        <v>139.56299999999999</v>
      </c>
      <c r="E329" s="12">
        <f t="shared" si="4"/>
        <v>174.45374999999999</v>
      </c>
      <c r="F329" s="13">
        <v>118.563</v>
      </c>
      <c r="G329" s="21">
        <v>78.061999999999998</v>
      </c>
      <c r="H329" s="22">
        <v>2105.1039999999998</v>
      </c>
      <c r="I329" s="13">
        <v>6.9</v>
      </c>
      <c r="J329" s="23">
        <v>2.7E-2</v>
      </c>
      <c r="K329" s="13">
        <v>7.6769999999999996</v>
      </c>
      <c r="L329" s="24">
        <v>34.771000000000001</v>
      </c>
      <c r="M329" s="13">
        <v>5.6509999999999998</v>
      </c>
      <c r="N329" s="23">
        <v>1.2999999999999999E-2</v>
      </c>
      <c r="O329" s="22">
        <v>44.064</v>
      </c>
      <c r="P329" s="25">
        <v>4.9000000000000002E-2</v>
      </c>
      <c r="Q329" s="26">
        <v>1.5509999999999999</v>
      </c>
    </row>
    <row r="330" spans="1:17" ht="14.25" customHeight="1" x14ac:dyDescent="0.35">
      <c r="A330" s="1">
        <v>2024</v>
      </c>
      <c r="B330" s="1" t="s">
        <v>33</v>
      </c>
      <c r="C330" s="1">
        <v>24</v>
      </c>
      <c r="D330" s="48">
        <v>140.328</v>
      </c>
      <c r="E330" s="12">
        <f t="shared" si="4"/>
        <v>175.41</v>
      </c>
      <c r="F330" s="13">
        <v>119.34399999999999</v>
      </c>
      <c r="G330" s="21">
        <v>77.972999999999999</v>
      </c>
      <c r="H330" s="22">
        <v>2035.826</v>
      </c>
      <c r="I330" s="13">
        <v>6.9</v>
      </c>
      <c r="J330" s="23">
        <v>2.7E-2</v>
      </c>
      <c r="K330" s="13">
        <v>7.6820000000000004</v>
      </c>
      <c r="L330" s="24">
        <v>34.415999999999997</v>
      </c>
      <c r="M330" s="13">
        <v>5.6669999999999998</v>
      </c>
      <c r="N330" s="23">
        <v>1.2999999999999999E-2</v>
      </c>
      <c r="O330" s="22">
        <v>42.329000000000001</v>
      </c>
      <c r="P330" s="25">
        <v>4.5999999999999999E-2</v>
      </c>
      <c r="Q330" s="26">
        <v>1.81</v>
      </c>
    </row>
    <row r="331" spans="1:17" ht="14.25" customHeight="1" x14ac:dyDescent="0.35">
      <c r="A331" s="1">
        <v>2024</v>
      </c>
      <c r="B331" s="1" t="s">
        <v>33</v>
      </c>
      <c r="C331" s="1">
        <v>25</v>
      </c>
      <c r="D331" s="48">
        <v>141.09399999999999</v>
      </c>
      <c r="E331" s="12">
        <f t="shared" si="4"/>
        <v>176.36750000000001</v>
      </c>
      <c r="F331" s="13">
        <v>119.938</v>
      </c>
      <c r="G331" s="21">
        <v>78.111999999999995</v>
      </c>
      <c r="H331" s="22">
        <v>2019.287</v>
      </c>
      <c r="I331" s="13">
        <v>6.9</v>
      </c>
      <c r="J331" s="23">
        <v>2.7E-2</v>
      </c>
      <c r="K331" s="13">
        <v>7.7389999999999999</v>
      </c>
      <c r="L331" s="24">
        <v>33.863999999999997</v>
      </c>
      <c r="M331" s="13">
        <v>5.6609999999999996</v>
      </c>
      <c r="N331" s="23">
        <v>1.2999999999999999E-2</v>
      </c>
      <c r="O331" s="22">
        <v>42.83</v>
      </c>
      <c r="P331" s="25">
        <v>4.5999999999999999E-2</v>
      </c>
      <c r="Q331" s="26">
        <v>1.641</v>
      </c>
    </row>
    <row r="332" spans="1:17" ht="14.25" customHeight="1" x14ac:dyDescent="0.35">
      <c r="A332" s="1">
        <v>2024</v>
      </c>
      <c r="B332" s="1" t="s">
        <v>33</v>
      </c>
      <c r="C332" s="1">
        <v>26</v>
      </c>
      <c r="D332" s="48">
        <v>141.125</v>
      </c>
      <c r="E332" s="12">
        <f t="shared" si="4"/>
        <v>176.40625</v>
      </c>
      <c r="F332" s="13">
        <v>119.96899999999999</v>
      </c>
      <c r="G332" s="21">
        <v>78.284000000000006</v>
      </c>
      <c r="H332" s="22">
        <v>2082.6170000000002</v>
      </c>
      <c r="I332" s="13">
        <v>6.9</v>
      </c>
      <c r="J332" s="23">
        <v>2.7E-2</v>
      </c>
      <c r="K332" s="13">
        <v>7.9429999999999996</v>
      </c>
      <c r="L332" s="24">
        <v>34.585000000000001</v>
      </c>
      <c r="M332" s="13">
        <v>5.6550000000000002</v>
      </c>
      <c r="N332" s="23">
        <v>1.2999999999999999E-2</v>
      </c>
      <c r="O332" s="22">
        <v>43.524999999999999</v>
      </c>
      <c r="P332" s="25">
        <v>5.1999999999999998E-2</v>
      </c>
      <c r="Q332" s="26">
        <v>1.542</v>
      </c>
    </row>
    <row r="333" spans="1:17" ht="14.25" customHeight="1" x14ac:dyDescent="0.35">
      <c r="A333" s="1">
        <v>2024</v>
      </c>
      <c r="B333" s="1" t="s">
        <v>33</v>
      </c>
      <c r="C333" s="1">
        <v>27</v>
      </c>
      <c r="D333" s="48">
        <v>141.10900000000001</v>
      </c>
      <c r="E333" s="12">
        <f t="shared" si="4"/>
        <v>176.38625000000002</v>
      </c>
      <c r="F333" s="13">
        <v>120</v>
      </c>
      <c r="G333" s="21">
        <v>78.567999999999998</v>
      </c>
      <c r="H333" s="22">
        <v>2120.991</v>
      </c>
      <c r="I333" s="13">
        <v>6.9</v>
      </c>
      <c r="J333" s="23">
        <v>2.7E-2</v>
      </c>
      <c r="K333" s="13">
        <v>8.0449999999999999</v>
      </c>
      <c r="L333" s="24">
        <v>35.262999999999998</v>
      </c>
      <c r="M333" s="13">
        <v>5.3220000000000001</v>
      </c>
      <c r="N333" s="23">
        <v>1.2999999999999999E-2</v>
      </c>
      <c r="O333" s="22">
        <v>105.307</v>
      </c>
      <c r="P333" s="25">
        <v>5.3999999999999999E-2</v>
      </c>
      <c r="Q333" s="26">
        <v>1.8320000000000001</v>
      </c>
    </row>
    <row r="334" spans="1:17" ht="14.25" customHeight="1" x14ac:dyDescent="0.35">
      <c r="A334" s="1">
        <v>2024</v>
      </c>
      <c r="B334" s="1" t="s">
        <v>33</v>
      </c>
      <c r="C334" s="1">
        <v>28</v>
      </c>
      <c r="D334" s="48">
        <v>139.43799999999999</v>
      </c>
      <c r="E334" s="12">
        <f t="shared" si="4"/>
        <v>174.29749999999999</v>
      </c>
      <c r="F334" s="13">
        <v>118.59399999999999</v>
      </c>
      <c r="G334" s="21">
        <v>78.748000000000005</v>
      </c>
      <c r="H334" s="22">
        <v>2105.1979999999999</v>
      </c>
      <c r="I334" s="13">
        <v>6.9</v>
      </c>
      <c r="J334" s="23">
        <v>2.7E-2</v>
      </c>
      <c r="K334" s="13">
        <v>7.7939999999999996</v>
      </c>
      <c r="L334" s="24">
        <v>34.685000000000002</v>
      </c>
      <c r="M334" s="13">
        <v>5.1479999999999997</v>
      </c>
      <c r="N334" s="23">
        <v>1.2999999999999999E-2</v>
      </c>
      <c r="O334" s="22">
        <v>140.31899999999999</v>
      </c>
      <c r="P334" s="25">
        <v>0.05</v>
      </c>
      <c r="Q334" s="26">
        <v>1.7190000000000001</v>
      </c>
    </row>
    <row r="335" spans="1:17" ht="14.25" customHeight="1" x14ac:dyDescent="0.35">
      <c r="A335" s="1">
        <v>2024</v>
      </c>
      <c r="B335" s="1" t="s">
        <v>33</v>
      </c>
      <c r="C335" s="1">
        <v>29</v>
      </c>
      <c r="D335" s="48">
        <v>133.328</v>
      </c>
      <c r="E335" s="12">
        <f t="shared" si="4"/>
        <v>166.66</v>
      </c>
      <c r="F335" s="13">
        <v>113.34399999999999</v>
      </c>
      <c r="G335" s="21">
        <v>78.302000000000007</v>
      </c>
      <c r="H335" s="22">
        <v>2055.683</v>
      </c>
      <c r="I335" s="13">
        <v>6.9</v>
      </c>
      <c r="J335" s="23">
        <v>2.5999999999999999E-2</v>
      </c>
      <c r="K335" s="13">
        <v>7.3280000000000003</v>
      </c>
      <c r="L335" s="24">
        <v>34.493000000000002</v>
      </c>
      <c r="M335" s="13">
        <v>5.1539999999999999</v>
      </c>
      <c r="N335" s="23">
        <v>1.2999999999999999E-2</v>
      </c>
      <c r="O335" s="22">
        <v>138.577</v>
      </c>
      <c r="P335" s="25">
        <v>4.4999999999999998E-2</v>
      </c>
      <c r="Q335" s="26">
        <v>1.87</v>
      </c>
    </row>
    <row r="336" spans="1:17" ht="14.25" customHeight="1" x14ac:dyDescent="0.35">
      <c r="A336" s="1">
        <v>2024</v>
      </c>
      <c r="B336" s="1" t="s">
        <v>33</v>
      </c>
      <c r="C336" s="1">
        <v>30</v>
      </c>
      <c r="D336" s="46">
        <v>137.51599999999999</v>
      </c>
      <c r="E336" s="12">
        <f t="shared" si="4"/>
        <v>171.89499999999998</v>
      </c>
      <c r="F336" s="35">
        <v>116.90600000000001</v>
      </c>
      <c r="G336" s="21">
        <v>77.856999999999999</v>
      </c>
      <c r="H336" s="22">
        <v>2220.384</v>
      </c>
      <c r="I336" s="13">
        <v>6.9</v>
      </c>
      <c r="J336" s="23">
        <v>2.5999999999999999E-2</v>
      </c>
      <c r="K336" s="13">
        <v>7.3070000000000004</v>
      </c>
      <c r="L336" s="24">
        <v>36.418999999999997</v>
      </c>
      <c r="M336" s="13">
        <v>5.16</v>
      </c>
      <c r="N336" s="23">
        <v>1.2999999999999999E-2</v>
      </c>
      <c r="O336" s="22">
        <v>136.34800000000001</v>
      </c>
      <c r="P336" s="25">
        <v>4.2999999999999997E-2</v>
      </c>
      <c r="Q336" s="26">
        <v>1.819</v>
      </c>
    </row>
    <row r="337" spans="1:17" ht="14.25" customHeight="1" x14ac:dyDescent="0.35">
      <c r="A337" s="1">
        <v>2024</v>
      </c>
      <c r="B337" s="1" t="s">
        <v>34</v>
      </c>
      <c r="C337" s="1">
        <v>1</v>
      </c>
      <c r="D337" s="12">
        <v>137.76599999999999</v>
      </c>
      <c r="E337" s="12">
        <f t="shared" si="4"/>
        <v>172.20749999999998</v>
      </c>
      <c r="F337" s="13">
        <v>117.03100000000001</v>
      </c>
      <c r="G337" s="14">
        <v>77.878</v>
      </c>
      <c r="H337" s="15">
        <v>2166.5210000000002</v>
      </c>
      <c r="I337" s="16">
        <v>6.9</v>
      </c>
      <c r="J337" s="17">
        <v>2.5999999999999999E-2</v>
      </c>
      <c r="K337" s="16">
        <v>7.3840000000000003</v>
      </c>
      <c r="L337" s="18">
        <v>34.991999999999997</v>
      </c>
      <c r="M337" s="16">
        <v>5.149</v>
      </c>
      <c r="N337" s="17">
        <v>1.2999999999999999E-2</v>
      </c>
      <c r="O337" s="15">
        <v>139.62299999999999</v>
      </c>
      <c r="P337" s="19">
        <v>4.2999999999999997E-2</v>
      </c>
      <c r="Q337" s="20">
        <v>1.8759999999999999</v>
      </c>
    </row>
    <row r="338" spans="1:17" ht="14.25" customHeight="1" x14ac:dyDescent="0.35">
      <c r="A338" s="1">
        <v>2024</v>
      </c>
      <c r="B338" s="1" t="s">
        <v>34</v>
      </c>
      <c r="C338" s="1">
        <v>2</v>
      </c>
      <c r="D338" s="12">
        <v>138.84399999999999</v>
      </c>
      <c r="E338" s="12">
        <f t="shared" si="4"/>
        <v>173.55500000000001</v>
      </c>
      <c r="F338" s="13">
        <v>118.125</v>
      </c>
      <c r="G338" s="21">
        <v>77.712000000000003</v>
      </c>
      <c r="H338" s="22">
        <v>2155.9960000000001</v>
      </c>
      <c r="I338" s="13">
        <v>6.9</v>
      </c>
      <c r="J338" s="23">
        <v>2.5999999999999999E-2</v>
      </c>
      <c r="K338" s="13">
        <v>7.4729999999999999</v>
      </c>
      <c r="L338" s="24">
        <v>34.517000000000003</v>
      </c>
      <c r="M338" s="13">
        <v>5.1440000000000001</v>
      </c>
      <c r="N338" s="23">
        <v>1.2999999999999999E-2</v>
      </c>
      <c r="O338" s="22">
        <v>141.19</v>
      </c>
      <c r="P338" s="25">
        <v>4.3999999999999997E-2</v>
      </c>
      <c r="Q338" s="26">
        <v>1.7470000000000001</v>
      </c>
    </row>
    <row r="339" spans="1:17" ht="14.25" customHeight="1" x14ac:dyDescent="0.35">
      <c r="A339" s="1">
        <v>2024</v>
      </c>
      <c r="B339" s="1" t="s">
        <v>34</v>
      </c>
      <c r="C339" s="1">
        <v>3</v>
      </c>
      <c r="D339" s="12">
        <v>141.03100000000001</v>
      </c>
      <c r="E339" s="12">
        <f t="shared" si="4"/>
        <v>176.28874999999999</v>
      </c>
      <c r="F339" s="13">
        <v>119.938</v>
      </c>
      <c r="G339" s="21">
        <v>77.745999999999995</v>
      </c>
      <c r="H339" s="22">
        <v>2244.623</v>
      </c>
      <c r="I339" s="13">
        <v>6.9</v>
      </c>
      <c r="J339" s="23">
        <v>2.5999999999999999E-2</v>
      </c>
      <c r="K339" s="13">
        <v>7.49</v>
      </c>
      <c r="L339" s="24">
        <v>35.884</v>
      </c>
      <c r="M339" s="13">
        <v>5.133</v>
      </c>
      <c r="N339" s="23">
        <v>1.2999999999999999E-2</v>
      </c>
      <c r="O339" s="22">
        <v>144.679</v>
      </c>
      <c r="P339" s="25">
        <v>4.8000000000000001E-2</v>
      </c>
      <c r="Q339" s="26">
        <v>1.7050000000000001</v>
      </c>
    </row>
    <row r="340" spans="1:17" ht="14.25" customHeight="1" x14ac:dyDescent="0.35">
      <c r="A340" s="1">
        <v>2024</v>
      </c>
      <c r="B340" s="1" t="s">
        <v>34</v>
      </c>
      <c r="C340" s="1">
        <v>4</v>
      </c>
      <c r="D340" s="12">
        <v>137.28100000000001</v>
      </c>
      <c r="E340" s="12">
        <f t="shared" si="4"/>
        <v>171.60124999999999</v>
      </c>
      <c r="F340" s="13">
        <v>116.688</v>
      </c>
      <c r="G340" s="21">
        <v>77.72</v>
      </c>
      <c r="H340" s="22">
        <v>2242.2339999999999</v>
      </c>
      <c r="I340" s="13">
        <v>6.9</v>
      </c>
      <c r="J340" s="23">
        <v>2.5999999999999999E-2</v>
      </c>
      <c r="K340" s="13">
        <v>7.33</v>
      </c>
      <c r="L340" s="24">
        <v>36.359000000000002</v>
      </c>
      <c r="M340" s="13">
        <v>5.1230000000000002</v>
      </c>
      <c r="N340" s="23">
        <v>1.2999999999999999E-2</v>
      </c>
      <c r="O340" s="22">
        <v>148.27799999999999</v>
      </c>
      <c r="P340" s="25">
        <v>4.7E-2</v>
      </c>
      <c r="Q340" s="26">
        <v>1.71</v>
      </c>
    </row>
    <row r="341" spans="1:17" ht="14.25" customHeight="1" x14ac:dyDescent="0.35">
      <c r="A341" s="1">
        <v>2024</v>
      </c>
      <c r="B341" s="1" t="s">
        <v>34</v>
      </c>
      <c r="C341" s="1">
        <v>5</v>
      </c>
      <c r="D341" s="12">
        <v>140.93799999999999</v>
      </c>
      <c r="E341" s="12">
        <f t="shared" si="4"/>
        <v>176.17249999999999</v>
      </c>
      <c r="F341" s="13">
        <v>119.96899999999999</v>
      </c>
      <c r="G341" s="21">
        <v>77.462999999999994</v>
      </c>
      <c r="H341" s="22">
        <v>2209.7710000000002</v>
      </c>
      <c r="I341" s="13">
        <v>6.9</v>
      </c>
      <c r="J341" s="23">
        <v>2.5999999999999999E-2</v>
      </c>
      <c r="K341" s="13">
        <v>6.923</v>
      </c>
      <c r="L341" s="24">
        <v>35.966999999999999</v>
      </c>
      <c r="M341" s="13">
        <v>5.1319999999999997</v>
      </c>
      <c r="N341" s="23">
        <v>1.2999999999999999E-2</v>
      </c>
      <c r="O341" s="22">
        <v>145.065</v>
      </c>
      <c r="P341" s="25">
        <v>4.9000000000000002E-2</v>
      </c>
      <c r="Q341" s="26">
        <v>1.853</v>
      </c>
    </row>
    <row r="342" spans="1:17" ht="14.25" customHeight="1" x14ac:dyDescent="0.35">
      <c r="A342" s="1">
        <v>2024</v>
      </c>
      <c r="B342" s="1" t="s">
        <v>34</v>
      </c>
      <c r="C342" s="1">
        <v>6</v>
      </c>
      <c r="D342" s="12">
        <v>140.56299999999999</v>
      </c>
      <c r="E342" s="12">
        <f t="shared" si="4"/>
        <v>175.70374999999999</v>
      </c>
      <c r="F342" s="13">
        <v>119.625</v>
      </c>
      <c r="G342" s="21">
        <v>77.364999999999995</v>
      </c>
      <c r="H342" s="22">
        <v>2253.8919999999998</v>
      </c>
      <c r="I342" s="13">
        <v>6.9</v>
      </c>
      <c r="J342" s="23">
        <v>2.4E-2</v>
      </c>
      <c r="K342" s="13">
        <v>7.1349999999999998</v>
      </c>
      <c r="L342" s="24">
        <v>35.204000000000001</v>
      </c>
      <c r="M342" s="13">
        <v>5.2949999999999999</v>
      </c>
      <c r="N342" s="23">
        <v>1.2999999999999999E-2</v>
      </c>
      <c r="O342" s="22">
        <v>105.967</v>
      </c>
      <c r="P342" s="25">
        <v>0.05</v>
      </c>
      <c r="Q342" s="26">
        <v>1.9159999999999999</v>
      </c>
    </row>
    <row r="343" spans="1:17" ht="14.25" customHeight="1" x14ac:dyDescent="0.35">
      <c r="A343" s="1">
        <v>2024</v>
      </c>
      <c r="B343" s="1" t="s">
        <v>34</v>
      </c>
      <c r="C343" s="1">
        <v>7</v>
      </c>
      <c r="D343" s="12">
        <v>139.01599999999999</v>
      </c>
      <c r="E343" s="12">
        <f t="shared" si="4"/>
        <v>173.76999999999998</v>
      </c>
      <c r="F343" s="13">
        <v>118.188</v>
      </c>
      <c r="G343" s="21">
        <v>77.688999999999993</v>
      </c>
      <c r="H343" s="22">
        <v>2248.17</v>
      </c>
      <c r="I343" s="13">
        <v>6.9</v>
      </c>
      <c r="J343" s="23">
        <v>2.5000000000000001E-2</v>
      </c>
      <c r="K343" s="13">
        <v>7.5030000000000001</v>
      </c>
      <c r="L343" s="24">
        <v>33.920999999999999</v>
      </c>
      <c r="M343" s="13">
        <v>5.41</v>
      </c>
      <c r="N343" s="23">
        <v>1.4E-2</v>
      </c>
      <c r="O343" s="22">
        <v>76.759</v>
      </c>
      <c r="P343" s="25">
        <v>4.9000000000000002E-2</v>
      </c>
      <c r="Q343" s="26">
        <v>1.776</v>
      </c>
    </row>
    <row r="344" spans="1:17" ht="14.25" customHeight="1" x14ac:dyDescent="0.35">
      <c r="A344" s="1">
        <v>2024</v>
      </c>
      <c r="B344" s="1" t="s">
        <v>34</v>
      </c>
      <c r="C344" s="1">
        <v>8</v>
      </c>
      <c r="D344" s="12">
        <v>140.85900000000001</v>
      </c>
      <c r="E344" s="12">
        <f t="shared" si="4"/>
        <v>176.07375000000002</v>
      </c>
      <c r="F344" s="13">
        <v>119.78100000000001</v>
      </c>
      <c r="G344" s="21">
        <v>77.352999999999994</v>
      </c>
      <c r="H344" s="22">
        <v>2167.0459999999998</v>
      </c>
      <c r="I344" s="13">
        <v>6.9</v>
      </c>
      <c r="J344" s="23">
        <v>2.4E-2</v>
      </c>
      <c r="K344" s="13">
        <v>7.4939999999999998</v>
      </c>
      <c r="L344" s="24">
        <v>32.865000000000002</v>
      </c>
      <c r="M344" s="13">
        <v>5.4109999999999996</v>
      </c>
      <c r="N344" s="23">
        <v>1.4E-2</v>
      </c>
      <c r="O344" s="22">
        <v>76.619</v>
      </c>
      <c r="P344" s="25">
        <v>4.3999999999999997E-2</v>
      </c>
      <c r="Q344" s="26">
        <v>2.016</v>
      </c>
    </row>
    <row r="345" spans="1:17" ht="14.25" customHeight="1" x14ac:dyDescent="0.35">
      <c r="A345" s="1">
        <v>2024</v>
      </c>
      <c r="B345" s="1" t="s">
        <v>34</v>
      </c>
      <c r="C345" s="1">
        <v>9</v>
      </c>
      <c r="D345" s="12">
        <v>141.18799999999999</v>
      </c>
      <c r="E345" s="12">
        <f t="shared" si="4"/>
        <v>176.48499999999999</v>
      </c>
      <c r="F345" s="13">
        <v>119.90600000000001</v>
      </c>
      <c r="G345" s="21">
        <v>77.343999999999994</v>
      </c>
      <c r="H345" s="22">
        <v>2140.6419999999998</v>
      </c>
      <c r="I345" s="13">
        <v>6.9</v>
      </c>
      <c r="J345" s="23">
        <v>2.4E-2</v>
      </c>
      <c r="K345" s="13">
        <v>7.532</v>
      </c>
      <c r="L345" s="24">
        <v>32.045000000000002</v>
      </c>
      <c r="M345" s="13">
        <v>5.423</v>
      </c>
      <c r="N345" s="23">
        <v>1.4E-2</v>
      </c>
      <c r="O345" s="22">
        <v>74.399000000000001</v>
      </c>
      <c r="P345" s="25">
        <v>4.2999999999999997E-2</v>
      </c>
      <c r="Q345" s="26">
        <v>1.992</v>
      </c>
    </row>
    <row r="346" spans="1:17" ht="14.25" customHeight="1" x14ac:dyDescent="0.35">
      <c r="A346" s="1">
        <v>2024</v>
      </c>
      <c r="B346" s="1" t="s">
        <v>34</v>
      </c>
      <c r="C346" s="1">
        <v>10</v>
      </c>
      <c r="D346" s="12">
        <v>141.172</v>
      </c>
      <c r="E346" s="12">
        <f t="shared" si="4"/>
        <v>176.465</v>
      </c>
      <c r="F346" s="13">
        <v>119.96899999999999</v>
      </c>
      <c r="G346" s="27">
        <v>77.247</v>
      </c>
      <c r="H346" s="22">
        <v>2250.125</v>
      </c>
      <c r="I346" s="13">
        <v>6.9</v>
      </c>
      <c r="J346" s="23">
        <v>2.5000000000000001E-2</v>
      </c>
      <c r="K346" s="28">
        <v>6.8869999999999996</v>
      </c>
      <c r="L346" s="24">
        <v>33.119999999999997</v>
      </c>
      <c r="M346" s="13">
        <v>5.4279999999999999</v>
      </c>
      <c r="N346" s="29">
        <v>1.4E-2</v>
      </c>
      <c r="O346" s="22">
        <v>73.438999999999993</v>
      </c>
      <c r="P346" s="30">
        <v>4.4999999999999998E-2</v>
      </c>
      <c r="Q346" s="31">
        <v>1.8759999999999999</v>
      </c>
    </row>
    <row r="347" spans="1:17" ht="14.25" customHeight="1" x14ac:dyDescent="0.35">
      <c r="A347" s="1">
        <v>2024</v>
      </c>
      <c r="B347" s="1" t="s">
        <v>34</v>
      </c>
      <c r="C347" s="1">
        <v>11</v>
      </c>
      <c r="D347" s="12">
        <v>141.203</v>
      </c>
      <c r="E347" s="12">
        <f t="shared" si="4"/>
        <v>176.50375</v>
      </c>
      <c r="F347" s="13">
        <v>120</v>
      </c>
      <c r="G347" s="27">
        <v>76.834000000000003</v>
      </c>
      <c r="H347" s="22">
        <v>2273.92</v>
      </c>
      <c r="I347" s="13">
        <v>6.9</v>
      </c>
      <c r="J347" s="23">
        <v>2.5000000000000001E-2</v>
      </c>
      <c r="K347" s="28">
        <v>6.8310000000000004</v>
      </c>
      <c r="L347" s="24">
        <v>33.630000000000003</v>
      </c>
      <c r="M347" s="13">
        <v>5.4139999999999997</v>
      </c>
      <c r="N347" s="29">
        <v>1.4E-2</v>
      </c>
      <c r="O347" s="22">
        <v>75.909000000000006</v>
      </c>
      <c r="P347" s="30">
        <v>4.7E-2</v>
      </c>
      <c r="Q347" s="31">
        <v>2.2429999999999999</v>
      </c>
    </row>
    <row r="348" spans="1:17" ht="14.25" customHeight="1" x14ac:dyDescent="0.35">
      <c r="A348" s="1">
        <v>2024</v>
      </c>
      <c r="B348" s="1" t="s">
        <v>34</v>
      </c>
      <c r="C348" s="1">
        <v>12</v>
      </c>
      <c r="D348" s="12">
        <v>140.39099999999999</v>
      </c>
      <c r="E348" s="12">
        <f t="shared" si="4"/>
        <v>175.48874999999998</v>
      </c>
      <c r="F348" s="13">
        <v>119.28100000000001</v>
      </c>
      <c r="G348" s="27">
        <v>76.712000000000003</v>
      </c>
      <c r="H348" s="22">
        <v>2241.9340000000002</v>
      </c>
      <c r="I348" s="13">
        <v>6.9</v>
      </c>
      <c r="J348" s="23">
        <v>2.5000000000000001E-2</v>
      </c>
      <c r="K348" s="28">
        <v>6.7919999999999998</v>
      </c>
      <c r="L348" s="24">
        <v>32.966000000000001</v>
      </c>
      <c r="M348" s="13">
        <v>5.4059999999999997</v>
      </c>
      <c r="N348" s="29">
        <v>1.4E-2</v>
      </c>
      <c r="O348" s="22">
        <v>77.424999999999997</v>
      </c>
      <c r="P348" s="30">
        <v>4.5999999999999999E-2</v>
      </c>
      <c r="Q348" s="31">
        <v>2.048</v>
      </c>
    </row>
    <row r="349" spans="1:17" ht="14.25" customHeight="1" x14ac:dyDescent="0.35">
      <c r="A349" s="1">
        <v>2024</v>
      </c>
      <c r="B349" s="1" t="s">
        <v>34</v>
      </c>
      <c r="C349" s="1">
        <v>13</v>
      </c>
      <c r="D349" s="12">
        <v>141.15600000000001</v>
      </c>
      <c r="E349" s="12">
        <f t="shared" si="4"/>
        <v>176.44499999999999</v>
      </c>
      <c r="F349" s="13">
        <v>120</v>
      </c>
      <c r="G349" s="27">
        <v>76.918000000000006</v>
      </c>
      <c r="H349" s="22">
        <v>2226.1849999999999</v>
      </c>
      <c r="I349" s="13">
        <v>6.9</v>
      </c>
      <c r="J349" s="23">
        <v>2.5000000000000001E-2</v>
      </c>
      <c r="K349" s="28">
        <v>6.702</v>
      </c>
      <c r="L349" s="24">
        <v>33.295000000000002</v>
      </c>
      <c r="M349" s="13">
        <v>5.4669999999999996</v>
      </c>
      <c r="N349" s="23">
        <v>1.4E-2</v>
      </c>
      <c r="O349" s="22">
        <v>67.652000000000001</v>
      </c>
      <c r="P349" s="30">
        <v>4.3999999999999997E-2</v>
      </c>
      <c r="Q349" s="31">
        <v>2.6190000000000002</v>
      </c>
    </row>
    <row r="350" spans="1:17" ht="14.25" customHeight="1" x14ac:dyDescent="0.35">
      <c r="A350" s="1">
        <v>2024</v>
      </c>
      <c r="B350" s="1" t="s">
        <v>34</v>
      </c>
      <c r="C350" s="1">
        <v>14</v>
      </c>
      <c r="D350" s="12">
        <v>141.18799999999999</v>
      </c>
      <c r="E350" s="12">
        <f t="shared" si="4"/>
        <v>176.48499999999999</v>
      </c>
      <c r="F350" s="13">
        <v>120</v>
      </c>
      <c r="G350" s="21">
        <v>76.834000000000003</v>
      </c>
      <c r="H350" s="22">
        <v>2274.4389999999999</v>
      </c>
      <c r="I350" s="13">
        <v>6.9</v>
      </c>
      <c r="J350" s="23">
        <v>2.5000000000000001E-2</v>
      </c>
      <c r="K350" s="28">
        <v>6.5759999999999996</v>
      </c>
      <c r="L350" s="33">
        <v>34.404000000000003</v>
      </c>
      <c r="M350" s="13">
        <v>5.5140000000000002</v>
      </c>
      <c r="N350" s="23">
        <v>1.4E-2</v>
      </c>
      <c r="O350" s="22">
        <v>60.259</v>
      </c>
      <c r="P350" s="30">
        <v>4.2999999999999997E-2</v>
      </c>
      <c r="Q350" s="31">
        <v>3.0510000000000002</v>
      </c>
    </row>
    <row r="351" spans="1:17" ht="14.25" customHeight="1" x14ac:dyDescent="0.35">
      <c r="A351" s="1">
        <v>2024</v>
      </c>
      <c r="B351" s="1" t="s">
        <v>34</v>
      </c>
      <c r="C351" s="1">
        <v>15</v>
      </c>
      <c r="D351" s="12">
        <v>141.18799999999999</v>
      </c>
      <c r="E351" s="12">
        <f t="shared" si="4"/>
        <v>176.48499999999999</v>
      </c>
      <c r="F351" s="13">
        <v>120</v>
      </c>
      <c r="G351" s="21">
        <v>76.807000000000002</v>
      </c>
      <c r="H351" s="22">
        <v>2156.4499999999998</v>
      </c>
      <c r="I351" s="13">
        <v>6.9</v>
      </c>
      <c r="J351" s="23">
        <v>2.4E-2</v>
      </c>
      <c r="K351" s="28">
        <v>6.7009999999999996</v>
      </c>
      <c r="L351" s="24">
        <v>32.783999999999999</v>
      </c>
      <c r="M351" s="13">
        <v>5.5179999999999998</v>
      </c>
      <c r="N351" s="23">
        <v>1.4E-2</v>
      </c>
      <c r="O351" s="22">
        <v>59.923000000000002</v>
      </c>
      <c r="P351" s="30">
        <v>4.1000000000000002E-2</v>
      </c>
      <c r="Q351" s="31">
        <v>3.01</v>
      </c>
    </row>
    <row r="352" spans="1:17" ht="14.25" customHeight="1" x14ac:dyDescent="0.35">
      <c r="A352" s="1">
        <v>2024</v>
      </c>
      <c r="B352" s="1" t="s">
        <v>34</v>
      </c>
      <c r="C352" s="1">
        <v>16</v>
      </c>
      <c r="D352" s="12">
        <v>141.03100000000001</v>
      </c>
      <c r="E352" s="12">
        <f t="shared" si="4"/>
        <v>176.28874999999999</v>
      </c>
      <c r="F352" s="13">
        <v>119.875</v>
      </c>
      <c r="G352" s="21">
        <v>76.715000000000003</v>
      </c>
      <c r="H352" s="22">
        <v>2160.3000000000002</v>
      </c>
      <c r="I352" s="13">
        <v>6.9</v>
      </c>
      <c r="J352" s="23">
        <v>2.5000000000000001E-2</v>
      </c>
      <c r="K352" s="28">
        <v>6.742</v>
      </c>
      <c r="L352" s="24">
        <v>32.579000000000001</v>
      </c>
      <c r="M352" s="13">
        <v>5.5209999999999999</v>
      </c>
      <c r="N352" s="23">
        <v>1.4E-2</v>
      </c>
      <c r="O352" s="22">
        <v>59.357999999999997</v>
      </c>
      <c r="P352" s="30">
        <v>4.2000000000000003E-2</v>
      </c>
      <c r="Q352" s="31">
        <v>3.2149999999999999</v>
      </c>
    </row>
    <row r="353" spans="1:17" ht="14.25" customHeight="1" x14ac:dyDescent="0.35">
      <c r="A353" s="1">
        <v>2024</v>
      </c>
      <c r="B353" s="1" t="s">
        <v>34</v>
      </c>
      <c r="C353" s="1">
        <v>17</v>
      </c>
      <c r="D353" s="12">
        <v>141.125</v>
      </c>
      <c r="E353" s="12">
        <f t="shared" si="4"/>
        <v>176.40625</v>
      </c>
      <c r="F353" s="13">
        <v>120</v>
      </c>
      <c r="G353" s="21">
        <v>76.756</v>
      </c>
      <c r="H353" s="22">
        <v>2387.5889999999999</v>
      </c>
      <c r="I353" s="13">
        <v>6.9</v>
      </c>
      <c r="J353" s="23">
        <v>2.5000000000000001E-2</v>
      </c>
      <c r="K353" s="13">
        <v>6.6130000000000004</v>
      </c>
      <c r="L353" s="24">
        <v>35.408000000000001</v>
      </c>
      <c r="M353" s="13">
        <v>5.5179999999999998</v>
      </c>
      <c r="N353" s="23">
        <v>1.4E-2</v>
      </c>
      <c r="O353" s="22">
        <v>59.607999999999997</v>
      </c>
      <c r="P353" s="25">
        <v>4.5999999999999999E-2</v>
      </c>
      <c r="Q353" s="26">
        <v>2.8769999999999998</v>
      </c>
    </row>
    <row r="354" spans="1:17" ht="14.25" customHeight="1" x14ac:dyDescent="0.35">
      <c r="A354" s="1">
        <v>2024</v>
      </c>
      <c r="B354" s="1" t="s">
        <v>34</v>
      </c>
      <c r="C354" s="1">
        <v>18</v>
      </c>
      <c r="D354" s="12">
        <v>141.06299999999999</v>
      </c>
      <c r="E354" s="12">
        <f t="shared" si="4"/>
        <v>176.32874999999999</v>
      </c>
      <c r="F354" s="13">
        <v>119.90600000000001</v>
      </c>
      <c r="G354" s="21">
        <v>77.195999999999998</v>
      </c>
      <c r="H354" s="22">
        <v>2370.4749999999999</v>
      </c>
      <c r="I354" s="13">
        <v>6.9</v>
      </c>
      <c r="J354" s="23">
        <v>2.5000000000000001E-2</v>
      </c>
      <c r="K354" s="13">
        <v>6.5250000000000004</v>
      </c>
      <c r="L354" s="24">
        <v>35.345999999999997</v>
      </c>
      <c r="M354" s="13">
        <v>5.5250000000000004</v>
      </c>
      <c r="N354" s="23">
        <v>1.4E-2</v>
      </c>
      <c r="O354" s="22">
        <v>58.633000000000003</v>
      </c>
      <c r="P354" s="25">
        <v>4.4999999999999998E-2</v>
      </c>
      <c r="Q354" s="26">
        <v>2.5750000000000002</v>
      </c>
    </row>
    <row r="355" spans="1:17" ht="14.25" customHeight="1" x14ac:dyDescent="0.35">
      <c r="A355" s="1">
        <v>2024</v>
      </c>
      <c r="B355" s="1" t="s">
        <v>34</v>
      </c>
      <c r="C355" s="1">
        <v>19</v>
      </c>
      <c r="D355" s="12">
        <v>136.5</v>
      </c>
      <c r="E355" s="12">
        <f t="shared" si="4"/>
        <v>170.625</v>
      </c>
      <c r="F355" s="13">
        <v>116.063</v>
      </c>
      <c r="G355" s="21">
        <v>77.244</v>
      </c>
      <c r="H355" s="22">
        <v>2144.6950000000002</v>
      </c>
      <c r="I355" s="13">
        <v>6.9</v>
      </c>
      <c r="J355" s="23">
        <v>2.5999999999999999E-2</v>
      </c>
      <c r="K355" s="13">
        <v>7.4649999999999999</v>
      </c>
      <c r="L355" s="24">
        <v>32.673000000000002</v>
      </c>
      <c r="M355" s="13">
        <v>5.5019999999999998</v>
      </c>
      <c r="N355" s="23">
        <v>1.4E-2</v>
      </c>
      <c r="O355" s="22">
        <v>61.948</v>
      </c>
      <c r="P355" s="25">
        <v>4.9000000000000002E-2</v>
      </c>
      <c r="Q355" s="26">
        <v>2.855</v>
      </c>
    </row>
    <row r="356" spans="1:17" ht="14.25" customHeight="1" x14ac:dyDescent="0.35">
      <c r="A356" s="1">
        <v>2024</v>
      </c>
      <c r="B356" s="1" t="s">
        <v>34</v>
      </c>
      <c r="C356" s="1">
        <v>20</v>
      </c>
      <c r="D356" s="12">
        <v>141.10900000000001</v>
      </c>
      <c r="E356" s="12">
        <f t="shared" si="4"/>
        <v>176.38625000000002</v>
      </c>
      <c r="F356" s="13">
        <v>120</v>
      </c>
      <c r="G356" s="21">
        <v>76.923000000000002</v>
      </c>
      <c r="H356" s="22">
        <v>2280.002</v>
      </c>
      <c r="I356" s="13">
        <v>6.9</v>
      </c>
      <c r="J356" s="23">
        <v>2.5999999999999999E-2</v>
      </c>
      <c r="K356" s="13">
        <v>7.069</v>
      </c>
      <c r="L356" s="24">
        <v>34.936999999999998</v>
      </c>
      <c r="M356" s="13">
        <v>5.6440000000000001</v>
      </c>
      <c r="N356" s="23">
        <v>1.4E-2</v>
      </c>
      <c r="O356" s="22">
        <v>46.183</v>
      </c>
      <c r="P356" s="25">
        <v>5.0999999999999997E-2</v>
      </c>
      <c r="Q356" s="26">
        <v>1.4359999999999999</v>
      </c>
    </row>
    <row r="357" spans="1:17" ht="14.25" customHeight="1" x14ac:dyDescent="0.35">
      <c r="A357" s="1">
        <v>2024</v>
      </c>
      <c r="B357" s="1" t="s">
        <v>34</v>
      </c>
      <c r="C357" s="1">
        <v>21</v>
      </c>
      <c r="D357" s="12">
        <v>136.5</v>
      </c>
      <c r="E357" s="12">
        <f t="shared" si="4"/>
        <v>170.625</v>
      </c>
      <c r="F357" s="13">
        <v>116.063</v>
      </c>
      <c r="G357" s="21">
        <v>76.688000000000002</v>
      </c>
      <c r="H357" s="22">
        <v>2236.4639999999999</v>
      </c>
      <c r="I357" s="13">
        <v>6.9</v>
      </c>
      <c r="J357" s="23">
        <v>2.7E-2</v>
      </c>
      <c r="K357" s="13">
        <v>6.8319999999999999</v>
      </c>
      <c r="L357" s="24">
        <v>34.148000000000003</v>
      </c>
      <c r="M357" s="13">
        <v>5.7140000000000004</v>
      </c>
      <c r="N357" s="23">
        <v>1.4E-2</v>
      </c>
      <c r="O357" s="22">
        <v>38.064</v>
      </c>
      <c r="P357" s="25">
        <v>4.5999999999999999E-2</v>
      </c>
      <c r="Q357" s="26">
        <v>0.14000000000000001</v>
      </c>
    </row>
    <row r="358" spans="1:17" ht="14.25" customHeight="1" x14ac:dyDescent="0.35">
      <c r="A358" s="1">
        <v>2024</v>
      </c>
      <c r="B358" s="1" t="s">
        <v>34</v>
      </c>
      <c r="C358" s="1">
        <v>22</v>
      </c>
      <c r="D358" s="12">
        <v>138.89099999999999</v>
      </c>
      <c r="E358" s="12">
        <f t="shared" si="4"/>
        <v>173.61374999999998</v>
      </c>
      <c r="F358" s="13">
        <v>118.063</v>
      </c>
      <c r="G358" s="21">
        <v>76.456999999999994</v>
      </c>
      <c r="H358" s="22">
        <v>2148.0039999999999</v>
      </c>
      <c r="I358" s="13">
        <v>6.9</v>
      </c>
      <c r="J358" s="23">
        <v>2.7E-2</v>
      </c>
      <c r="K358" s="13">
        <v>6.7960000000000003</v>
      </c>
      <c r="L358" s="24">
        <v>32.841000000000001</v>
      </c>
      <c r="M358" s="13">
        <v>5.7229999999999999</v>
      </c>
      <c r="N358" s="23">
        <v>1.4E-2</v>
      </c>
      <c r="O358" s="22">
        <v>37.325000000000003</v>
      </c>
      <c r="P358" s="25">
        <v>4.2999999999999997E-2</v>
      </c>
      <c r="Q358" s="26">
        <v>0.14699999999999999</v>
      </c>
    </row>
    <row r="359" spans="1:17" ht="14.25" customHeight="1" x14ac:dyDescent="0.35">
      <c r="A359" s="1">
        <v>2024</v>
      </c>
      <c r="B359" s="1" t="s">
        <v>34</v>
      </c>
      <c r="C359" s="1">
        <v>23</v>
      </c>
      <c r="D359" s="12">
        <v>137.09399999999999</v>
      </c>
      <c r="E359" s="12">
        <f t="shared" si="4"/>
        <v>171.36750000000001</v>
      </c>
      <c r="F359" s="13">
        <v>116.563</v>
      </c>
      <c r="G359" s="21">
        <v>76.882000000000005</v>
      </c>
      <c r="H359" s="22">
        <v>2220.7869999999998</v>
      </c>
      <c r="I359" s="13">
        <v>6.9</v>
      </c>
      <c r="J359" s="23">
        <v>2.7E-2</v>
      </c>
      <c r="K359" s="13">
        <v>6.7839999999999998</v>
      </c>
      <c r="L359" s="24">
        <v>34.241</v>
      </c>
      <c r="M359" s="13">
        <v>5.7290000000000001</v>
      </c>
      <c r="N359" s="23">
        <v>1.4E-2</v>
      </c>
      <c r="O359" s="22">
        <v>36.780999999999999</v>
      </c>
      <c r="P359" s="25">
        <v>4.2999999999999997E-2</v>
      </c>
      <c r="Q359" s="26">
        <v>0.14099999999999999</v>
      </c>
    </row>
    <row r="360" spans="1:17" ht="14.25" customHeight="1" x14ac:dyDescent="0.35">
      <c r="A360" s="1">
        <v>2024</v>
      </c>
      <c r="B360" s="1" t="s">
        <v>34</v>
      </c>
      <c r="C360" s="1">
        <v>24</v>
      </c>
      <c r="D360" s="12">
        <v>134.328</v>
      </c>
      <c r="E360" s="12">
        <f t="shared" si="4"/>
        <v>167.91</v>
      </c>
      <c r="F360" s="13">
        <v>114.188</v>
      </c>
      <c r="G360" s="21">
        <v>76.393000000000001</v>
      </c>
      <c r="H360" s="22">
        <v>2195.895</v>
      </c>
      <c r="I360" s="13">
        <v>6.9</v>
      </c>
      <c r="J360" s="23">
        <v>2.7E-2</v>
      </c>
      <c r="K360" s="13">
        <v>6.8410000000000002</v>
      </c>
      <c r="L360" s="24">
        <v>33.880000000000003</v>
      </c>
      <c r="M360" s="13">
        <v>5.7229999999999999</v>
      </c>
      <c r="N360" s="23">
        <v>1.4E-2</v>
      </c>
      <c r="O360" s="22">
        <v>37.201000000000001</v>
      </c>
      <c r="P360" s="25">
        <v>4.3999999999999997E-2</v>
      </c>
      <c r="Q360" s="26">
        <v>0.14599999999999999</v>
      </c>
    </row>
    <row r="361" spans="1:17" ht="14.25" customHeight="1" x14ac:dyDescent="0.35">
      <c r="A361" s="1">
        <v>2024</v>
      </c>
      <c r="B361" s="1" t="s">
        <v>34</v>
      </c>
      <c r="C361" s="1">
        <v>25</v>
      </c>
      <c r="D361" s="12">
        <v>134.18799999999999</v>
      </c>
      <c r="E361" s="12">
        <f t="shared" si="4"/>
        <v>167.73499999999999</v>
      </c>
      <c r="F361" s="13">
        <v>114.063</v>
      </c>
      <c r="G361" s="21">
        <v>76.44</v>
      </c>
      <c r="H361" s="22">
        <v>2115.41</v>
      </c>
      <c r="I361" s="13">
        <v>6.9</v>
      </c>
      <c r="J361" s="23">
        <v>2.5999999999999999E-2</v>
      </c>
      <c r="K361" s="13">
        <v>6.54</v>
      </c>
      <c r="L361" s="24">
        <v>32.720999999999997</v>
      </c>
      <c r="M361" s="13">
        <v>5.7249999999999996</v>
      </c>
      <c r="N361" s="23">
        <v>1.4E-2</v>
      </c>
      <c r="O361" s="22">
        <v>37.106000000000002</v>
      </c>
      <c r="P361" s="25">
        <v>4.2000000000000003E-2</v>
      </c>
      <c r="Q361" s="26">
        <v>0.14299999999999999</v>
      </c>
    </row>
    <row r="362" spans="1:17" ht="14.25" customHeight="1" x14ac:dyDescent="0.35">
      <c r="A362" s="1">
        <v>2024</v>
      </c>
      <c r="B362" s="1" t="s">
        <v>34</v>
      </c>
      <c r="C362" s="1">
        <v>26</v>
      </c>
      <c r="D362" s="12">
        <v>133.047</v>
      </c>
      <c r="E362" s="12">
        <f t="shared" si="4"/>
        <v>166.30875</v>
      </c>
      <c r="F362" s="13">
        <v>113.188</v>
      </c>
      <c r="G362" s="21">
        <v>76.155000000000001</v>
      </c>
      <c r="H362" s="22">
        <v>2216.5970000000002</v>
      </c>
      <c r="I362" s="13">
        <v>6.9</v>
      </c>
      <c r="J362" s="23">
        <v>2.7E-2</v>
      </c>
      <c r="K362" s="13">
        <v>6.6369999999999996</v>
      </c>
      <c r="L362" s="24">
        <v>34.889000000000003</v>
      </c>
      <c r="M362" s="13">
        <v>5.7439999999999998</v>
      </c>
      <c r="N362" s="23">
        <v>1.4E-2</v>
      </c>
      <c r="O362" s="22">
        <v>35.526000000000003</v>
      </c>
      <c r="P362" s="25">
        <v>4.1000000000000002E-2</v>
      </c>
      <c r="Q362" s="26">
        <v>0.15</v>
      </c>
    </row>
    <row r="363" spans="1:17" ht="14.25" customHeight="1" x14ac:dyDescent="0.35">
      <c r="A363" s="1">
        <v>2024</v>
      </c>
      <c r="B363" s="1" t="s">
        <v>34</v>
      </c>
      <c r="C363" s="1">
        <v>27</v>
      </c>
      <c r="D363" s="12">
        <v>135.18799999999999</v>
      </c>
      <c r="E363" s="12">
        <f t="shared" si="4"/>
        <v>168.98499999999999</v>
      </c>
      <c r="F363" s="13">
        <v>114.96899999999999</v>
      </c>
      <c r="G363" s="21">
        <v>76.341999999999999</v>
      </c>
      <c r="H363" s="22">
        <v>2194.826</v>
      </c>
      <c r="I363" s="13">
        <v>6.9</v>
      </c>
      <c r="J363" s="23">
        <v>2.7E-2</v>
      </c>
      <c r="K363" s="13">
        <v>7.141</v>
      </c>
      <c r="L363" s="24">
        <v>33.438000000000002</v>
      </c>
      <c r="M363" s="13">
        <v>5.45</v>
      </c>
      <c r="N363" s="23">
        <v>1.4E-2</v>
      </c>
      <c r="O363" s="22">
        <v>80.691999999999993</v>
      </c>
      <c r="P363" s="25">
        <v>4.8000000000000001E-2</v>
      </c>
      <c r="Q363" s="26">
        <v>2.9249999999999998</v>
      </c>
    </row>
    <row r="364" spans="1:17" ht="14.25" customHeight="1" x14ac:dyDescent="0.35">
      <c r="A364" s="1">
        <v>2024</v>
      </c>
      <c r="B364" s="1" t="s">
        <v>34</v>
      </c>
      <c r="C364" s="1">
        <v>28</v>
      </c>
      <c r="D364" s="12">
        <v>135.09399999999999</v>
      </c>
      <c r="E364" s="12">
        <f t="shared" si="4"/>
        <v>168.86750000000001</v>
      </c>
      <c r="F364" s="13">
        <v>114.90600000000001</v>
      </c>
      <c r="G364" s="21">
        <v>76.385999999999996</v>
      </c>
      <c r="H364" s="22">
        <v>2208.569</v>
      </c>
      <c r="I364" s="13">
        <v>6.9</v>
      </c>
      <c r="J364" s="23">
        <v>2.7E-2</v>
      </c>
      <c r="K364" s="13">
        <v>7.7409999999999997</v>
      </c>
      <c r="L364" s="24">
        <v>33.710999999999999</v>
      </c>
      <c r="M364" s="13">
        <v>5.2610000000000001</v>
      </c>
      <c r="N364" s="23">
        <v>1.4E-2</v>
      </c>
      <c r="O364" s="22">
        <v>108.127</v>
      </c>
      <c r="P364" s="25">
        <v>4.1000000000000002E-2</v>
      </c>
      <c r="Q364" s="26">
        <v>5.59</v>
      </c>
    </row>
    <row r="365" spans="1:17" ht="14.25" customHeight="1" x14ac:dyDescent="0.35">
      <c r="A365" s="1">
        <v>2024</v>
      </c>
      <c r="B365" s="1" t="s">
        <v>34</v>
      </c>
      <c r="C365" s="1">
        <v>29</v>
      </c>
      <c r="D365" s="12">
        <v>134.922</v>
      </c>
      <c r="E365" s="12">
        <f t="shared" si="4"/>
        <v>168.6525</v>
      </c>
      <c r="F365" s="13">
        <v>114.90600000000001</v>
      </c>
      <c r="G365" s="21">
        <v>76.22</v>
      </c>
      <c r="H365" s="22">
        <v>2180.2570000000001</v>
      </c>
      <c r="I365" s="13">
        <v>6.9</v>
      </c>
      <c r="J365" s="23">
        <v>2.7E-2</v>
      </c>
      <c r="K365" s="13">
        <v>7.2089999999999996</v>
      </c>
      <c r="L365" s="24">
        <v>33.383000000000003</v>
      </c>
      <c r="M365" s="13">
        <v>5.2539999999999996</v>
      </c>
      <c r="N365" s="23">
        <v>1.4E-2</v>
      </c>
      <c r="O365" s="22">
        <v>109.47499999999999</v>
      </c>
      <c r="P365" s="25">
        <v>3.4000000000000002E-2</v>
      </c>
      <c r="Q365" s="26">
        <v>4.6130000000000004</v>
      </c>
    </row>
    <row r="366" spans="1:17" ht="14.25" customHeight="1" x14ac:dyDescent="0.35">
      <c r="A366" s="1">
        <v>2024</v>
      </c>
      <c r="B366" s="1" t="s">
        <v>34</v>
      </c>
      <c r="C366" s="1">
        <v>30</v>
      </c>
      <c r="D366" s="12">
        <v>135.25</v>
      </c>
      <c r="E366" s="12">
        <f t="shared" si="4"/>
        <v>169.0625</v>
      </c>
      <c r="F366" s="13">
        <v>115.03100000000001</v>
      </c>
      <c r="G366" s="21">
        <v>76.019000000000005</v>
      </c>
      <c r="H366" s="22">
        <v>2261.5079999999998</v>
      </c>
      <c r="I366" s="13">
        <v>6.9</v>
      </c>
      <c r="J366" s="23">
        <v>2.7E-2</v>
      </c>
      <c r="K366" s="13">
        <v>7.327</v>
      </c>
      <c r="L366" s="24">
        <v>34.167999999999999</v>
      </c>
      <c r="M366" s="13">
        <v>5.2670000000000003</v>
      </c>
      <c r="N366" s="23">
        <v>1.4E-2</v>
      </c>
      <c r="O366" s="22">
        <v>106.458</v>
      </c>
      <c r="P366" s="25">
        <v>3.3000000000000002E-2</v>
      </c>
      <c r="Q366" s="26">
        <v>3.87</v>
      </c>
    </row>
    <row r="367" spans="1:17" ht="14.25" customHeight="1" x14ac:dyDescent="0.35">
      <c r="A367" s="1">
        <v>2024</v>
      </c>
      <c r="B367" s="1" t="s">
        <v>34</v>
      </c>
      <c r="C367" s="1">
        <v>31</v>
      </c>
      <c r="D367" s="42">
        <v>130.172</v>
      </c>
      <c r="E367" s="12">
        <f t="shared" si="4"/>
        <v>162.715</v>
      </c>
      <c r="F367" s="43">
        <v>110.71899999999999</v>
      </c>
      <c r="G367" s="36">
        <v>75.721000000000004</v>
      </c>
      <c r="H367" s="37">
        <v>2246.7950000000001</v>
      </c>
      <c r="I367" s="35">
        <v>6.9</v>
      </c>
      <c r="J367" s="38">
        <v>2.7E-2</v>
      </c>
      <c r="K367" s="35">
        <v>7.202</v>
      </c>
      <c r="L367" s="39">
        <v>35.085000000000001</v>
      </c>
      <c r="M367" s="35">
        <v>5.2510000000000003</v>
      </c>
      <c r="N367" s="38">
        <v>1.4E-2</v>
      </c>
      <c r="O367" s="37">
        <v>110.55</v>
      </c>
      <c r="P367" s="40">
        <v>3.4000000000000002E-2</v>
      </c>
      <c r="Q367" s="41">
        <v>4.0460000000000003</v>
      </c>
    </row>
    <row r="368" spans="1:17" ht="14.25" customHeight="1" x14ac:dyDescent="0.35">
      <c r="A368" s="1">
        <v>2023</v>
      </c>
      <c r="B368" s="1" t="s">
        <v>22</v>
      </c>
      <c r="C368" s="1">
        <v>1</v>
      </c>
      <c r="D368" s="49">
        <v>130.34399999999999</v>
      </c>
      <c r="E368" s="12">
        <f t="shared" si="4"/>
        <v>162.93</v>
      </c>
      <c r="F368" s="50">
        <v>110</v>
      </c>
      <c r="G368" s="51">
        <v>74.070999999999998</v>
      </c>
      <c r="H368" s="52">
        <v>2098.4989999999998</v>
      </c>
      <c r="I368" s="53">
        <v>6.9</v>
      </c>
      <c r="J368" s="54">
        <v>3.2000000000000001E-2</v>
      </c>
      <c r="K368" s="55">
        <v>6.907</v>
      </c>
      <c r="L368" s="52">
        <v>40.975000000000001</v>
      </c>
      <c r="M368" s="55">
        <v>5.1630000000000003</v>
      </c>
      <c r="N368" s="56">
        <v>1.4999999999999999E-2</v>
      </c>
      <c r="O368" s="57">
        <v>136.48099999999999</v>
      </c>
      <c r="P368" s="58">
        <v>2.9000000000000001E-2</v>
      </c>
      <c r="Q368" s="59">
        <v>5.6749999999999998</v>
      </c>
    </row>
    <row r="369" spans="1:17" ht="14.25" customHeight="1" x14ac:dyDescent="0.35">
      <c r="A369" s="1">
        <v>2023</v>
      </c>
      <c r="B369" s="1" t="s">
        <v>22</v>
      </c>
      <c r="C369" s="1">
        <v>2</v>
      </c>
      <c r="D369" s="49">
        <v>130.34399999999999</v>
      </c>
      <c r="E369" s="12">
        <f t="shared" si="4"/>
        <v>162.93</v>
      </c>
      <c r="F369" s="50">
        <v>110</v>
      </c>
      <c r="G369" s="60">
        <v>74.022000000000006</v>
      </c>
      <c r="H369" s="61">
        <v>2396.895</v>
      </c>
      <c r="I369" s="62">
        <v>6.9</v>
      </c>
      <c r="J369" s="63">
        <v>3.3000000000000002E-2</v>
      </c>
      <c r="K369" s="64">
        <v>6.78</v>
      </c>
      <c r="L369" s="65">
        <v>51.299399999999999</v>
      </c>
      <c r="M369" s="50">
        <v>5.2085999999999997</v>
      </c>
      <c r="N369" s="66">
        <v>1.46E-2</v>
      </c>
      <c r="O369" s="57">
        <v>121.86799999999999</v>
      </c>
      <c r="P369" s="67">
        <v>3.0099999999999998E-2</v>
      </c>
      <c r="Q369" s="68">
        <v>6.9409999999999998</v>
      </c>
    </row>
    <row r="370" spans="1:17" ht="14.25" customHeight="1" x14ac:dyDescent="0.35">
      <c r="A370" s="1">
        <v>2023</v>
      </c>
      <c r="B370" s="1" t="s">
        <v>22</v>
      </c>
      <c r="C370" s="1">
        <v>3</v>
      </c>
      <c r="D370" s="49">
        <v>130.35900000000001</v>
      </c>
      <c r="E370" s="12">
        <f t="shared" si="4"/>
        <v>162.94875000000002</v>
      </c>
      <c r="F370" s="50">
        <v>110.03100000000001</v>
      </c>
      <c r="G370" s="60">
        <v>74.537000000000006</v>
      </c>
      <c r="H370" s="61">
        <v>2398.8180000000002</v>
      </c>
      <c r="I370" s="62">
        <v>6.9</v>
      </c>
      <c r="J370" s="63">
        <v>3.4000000000000002E-2</v>
      </c>
      <c r="K370" s="64">
        <v>7.1429999999999998</v>
      </c>
      <c r="L370" s="65">
        <v>51.526000000000003</v>
      </c>
      <c r="M370" s="50">
        <v>5.2130000000000001</v>
      </c>
      <c r="N370" s="66">
        <v>1.4999999999999999E-2</v>
      </c>
      <c r="O370" s="57">
        <v>120.669</v>
      </c>
      <c r="P370" s="67">
        <v>4.1000000000000002E-2</v>
      </c>
      <c r="Q370" s="68">
        <v>9.9</v>
      </c>
    </row>
    <row r="371" spans="1:17" ht="14.25" customHeight="1" x14ac:dyDescent="0.35">
      <c r="A371" s="1">
        <v>2023</v>
      </c>
      <c r="B371" s="1" t="s">
        <v>22</v>
      </c>
      <c r="C371" s="1">
        <v>4</v>
      </c>
      <c r="D371" s="49">
        <v>130.328</v>
      </c>
      <c r="E371" s="12">
        <f t="shared" si="4"/>
        <v>162.91</v>
      </c>
      <c r="F371" s="50">
        <v>109.96899999999999</v>
      </c>
      <c r="G371" s="60">
        <v>74.888999999999996</v>
      </c>
      <c r="H371" s="61">
        <v>2406.366</v>
      </c>
      <c r="I371" s="62">
        <v>6.9</v>
      </c>
      <c r="J371" s="63">
        <v>3.5000000000000003E-2</v>
      </c>
      <c r="K371" s="64">
        <v>7.2640000000000002</v>
      </c>
      <c r="L371" s="65">
        <v>49.478000000000002</v>
      </c>
      <c r="M371" s="50">
        <v>5.2089999999999996</v>
      </c>
      <c r="N371" s="66">
        <v>1.4999999999999999E-2</v>
      </c>
      <c r="O371" s="57">
        <v>121.93</v>
      </c>
      <c r="P371" s="67">
        <v>4.8000000000000001E-2</v>
      </c>
      <c r="Q371" s="68">
        <v>10.442</v>
      </c>
    </row>
    <row r="372" spans="1:17" ht="14.25" customHeight="1" x14ac:dyDescent="0.35">
      <c r="A372" s="1">
        <v>2023</v>
      </c>
      <c r="B372" s="1" t="s">
        <v>22</v>
      </c>
      <c r="C372" s="1">
        <v>5</v>
      </c>
      <c r="D372" s="49">
        <v>129.922</v>
      </c>
      <c r="E372" s="12">
        <f t="shared" si="4"/>
        <v>162.4025</v>
      </c>
      <c r="F372" s="50">
        <v>109.78100000000001</v>
      </c>
      <c r="G372" s="60">
        <v>73.984999999999999</v>
      </c>
      <c r="H372" s="61">
        <v>2330.701</v>
      </c>
      <c r="I372" s="62">
        <v>6.8929999999999998</v>
      </c>
      <c r="J372" s="63">
        <v>3.5000000000000003E-2</v>
      </c>
      <c r="K372" s="64">
        <v>7.3310000000000004</v>
      </c>
      <c r="L372" s="65">
        <v>47.076000000000001</v>
      </c>
      <c r="M372" s="50">
        <v>5.141</v>
      </c>
      <c r="N372" s="66">
        <v>1.4999999999999999E-2</v>
      </c>
      <c r="O372" s="57">
        <v>143.357</v>
      </c>
      <c r="P372" s="67">
        <v>5.1999999999999998E-2</v>
      </c>
      <c r="Q372" s="68">
        <v>9.58</v>
      </c>
    </row>
    <row r="373" spans="1:17" ht="14.25" customHeight="1" x14ac:dyDescent="0.35">
      <c r="A373" s="1">
        <v>2023</v>
      </c>
      <c r="B373" s="1" t="s">
        <v>22</v>
      </c>
      <c r="C373" s="1">
        <v>6</v>
      </c>
      <c r="D373" s="49">
        <v>129.26599999999999</v>
      </c>
      <c r="E373" s="12">
        <f t="shared" si="4"/>
        <v>161.58249999999998</v>
      </c>
      <c r="F373" s="50">
        <v>109.25</v>
      </c>
      <c r="G373" s="60">
        <v>74.3</v>
      </c>
      <c r="H373" s="61">
        <v>2318.5230000000001</v>
      </c>
      <c r="I373" s="62">
        <v>6.8920000000000003</v>
      </c>
      <c r="J373" s="63">
        <v>3.3000000000000002E-2</v>
      </c>
      <c r="K373" s="64">
        <v>6.8579999999999997</v>
      </c>
      <c r="L373" s="65">
        <v>50.061</v>
      </c>
      <c r="M373" s="50">
        <v>5.1070000000000002</v>
      </c>
      <c r="N373" s="66">
        <v>1.4999999999999999E-2</v>
      </c>
      <c r="O373" s="57">
        <v>155</v>
      </c>
      <c r="P373" s="67">
        <v>5.0999999999999997E-2</v>
      </c>
      <c r="Q373" s="68">
        <v>6.7149999999999999</v>
      </c>
    </row>
    <row r="374" spans="1:17" ht="14.25" customHeight="1" x14ac:dyDescent="0.35">
      <c r="A374" s="1">
        <v>2023</v>
      </c>
      <c r="B374" s="1" t="s">
        <v>22</v>
      </c>
      <c r="C374" s="1">
        <v>7</v>
      </c>
      <c r="D374" s="49">
        <v>130.10900000000001</v>
      </c>
      <c r="E374" s="12">
        <f t="shared" si="4"/>
        <v>162.63625000000002</v>
      </c>
      <c r="F374" s="50">
        <v>110</v>
      </c>
      <c r="G374" s="60">
        <v>74.542000000000002</v>
      </c>
      <c r="H374" s="61">
        <v>2619.913</v>
      </c>
      <c r="I374" s="62">
        <v>6.9</v>
      </c>
      <c r="J374" s="63">
        <v>3.2000000000000001E-2</v>
      </c>
      <c r="K374" s="64">
        <v>6.6909999999999998</v>
      </c>
      <c r="L374" s="65">
        <v>58.534999999999997</v>
      </c>
      <c r="M374" s="50">
        <v>5.109</v>
      </c>
      <c r="N374" s="66">
        <v>1.4999999999999999E-2</v>
      </c>
      <c r="O374" s="57">
        <v>153.38399999999999</v>
      </c>
      <c r="P374" s="67">
        <v>5.3999999999999999E-2</v>
      </c>
      <c r="Q374" s="68">
        <v>5.9160000000000004</v>
      </c>
    </row>
    <row r="375" spans="1:17" ht="14.25" customHeight="1" x14ac:dyDescent="0.35">
      <c r="A375" s="1">
        <v>2023</v>
      </c>
      <c r="B375" s="1" t="s">
        <v>22</v>
      </c>
      <c r="C375" s="1">
        <v>8</v>
      </c>
      <c r="D375" s="49">
        <v>129.953</v>
      </c>
      <c r="E375" s="12">
        <f t="shared" si="4"/>
        <v>162.44125</v>
      </c>
      <c r="F375" s="50">
        <v>109.84399999999999</v>
      </c>
      <c r="G375" s="60">
        <v>74.852000000000004</v>
      </c>
      <c r="H375" s="69">
        <v>2630.5949999999998</v>
      </c>
      <c r="I375" s="62">
        <v>6.9</v>
      </c>
      <c r="J375" s="63">
        <v>3.2000000000000001E-2</v>
      </c>
      <c r="K375" s="50">
        <v>6.6360000000000001</v>
      </c>
      <c r="L375" s="65">
        <v>59.262999999999998</v>
      </c>
      <c r="M375" s="50">
        <v>5.109</v>
      </c>
      <c r="N375" s="66">
        <v>1.4999999999999999E-2</v>
      </c>
      <c r="O375" s="57">
        <v>154.16200000000001</v>
      </c>
      <c r="P375" s="70">
        <v>4.9000000000000002E-2</v>
      </c>
      <c r="Q375" s="71">
        <v>5.6</v>
      </c>
    </row>
    <row r="376" spans="1:17" ht="14.25" customHeight="1" x14ac:dyDescent="0.35">
      <c r="A376" s="1">
        <v>2023</v>
      </c>
      <c r="B376" s="1" t="s">
        <v>22</v>
      </c>
      <c r="C376" s="1">
        <v>9</v>
      </c>
      <c r="D376" s="49">
        <v>128.64099999999999</v>
      </c>
      <c r="E376" s="12">
        <f t="shared" si="4"/>
        <v>160.80124999999998</v>
      </c>
      <c r="F376" s="50">
        <v>108.71899999999999</v>
      </c>
      <c r="G376" s="60">
        <v>74.352999999999994</v>
      </c>
      <c r="H376" s="61">
        <v>2520.0549999999998</v>
      </c>
      <c r="I376" s="62">
        <v>6.9</v>
      </c>
      <c r="J376" s="63">
        <v>3.4000000000000002E-2</v>
      </c>
      <c r="K376" s="64">
        <v>7.125</v>
      </c>
      <c r="L376" s="65">
        <v>55.511299999999999</v>
      </c>
      <c r="M376" s="50">
        <v>5.1509999999999998</v>
      </c>
      <c r="N376" s="66">
        <v>1.4500000000000001E-2</v>
      </c>
      <c r="O376" s="57">
        <v>139.51599999999999</v>
      </c>
      <c r="P376" s="67">
        <v>3.8600000000000002E-2</v>
      </c>
      <c r="Q376" s="68">
        <v>5.907</v>
      </c>
    </row>
    <row r="377" spans="1:17" ht="14.25" customHeight="1" x14ac:dyDescent="0.35">
      <c r="A377" s="1">
        <v>2023</v>
      </c>
      <c r="B377" s="1" t="s">
        <v>22</v>
      </c>
      <c r="C377" s="1">
        <v>10</v>
      </c>
      <c r="D377" s="49">
        <v>130.06299999999999</v>
      </c>
      <c r="E377" s="12">
        <f t="shared" si="4"/>
        <v>162.57874999999999</v>
      </c>
      <c r="F377" s="50">
        <v>110</v>
      </c>
      <c r="G377" s="72">
        <v>73.55</v>
      </c>
      <c r="H377" s="61">
        <v>2327.6979999999999</v>
      </c>
      <c r="I377" s="62">
        <v>6.9</v>
      </c>
      <c r="J377" s="63">
        <v>3.4000000000000002E-2</v>
      </c>
      <c r="K377" s="73">
        <v>7.2450000000000001</v>
      </c>
      <c r="L377" s="65">
        <v>48.985999999999997</v>
      </c>
      <c r="M377" s="50">
        <v>5.1479999999999997</v>
      </c>
      <c r="N377" s="74">
        <v>1.4999999999999999E-2</v>
      </c>
      <c r="O377" s="57">
        <v>139.73599999999999</v>
      </c>
      <c r="P377" s="75">
        <v>3.7999999999999999E-2</v>
      </c>
      <c r="Q377" s="76">
        <v>5.2709999999999999</v>
      </c>
    </row>
    <row r="378" spans="1:17" ht="14.25" customHeight="1" x14ac:dyDescent="0.35">
      <c r="A378" s="1">
        <v>2023</v>
      </c>
      <c r="B378" s="1" t="s">
        <v>22</v>
      </c>
      <c r="C378" s="1">
        <v>11</v>
      </c>
      <c r="D378" s="49">
        <v>130.21899999999999</v>
      </c>
      <c r="E378" s="12">
        <f t="shared" si="4"/>
        <v>162.77375000000001</v>
      </c>
      <c r="F378" s="50">
        <v>109.96899999999999</v>
      </c>
      <c r="G378" s="72">
        <v>73.682000000000002</v>
      </c>
      <c r="H378" s="61">
        <v>2213.2060000000001</v>
      </c>
      <c r="I378" s="62">
        <v>6.9</v>
      </c>
      <c r="J378" s="63">
        <v>3.5999999999999997E-2</v>
      </c>
      <c r="K378" s="77">
        <v>7.3819999999999997</v>
      </c>
      <c r="L378" s="65">
        <v>44.209000000000003</v>
      </c>
      <c r="M378" s="50">
        <v>5.1260000000000003</v>
      </c>
      <c r="N378" s="74">
        <v>1.4999999999999999E-2</v>
      </c>
      <c r="O378" s="57">
        <v>146.64099999999999</v>
      </c>
      <c r="P378" s="75">
        <v>3.9E-2</v>
      </c>
      <c r="Q378" s="76">
        <v>5.2169999999999996</v>
      </c>
    </row>
    <row r="379" spans="1:17" ht="14.25" customHeight="1" x14ac:dyDescent="0.35">
      <c r="A379" s="1">
        <v>2023</v>
      </c>
      <c r="B379" s="1" t="s">
        <v>22</v>
      </c>
      <c r="C379" s="1">
        <v>12</v>
      </c>
      <c r="D379" s="49">
        <v>130.31299999999999</v>
      </c>
      <c r="E379" s="12">
        <f t="shared" si="4"/>
        <v>162.89124999999999</v>
      </c>
      <c r="F379" s="50">
        <v>110.03100000000001</v>
      </c>
      <c r="G379" s="72">
        <v>74.522999999999996</v>
      </c>
      <c r="H379" s="61">
        <v>2382.2539999999999</v>
      </c>
      <c r="I379" s="62">
        <v>6.9</v>
      </c>
      <c r="J379" s="63">
        <v>3.4000000000000002E-2</v>
      </c>
      <c r="K379" s="73">
        <v>7.3739999999999997</v>
      </c>
      <c r="L379" s="65">
        <v>49.366</v>
      </c>
      <c r="M379" s="50">
        <v>5.1310000000000002</v>
      </c>
      <c r="N379" s="74">
        <v>1.4999999999999999E-2</v>
      </c>
      <c r="O379" s="57">
        <v>145.97</v>
      </c>
      <c r="P379" s="75">
        <v>0.04</v>
      </c>
      <c r="Q379" s="76">
        <v>6.8789999999999996</v>
      </c>
    </row>
    <row r="380" spans="1:17" ht="14.25" customHeight="1" x14ac:dyDescent="0.35">
      <c r="A380" s="1">
        <v>2023</v>
      </c>
      <c r="B380" s="1" t="s">
        <v>22</v>
      </c>
      <c r="C380" s="1">
        <v>13</v>
      </c>
      <c r="D380" s="49">
        <v>128.672</v>
      </c>
      <c r="E380" s="12">
        <f t="shared" si="4"/>
        <v>160.84</v>
      </c>
      <c r="F380" s="50">
        <v>108.59399999999999</v>
      </c>
      <c r="G380" s="78">
        <v>74.552999999999997</v>
      </c>
      <c r="H380" s="61">
        <v>2453.7689999999998</v>
      </c>
      <c r="I380" s="62">
        <v>6.9</v>
      </c>
      <c r="J380" s="63">
        <v>3.5000000000000003E-2</v>
      </c>
      <c r="K380" s="79">
        <v>7.6079999999999997</v>
      </c>
      <c r="L380" s="65">
        <v>50.094000000000001</v>
      </c>
      <c r="M380" s="50">
        <v>5.04</v>
      </c>
      <c r="N380" s="66">
        <v>1.4999999999999999E-2</v>
      </c>
      <c r="O380" s="57">
        <v>180.18199999999999</v>
      </c>
      <c r="P380" s="80">
        <v>4.3999999999999997E-2</v>
      </c>
      <c r="Q380" s="81">
        <v>8.09</v>
      </c>
    </row>
    <row r="381" spans="1:17" ht="14.25" customHeight="1" x14ac:dyDescent="0.35">
      <c r="A381" s="1">
        <v>2023</v>
      </c>
      <c r="B381" s="1" t="s">
        <v>22</v>
      </c>
      <c r="C381" s="1">
        <v>14</v>
      </c>
      <c r="D381" s="49">
        <v>130.328</v>
      </c>
      <c r="E381" s="12">
        <f t="shared" si="4"/>
        <v>162.91</v>
      </c>
      <c r="F381" s="50">
        <v>110</v>
      </c>
      <c r="G381" s="60">
        <v>73.748999999999995</v>
      </c>
      <c r="H381" s="61">
        <v>2430.7150000000001</v>
      </c>
      <c r="I381" s="62">
        <v>6.9</v>
      </c>
      <c r="J381" s="63">
        <v>3.9E-2</v>
      </c>
      <c r="K381" s="79">
        <v>7.53</v>
      </c>
      <c r="L381" s="82">
        <v>47.865000000000002</v>
      </c>
      <c r="M381" s="50">
        <v>5.0140000000000002</v>
      </c>
      <c r="N381" s="66">
        <v>1.4999999999999999E-2</v>
      </c>
      <c r="O381" s="57">
        <v>190.96199999999999</v>
      </c>
      <c r="P381" s="80">
        <v>4.1000000000000002E-2</v>
      </c>
      <c r="Q381" s="81">
        <v>8.3770000000000007</v>
      </c>
    </row>
    <row r="382" spans="1:17" ht="14.25" customHeight="1" x14ac:dyDescent="0.35">
      <c r="A382" s="1">
        <v>2023</v>
      </c>
      <c r="B382" s="1" t="s">
        <v>22</v>
      </c>
      <c r="C382" s="1">
        <v>15</v>
      </c>
      <c r="D382" s="49">
        <v>130.31299999999999</v>
      </c>
      <c r="E382" s="12">
        <f t="shared" si="4"/>
        <v>162.89124999999999</v>
      </c>
      <c r="F382" s="50">
        <v>110</v>
      </c>
      <c r="G382" s="60">
        <v>72.834999999999994</v>
      </c>
      <c r="H382" s="61">
        <v>2023.9880000000001</v>
      </c>
      <c r="I382" s="62">
        <v>6.9</v>
      </c>
      <c r="J382" s="63">
        <v>0.04</v>
      </c>
      <c r="K382" s="73">
        <v>7.6909999999999998</v>
      </c>
      <c r="L382" s="65">
        <v>35.694000000000003</v>
      </c>
      <c r="M382" s="50">
        <v>4.9859999999999998</v>
      </c>
      <c r="N382" s="66">
        <v>1.4999999999999999E-2</v>
      </c>
      <c r="O382" s="57">
        <v>205.59399999999999</v>
      </c>
      <c r="P382" s="75">
        <v>3.4000000000000002E-2</v>
      </c>
      <c r="Q382" s="76">
        <v>6.5259999999999998</v>
      </c>
    </row>
    <row r="383" spans="1:17" ht="14.25" customHeight="1" x14ac:dyDescent="0.35">
      <c r="A383" s="1">
        <v>2023</v>
      </c>
      <c r="B383" s="1" t="s">
        <v>22</v>
      </c>
      <c r="C383" s="1">
        <v>16</v>
      </c>
      <c r="D383" s="49">
        <v>130.25</v>
      </c>
      <c r="E383" s="12">
        <f t="shared" si="4"/>
        <v>162.8125</v>
      </c>
      <c r="F383" s="50">
        <v>109.96899999999999</v>
      </c>
      <c r="G383" s="60">
        <v>72.569999999999993</v>
      </c>
      <c r="H383" s="61">
        <v>2163.317</v>
      </c>
      <c r="I383" s="62">
        <v>6.9</v>
      </c>
      <c r="J383" s="63">
        <v>4.1000000000000002E-2</v>
      </c>
      <c r="K383" s="79">
        <v>7.7069999999999999</v>
      </c>
      <c r="L383" s="61">
        <v>36.999000000000002</v>
      </c>
      <c r="M383" s="62">
        <v>4.9630000000000001</v>
      </c>
      <c r="N383" s="66">
        <v>1.4999999999999999E-2</v>
      </c>
      <c r="O383" s="57">
        <v>216.738</v>
      </c>
      <c r="P383" s="80">
        <v>3.2000000000000001E-2</v>
      </c>
      <c r="Q383" s="81">
        <v>6.6749999999999998</v>
      </c>
    </row>
    <row r="384" spans="1:17" ht="14.25" customHeight="1" x14ac:dyDescent="0.35">
      <c r="A384" s="1">
        <v>2023</v>
      </c>
      <c r="B384" s="1" t="s">
        <v>22</v>
      </c>
      <c r="C384" s="1">
        <v>17</v>
      </c>
      <c r="D384" s="49">
        <v>131.96899999999999</v>
      </c>
      <c r="E384" s="12">
        <f t="shared" si="4"/>
        <v>164.96125000000001</v>
      </c>
      <c r="F384" s="50">
        <v>111.34399999999999</v>
      </c>
      <c r="G384" s="60">
        <v>72.986999999999995</v>
      </c>
      <c r="H384" s="61">
        <v>2362.723</v>
      </c>
      <c r="I384" s="62">
        <v>6.9</v>
      </c>
      <c r="J384" s="63">
        <v>3.4000000000000002E-2</v>
      </c>
      <c r="K384" s="64">
        <v>7.9560000000000004</v>
      </c>
      <c r="L384" s="65">
        <v>40.96</v>
      </c>
      <c r="M384" s="50">
        <v>4.9429999999999996</v>
      </c>
      <c r="N384" s="66">
        <v>1.4E-2</v>
      </c>
      <c r="O384" s="57">
        <v>226.773</v>
      </c>
      <c r="P384" s="67">
        <v>3.9E-2</v>
      </c>
      <c r="Q384" s="68">
        <v>6.7889999999999997</v>
      </c>
    </row>
    <row r="385" spans="1:17" ht="14.25" customHeight="1" x14ac:dyDescent="0.35">
      <c r="A385" s="1">
        <v>2023</v>
      </c>
      <c r="B385" s="1" t="s">
        <v>22</v>
      </c>
      <c r="C385" s="1">
        <v>18</v>
      </c>
      <c r="D385" s="49">
        <v>127.328</v>
      </c>
      <c r="E385" s="12">
        <f t="shared" si="4"/>
        <v>159.16</v>
      </c>
      <c r="F385" s="50">
        <v>107.46899999999999</v>
      </c>
      <c r="G385" s="60">
        <v>73.56</v>
      </c>
      <c r="H385" s="61">
        <v>2647.93</v>
      </c>
      <c r="I385" s="62">
        <v>6.9</v>
      </c>
      <c r="J385" s="63">
        <v>3.3000000000000002E-2</v>
      </c>
      <c r="K385" s="64">
        <v>7.3710000000000004</v>
      </c>
      <c r="L385" s="61">
        <v>47.631</v>
      </c>
      <c r="M385" s="62">
        <v>4.9390000000000001</v>
      </c>
      <c r="N385" s="66">
        <v>1.4E-2</v>
      </c>
      <c r="O385" s="57">
        <v>227.31399999999999</v>
      </c>
      <c r="P385" s="67">
        <v>3.6999999999999998E-2</v>
      </c>
      <c r="Q385" s="68">
        <v>10.064</v>
      </c>
    </row>
    <row r="386" spans="1:17" ht="14.25" customHeight="1" x14ac:dyDescent="0.35">
      <c r="A386" s="1">
        <v>2023</v>
      </c>
      <c r="B386" s="1" t="s">
        <v>22</v>
      </c>
      <c r="C386" s="1">
        <v>19</v>
      </c>
      <c r="D386" s="49">
        <v>126.063</v>
      </c>
      <c r="E386" s="12">
        <f t="shared" si="4"/>
        <v>157.57875000000001</v>
      </c>
      <c r="F386" s="50">
        <v>106.59399999999999</v>
      </c>
      <c r="G386" s="60">
        <v>73.620999999999995</v>
      </c>
      <c r="H386" s="61">
        <v>2541.377</v>
      </c>
      <c r="I386" s="62">
        <v>6.9</v>
      </c>
      <c r="J386" s="63">
        <v>3.5999999999999997E-2</v>
      </c>
      <c r="K386" s="64">
        <v>7.7060000000000004</v>
      </c>
      <c r="L386" s="65">
        <v>46.902000000000001</v>
      </c>
      <c r="M386" s="50">
        <v>4.9649999999999999</v>
      </c>
      <c r="N386" s="66">
        <v>1.4E-2</v>
      </c>
      <c r="O386" s="57">
        <v>214.46199999999999</v>
      </c>
      <c r="P386" s="67">
        <v>3.7999999999999999E-2</v>
      </c>
      <c r="Q386" s="68">
        <v>13.448</v>
      </c>
    </row>
    <row r="387" spans="1:17" ht="14.25" customHeight="1" x14ac:dyDescent="0.35">
      <c r="A387" s="1">
        <v>2023</v>
      </c>
      <c r="B387" s="1" t="s">
        <v>22</v>
      </c>
      <c r="C387" s="1">
        <v>20</v>
      </c>
      <c r="D387" s="49">
        <v>126.21899999999999</v>
      </c>
      <c r="E387" s="12">
        <f t="shared" si="4"/>
        <v>157.77375000000001</v>
      </c>
      <c r="F387" s="50">
        <v>106.78100000000001</v>
      </c>
      <c r="G387" s="60">
        <v>73.775999999999996</v>
      </c>
      <c r="H387" s="61">
        <v>2370.152</v>
      </c>
      <c r="I387" s="62">
        <v>6.9</v>
      </c>
      <c r="J387" s="63">
        <v>3.3000000000000002E-2</v>
      </c>
      <c r="K387" s="64">
        <v>7.7949999999999999</v>
      </c>
      <c r="L387" s="61">
        <v>46.27</v>
      </c>
      <c r="M387" s="62">
        <v>4.9720000000000004</v>
      </c>
      <c r="N387" s="66">
        <v>1.4999999999999999E-2</v>
      </c>
      <c r="O387" s="57">
        <v>210.565</v>
      </c>
      <c r="P387" s="67">
        <v>4.1000000000000002E-2</v>
      </c>
      <c r="Q387" s="68">
        <v>14.77</v>
      </c>
    </row>
    <row r="388" spans="1:17" ht="14.25" customHeight="1" x14ac:dyDescent="0.35">
      <c r="A388" s="1">
        <v>2023</v>
      </c>
      <c r="B388" s="1" t="s">
        <v>22</v>
      </c>
      <c r="C388" s="1">
        <v>21</v>
      </c>
      <c r="D388" s="49">
        <v>126.64100000000001</v>
      </c>
      <c r="E388" s="12">
        <f t="shared" si="4"/>
        <v>158.30125000000001</v>
      </c>
      <c r="F388" s="50">
        <v>107.03100000000001</v>
      </c>
      <c r="G388" s="60">
        <v>73.668999999999997</v>
      </c>
      <c r="H388" s="61">
        <v>2409.7339999999999</v>
      </c>
      <c r="I388" s="62">
        <v>6.9</v>
      </c>
      <c r="J388" s="63">
        <v>3.3000000000000002E-2</v>
      </c>
      <c r="K388" s="64">
        <v>7.7889999999999997</v>
      </c>
      <c r="L388" s="65">
        <v>48.369</v>
      </c>
      <c r="M388" s="50">
        <v>4.944</v>
      </c>
      <c r="N388" s="66">
        <v>1.4999999999999999E-2</v>
      </c>
      <c r="O388" s="57">
        <v>227.31399999999999</v>
      </c>
      <c r="P388" s="67">
        <v>3.7999999999999999E-2</v>
      </c>
      <c r="Q388" s="68">
        <v>16.454999999999998</v>
      </c>
    </row>
    <row r="389" spans="1:17" ht="14.25" customHeight="1" x14ac:dyDescent="0.35">
      <c r="A389" s="1">
        <v>2023</v>
      </c>
      <c r="B389" s="1" t="s">
        <v>22</v>
      </c>
      <c r="C389" s="1">
        <v>22</v>
      </c>
      <c r="D389" s="49">
        <v>131.10900000000001</v>
      </c>
      <c r="E389" s="12">
        <f t="shared" si="4"/>
        <v>163.88625000000002</v>
      </c>
      <c r="F389" s="50">
        <v>110.813</v>
      </c>
      <c r="G389" s="60">
        <v>73.552000000000007</v>
      </c>
      <c r="H389" s="61">
        <v>2315.4949999999999</v>
      </c>
      <c r="I389" s="62">
        <v>6.9</v>
      </c>
      <c r="J389" s="63">
        <v>3.3000000000000002E-2</v>
      </c>
      <c r="K389" s="64">
        <v>7.6079999999999997</v>
      </c>
      <c r="L389" s="61">
        <v>45.792999999999999</v>
      </c>
      <c r="M389" s="62">
        <v>4.9640000000000004</v>
      </c>
      <c r="N389" s="66">
        <v>1.4999999999999999E-2</v>
      </c>
      <c r="O389" s="57">
        <v>217.05099999999999</v>
      </c>
      <c r="P389" s="67">
        <v>3.3000000000000002E-2</v>
      </c>
      <c r="Q389" s="68">
        <v>16.286999999999999</v>
      </c>
    </row>
    <row r="390" spans="1:17" ht="14.25" customHeight="1" x14ac:dyDescent="0.35">
      <c r="A390" s="1">
        <v>2023</v>
      </c>
      <c r="B390" s="1" t="s">
        <v>22</v>
      </c>
      <c r="C390" s="1">
        <v>23</v>
      </c>
      <c r="D390" s="49">
        <v>129.81299999999999</v>
      </c>
      <c r="E390" s="12">
        <f t="shared" si="4"/>
        <v>162.26624999999999</v>
      </c>
      <c r="F390" s="50">
        <v>109.75</v>
      </c>
      <c r="G390" s="60">
        <v>73.423000000000002</v>
      </c>
      <c r="H390" s="61">
        <v>2300.7600000000002</v>
      </c>
      <c r="I390" s="62">
        <v>6.9</v>
      </c>
      <c r="J390" s="63">
        <v>3.3000000000000002E-2</v>
      </c>
      <c r="K390" s="64">
        <v>7.5449999999999999</v>
      </c>
      <c r="L390" s="65">
        <v>44.893000000000001</v>
      </c>
      <c r="M390" s="50">
        <v>4.9870000000000001</v>
      </c>
      <c r="N390" s="66">
        <v>1.4999999999999999E-2</v>
      </c>
      <c r="O390" s="57">
        <v>204.34800000000001</v>
      </c>
      <c r="P390" s="67">
        <v>3.2000000000000001E-2</v>
      </c>
      <c r="Q390" s="68">
        <v>15.66</v>
      </c>
    </row>
    <row r="391" spans="1:17" ht="14.25" customHeight="1" x14ac:dyDescent="0.35">
      <c r="A391" s="1">
        <v>2023</v>
      </c>
      <c r="B391" s="1" t="s">
        <v>22</v>
      </c>
      <c r="C391" s="1">
        <v>24</v>
      </c>
      <c r="D391" s="49">
        <v>128.453</v>
      </c>
      <c r="E391" s="12">
        <f t="shared" si="4"/>
        <v>160.56625</v>
      </c>
      <c r="F391" s="50">
        <v>108.53100000000001</v>
      </c>
      <c r="G391" s="60">
        <v>73.641000000000005</v>
      </c>
      <c r="H391" s="61">
        <v>2417.1030000000001</v>
      </c>
      <c r="I391" s="62">
        <v>6.9</v>
      </c>
      <c r="J391" s="63">
        <v>3.2000000000000001E-2</v>
      </c>
      <c r="K391" s="64">
        <v>7.2380000000000004</v>
      </c>
      <c r="L391" s="61">
        <v>47.55</v>
      </c>
      <c r="M391" s="62">
        <v>4.95</v>
      </c>
      <c r="N391" s="66">
        <v>1.4999999999999999E-2</v>
      </c>
      <c r="O391" s="57">
        <v>223.80099999999999</v>
      </c>
      <c r="P391" s="67">
        <v>3.5999999999999997E-2</v>
      </c>
      <c r="Q391" s="68">
        <v>15.39</v>
      </c>
    </row>
    <row r="392" spans="1:17" ht="14.25" customHeight="1" x14ac:dyDescent="0.35">
      <c r="A392" s="1">
        <v>2023</v>
      </c>
      <c r="B392" s="1" t="s">
        <v>22</v>
      </c>
      <c r="C392" s="1">
        <v>25</v>
      </c>
      <c r="D392" s="49">
        <v>126.59399999999999</v>
      </c>
      <c r="E392" s="12">
        <f t="shared" si="4"/>
        <v>158.24250000000001</v>
      </c>
      <c r="F392" s="50">
        <v>106.813</v>
      </c>
      <c r="G392" s="60">
        <v>73.986999999999995</v>
      </c>
      <c r="H392" s="61">
        <v>2451.866</v>
      </c>
      <c r="I392" s="62">
        <v>6.9</v>
      </c>
      <c r="J392" s="63">
        <v>3.3000000000000002E-2</v>
      </c>
      <c r="K392" s="64">
        <v>7.3789999999999996</v>
      </c>
      <c r="L392" s="65">
        <v>49.351999999999997</v>
      </c>
      <c r="M392" s="50">
        <v>4.9930000000000003</v>
      </c>
      <c r="N392" s="66">
        <v>1.4999999999999999E-2</v>
      </c>
      <c r="O392" s="57">
        <v>203.404</v>
      </c>
      <c r="P392" s="67">
        <v>0.04</v>
      </c>
      <c r="Q392" s="68">
        <v>15.757</v>
      </c>
    </row>
    <row r="393" spans="1:17" ht="14.25" customHeight="1" x14ac:dyDescent="0.35">
      <c r="A393" s="1">
        <v>2023</v>
      </c>
      <c r="B393" s="1" t="s">
        <v>22</v>
      </c>
      <c r="C393" s="1">
        <v>26</v>
      </c>
      <c r="D393" s="49">
        <v>129.25</v>
      </c>
      <c r="E393" s="12">
        <f t="shared" si="4"/>
        <v>161.5625</v>
      </c>
      <c r="F393" s="50">
        <v>109.03100000000001</v>
      </c>
      <c r="G393" s="60">
        <v>73.552000000000007</v>
      </c>
      <c r="H393" s="61">
        <v>2518.152</v>
      </c>
      <c r="I393" s="62">
        <v>6.9</v>
      </c>
      <c r="J393" s="63">
        <v>3.3000000000000002E-2</v>
      </c>
      <c r="K393" s="64">
        <v>7.4649999999999999</v>
      </c>
      <c r="L393" s="61">
        <v>50.417999999999999</v>
      </c>
      <c r="M393" s="62">
        <v>5.0039999999999996</v>
      </c>
      <c r="N393" s="66">
        <v>1.4999999999999999E-2</v>
      </c>
      <c r="O393" s="57">
        <v>195.88800000000001</v>
      </c>
      <c r="P393" s="67">
        <v>3.9E-2</v>
      </c>
      <c r="Q393" s="68">
        <v>14.795</v>
      </c>
    </row>
    <row r="394" spans="1:17" ht="14.25" customHeight="1" x14ac:dyDescent="0.35">
      <c r="A394" s="1">
        <v>2023</v>
      </c>
      <c r="B394" s="1" t="s">
        <v>22</v>
      </c>
      <c r="C394" s="1">
        <v>27</v>
      </c>
      <c r="D394" s="12">
        <v>129.60900000000001</v>
      </c>
      <c r="E394" s="12">
        <f t="shared" si="4"/>
        <v>162.01125000000002</v>
      </c>
      <c r="F394" s="13">
        <v>110</v>
      </c>
      <c r="G394" s="60">
        <v>73.927000000000007</v>
      </c>
      <c r="H394" s="61">
        <v>2532.8020000000001</v>
      </c>
      <c r="I394" s="62">
        <v>6.9</v>
      </c>
      <c r="J394" s="63">
        <v>3.2000000000000001E-2</v>
      </c>
      <c r="K394" s="64">
        <v>7.5090000000000003</v>
      </c>
      <c r="L394" s="65">
        <v>48.372999999999998</v>
      </c>
      <c r="M394" s="50">
        <v>5.085</v>
      </c>
      <c r="N394" s="66">
        <v>1.4999999999999999E-2</v>
      </c>
      <c r="O394" s="57">
        <v>168.44</v>
      </c>
      <c r="P394" s="67">
        <v>3.9E-2</v>
      </c>
      <c r="Q394" s="68">
        <v>14.948</v>
      </c>
    </row>
    <row r="395" spans="1:17" ht="14.25" customHeight="1" x14ac:dyDescent="0.35">
      <c r="A395" s="1">
        <v>2023</v>
      </c>
      <c r="B395" s="1" t="s">
        <v>22</v>
      </c>
      <c r="C395" s="1">
        <v>28</v>
      </c>
      <c r="D395" s="12">
        <v>129.625</v>
      </c>
      <c r="E395" s="12">
        <f t="shared" si="4"/>
        <v>162.03125</v>
      </c>
      <c r="F395" s="13">
        <v>110</v>
      </c>
      <c r="G395" s="60">
        <v>73.796999999999997</v>
      </c>
      <c r="H395" s="61">
        <v>2475.0419999999999</v>
      </c>
      <c r="I395" s="62">
        <v>6.9</v>
      </c>
      <c r="J395" s="63">
        <v>3.3000000000000002E-2</v>
      </c>
      <c r="K395" s="64">
        <v>7.5170000000000003</v>
      </c>
      <c r="L395" s="61">
        <v>46.024000000000001</v>
      </c>
      <c r="M395" s="62">
        <v>5.1920000000000002</v>
      </c>
      <c r="N395" s="66">
        <v>1.4999999999999999E-2</v>
      </c>
      <c r="O395" s="57">
        <v>126.89100000000001</v>
      </c>
      <c r="P395" s="67">
        <v>3.6999999999999998E-2</v>
      </c>
      <c r="Q395" s="68">
        <v>15.565</v>
      </c>
    </row>
    <row r="396" spans="1:17" ht="14.25" customHeight="1" x14ac:dyDescent="0.35">
      <c r="A396" s="1">
        <v>2023</v>
      </c>
      <c r="B396" s="1" t="s">
        <v>22</v>
      </c>
      <c r="C396" s="1">
        <v>29</v>
      </c>
      <c r="D396" s="12">
        <v>129.60900000000001</v>
      </c>
      <c r="E396" s="12">
        <f t="shared" si="4"/>
        <v>162.01125000000002</v>
      </c>
      <c r="F396" s="13">
        <v>109.938</v>
      </c>
      <c r="G396" s="83">
        <v>73.510000000000005</v>
      </c>
      <c r="H396" s="69">
        <v>2389.6959999999999</v>
      </c>
      <c r="I396" s="50">
        <v>6.9</v>
      </c>
      <c r="J396" s="66">
        <v>3.3000000000000002E-2</v>
      </c>
      <c r="K396" s="50">
        <v>7.5650000000000004</v>
      </c>
      <c r="L396" s="61">
        <v>44.225000000000001</v>
      </c>
      <c r="M396" s="62">
        <v>5.2069999999999999</v>
      </c>
      <c r="N396" s="66">
        <v>1.4999999999999999E-2</v>
      </c>
      <c r="O396" s="57">
        <v>122.238</v>
      </c>
      <c r="P396" s="84">
        <v>3.5000000000000003E-2</v>
      </c>
      <c r="Q396" s="71">
        <v>15.082000000000001</v>
      </c>
    </row>
    <row r="397" spans="1:17" ht="14.25" customHeight="1" x14ac:dyDescent="0.35">
      <c r="A397" s="1">
        <v>2023</v>
      </c>
      <c r="B397" s="1" t="s">
        <v>22</v>
      </c>
      <c r="C397" s="1">
        <v>30</v>
      </c>
      <c r="D397" s="12">
        <v>129.60900000000001</v>
      </c>
      <c r="E397" s="12">
        <f t="shared" si="4"/>
        <v>162.01125000000002</v>
      </c>
      <c r="F397" s="13">
        <v>109.96899999999999</v>
      </c>
      <c r="G397" s="83">
        <v>73.754999999999995</v>
      </c>
      <c r="H397" s="69">
        <v>2316.2150000000001</v>
      </c>
      <c r="I397" s="50">
        <v>6.9</v>
      </c>
      <c r="J397" s="66">
        <v>3.3000000000000002E-2</v>
      </c>
      <c r="K397" s="50">
        <v>7.7889999999999997</v>
      </c>
      <c r="L397" s="61">
        <v>42.734000000000002</v>
      </c>
      <c r="M397" s="62">
        <v>5.2</v>
      </c>
      <c r="N397" s="66">
        <v>1.4999999999999999E-2</v>
      </c>
      <c r="O397" s="57">
        <v>124.06</v>
      </c>
      <c r="P397" s="84">
        <v>3.4000000000000002E-2</v>
      </c>
      <c r="Q397" s="71">
        <v>15.175000000000001</v>
      </c>
    </row>
    <row r="398" spans="1:17" ht="14.25" customHeight="1" x14ac:dyDescent="0.35">
      <c r="A398" s="1">
        <v>2023</v>
      </c>
      <c r="B398" s="1" t="s">
        <v>22</v>
      </c>
      <c r="C398" s="1">
        <v>31</v>
      </c>
      <c r="D398" s="85">
        <v>129.59399999999999</v>
      </c>
      <c r="E398" s="12">
        <f t="shared" si="4"/>
        <v>161.99250000000001</v>
      </c>
      <c r="F398" s="86">
        <v>109.938</v>
      </c>
      <c r="G398" s="87">
        <v>73.650999999999996</v>
      </c>
      <c r="H398" s="88">
        <v>2371.5279999999998</v>
      </c>
      <c r="I398" s="89">
        <v>6.9</v>
      </c>
      <c r="J398" s="90">
        <v>3.4000000000000002E-2</v>
      </c>
      <c r="K398" s="89">
        <v>7.9669999999999996</v>
      </c>
      <c r="L398" s="61">
        <v>43.548999999999999</v>
      </c>
      <c r="M398" s="64">
        <v>5.1639999999999997</v>
      </c>
      <c r="N398" s="66">
        <v>1.4999999999999999E-2</v>
      </c>
      <c r="O398" s="57">
        <v>136.09</v>
      </c>
      <c r="P398" s="66">
        <v>3.9E-2</v>
      </c>
      <c r="Q398" s="91">
        <v>13.814</v>
      </c>
    </row>
    <row r="399" spans="1:17" ht="14.25" customHeight="1" x14ac:dyDescent="0.35">
      <c r="A399" s="1">
        <v>2023</v>
      </c>
      <c r="B399" s="1" t="s">
        <v>23</v>
      </c>
      <c r="C399" s="1">
        <v>1</v>
      </c>
      <c r="D399" s="49">
        <v>129.65600000000001</v>
      </c>
      <c r="E399" s="12">
        <f t="shared" si="4"/>
        <v>162.07</v>
      </c>
      <c r="F399" s="50">
        <v>110</v>
      </c>
      <c r="G399" s="51">
        <v>73.748999999999995</v>
      </c>
      <c r="H399" s="52">
        <v>2393.4760000000001</v>
      </c>
      <c r="I399" s="53">
        <v>6.9</v>
      </c>
      <c r="J399" s="54">
        <v>3.3000000000000002E-2</v>
      </c>
      <c r="K399" s="55">
        <v>7.9089999999999998</v>
      </c>
      <c r="L399" s="52">
        <v>44.697000000000003</v>
      </c>
      <c r="M399" s="55">
        <v>5.1550000000000002</v>
      </c>
      <c r="N399" s="56">
        <v>1.4999999999999999E-2</v>
      </c>
      <c r="O399" s="57">
        <v>138.309</v>
      </c>
      <c r="P399" s="58">
        <v>3.9E-2</v>
      </c>
      <c r="Q399" s="59">
        <v>13.201000000000001</v>
      </c>
    </row>
    <row r="400" spans="1:17" ht="14.25" customHeight="1" x14ac:dyDescent="0.35">
      <c r="A400" s="1">
        <v>2023</v>
      </c>
      <c r="B400" s="1" t="s">
        <v>24</v>
      </c>
      <c r="C400" s="1">
        <v>2</v>
      </c>
      <c r="D400" s="49">
        <v>129.96899999999999</v>
      </c>
      <c r="E400" s="12">
        <f t="shared" si="4"/>
        <v>162.46125000000001</v>
      </c>
      <c r="F400" s="50">
        <v>110</v>
      </c>
      <c r="G400" s="60">
        <v>73.953999999999994</v>
      </c>
      <c r="H400" s="61">
        <v>2357.9140000000002</v>
      </c>
      <c r="I400" s="62">
        <v>6.9</v>
      </c>
      <c r="J400" s="63">
        <v>3.3000000000000002E-2</v>
      </c>
      <c r="K400" s="64">
        <v>7.7430000000000003</v>
      </c>
      <c r="L400" s="65">
        <v>44.075000000000003</v>
      </c>
      <c r="M400" s="50">
        <v>5.17</v>
      </c>
      <c r="N400" s="66">
        <v>1.4999999999999999E-2</v>
      </c>
      <c r="O400" s="57">
        <v>134.089</v>
      </c>
      <c r="P400" s="67">
        <v>4.1000000000000002E-2</v>
      </c>
      <c r="Q400" s="68">
        <v>13.526</v>
      </c>
    </row>
    <row r="401" spans="1:17" ht="14.25" customHeight="1" x14ac:dyDescent="0.35">
      <c r="A401" s="1">
        <v>2023</v>
      </c>
      <c r="B401" s="1" t="s">
        <v>23</v>
      </c>
      <c r="C401" s="1">
        <v>3</v>
      </c>
      <c r="D401" s="49">
        <v>129.922</v>
      </c>
      <c r="E401" s="12">
        <f t="shared" si="4"/>
        <v>162.4025</v>
      </c>
      <c r="F401" s="50">
        <v>110</v>
      </c>
      <c r="G401" s="60">
        <v>74.022000000000006</v>
      </c>
      <c r="H401" s="61">
        <v>2418.1959999999999</v>
      </c>
      <c r="I401" s="62">
        <v>6.9</v>
      </c>
      <c r="J401" s="63">
        <v>3.4000000000000002E-2</v>
      </c>
      <c r="K401" s="64">
        <v>7.5209999999999999</v>
      </c>
      <c r="L401" s="65">
        <v>45.932000000000002</v>
      </c>
      <c r="M401" s="50">
        <v>5.1580000000000004</v>
      </c>
      <c r="N401" s="66">
        <v>1.4999999999999999E-2</v>
      </c>
      <c r="O401" s="57">
        <v>137.29900000000001</v>
      </c>
      <c r="P401" s="67">
        <v>3.9E-2</v>
      </c>
      <c r="Q401" s="68">
        <v>12.611000000000001</v>
      </c>
    </row>
    <row r="402" spans="1:17" ht="14.25" customHeight="1" x14ac:dyDescent="0.35">
      <c r="A402" s="1">
        <v>2023</v>
      </c>
      <c r="B402" s="1" t="s">
        <v>23</v>
      </c>
      <c r="C402" s="1">
        <v>4</v>
      </c>
      <c r="D402" s="49">
        <v>129.93799999999999</v>
      </c>
      <c r="E402" s="12">
        <f t="shared" si="4"/>
        <v>162.42249999999999</v>
      </c>
      <c r="F402" s="50">
        <v>110</v>
      </c>
      <c r="G402" s="60">
        <v>74.022000000000006</v>
      </c>
      <c r="H402" s="61">
        <v>2413.2579999999998</v>
      </c>
      <c r="I402" s="62">
        <v>6.9</v>
      </c>
      <c r="J402" s="63">
        <v>3.3000000000000002E-2</v>
      </c>
      <c r="K402" s="64">
        <v>7.5590000000000002</v>
      </c>
      <c r="L402" s="65">
        <v>47.29</v>
      </c>
      <c r="M402" s="50">
        <v>5.1459999999999999</v>
      </c>
      <c r="N402" s="66">
        <v>1.4999999999999999E-2</v>
      </c>
      <c r="O402" s="57">
        <v>141.66</v>
      </c>
      <c r="P402" s="67">
        <v>3.7999999999999999E-2</v>
      </c>
      <c r="Q402" s="68">
        <v>11.282999999999999</v>
      </c>
    </row>
    <row r="403" spans="1:17" ht="14.25" customHeight="1" x14ac:dyDescent="0.35">
      <c r="A403" s="1">
        <v>2023</v>
      </c>
      <c r="B403" s="1" t="s">
        <v>23</v>
      </c>
      <c r="C403" s="1">
        <v>5</v>
      </c>
      <c r="D403" s="49">
        <v>130.09399999999999</v>
      </c>
      <c r="E403" s="12">
        <f t="shared" si="4"/>
        <v>162.61750000000001</v>
      </c>
      <c r="F403" s="50">
        <v>110</v>
      </c>
      <c r="G403" s="60">
        <v>74.045000000000002</v>
      </c>
      <c r="H403" s="61">
        <v>2321.1260000000002</v>
      </c>
      <c r="I403" s="62">
        <v>6.9</v>
      </c>
      <c r="J403" s="63">
        <v>3.3000000000000002E-2</v>
      </c>
      <c r="K403" s="64">
        <v>7.6130000000000004</v>
      </c>
      <c r="L403" s="65">
        <v>45.356999999999999</v>
      </c>
      <c r="M403" s="50">
        <v>5.1719999999999997</v>
      </c>
      <c r="N403" s="66">
        <v>1.4999999999999999E-2</v>
      </c>
      <c r="O403" s="57">
        <v>132.67400000000001</v>
      </c>
      <c r="P403" s="67">
        <v>3.5000000000000003E-2</v>
      </c>
      <c r="Q403" s="68">
        <v>11.013999999999999</v>
      </c>
    </row>
    <row r="404" spans="1:17" ht="14.25" customHeight="1" x14ac:dyDescent="0.35">
      <c r="A404" s="1">
        <v>2023</v>
      </c>
      <c r="B404" s="1" t="s">
        <v>23</v>
      </c>
      <c r="C404" s="1">
        <v>6</v>
      </c>
      <c r="D404" s="49">
        <v>130.06299999999999</v>
      </c>
      <c r="E404" s="12">
        <f t="shared" si="4"/>
        <v>162.57874999999999</v>
      </c>
      <c r="F404" s="50">
        <v>109.90600000000001</v>
      </c>
      <c r="G404" s="60">
        <v>74.052999999999997</v>
      </c>
      <c r="H404" s="61">
        <v>2298.5219999999999</v>
      </c>
      <c r="I404" s="62">
        <v>6.9</v>
      </c>
      <c r="J404" s="63">
        <v>3.3000000000000002E-2</v>
      </c>
      <c r="K404" s="64">
        <v>7.7590000000000003</v>
      </c>
      <c r="L404" s="65">
        <v>46.276000000000003</v>
      </c>
      <c r="M404" s="50">
        <v>5.1520000000000001</v>
      </c>
      <c r="N404" s="66">
        <v>1.4999999999999999E-2</v>
      </c>
      <c r="O404" s="57">
        <v>139.68100000000001</v>
      </c>
      <c r="P404" s="67">
        <v>3.6999999999999998E-2</v>
      </c>
      <c r="Q404" s="68">
        <v>10.788</v>
      </c>
    </row>
    <row r="405" spans="1:17" ht="14.25" customHeight="1" x14ac:dyDescent="0.35">
      <c r="A405" s="1">
        <v>2023</v>
      </c>
      <c r="B405" s="1" t="s">
        <v>23</v>
      </c>
      <c r="C405" s="1">
        <v>7</v>
      </c>
      <c r="D405" s="49">
        <v>130.10900000000001</v>
      </c>
      <c r="E405" s="12">
        <f t="shared" si="4"/>
        <v>162.63625000000002</v>
      </c>
      <c r="F405" s="50">
        <v>110</v>
      </c>
      <c r="G405" s="60">
        <v>74.244</v>
      </c>
      <c r="H405" s="61">
        <v>2354.9879999999998</v>
      </c>
      <c r="I405" s="62">
        <v>6.9</v>
      </c>
      <c r="J405" s="63">
        <v>3.4000000000000002E-2</v>
      </c>
      <c r="K405" s="64">
        <v>7.9050000000000002</v>
      </c>
      <c r="L405" s="65">
        <v>47.893999999999998</v>
      </c>
      <c r="M405" s="50">
        <v>5.1449999999999996</v>
      </c>
      <c r="N405" s="66">
        <v>1.4999999999999999E-2</v>
      </c>
      <c r="O405" s="57">
        <v>144.52600000000001</v>
      </c>
      <c r="P405" s="67">
        <v>4.2000000000000003E-2</v>
      </c>
      <c r="Q405" s="68">
        <v>8.0939999999999994</v>
      </c>
    </row>
    <row r="406" spans="1:17" ht="14.25" customHeight="1" x14ac:dyDescent="0.35">
      <c r="A406" s="1">
        <v>2023</v>
      </c>
      <c r="B406" s="1" t="s">
        <v>23</v>
      </c>
      <c r="C406" s="1">
        <v>8</v>
      </c>
      <c r="D406" s="49">
        <v>130.125</v>
      </c>
      <c r="E406" s="12">
        <f t="shared" si="4"/>
        <v>162.65625</v>
      </c>
      <c r="F406" s="50">
        <v>110</v>
      </c>
      <c r="G406" s="60">
        <v>74.465000000000003</v>
      </c>
      <c r="H406" s="69">
        <v>2377.8440000000001</v>
      </c>
      <c r="I406" s="62">
        <v>6.9009999999999998</v>
      </c>
      <c r="J406" s="63">
        <v>3.4000000000000002E-2</v>
      </c>
      <c r="K406" s="50">
        <v>7.9269999999999996</v>
      </c>
      <c r="L406" s="65">
        <v>48.698999999999998</v>
      </c>
      <c r="M406" s="50">
        <v>5.1539999999999999</v>
      </c>
      <c r="N406" s="66">
        <v>1.4999999999999999E-2</v>
      </c>
      <c r="O406" s="57">
        <v>138.88399999999999</v>
      </c>
      <c r="P406" s="70">
        <v>4.2000000000000003E-2</v>
      </c>
      <c r="Q406" s="71">
        <v>13.138</v>
      </c>
    </row>
    <row r="407" spans="1:17" ht="14.25" customHeight="1" x14ac:dyDescent="0.35">
      <c r="A407" s="1">
        <v>2023</v>
      </c>
      <c r="B407" s="1" t="s">
        <v>23</v>
      </c>
      <c r="C407" s="1">
        <v>9</v>
      </c>
      <c r="D407" s="49">
        <v>130.03100000000001</v>
      </c>
      <c r="E407" s="12">
        <f t="shared" si="4"/>
        <v>162.53874999999999</v>
      </c>
      <c r="F407" s="50">
        <v>110</v>
      </c>
      <c r="G407" s="60">
        <v>74.634</v>
      </c>
      <c r="H407" s="61">
        <v>2472.2280000000001</v>
      </c>
      <c r="I407" s="62">
        <v>6.9</v>
      </c>
      <c r="J407" s="63">
        <v>3.4000000000000002E-2</v>
      </c>
      <c r="K407" s="64">
        <v>8.2469999999999999</v>
      </c>
      <c r="L407" s="65">
        <v>51.036999999999999</v>
      </c>
      <c r="M407" s="50">
        <v>5.1749999999999998</v>
      </c>
      <c r="N407" s="66">
        <v>1.4999999999999999E-2</v>
      </c>
      <c r="O407" s="57">
        <v>132.32400000000001</v>
      </c>
      <c r="P407" s="67">
        <v>4.7E-2</v>
      </c>
      <c r="Q407" s="68">
        <v>17.847999999999999</v>
      </c>
    </row>
    <row r="408" spans="1:17" ht="14.25" customHeight="1" x14ac:dyDescent="0.35">
      <c r="A408" s="1">
        <v>2023</v>
      </c>
      <c r="B408" s="1" t="s">
        <v>23</v>
      </c>
      <c r="C408" s="1">
        <v>10</v>
      </c>
      <c r="D408" s="49">
        <v>129.98400000000001</v>
      </c>
      <c r="E408" s="12">
        <f t="shared" si="4"/>
        <v>162.48000000000002</v>
      </c>
      <c r="F408" s="50">
        <v>109.90600000000001</v>
      </c>
      <c r="G408" s="72">
        <v>74.715999999999994</v>
      </c>
      <c r="H408" s="61">
        <v>2487</v>
      </c>
      <c r="I408" s="62">
        <v>6.9</v>
      </c>
      <c r="J408" s="63">
        <v>3.5000000000000003E-2</v>
      </c>
      <c r="K408" s="73">
        <v>7.91</v>
      </c>
      <c r="L408" s="65">
        <v>51.036999999999999</v>
      </c>
      <c r="M408" s="50">
        <v>5.1749999999999998</v>
      </c>
      <c r="N408" s="74">
        <v>1.4999999999999999E-2</v>
      </c>
      <c r="O408" s="57">
        <v>132.721</v>
      </c>
      <c r="P408" s="75">
        <v>4.2999999999999997E-2</v>
      </c>
      <c r="Q408" s="76">
        <v>19.986999999999998</v>
      </c>
    </row>
    <row r="409" spans="1:17" ht="14.25" customHeight="1" x14ac:dyDescent="0.35">
      <c r="A409" s="1">
        <v>2023</v>
      </c>
      <c r="B409" s="1" t="s">
        <v>23</v>
      </c>
      <c r="C409" s="1">
        <v>11</v>
      </c>
      <c r="D409" s="49">
        <v>130.06299999999999</v>
      </c>
      <c r="E409" s="12">
        <f t="shared" si="4"/>
        <v>162.57874999999999</v>
      </c>
      <c r="F409" s="50">
        <v>109.96899999999999</v>
      </c>
      <c r="G409" s="72">
        <v>74.149000000000001</v>
      </c>
      <c r="H409" s="61">
        <v>2471.7759999999998</v>
      </c>
      <c r="I409" s="62">
        <v>6.9</v>
      </c>
      <c r="J409" s="63">
        <v>3.5000000000000003E-2</v>
      </c>
      <c r="K409" s="77">
        <v>7.8890000000000002</v>
      </c>
      <c r="L409" s="65">
        <v>50.082000000000001</v>
      </c>
      <c r="M409" s="50">
        <v>5.1980000000000004</v>
      </c>
      <c r="N409" s="74">
        <v>1.4999999999999999E-2</v>
      </c>
      <c r="O409" s="57">
        <v>125.31100000000001</v>
      </c>
      <c r="P409" s="75">
        <v>4.2000000000000003E-2</v>
      </c>
      <c r="Q409" s="76">
        <v>19.989999999999998</v>
      </c>
    </row>
    <row r="410" spans="1:17" ht="14.25" customHeight="1" x14ac:dyDescent="0.35">
      <c r="A410" s="1">
        <v>2023</v>
      </c>
      <c r="B410" s="1" t="s">
        <v>23</v>
      </c>
      <c r="C410" s="1">
        <v>12</v>
      </c>
      <c r="D410" s="49">
        <v>129.922</v>
      </c>
      <c r="E410" s="12">
        <f t="shared" si="4"/>
        <v>162.4025</v>
      </c>
      <c r="F410" s="50">
        <v>110</v>
      </c>
      <c r="G410" s="72">
        <v>73.841999999999999</v>
      </c>
      <c r="H410" s="61">
        <v>2353.8870000000002</v>
      </c>
      <c r="I410" s="62">
        <v>6.9</v>
      </c>
      <c r="J410" s="63">
        <v>3.4000000000000002E-2</v>
      </c>
      <c r="K410" s="73">
        <v>7.9749999999999996</v>
      </c>
      <c r="L410" s="65">
        <v>44.231000000000002</v>
      </c>
      <c r="M410" s="50">
        <v>5.1970000000000001</v>
      </c>
      <c r="N410" s="74">
        <v>1.4999999999999999E-2</v>
      </c>
      <c r="O410" s="57">
        <v>125.123</v>
      </c>
      <c r="P410" s="75">
        <v>3.5999999999999997E-2</v>
      </c>
      <c r="Q410" s="76">
        <v>19.829999999999998</v>
      </c>
    </row>
    <row r="411" spans="1:17" ht="14.25" customHeight="1" x14ac:dyDescent="0.35">
      <c r="A411" s="1">
        <v>2023</v>
      </c>
      <c r="B411" s="1" t="s">
        <v>23</v>
      </c>
      <c r="C411" s="1">
        <v>13</v>
      </c>
      <c r="D411" s="49">
        <v>127.98399999999999</v>
      </c>
      <c r="E411" s="12">
        <f t="shared" si="4"/>
        <v>159.97999999999999</v>
      </c>
      <c r="F411" s="50">
        <v>108.375</v>
      </c>
      <c r="G411" s="78">
        <v>73.950999999999993</v>
      </c>
      <c r="H411" s="61">
        <v>2308.4630000000002</v>
      </c>
      <c r="I411" s="62">
        <v>6.9</v>
      </c>
      <c r="J411" s="63">
        <v>3.4000000000000002E-2</v>
      </c>
      <c r="K411" s="79">
        <v>7.9829999999999997</v>
      </c>
      <c r="L411" s="65">
        <v>44.283999999999999</v>
      </c>
      <c r="M411" s="50">
        <v>5.218</v>
      </c>
      <c r="N411" s="66">
        <v>1.4999999999999999E-2</v>
      </c>
      <c r="O411" s="57">
        <v>119.17400000000001</v>
      </c>
      <c r="P411" s="80">
        <v>3.5000000000000003E-2</v>
      </c>
      <c r="Q411" s="81">
        <v>19.472000000000001</v>
      </c>
    </row>
    <row r="412" spans="1:17" ht="14.25" customHeight="1" x14ac:dyDescent="0.35">
      <c r="A412" s="1">
        <v>2023</v>
      </c>
      <c r="B412" s="1" t="s">
        <v>23</v>
      </c>
      <c r="C412" s="1">
        <v>14</v>
      </c>
      <c r="D412" s="49">
        <v>129.578</v>
      </c>
      <c r="E412" s="12">
        <f t="shared" si="4"/>
        <v>161.9725</v>
      </c>
      <c r="F412" s="50">
        <v>109.90600000000001</v>
      </c>
      <c r="G412" s="60">
        <v>73.448999999999998</v>
      </c>
      <c r="H412" s="61">
        <v>2375.6770000000001</v>
      </c>
      <c r="I412" s="62">
        <v>6.9</v>
      </c>
      <c r="J412" s="63">
        <v>3.5000000000000003E-2</v>
      </c>
      <c r="K412" s="79">
        <v>7.8579999999999997</v>
      </c>
      <c r="L412" s="82">
        <v>44.872</v>
      </c>
      <c r="M412" s="50">
        <v>5.2140000000000004</v>
      </c>
      <c r="N412" s="66">
        <v>1.4999999999999999E-2</v>
      </c>
      <c r="O412" s="57">
        <v>120.36799999999999</v>
      </c>
      <c r="P412" s="80">
        <v>3.7999999999999999E-2</v>
      </c>
      <c r="Q412" s="81">
        <v>16.021999999999998</v>
      </c>
    </row>
    <row r="413" spans="1:17" ht="14.25" customHeight="1" x14ac:dyDescent="0.35">
      <c r="A413" s="1">
        <v>2023</v>
      </c>
      <c r="B413" s="1" t="s">
        <v>23</v>
      </c>
      <c r="C413" s="1">
        <v>15</v>
      </c>
      <c r="D413" s="49">
        <v>129.422</v>
      </c>
      <c r="E413" s="12">
        <f t="shared" si="4"/>
        <v>161.7775</v>
      </c>
      <c r="F413" s="50">
        <v>110</v>
      </c>
      <c r="G413" s="60">
        <v>73.194999999999993</v>
      </c>
      <c r="H413" s="61">
        <v>2461.652</v>
      </c>
      <c r="I413" s="62">
        <v>6.9</v>
      </c>
      <c r="J413" s="63">
        <v>3.5000000000000003E-2</v>
      </c>
      <c r="K413" s="73">
        <v>7.44</v>
      </c>
      <c r="L413" s="65">
        <v>47.802999999999997</v>
      </c>
      <c r="M413" s="50">
        <v>5.1680000000000001</v>
      </c>
      <c r="N413" s="66">
        <v>1.4999999999999999E-2</v>
      </c>
      <c r="O413" s="57">
        <v>134.273</v>
      </c>
      <c r="P413" s="75">
        <v>3.5999999999999997E-2</v>
      </c>
      <c r="Q413" s="76">
        <v>14.281000000000001</v>
      </c>
    </row>
    <row r="414" spans="1:17" ht="14.25" customHeight="1" x14ac:dyDescent="0.35">
      <c r="A414" s="1">
        <v>2023</v>
      </c>
      <c r="B414" s="1" t="s">
        <v>23</v>
      </c>
      <c r="C414" s="1">
        <v>16</v>
      </c>
      <c r="D414" s="49">
        <v>128.15600000000001</v>
      </c>
      <c r="E414" s="12">
        <f t="shared" si="4"/>
        <v>160.19499999999999</v>
      </c>
      <c r="F414" s="50">
        <v>108.34399999999999</v>
      </c>
      <c r="G414" s="60">
        <v>73.331999999999994</v>
      </c>
      <c r="H414" s="61">
        <v>2474.319</v>
      </c>
      <c r="I414" s="62">
        <v>6.9</v>
      </c>
      <c r="J414" s="63">
        <v>3.5999999999999997E-2</v>
      </c>
      <c r="K414" s="79">
        <v>7.8239999999999998</v>
      </c>
      <c r="L414" s="61">
        <v>47.695999999999998</v>
      </c>
      <c r="M414" s="62">
        <v>5.165</v>
      </c>
      <c r="N414" s="66">
        <v>1.4999999999999999E-2</v>
      </c>
      <c r="O414" s="57">
        <v>134.90299999999999</v>
      </c>
      <c r="P414" s="80">
        <v>3.6999999999999998E-2</v>
      </c>
      <c r="Q414" s="81">
        <v>13.045</v>
      </c>
    </row>
    <row r="415" spans="1:17" ht="14.25" customHeight="1" x14ac:dyDescent="0.35">
      <c r="A415" s="1">
        <v>2023</v>
      </c>
      <c r="B415" s="1" t="s">
        <v>23</v>
      </c>
      <c r="C415" s="1">
        <v>17</v>
      </c>
      <c r="D415" s="49">
        <v>130.56299999999999</v>
      </c>
      <c r="E415" s="12">
        <f t="shared" si="4"/>
        <v>163.20374999999999</v>
      </c>
      <c r="F415" s="50">
        <v>110</v>
      </c>
      <c r="G415" s="60">
        <v>73.590999999999994</v>
      </c>
      <c r="H415" s="61">
        <v>2536.5700000000002</v>
      </c>
      <c r="I415" s="62">
        <v>6.9</v>
      </c>
      <c r="J415" s="63">
        <v>4.1000000000000002E-2</v>
      </c>
      <c r="K415" s="64">
        <v>8.0350000000000001</v>
      </c>
      <c r="L415" s="65">
        <v>46.853999999999999</v>
      </c>
      <c r="M415" s="50">
        <v>5.1360000000000001</v>
      </c>
      <c r="N415" s="66">
        <v>1.4999999999999999E-2</v>
      </c>
      <c r="O415" s="57">
        <v>144.33699999999999</v>
      </c>
      <c r="P415" s="67">
        <v>4.1000000000000002E-2</v>
      </c>
      <c r="Q415" s="68">
        <v>12.829000000000001</v>
      </c>
    </row>
    <row r="416" spans="1:17" ht="14.25" customHeight="1" x14ac:dyDescent="0.35">
      <c r="A416" s="1">
        <v>2023</v>
      </c>
      <c r="B416" s="1" t="s">
        <v>23</v>
      </c>
      <c r="C416" s="1">
        <v>18</v>
      </c>
      <c r="D416" s="49">
        <v>128.78100000000001</v>
      </c>
      <c r="E416" s="12">
        <f t="shared" si="4"/>
        <v>160.97624999999999</v>
      </c>
      <c r="F416" s="50">
        <v>108.5</v>
      </c>
      <c r="G416" s="60">
        <v>73.757999999999996</v>
      </c>
      <c r="H416" s="61">
        <v>2551.7930000000001</v>
      </c>
      <c r="I416" s="62">
        <v>6.9</v>
      </c>
      <c r="J416" s="63">
        <v>3.9E-2</v>
      </c>
      <c r="K416" s="64">
        <v>7.7889999999999997</v>
      </c>
      <c r="L416" s="61">
        <v>47.677999999999997</v>
      </c>
      <c r="M416" s="62">
        <v>5.1319999999999997</v>
      </c>
      <c r="N416" s="66">
        <v>1.4999999999999999E-2</v>
      </c>
      <c r="O416" s="57">
        <v>145.48599999999999</v>
      </c>
      <c r="P416" s="67">
        <v>3.6999999999999998E-2</v>
      </c>
      <c r="Q416" s="68">
        <v>10.795999999999999</v>
      </c>
    </row>
    <row r="417" spans="1:17" ht="14.25" customHeight="1" x14ac:dyDescent="0.35">
      <c r="A417" s="1">
        <v>2023</v>
      </c>
      <c r="B417" s="1" t="s">
        <v>23</v>
      </c>
      <c r="C417" s="1">
        <v>19</v>
      </c>
      <c r="D417" s="49">
        <v>128.90600000000001</v>
      </c>
      <c r="E417" s="12">
        <f t="shared" si="4"/>
        <v>161.13249999999999</v>
      </c>
      <c r="F417" s="50">
        <v>108.84399999999999</v>
      </c>
      <c r="G417" s="60">
        <v>73.790000000000006</v>
      </c>
      <c r="H417" s="61">
        <v>2471.2559999999999</v>
      </c>
      <c r="I417" s="62">
        <v>6.9</v>
      </c>
      <c r="J417" s="63">
        <v>3.5000000000000003E-2</v>
      </c>
      <c r="K417" s="64">
        <v>7.6870000000000003</v>
      </c>
      <c r="L417" s="65">
        <v>47.012</v>
      </c>
      <c r="M417" s="50">
        <v>5.1349999999999998</v>
      </c>
      <c r="N417" s="66">
        <v>1.4999999999999999E-2</v>
      </c>
      <c r="O417" s="57">
        <v>144.94300000000001</v>
      </c>
      <c r="P417" s="67">
        <v>3.2000000000000001E-2</v>
      </c>
      <c r="Q417" s="68">
        <v>10.561999999999999</v>
      </c>
    </row>
    <row r="418" spans="1:17" ht="14.25" customHeight="1" x14ac:dyDescent="0.35">
      <c r="A418" s="1">
        <v>2023</v>
      </c>
      <c r="B418" s="1" t="s">
        <v>23</v>
      </c>
      <c r="C418" s="1">
        <v>20</v>
      </c>
      <c r="D418" s="49">
        <v>129.81299999999999</v>
      </c>
      <c r="E418" s="12">
        <f t="shared" si="4"/>
        <v>162.26624999999999</v>
      </c>
      <c r="F418" s="50">
        <v>110</v>
      </c>
      <c r="G418" s="60">
        <v>74.143000000000001</v>
      </c>
      <c r="H418" s="61">
        <v>2433.777</v>
      </c>
      <c r="I418" s="62">
        <v>6.9</v>
      </c>
      <c r="J418" s="63">
        <v>3.6999999999999998E-2</v>
      </c>
      <c r="K418" s="64">
        <v>7.8159999999999998</v>
      </c>
      <c r="L418" s="61">
        <v>47.537999999999997</v>
      </c>
      <c r="M418" s="62">
        <v>5.1390000000000002</v>
      </c>
      <c r="N418" s="66">
        <v>1.4999999999999999E-2</v>
      </c>
      <c r="O418" s="57">
        <v>144.215</v>
      </c>
      <c r="P418" s="67">
        <v>3.4000000000000002E-2</v>
      </c>
      <c r="Q418" s="68">
        <v>9.7379999999999995</v>
      </c>
    </row>
    <row r="419" spans="1:17" ht="14.25" customHeight="1" x14ac:dyDescent="0.35">
      <c r="A419" s="1">
        <v>2023</v>
      </c>
      <c r="B419" s="1" t="s">
        <v>23</v>
      </c>
      <c r="C419" s="1">
        <v>21</v>
      </c>
      <c r="D419" s="49">
        <v>129.81299999999999</v>
      </c>
      <c r="E419" s="12">
        <f t="shared" si="4"/>
        <v>162.26624999999999</v>
      </c>
      <c r="F419" s="50">
        <v>110</v>
      </c>
      <c r="G419" s="60">
        <v>73.930999999999997</v>
      </c>
      <c r="H419" s="61">
        <v>2382.6129999999998</v>
      </c>
      <c r="I419" s="62">
        <v>6.9</v>
      </c>
      <c r="J419" s="63">
        <v>3.6999999999999998E-2</v>
      </c>
      <c r="K419" s="64">
        <v>7.93</v>
      </c>
      <c r="L419" s="65">
        <v>45.776000000000003</v>
      </c>
      <c r="M419" s="50">
        <v>5.1120000000000001</v>
      </c>
      <c r="N419" s="66">
        <v>1.4999999999999999E-2</v>
      </c>
      <c r="O419" s="57">
        <v>152.86000000000001</v>
      </c>
      <c r="P419" s="67">
        <v>3.6999999999999998E-2</v>
      </c>
      <c r="Q419" s="68">
        <v>8.0980000000000008</v>
      </c>
    </row>
    <row r="420" spans="1:17" ht="14.25" customHeight="1" x14ac:dyDescent="0.35">
      <c r="A420" s="1">
        <v>2023</v>
      </c>
      <c r="B420" s="1" t="s">
        <v>23</v>
      </c>
      <c r="C420" s="1">
        <v>22</v>
      </c>
      <c r="D420" s="49">
        <v>75.858999999999995</v>
      </c>
      <c r="E420" s="12">
        <f t="shared" si="4"/>
        <v>94.82374999999999</v>
      </c>
      <c r="F420" s="50">
        <v>64.156000000000006</v>
      </c>
      <c r="G420" s="60">
        <v>73.010999999999996</v>
      </c>
      <c r="H420" s="61">
        <v>1992.6379999999999</v>
      </c>
      <c r="I420" s="62">
        <v>6.9</v>
      </c>
      <c r="J420" s="63">
        <v>3.3000000000000002E-2</v>
      </c>
      <c r="K420" s="64">
        <v>8.5440000000000005</v>
      </c>
      <c r="L420" s="61">
        <v>36.259</v>
      </c>
      <c r="M420" s="62">
        <v>5.0640000000000001</v>
      </c>
      <c r="N420" s="66">
        <v>1.4999999999999999E-2</v>
      </c>
      <c r="O420" s="57">
        <v>171.16</v>
      </c>
      <c r="P420" s="67">
        <v>4.4999999999999998E-2</v>
      </c>
      <c r="Q420" s="68">
        <v>7.0030000000000001</v>
      </c>
    </row>
    <row r="421" spans="1:17" ht="14.25" customHeight="1" x14ac:dyDescent="0.35">
      <c r="A421" s="1">
        <v>2023</v>
      </c>
      <c r="B421" s="1" t="s">
        <v>23</v>
      </c>
      <c r="C421" s="1">
        <v>23</v>
      </c>
      <c r="D421" s="49">
        <v>94.343999999999994</v>
      </c>
      <c r="E421" s="12">
        <f t="shared" si="4"/>
        <v>117.92999999999999</v>
      </c>
      <c r="F421" s="50">
        <v>80</v>
      </c>
      <c r="G421" s="60">
        <v>73.082999999999998</v>
      </c>
      <c r="H421" s="61">
        <v>1794.8040000000001</v>
      </c>
      <c r="I421" s="62">
        <v>6.9</v>
      </c>
      <c r="J421" s="63">
        <v>3.3000000000000002E-2</v>
      </c>
      <c r="K421" s="64">
        <v>8.673</v>
      </c>
      <c r="L421" s="65">
        <v>34.113</v>
      </c>
      <c r="M421" s="50">
        <v>4.8689999999999998</v>
      </c>
      <c r="N421" s="66">
        <v>1.4999999999999999E-2</v>
      </c>
      <c r="O421" s="57">
        <v>293.483</v>
      </c>
      <c r="P421" s="67">
        <v>3.7999999999999999E-2</v>
      </c>
      <c r="Q421" s="68">
        <v>6.7140000000000004</v>
      </c>
    </row>
    <row r="422" spans="1:17" ht="14.25" customHeight="1" x14ac:dyDescent="0.35">
      <c r="A422" s="1">
        <v>2023</v>
      </c>
      <c r="B422" s="1" t="s">
        <v>23</v>
      </c>
      <c r="C422" s="1">
        <v>24</v>
      </c>
      <c r="D422" s="49">
        <v>94.328000000000003</v>
      </c>
      <c r="E422" s="12">
        <f t="shared" si="4"/>
        <v>117.91</v>
      </c>
      <c r="F422" s="50">
        <v>80</v>
      </c>
      <c r="G422" s="60">
        <v>72.644999999999996</v>
      </c>
      <c r="H422" s="61">
        <v>1722.21</v>
      </c>
      <c r="I422" s="62">
        <v>6.9</v>
      </c>
      <c r="J422" s="63">
        <v>3.2000000000000001E-2</v>
      </c>
      <c r="K422" s="64">
        <v>8.782</v>
      </c>
      <c r="L422" s="61">
        <v>33.186999999999998</v>
      </c>
      <c r="M422" s="62">
        <v>4.9729999999999999</v>
      </c>
      <c r="N422" s="66">
        <v>1.4999999999999999E-2</v>
      </c>
      <c r="O422" s="57">
        <v>233.126</v>
      </c>
      <c r="P422" s="67">
        <v>3.5999999999999997E-2</v>
      </c>
      <c r="Q422" s="68">
        <v>6.4260000000000002</v>
      </c>
    </row>
    <row r="423" spans="1:17" ht="14.25" customHeight="1" x14ac:dyDescent="0.35">
      <c r="A423" s="1">
        <v>2023</v>
      </c>
      <c r="B423" s="1" t="s">
        <v>23</v>
      </c>
      <c r="C423" s="1">
        <v>25</v>
      </c>
      <c r="D423" s="49">
        <v>97.921999999999997</v>
      </c>
      <c r="E423" s="12">
        <f t="shared" si="4"/>
        <v>122.4025</v>
      </c>
      <c r="F423" s="50">
        <v>83.093999999999994</v>
      </c>
      <c r="G423" s="60">
        <v>70.385999999999996</v>
      </c>
      <c r="H423" s="61">
        <v>1471.5940000000001</v>
      </c>
      <c r="I423" s="62">
        <v>6.9</v>
      </c>
      <c r="J423" s="63">
        <v>3.1E-2</v>
      </c>
      <c r="K423" s="64">
        <v>8.0909999999999993</v>
      </c>
      <c r="L423" s="65">
        <v>25.87</v>
      </c>
      <c r="M423" s="50">
        <v>5.0220000000000002</v>
      </c>
      <c r="N423" s="66">
        <v>1.4999999999999999E-2</v>
      </c>
      <c r="O423" s="57">
        <v>194.255</v>
      </c>
      <c r="P423" s="67">
        <v>0.03</v>
      </c>
      <c r="Q423" s="68">
        <v>4.5999999999999996</v>
      </c>
    </row>
    <row r="424" spans="1:17" ht="14.25" customHeight="1" x14ac:dyDescent="0.35">
      <c r="A424" s="1">
        <v>2023</v>
      </c>
      <c r="B424" s="1" t="s">
        <v>23</v>
      </c>
      <c r="C424" s="1">
        <v>26</v>
      </c>
      <c r="D424" s="49">
        <v>104.23399999999999</v>
      </c>
      <c r="E424" s="12">
        <f t="shared" si="4"/>
        <v>130.29249999999999</v>
      </c>
      <c r="F424" s="50">
        <v>88.218999999999994</v>
      </c>
      <c r="G424" s="60">
        <v>71.049000000000007</v>
      </c>
      <c r="H424" s="61">
        <v>1574.116</v>
      </c>
      <c r="I424" s="62">
        <v>6.9</v>
      </c>
      <c r="J424" s="63">
        <v>3.1E-2</v>
      </c>
      <c r="K424" s="64">
        <v>8.2959999999999994</v>
      </c>
      <c r="L424" s="61">
        <v>27.82</v>
      </c>
      <c r="M424" s="62">
        <v>5.1070000000000002</v>
      </c>
      <c r="N424" s="66">
        <v>1.4999999999999999E-2</v>
      </c>
      <c r="O424" s="57">
        <v>153.38</v>
      </c>
      <c r="P424" s="67">
        <v>3.3000000000000002E-2</v>
      </c>
      <c r="Q424" s="68">
        <v>3.617</v>
      </c>
    </row>
    <row r="425" spans="1:17" ht="14.25" customHeight="1" x14ac:dyDescent="0.35">
      <c r="A425" s="1">
        <v>2023</v>
      </c>
      <c r="B425" s="1" t="s">
        <v>23</v>
      </c>
      <c r="C425" s="1">
        <v>27</v>
      </c>
      <c r="D425" s="12">
        <v>106.23399999999999</v>
      </c>
      <c r="E425" s="12">
        <f t="shared" si="4"/>
        <v>132.79249999999999</v>
      </c>
      <c r="F425" s="13">
        <v>90</v>
      </c>
      <c r="G425" s="60">
        <v>72.388000000000005</v>
      </c>
      <c r="H425" s="61">
        <v>1833.0989999999999</v>
      </c>
      <c r="I425" s="62">
        <v>6.9</v>
      </c>
      <c r="J425" s="63">
        <v>0.03</v>
      </c>
      <c r="K425" s="64">
        <v>8.5310000000000006</v>
      </c>
      <c r="L425" s="65">
        <v>34.906999999999996</v>
      </c>
      <c r="M425" s="50">
        <v>5.1260000000000003</v>
      </c>
      <c r="N425" s="66">
        <v>1.4999999999999999E-2</v>
      </c>
      <c r="O425" s="57">
        <v>147.38800000000001</v>
      </c>
      <c r="P425" s="67">
        <v>3.5999999999999997E-2</v>
      </c>
      <c r="Q425" s="68">
        <v>5.4880000000000004</v>
      </c>
    </row>
    <row r="426" spans="1:17" ht="14.25" customHeight="1" x14ac:dyDescent="0.35">
      <c r="A426" s="1">
        <v>2023</v>
      </c>
      <c r="B426" s="1" t="s">
        <v>23</v>
      </c>
      <c r="C426" s="1">
        <v>28</v>
      </c>
      <c r="D426" s="12">
        <v>106.313</v>
      </c>
      <c r="E426" s="12">
        <f t="shared" si="4"/>
        <v>132.89125000000001</v>
      </c>
      <c r="F426" s="13">
        <v>90</v>
      </c>
      <c r="G426" s="60">
        <v>72.784000000000006</v>
      </c>
      <c r="H426" s="61">
        <v>1837.021</v>
      </c>
      <c r="I426" s="62">
        <v>6.9</v>
      </c>
      <c r="J426" s="63">
        <v>3.1E-2</v>
      </c>
      <c r="K426" s="64">
        <v>8.5760000000000005</v>
      </c>
      <c r="L426" s="61">
        <v>36.000999999999998</v>
      </c>
      <c r="M426" s="62">
        <v>5.077</v>
      </c>
      <c r="N426" s="66">
        <v>1.4999999999999999E-2</v>
      </c>
      <c r="O426" s="57">
        <v>167.453</v>
      </c>
      <c r="P426" s="67">
        <v>3.7999999999999999E-2</v>
      </c>
      <c r="Q426" s="68">
        <v>6.0640000000000001</v>
      </c>
    </row>
    <row r="427" spans="1:17" ht="14.25" customHeight="1" x14ac:dyDescent="0.35">
      <c r="A427" s="1">
        <v>2023</v>
      </c>
      <c r="B427" s="1" t="s">
        <v>25</v>
      </c>
      <c r="C427" s="1">
        <v>1</v>
      </c>
      <c r="D427" s="49">
        <v>105.96899999999999</v>
      </c>
      <c r="E427" s="12">
        <f t="shared" si="4"/>
        <v>132.46125000000001</v>
      </c>
      <c r="F427" s="50">
        <v>90</v>
      </c>
      <c r="G427" s="51">
        <v>71.843000000000004</v>
      </c>
      <c r="H427" s="52">
        <v>1711.289</v>
      </c>
      <c r="I427" s="53">
        <v>6.9</v>
      </c>
      <c r="J427" s="54">
        <v>3.2000000000000001E-2</v>
      </c>
      <c r="K427" s="55">
        <v>8.4879999999999995</v>
      </c>
      <c r="L427" s="52">
        <v>31.736999999999998</v>
      </c>
      <c r="M427" s="55">
        <v>5.0759999999999996</v>
      </c>
      <c r="N427" s="56">
        <v>1.4999999999999999E-2</v>
      </c>
      <c r="O427" s="57">
        <v>165.81899999999999</v>
      </c>
      <c r="P427" s="58">
        <v>3.5999999999999997E-2</v>
      </c>
      <c r="Q427" s="59">
        <v>5.242</v>
      </c>
    </row>
    <row r="428" spans="1:17" ht="14.25" customHeight="1" x14ac:dyDescent="0.35">
      <c r="A428" s="1">
        <v>2023</v>
      </c>
      <c r="B428" s="1" t="s">
        <v>25</v>
      </c>
      <c r="C428" s="1">
        <v>2</v>
      </c>
      <c r="D428" s="49">
        <v>105.65600000000001</v>
      </c>
      <c r="E428" s="12">
        <f t="shared" si="4"/>
        <v>132.07</v>
      </c>
      <c r="F428" s="50">
        <v>89.813000000000002</v>
      </c>
      <c r="G428" s="60">
        <v>72.373000000000005</v>
      </c>
      <c r="H428" s="61">
        <v>1720.59</v>
      </c>
      <c r="I428" s="62">
        <v>6.9</v>
      </c>
      <c r="J428" s="63">
        <v>3.2000000000000001E-2</v>
      </c>
      <c r="K428" s="64">
        <v>8.4280000000000008</v>
      </c>
      <c r="L428" s="65">
        <v>31.096</v>
      </c>
      <c r="M428" s="50">
        <v>5.09</v>
      </c>
      <c r="N428" s="66">
        <v>1.4999999999999999E-2</v>
      </c>
      <c r="O428" s="57">
        <v>160.43700000000001</v>
      </c>
      <c r="P428" s="67">
        <v>3.5999999999999997E-2</v>
      </c>
      <c r="Q428" s="68">
        <v>4.7069999999999999</v>
      </c>
    </row>
    <row r="429" spans="1:17" ht="14.25" customHeight="1" x14ac:dyDescent="0.35">
      <c r="A429" s="1">
        <v>2023</v>
      </c>
      <c r="B429" s="1" t="s">
        <v>25</v>
      </c>
      <c r="C429" s="1">
        <v>3</v>
      </c>
      <c r="D429" s="49">
        <v>79.608999999999995</v>
      </c>
      <c r="E429" s="12">
        <f t="shared" si="4"/>
        <v>99.51124999999999</v>
      </c>
      <c r="F429" s="50">
        <v>67.813000000000002</v>
      </c>
      <c r="G429" s="60">
        <v>73.069000000000003</v>
      </c>
      <c r="H429" s="61">
        <v>1738.164</v>
      </c>
      <c r="I429" s="62">
        <v>6.9</v>
      </c>
      <c r="J429" s="63">
        <v>3.2000000000000001E-2</v>
      </c>
      <c r="K429" s="64">
        <v>8.7750000000000004</v>
      </c>
      <c r="L429" s="65">
        <v>32.308999999999997</v>
      </c>
      <c r="M429" s="50">
        <v>5.431</v>
      </c>
      <c r="N429" s="66">
        <v>1.4999999999999999E-2</v>
      </c>
      <c r="O429" s="57">
        <v>88.816999999999993</v>
      </c>
      <c r="P429" s="67">
        <v>0.04</v>
      </c>
      <c r="Q429" s="68">
        <v>5.601</v>
      </c>
    </row>
    <row r="430" spans="1:17" ht="14.25" customHeight="1" x14ac:dyDescent="0.35">
      <c r="A430" s="1">
        <v>2023</v>
      </c>
      <c r="B430" s="1" t="s">
        <v>25</v>
      </c>
      <c r="C430" s="1">
        <v>4</v>
      </c>
      <c r="D430" s="49">
        <v>64.483999999999995</v>
      </c>
      <c r="E430" s="12">
        <f t="shared" si="4"/>
        <v>80.60499999999999</v>
      </c>
      <c r="F430" s="50">
        <v>55</v>
      </c>
      <c r="G430" s="60">
        <v>72.94</v>
      </c>
      <c r="H430" s="61">
        <v>1708.163</v>
      </c>
      <c r="I430" s="62">
        <v>6.9</v>
      </c>
      <c r="J430" s="63">
        <v>3.2000000000000001E-2</v>
      </c>
      <c r="K430" s="64">
        <v>8.7569999999999997</v>
      </c>
      <c r="L430" s="65">
        <v>31.544</v>
      </c>
      <c r="M430" s="50">
        <v>5.633</v>
      </c>
      <c r="N430" s="66">
        <v>1.4999999999999999E-2</v>
      </c>
      <c r="O430" s="57">
        <v>46</v>
      </c>
      <c r="P430" s="67">
        <v>3.9E-2</v>
      </c>
      <c r="Q430" s="68">
        <v>5.9429999999999996</v>
      </c>
    </row>
    <row r="431" spans="1:17" ht="14.25" customHeight="1" x14ac:dyDescent="0.35">
      <c r="A431" s="1">
        <v>2023</v>
      </c>
      <c r="B431" s="1" t="s">
        <v>25</v>
      </c>
      <c r="C431" s="1">
        <v>5</v>
      </c>
      <c r="D431" s="49">
        <v>64.483999999999995</v>
      </c>
      <c r="E431" s="12">
        <f t="shared" si="4"/>
        <v>80.60499999999999</v>
      </c>
      <c r="F431" s="50">
        <v>54.969000000000001</v>
      </c>
      <c r="G431" s="60">
        <v>72.930999999999997</v>
      </c>
      <c r="H431" s="61">
        <v>1638.2750000000001</v>
      </c>
      <c r="I431" s="62">
        <v>6.9</v>
      </c>
      <c r="J431" s="63">
        <v>3.2000000000000001E-2</v>
      </c>
      <c r="K431" s="64">
        <v>8.68</v>
      </c>
      <c r="L431" s="65">
        <v>30.135999999999999</v>
      </c>
      <c r="M431" s="50">
        <v>5.6310000000000002</v>
      </c>
      <c r="N431" s="66">
        <v>1.4999999999999999E-2</v>
      </c>
      <c r="O431" s="57">
        <v>46.155000000000001</v>
      </c>
      <c r="P431" s="67">
        <v>3.5000000000000003E-2</v>
      </c>
      <c r="Q431" s="68">
        <v>5.2240000000000002</v>
      </c>
    </row>
    <row r="432" spans="1:17" ht="14.25" customHeight="1" x14ac:dyDescent="0.35">
      <c r="A432" s="1">
        <v>2023</v>
      </c>
      <c r="B432" s="1" t="s">
        <v>25</v>
      </c>
      <c r="C432" s="1">
        <v>6</v>
      </c>
      <c r="D432" s="49">
        <v>64.5</v>
      </c>
      <c r="E432" s="12">
        <f t="shared" si="4"/>
        <v>80.625</v>
      </c>
      <c r="F432" s="50">
        <v>55.030999999999999</v>
      </c>
      <c r="G432" s="60">
        <v>73.177999999999997</v>
      </c>
      <c r="H432" s="61">
        <v>1641.652</v>
      </c>
      <c r="I432" s="62">
        <v>6.9</v>
      </c>
      <c r="J432" s="63">
        <v>3.2000000000000001E-2</v>
      </c>
      <c r="K432" s="64">
        <v>9.0739999999999998</v>
      </c>
      <c r="L432" s="65">
        <v>30.701000000000001</v>
      </c>
      <c r="M432" s="50">
        <v>5.6319999999999997</v>
      </c>
      <c r="N432" s="66">
        <v>1.4999999999999999E-2</v>
      </c>
      <c r="O432" s="57">
        <v>46.05</v>
      </c>
      <c r="P432" s="67">
        <v>3.7999999999999999E-2</v>
      </c>
      <c r="Q432" s="68">
        <v>5.56</v>
      </c>
    </row>
    <row r="433" spans="1:17" ht="14.25" customHeight="1" x14ac:dyDescent="0.35">
      <c r="A433" s="1">
        <v>2023</v>
      </c>
      <c r="B433" s="1" t="s">
        <v>25</v>
      </c>
      <c r="C433" s="1">
        <v>7</v>
      </c>
      <c r="D433" s="49">
        <v>64.406000000000006</v>
      </c>
      <c r="E433" s="12">
        <f t="shared" si="4"/>
        <v>80.507500000000007</v>
      </c>
      <c r="F433" s="50">
        <v>54.969000000000001</v>
      </c>
      <c r="G433" s="60">
        <v>73.356999999999999</v>
      </c>
      <c r="H433" s="61">
        <v>1657.521</v>
      </c>
      <c r="I433" s="62">
        <v>6.9</v>
      </c>
      <c r="J433" s="63">
        <v>3.3000000000000002E-2</v>
      </c>
      <c r="K433" s="64">
        <v>9.2829999999999995</v>
      </c>
      <c r="L433" s="65">
        <v>31.925999999999998</v>
      </c>
      <c r="M433" s="50">
        <v>5.6269999999999998</v>
      </c>
      <c r="N433" s="66">
        <v>1.4999999999999999E-2</v>
      </c>
      <c r="O433" s="57">
        <v>46.616</v>
      </c>
      <c r="P433" s="67">
        <v>4.3999999999999997E-2</v>
      </c>
      <c r="Q433" s="68">
        <v>5.6689999999999996</v>
      </c>
    </row>
    <row r="434" spans="1:17" ht="14.25" customHeight="1" x14ac:dyDescent="0.35">
      <c r="A434" s="1">
        <v>2023</v>
      </c>
      <c r="B434" s="1" t="s">
        <v>25</v>
      </c>
      <c r="C434" s="1">
        <v>8</v>
      </c>
      <c r="D434" s="49">
        <v>64.608999999999995</v>
      </c>
      <c r="E434" s="12">
        <f t="shared" si="4"/>
        <v>80.76124999999999</v>
      </c>
      <c r="F434" s="50">
        <v>54.969000000000001</v>
      </c>
      <c r="G434" s="60">
        <v>73.23</v>
      </c>
      <c r="H434" s="69">
        <v>1692.8579999999999</v>
      </c>
      <c r="I434" s="62">
        <v>6.9</v>
      </c>
      <c r="J434" s="63">
        <v>3.4000000000000002E-2</v>
      </c>
      <c r="K434" s="50">
        <v>8.91</v>
      </c>
      <c r="L434" s="65">
        <v>33.575000000000003</v>
      </c>
      <c r="M434" s="50">
        <v>5.6269999999999998</v>
      </c>
      <c r="N434" s="66">
        <v>1.4999999999999999E-2</v>
      </c>
      <c r="O434" s="57">
        <v>46.604999999999997</v>
      </c>
      <c r="P434" s="70">
        <v>4.2000000000000003E-2</v>
      </c>
      <c r="Q434" s="71">
        <v>6.55</v>
      </c>
    </row>
    <row r="435" spans="1:17" ht="14.25" customHeight="1" x14ac:dyDescent="0.35">
      <c r="A435" s="1">
        <v>2023</v>
      </c>
      <c r="B435" s="1" t="s">
        <v>25</v>
      </c>
      <c r="C435" s="1">
        <v>9</v>
      </c>
      <c r="D435" s="49">
        <v>65.093999999999994</v>
      </c>
      <c r="E435" s="12">
        <f t="shared" si="4"/>
        <v>81.367499999999993</v>
      </c>
      <c r="F435" s="50">
        <v>55</v>
      </c>
      <c r="G435" s="60">
        <v>73.602000000000004</v>
      </c>
      <c r="H435" s="61">
        <v>1708.768</v>
      </c>
      <c r="I435" s="62">
        <v>6.9</v>
      </c>
      <c r="J435" s="63">
        <v>3.4000000000000002E-2</v>
      </c>
      <c r="K435" s="64">
        <v>8.9109999999999996</v>
      </c>
      <c r="L435" s="65">
        <v>31.765999999999998</v>
      </c>
      <c r="M435" s="50">
        <v>5.609</v>
      </c>
      <c r="N435" s="66">
        <v>1.4999999999999999E-2</v>
      </c>
      <c r="O435" s="57">
        <v>48.866999999999997</v>
      </c>
      <c r="P435" s="67">
        <v>4.2999999999999997E-2</v>
      </c>
      <c r="Q435" s="68">
        <v>6.6319999999999997</v>
      </c>
    </row>
    <row r="436" spans="1:17" ht="14.25" customHeight="1" x14ac:dyDescent="0.35">
      <c r="A436" s="1">
        <v>2023</v>
      </c>
      <c r="B436" s="1" t="s">
        <v>25</v>
      </c>
      <c r="C436" s="1">
        <v>10</v>
      </c>
      <c r="D436" s="49">
        <v>65.218999999999994</v>
      </c>
      <c r="E436" s="12">
        <f t="shared" si="4"/>
        <v>81.523749999999993</v>
      </c>
      <c r="F436" s="50">
        <v>55</v>
      </c>
      <c r="G436" s="72">
        <v>73.218999999999994</v>
      </c>
      <c r="H436" s="61">
        <v>1643.7449999999999</v>
      </c>
      <c r="I436" s="62">
        <v>6.9</v>
      </c>
      <c r="J436" s="63">
        <v>3.5000000000000003E-2</v>
      </c>
      <c r="K436" s="73">
        <v>9.0069999999999997</v>
      </c>
      <c r="L436" s="65">
        <v>28.654</v>
      </c>
      <c r="M436" s="50">
        <v>5.1920000000000002</v>
      </c>
      <c r="N436" s="74">
        <v>1.4999999999999999E-2</v>
      </c>
      <c r="O436" s="57">
        <v>155.39500000000001</v>
      </c>
      <c r="P436" s="75">
        <v>0.04</v>
      </c>
      <c r="Q436" s="76">
        <v>6.1509999999999998</v>
      </c>
    </row>
    <row r="437" spans="1:17" ht="14.25" customHeight="1" x14ac:dyDescent="0.35">
      <c r="A437" s="1">
        <v>2023</v>
      </c>
      <c r="B437" s="1" t="s">
        <v>25</v>
      </c>
      <c r="C437" s="1">
        <v>11</v>
      </c>
      <c r="D437" s="49">
        <v>65.203000000000003</v>
      </c>
      <c r="E437" s="12">
        <f t="shared" si="4"/>
        <v>81.503749999999997</v>
      </c>
      <c r="F437" s="50">
        <v>54.969000000000001</v>
      </c>
      <c r="G437" s="72">
        <v>73.38</v>
      </c>
      <c r="H437" s="61">
        <v>1530.57</v>
      </c>
      <c r="I437" s="62">
        <v>6.9</v>
      </c>
      <c r="J437" s="63">
        <v>3.5000000000000003E-2</v>
      </c>
      <c r="K437" s="77">
        <v>8.8789999999999996</v>
      </c>
      <c r="L437" s="65">
        <v>23.588000000000001</v>
      </c>
      <c r="M437" s="50">
        <v>4.9660000000000002</v>
      </c>
      <c r="N437" s="74">
        <v>1.4999999999999999E-2</v>
      </c>
      <c r="O437" s="57">
        <v>212.762</v>
      </c>
      <c r="P437" s="75">
        <v>3.5000000000000003E-2</v>
      </c>
      <c r="Q437" s="76">
        <v>5.1310000000000002</v>
      </c>
    </row>
    <row r="438" spans="1:17" ht="14.25" customHeight="1" x14ac:dyDescent="0.35">
      <c r="A438" s="1">
        <v>2023</v>
      </c>
      <c r="B438" s="1" t="s">
        <v>25</v>
      </c>
      <c r="C438" s="1">
        <v>12</v>
      </c>
      <c r="D438" s="49">
        <v>62.438000000000002</v>
      </c>
      <c r="E438" s="12">
        <f t="shared" si="4"/>
        <v>78.047499999999999</v>
      </c>
      <c r="F438" s="50">
        <v>52.75</v>
      </c>
      <c r="G438" s="72">
        <v>73.997</v>
      </c>
      <c r="H438" s="61">
        <v>1579.4059999999999</v>
      </c>
      <c r="I438" s="62">
        <v>6.9</v>
      </c>
      <c r="J438" s="63">
        <v>3.4000000000000002E-2</v>
      </c>
      <c r="K438" s="73">
        <v>9.2260000000000009</v>
      </c>
      <c r="L438" s="65">
        <v>24.581</v>
      </c>
      <c r="M438" s="50">
        <v>4.95</v>
      </c>
      <c r="N438" s="74">
        <v>1.4999999999999999E-2</v>
      </c>
      <c r="O438" s="57">
        <v>221.637</v>
      </c>
      <c r="P438" s="75">
        <v>4.1000000000000002E-2</v>
      </c>
      <c r="Q438" s="76">
        <v>4.6970000000000001</v>
      </c>
    </row>
    <row r="439" spans="1:17" ht="14.25" customHeight="1" x14ac:dyDescent="0.35">
      <c r="A439" s="1">
        <v>2023</v>
      </c>
      <c r="B439" s="1" t="s">
        <v>25</v>
      </c>
      <c r="C439" s="1">
        <v>13</v>
      </c>
      <c r="D439" s="49">
        <v>67.766000000000005</v>
      </c>
      <c r="E439" s="12">
        <f t="shared" si="4"/>
        <v>84.70750000000001</v>
      </c>
      <c r="F439" s="50">
        <v>57.469000000000001</v>
      </c>
      <c r="G439" s="78">
        <v>74.174000000000007</v>
      </c>
      <c r="H439" s="61">
        <v>1594.3630000000001</v>
      </c>
      <c r="I439" s="62">
        <v>6.8979999999999997</v>
      </c>
      <c r="J439" s="63">
        <v>3.4000000000000002E-2</v>
      </c>
      <c r="K439" s="79">
        <v>9.641</v>
      </c>
      <c r="L439" s="65">
        <v>27.369</v>
      </c>
      <c r="M439" s="50">
        <v>4.9720000000000004</v>
      </c>
      <c r="N439" s="66">
        <v>1.4999999999999999E-2</v>
      </c>
      <c r="O439" s="57">
        <v>209.762</v>
      </c>
      <c r="P439" s="80">
        <v>4.3999999999999997E-2</v>
      </c>
      <c r="Q439" s="81">
        <v>4.7770000000000001</v>
      </c>
    </row>
    <row r="440" spans="1:17" ht="14.25" customHeight="1" x14ac:dyDescent="0.35">
      <c r="A440" s="1">
        <v>2023</v>
      </c>
      <c r="B440" s="1" t="s">
        <v>25</v>
      </c>
      <c r="C440" s="1">
        <v>14</v>
      </c>
      <c r="D440" s="49">
        <v>70.593999999999994</v>
      </c>
      <c r="E440" s="12">
        <f t="shared" si="4"/>
        <v>88.242499999999993</v>
      </c>
      <c r="F440" s="50">
        <v>60</v>
      </c>
      <c r="G440" s="60">
        <v>73.879000000000005</v>
      </c>
      <c r="H440" s="61">
        <v>1745.7919999999999</v>
      </c>
      <c r="I440" s="62">
        <v>6.9</v>
      </c>
      <c r="J440" s="63">
        <v>3.4000000000000002E-2</v>
      </c>
      <c r="K440" s="79">
        <v>9.2330000000000005</v>
      </c>
      <c r="L440" s="82">
        <v>30.931000000000001</v>
      </c>
      <c r="M440" s="50">
        <v>4.9640000000000004</v>
      </c>
      <c r="N440" s="66">
        <v>1.4999999999999999E-2</v>
      </c>
      <c r="O440" s="57">
        <v>213.45500000000001</v>
      </c>
      <c r="P440" s="80">
        <v>4.3999999999999997E-2</v>
      </c>
      <c r="Q440" s="81">
        <v>5.734</v>
      </c>
    </row>
    <row r="441" spans="1:17" ht="14.25" customHeight="1" x14ac:dyDescent="0.35">
      <c r="A441" s="1">
        <v>2023</v>
      </c>
      <c r="B441" s="1" t="s">
        <v>25</v>
      </c>
      <c r="C441" s="1">
        <v>15</v>
      </c>
      <c r="D441" s="49">
        <v>70.671999999999997</v>
      </c>
      <c r="E441" s="12">
        <f t="shared" si="4"/>
        <v>88.34</v>
      </c>
      <c r="F441" s="50">
        <v>59.969000000000001</v>
      </c>
      <c r="G441" s="60">
        <v>72.033000000000001</v>
      </c>
      <c r="H441" s="61">
        <v>1716.037</v>
      </c>
      <c r="I441" s="62">
        <v>6.9</v>
      </c>
      <c r="J441" s="63">
        <v>3.3000000000000002E-2</v>
      </c>
      <c r="K441" s="73">
        <v>8.3309999999999995</v>
      </c>
      <c r="L441" s="65">
        <v>29.355</v>
      </c>
      <c r="M441" s="50">
        <v>4.9370000000000003</v>
      </c>
      <c r="N441" s="66">
        <v>1.4999999999999999E-2</v>
      </c>
      <c r="O441" s="57">
        <v>228.28299999999999</v>
      </c>
      <c r="P441" s="75">
        <v>3.9E-2</v>
      </c>
      <c r="Q441" s="76">
        <v>5.5170000000000003</v>
      </c>
    </row>
    <row r="442" spans="1:17" ht="14.25" customHeight="1" x14ac:dyDescent="0.35">
      <c r="A442" s="1">
        <v>2023</v>
      </c>
      <c r="B442" s="1" t="s">
        <v>25</v>
      </c>
      <c r="C442" s="1">
        <v>16</v>
      </c>
      <c r="D442" s="49">
        <v>70.516000000000005</v>
      </c>
      <c r="E442" s="12">
        <f t="shared" si="4"/>
        <v>88.14500000000001</v>
      </c>
      <c r="F442" s="50">
        <v>60</v>
      </c>
      <c r="G442" s="60">
        <v>72.492000000000004</v>
      </c>
      <c r="H442" s="61">
        <v>1893.1210000000001</v>
      </c>
      <c r="I442" s="62">
        <v>6.9</v>
      </c>
      <c r="J442" s="63">
        <v>3.4000000000000002E-2</v>
      </c>
      <c r="K442" s="79">
        <v>8.7569999999999997</v>
      </c>
      <c r="L442" s="61">
        <v>35.683999999999997</v>
      </c>
      <c r="M442" s="62">
        <v>4.9989999999999997</v>
      </c>
      <c r="N442" s="66">
        <v>1.4999999999999999E-2</v>
      </c>
      <c r="O442" s="57">
        <v>197.399</v>
      </c>
      <c r="P442" s="80">
        <v>4.5999999999999999E-2</v>
      </c>
      <c r="Q442" s="81">
        <v>5.1310000000000002</v>
      </c>
    </row>
    <row r="443" spans="1:17" ht="14.25" customHeight="1" x14ac:dyDescent="0.35">
      <c r="A443" s="1">
        <v>2023</v>
      </c>
      <c r="B443" s="1" t="s">
        <v>25</v>
      </c>
      <c r="C443" s="1">
        <v>17</v>
      </c>
      <c r="D443" s="49">
        <v>70.671999999999997</v>
      </c>
      <c r="E443" s="12">
        <f t="shared" si="4"/>
        <v>88.34</v>
      </c>
      <c r="F443" s="50">
        <v>59.938000000000002</v>
      </c>
      <c r="G443" s="60">
        <v>73.453999999999994</v>
      </c>
      <c r="H443" s="61">
        <v>2043.527</v>
      </c>
      <c r="I443" s="62">
        <v>6.9</v>
      </c>
      <c r="J443" s="63">
        <v>3.3000000000000002E-2</v>
      </c>
      <c r="K443" s="64">
        <v>8.4489999999999998</v>
      </c>
      <c r="L443" s="65">
        <v>32.274000000000001</v>
      </c>
      <c r="M443" s="50">
        <v>4.8780000000000001</v>
      </c>
      <c r="N443" s="66">
        <v>1.4999999999999999E-2</v>
      </c>
      <c r="O443" s="57">
        <v>262.911</v>
      </c>
      <c r="P443" s="67">
        <v>4.8000000000000001E-2</v>
      </c>
      <c r="Q443" s="68">
        <v>5.12</v>
      </c>
    </row>
    <row r="444" spans="1:17" ht="14.25" customHeight="1" x14ac:dyDescent="0.35">
      <c r="A444" s="1">
        <v>2023</v>
      </c>
      <c r="B444" s="1" t="s">
        <v>25</v>
      </c>
      <c r="C444" s="1">
        <v>18</v>
      </c>
      <c r="D444" s="49">
        <v>70.516000000000005</v>
      </c>
      <c r="E444" s="12">
        <f t="shared" si="4"/>
        <v>88.14500000000001</v>
      </c>
      <c r="F444" s="50">
        <v>60</v>
      </c>
      <c r="G444" s="60">
        <v>74.096000000000004</v>
      </c>
      <c r="H444" s="61">
        <v>2056.0639999999999</v>
      </c>
      <c r="I444" s="62">
        <v>6.9</v>
      </c>
      <c r="J444" s="63">
        <v>3.4000000000000002E-2</v>
      </c>
      <c r="K444" s="64">
        <v>8.3689999999999998</v>
      </c>
      <c r="L444" s="61">
        <v>31.448</v>
      </c>
      <c r="M444" s="62">
        <v>4.7880000000000003</v>
      </c>
      <c r="N444" s="66">
        <v>1.4999999999999999E-2</v>
      </c>
      <c r="O444" s="57">
        <v>322.84699999999998</v>
      </c>
      <c r="P444" s="67">
        <v>6.0999999999999999E-2</v>
      </c>
      <c r="Q444" s="68">
        <v>3.4089999999999998</v>
      </c>
    </row>
    <row r="445" spans="1:17" ht="14.25" customHeight="1" x14ac:dyDescent="0.35">
      <c r="A445" s="1">
        <v>2023</v>
      </c>
      <c r="B445" s="1" t="s">
        <v>25</v>
      </c>
      <c r="C445" s="1">
        <v>19</v>
      </c>
      <c r="D445" s="49">
        <v>70.531000000000006</v>
      </c>
      <c r="E445" s="12">
        <f t="shared" si="4"/>
        <v>88.163750000000007</v>
      </c>
      <c r="F445" s="50">
        <v>60</v>
      </c>
      <c r="G445" s="60">
        <v>73.844999999999999</v>
      </c>
      <c r="H445" s="61">
        <v>2013.329</v>
      </c>
      <c r="I445" s="62">
        <v>6.9</v>
      </c>
      <c r="J445" s="63">
        <v>3.5000000000000003E-2</v>
      </c>
      <c r="K445" s="64">
        <v>8.3030000000000008</v>
      </c>
      <c r="L445" s="65">
        <v>31.494</v>
      </c>
      <c r="M445" s="50">
        <v>4.8140000000000001</v>
      </c>
      <c r="N445" s="66">
        <v>1.4999999999999999E-2</v>
      </c>
      <c r="O445" s="57">
        <v>304.14999999999998</v>
      </c>
      <c r="P445" s="67">
        <v>5.2999999999999999E-2</v>
      </c>
      <c r="Q445" s="68">
        <v>3.919</v>
      </c>
    </row>
    <row r="446" spans="1:17" ht="14.25" customHeight="1" x14ac:dyDescent="0.35">
      <c r="A446" s="1">
        <v>2023</v>
      </c>
      <c r="B446" s="1" t="s">
        <v>25</v>
      </c>
      <c r="C446" s="1">
        <v>20</v>
      </c>
      <c r="D446" s="49">
        <v>73.828000000000003</v>
      </c>
      <c r="E446" s="12">
        <f t="shared" si="4"/>
        <v>92.284999999999997</v>
      </c>
      <c r="F446" s="50">
        <v>62.530999999999999</v>
      </c>
      <c r="G446" s="60">
        <v>73.802999999999997</v>
      </c>
      <c r="H446" s="61">
        <v>2000.4870000000001</v>
      </c>
      <c r="I446" s="62">
        <v>6.9</v>
      </c>
      <c r="J446" s="63">
        <v>3.5000000000000003E-2</v>
      </c>
      <c r="K446" s="64">
        <v>8.4209999999999994</v>
      </c>
      <c r="L446" s="61">
        <v>37.645000000000003</v>
      </c>
      <c r="M446" s="62">
        <v>4.875</v>
      </c>
      <c r="N446" s="66">
        <v>1.4999999999999999E-2</v>
      </c>
      <c r="O446" s="57">
        <v>263.18200000000002</v>
      </c>
      <c r="P446" s="67">
        <v>5.8000000000000003E-2</v>
      </c>
      <c r="Q446" s="68">
        <v>5.3220000000000001</v>
      </c>
    </row>
    <row r="447" spans="1:17" ht="14.25" customHeight="1" x14ac:dyDescent="0.35">
      <c r="A447" s="1">
        <v>2023</v>
      </c>
      <c r="B447" s="1" t="s">
        <v>25</v>
      </c>
      <c r="C447" s="1">
        <v>21</v>
      </c>
      <c r="D447" s="49">
        <v>76.733999999999995</v>
      </c>
      <c r="E447" s="12">
        <f t="shared" si="4"/>
        <v>95.91749999999999</v>
      </c>
      <c r="F447" s="50">
        <v>65</v>
      </c>
      <c r="G447" s="60">
        <v>72.69</v>
      </c>
      <c r="H447" s="61">
        <v>1988.4469999999999</v>
      </c>
      <c r="I447" s="62">
        <v>6.9</v>
      </c>
      <c r="J447" s="63">
        <v>3.4000000000000002E-2</v>
      </c>
      <c r="K447" s="64">
        <v>8.0809999999999995</v>
      </c>
      <c r="L447" s="65">
        <v>37.994</v>
      </c>
      <c r="M447" s="50">
        <v>4.7839999999999998</v>
      </c>
      <c r="N447" s="66">
        <v>1.4999999999999999E-2</v>
      </c>
      <c r="O447" s="57">
        <v>335.99200000000002</v>
      </c>
      <c r="P447" s="67">
        <v>5.8000000000000003E-2</v>
      </c>
      <c r="Q447" s="68">
        <v>7.2089999999999996</v>
      </c>
    </row>
    <row r="448" spans="1:17" ht="14.25" customHeight="1" x14ac:dyDescent="0.35">
      <c r="A448" s="1">
        <v>2023</v>
      </c>
      <c r="B448" s="1" t="s">
        <v>25</v>
      </c>
      <c r="C448" s="1">
        <v>22</v>
      </c>
      <c r="D448" s="49">
        <v>76.733999999999995</v>
      </c>
      <c r="E448" s="12">
        <f t="shared" si="4"/>
        <v>95.91749999999999</v>
      </c>
      <c r="F448" s="50">
        <v>65</v>
      </c>
      <c r="G448" s="60">
        <v>72.128</v>
      </c>
      <c r="H448" s="61">
        <v>1869.0540000000001</v>
      </c>
      <c r="I448" s="62">
        <v>6.9009999999999998</v>
      </c>
      <c r="J448" s="63">
        <v>3.4000000000000002E-2</v>
      </c>
      <c r="K448" s="64">
        <v>7.8239999999999998</v>
      </c>
      <c r="L448" s="61">
        <v>31.952000000000002</v>
      </c>
      <c r="M448" s="62">
        <v>4.7939999999999996</v>
      </c>
      <c r="N448" s="66">
        <v>1.4999999999999999E-2</v>
      </c>
      <c r="O448" s="57">
        <v>318.75900000000001</v>
      </c>
      <c r="P448" s="67">
        <v>3.7999999999999999E-2</v>
      </c>
      <c r="Q448" s="68">
        <v>5.8029999999999999</v>
      </c>
    </row>
    <row r="449" spans="1:17" ht="14.25" customHeight="1" x14ac:dyDescent="0.35">
      <c r="A449" s="1">
        <v>2023</v>
      </c>
      <c r="B449" s="1" t="s">
        <v>25</v>
      </c>
      <c r="C449" s="1">
        <v>23</v>
      </c>
      <c r="D449" s="49">
        <v>76.796999999999997</v>
      </c>
      <c r="E449" s="12">
        <f t="shared" si="4"/>
        <v>95.996250000000003</v>
      </c>
      <c r="F449" s="50">
        <v>64.968999999999994</v>
      </c>
      <c r="G449" s="60">
        <v>72.772999999999996</v>
      </c>
      <c r="H449" s="61">
        <v>2038.297</v>
      </c>
      <c r="I449" s="62">
        <v>6.9</v>
      </c>
      <c r="J449" s="63">
        <v>3.4000000000000002E-2</v>
      </c>
      <c r="K449" s="64">
        <v>7.8220000000000001</v>
      </c>
      <c r="L449" s="65">
        <v>36.384999999999998</v>
      </c>
      <c r="M449" s="50">
        <v>4.8079999999999998</v>
      </c>
      <c r="N449" s="66">
        <v>1.4999999999999999E-2</v>
      </c>
      <c r="O449" s="57">
        <v>305.80399999999997</v>
      </c>
      <c r="P449" s="67">
        <v>3.9E-2</v>
      </c>
      <c r="Q449" s="68">
        <v>4.8470000000000004</v>
      </c>
    </row>
    <row r="450" spans="1:17" ht="14.25" customHeight="1" x14ac:dyDescent="0.35">
      <c r="A450" s="1">
        <v>2023</v>
      </c>
      <c r="B450" s="1" t="s">
        <v>25</v>
      </c>
      <c r="C450" s="1">
        <v>24</v>
      </c>
      <c r="D450" s="49">
        <v>76.781000000000006</v>
      </c>
      <c r="E450" s="12">
        <f t="shared" si="4"/>
        <v>95.976250000000007</v>
      </c>
      <c r="F450" s="50">
        <v>65</v>
      </c>
      <c r="G450" s="60">
        <v>73.218999999999994</v>
      </c>
      <c r="H450" s="61">
        <v>2103.5349999999999</v>
      </c>
      <c r="I450" s="62">
        <v>6.9</v>
      </c>
      <c r="J450" s="63">
        <v>3.4000000000000002E-2</v>
      </c>
      <c r="K450" s="64">
        <v>7.8789999999999996</v>
      </c>
      <c r="L450" s="61">
        <v>40.993000000000002</v>
      </c>
      <c r="M450" s="62">
        <v>5.35</v>
      </c>
      <c r="N450" s="66">
        <v>1.4999999999999999E-2</v>
      </c>
      <c r="O450" s="57">
        <v>138.392</v>
      </c>
      <c r="P450" s="67">
        <v>4.2000000000000003E-2</v>
      </c>
      <c r="Q450" s="68">
        <v>3.4929999999999999</v>
      </c>
    </row>
    <row r="451" spans="1:17" ht="14.25" customHeight="1" x14ac:dyDescent="0.35">
      <c r="A451" s="1">
        <v>2023</v>
      </c>
      <c r="B451" s="1" t="s">
        <v>25</v>
      </c>
      <c r="C451" s="1">
        <v>25</v>
      </c>
      <c r="D451" s="49">
        <v>76.75</v>
      </c>
      <c r="E451" s="12">
        <f t="shared" si="4"/>
        <v>95.9375</v>
      </c>
      <c r="F451" s="50">
        <v>65</v>
      </c>
      <c r="G451" s="60">
        <v>73.459999999999994</v>
      </c>
      <c r="H451" s="61">
        <v>2092.942</v>
      </c>
      <c r="I451" s="62">
        <v>6.9</v>
      </c>
      <c r="J451" s="63">
        <v>3.4000000000000002E-2</v>
      </c>
      <c r="K451" s="64">
        <v>7.7590000000000003</v>
      </c>
      <c r="L451" s="65">
        <v>40.380000000000003</v>
      </c>
      <c r="M451" s="50">
        <v>5.6369999999999996</v>
      </c>
      <c r="N451" s="66">
        <v>1.4999999999999999E-2</v>
      </c>
      <c r="O451" s="57">
        <v>45.356999999999999</v>
      </c>
      <c r="P451" s="67">
        <v>0.04</v>
      </c>
      <c r="Q451" s="68">
        <v>3.0840000000000001</v>
      </c>
    </row>
    <row r="452" spans="1:17" ht="14.25" customHeight="1" x14ac:dyDescent="0.35">
      <c r="A452" s="1">
        <v>2023</v>
      </c>
      <c r="B452" s="1" t="s">
        <v>25</v>
      </c>
      <c r="C452" s="1">
        <v>26</v>
      </c>
      <c r="D452" s="49">
        <v>76.546999999999997</v>
      </c>
      <c r="E452" s="12">
        <f t="shared" si="4"/>
        <v>95.683750000000003</v>
      </c>
      <c r="F452" s="50">
        <v>65</v>
      </c>
      <c r="G452" s="60">
        <v>73.347999999999999</v>
      </c>
      <c r="H452" s="61">
        <v>2015.818</v>
      </c>
      <c r="I452" s="62">
        <v>6.9</v>
      </c>
      <c r="J452" s="63">
        <v>3.5000000000000003E-2</v>
      </c>
      <c r="K452" s="64">
        <v>7.7649999999999997</v>
      </c>
      <c r="L452" s="61">
        <v>38.262</v>
      </c>
      <c r="M452" s="62">
        <v>5.6390000000000002</v>
      </c>
      <c r="N452" s="66">
        <v>1.4999999999999999E-2</v>
      </c>
      <c r="O452" s="57">
        <v>45.243000000000002</v>
      </c>
      <c r="P452" s="67">
        <v>3.6999999999999998E-2</v>
      </c>
      <c r="Q452" s="68">
        <v>2.488</v>
      </c>
    </row>
    <row r="453" spans="1:17" ht="14.25" customHeight="1" x14ac:dyDescent="0.35">
      <c r="A453" s="1">
        <v>2023</v>
      </c>
      <c r="B453" s="1" t="s">
        <v>25</v>
      </c>
      <c r="C453" s="1">
        <v>27</v>
      </c>
      <c r="D453" s="12">
        <v>76.578000000000003</v>
      </c>
      <c r="E453" s="12">
        <f t="shared" si="4"/>
        <v>95.722499999999997</v>
      </c>
      <c r="F453" s="13">
        <v>64.938000000000002</v>
      </c>
      <c r="G453" s="60">
        <v>73.777000000000001</v>
      </c>
      <c r="H453" s="61">
        <v>1968.386</v>
      </c>
      <c r="I453" s="62">
        <v>6.9</v>
      </c>
      <c r="J453" s="63">
        <v>3.5000000000000003E-2</v>
      </c>
      <c r="K453" s="64">
        <v>7.9550000000000001</v>
      </c>
      <c r="L453" s="65">
        <v>37.838000000000001</v>
      </c>
      <c r="M453" s="50">
        <v>5.6479999999999997</v>
      </c>
      <c r="N453" s="66">
        <v>1.4999999999999999E-2</v>
      </c>
      <c r="O453" s="57">
        <v>44.298000000000002</v>
      </c>
      <c r="P453" s="67">
        <v>3.6999999999999998E-2</v>
      </c>
      <c r="Q453" s="68">
        <v>2.6320000000000001</v>
      </c>
    </row>
    <row r="454" spans="1:17" ht="14.25" customHeight="1" x14ac:dyDescent="0.35">
      <c r="A454" s="1">
        <v>2023</v>
      </c>
      <c r="B454" s="1" t="s">
        <v>25</v>
      </c>
      <c r="C454" s="1">
        <v>28</v>
      </c>
      <c r="D454" s="12">
        <v>76.531000000000006</v>
      </c>
      <c r="E454" s="12">
        <f t="shared" si="4"/>
        <v>95.663750000000007</v>
      </c>
      <c r="F454" s="13">
        <v>65</v>
      </c>
      <c r="G454" s="60">
        <v>74.019000000000005</v>
      </c>
      <c r="H454" s="61">
        <v>2004.5609999999999</v>
      </c>
      <c r="I454" s="62">
        <v>6.9</v>
      </c>
      <c r="J454" s="63">
        <v>3.5000000000000003E-2</v>
      </c>
      <c r="K454" s="64">
        <v>7.9029999999999996</v>
      </c>
      <c r="L454" s="61">
        <v>38.473999999999997</v>
      </c>
      <c r="M454" s="62">
        <v>5.6340000000000003</v>
      </c>
      <c r="N454" s="66">
        <v>1.4999999999999999E-2</v>
      </c>
      <c r="O454" s="57">
        <v>45.868000000000002</v>
      </c>
      <c r="P454" s="67">
        <v>4.4999999999999998E-2</v>
      </c>
      <c r="Q454" s="68">
        <v>2.157</v>
      </c>
    </row>
    <row r="455" spans="1:17" ht="14.25" customHeight="1" x14ac:dyDescent="0.35">
      <c r="A455" s="1">
        <v>2023</v>
      </c>
      <c r="B455" s="1" t="s">
        <v>25</v>
      </c>
      <c r="C455" s="1">
        <v>29</v>
      </c>
      <c r="D455" s="12">
        <v>76.546999999999997</v>
      </c>
      <c r="E455" s="12">
        <f t="shared" si="4"/>
        <v>95.683750000000003</v>
      </c>
      <c r="F455" s="13">
        <v>65</v>
      </c>
      <c r="G455" s="83">
        <v>73.534999999999997</v>
      </c>
      <c r="H455" s="69">
        <v>1918.4690000000001</v>
      </c>
      <c r="I455" s="50">
        <v>6.9</v>
      </c>
      <c r="J455" s="66">
        <v>3.4000000000000002E-2</v>
      </c>
      <c r="K455" s="50">
        <v>7.907</v>
      </c>
      <c r="L455" s="61">
        <v>36.491999999999997</v>
      </c>
      <c r="M455" s="62">
        <v>5.6189999999999998</v>
      </c>
      <c r="N455" s="66">
        <v>1.4999999999999999E-2</v>
      </c>
      <c r="O455" s="57">
        <v>47.887999999999998</v>
      </c>
      <c r="P455" s="84">
        <v>4.4999999999999998E-2</v>
      </c>
      <c r="Q455" s="71">
        <v>2.6579999999999999</v>
      </c>
    </row>
    <row r="456" spans="1:17" ht="14.25" customHeight="1" x14ac:dyDescent="0.35">
      <c r="A456" s="1">
        <v>2023</v>
      </c>
      <c r="B456" s="1" t="s">
        <v>25</v>
      </c>
      <c r="C456" s="1">
        <v>30</v>
      </c>
      <c r="D456" s="12">
        <v>76.656000000000006</v>
      </c>
      <c r="E456" s="12">
        <f t="shared" si="4"/>
        <v>95.820000000000007</v>
      </c>
      <c r="F456" s="13">
        <v>64.968999999999994</v>
      </c>
      <c r="G456" s="83">
        <v>72.915999999999997</v>
      </c>
      <c r="H456" s="69">
        <v>1957.5060000000001</v>
      </c>
      <c r="I456" s="50">
        <v>6.9</v>
      </c>
      <c r="J456" s="66">
        <v>3.5000000000000003E-2</v>
      </c>
      <c r="K456" s="50">
        <v>7.7759999999999998</v>
      </c>
      <c r="L456" s="61">
        <v>35.646999999999998</v>
      </c>
      <c r="M456" s="62">
        <v>5.6260000000000003</v>
      </c>
      <c r="N456" s="66">
        <v>1.4999999999999999E-2</v>
      </c>
      <c r="O456" s="57">
        <v>47.045000000000002</v>
      </c>
      <c r="P456" s="84">
        <v>5.2600000000000001E-2</v>
      </c>
      <c r="Q456" s="71">
        <v>2.976</v>
      </c>
    </row>
    <row r="457" spans="1:17" ht="14.25" customHeight="1" x14ac:dyDescent="0.35">
      <c r="A457" s="1">
        <v>2023</v>
      </c>
      <c r="B457" s="1" t="s">
        <v>25</v>
      </c>
      <c r="C457" s="1">
        <v>31</v>
      </c>
      <c r="D457" s="85">
        <v>73.406000000000006</v>
      </c>
      <c r="E457" s="12">
        <f t="shared" si="4"/>
        <v>91.757500000000007</v>
      </c>
      <c r="F457" s="86">
        <v>61.688000000000002</v>
      </c>
      <c r="G457" s="87">
        <v>73.292000000000002</v>
      </c>
      <c r="H457" s="88">
        <v>2009.288</v>
      </c>
      <c r="I457" s="89">
        <v>6.9</v>
      </c>
      <c r="J457" s="90">
        <v>3.4000000000000002E-2</v>
      </c>
      <c r="K457" s="89">
        <v>7.6589999999999998</v>
      </c>
      <c r="L457" s="61">
        <v>36.401000000000003</v>
      </c>
      <c r="M457" s="64">
        <v>5.2469999999999999</v>
      </c>
      <c r="N457" s="66">
        <v>1.4999999999999999E-2</v>
      </c>
      <c r="O457" s="57">
        <v>134.85499999999999</v>
      </c>
      <c r="P457" s="66">
        <v>5.3999999999999999E-2</v>
      </c>
      <c r="Q457" s="91">
        <v>1.915</v>
      </c>
    </row>
    <row r="458" spans="1:17" ht="14.25" customHeight="1" x14ac:dyDescent="0.35">
      <c r="A458" s="1">
        <v>2023</v>
      </c>
      <c r="B458" s="1" t="s">
        <v>26</v>
      </c>
      <c r="C458" s="1">
        <v>1</v>
      </c>
      <c r="D458" s="49">
        <v>71.421999999999997</v>
      </c>
      <c r="E458" s="12">
        <f t="shared" si="4"/>
        <v>89.277500000000003</v>
      </c>
      <c r="F458" s="50">
        <v>60</v>
      </c>
      <c r="G458" s="51">
        <v>73.792000000000002</v>
      </c>
      <c r="H458" s="52">
        <v>2016.652</v>
      </c>
      <c r="I458" s="53">
        <v>6.9</v>
      </c>
      <c r="J458" s="54">
        <v>3.4000000000000002E-2</v>
      </c>
      <c r="K458" s="55">
        <v>7.6440000000000001</v>
      </c>
      <c r="L458" s="52">
        <v>34.363</v>
      </c>
      <c r="M458" s="55">
        <v>4.9539999999999997</v>
      </c>
      <c r="N458" s="56">
        <v>1.4999999999999999E-2</v>
      </c>
      <c r="O458" s="57">
        <v>219.89599999999999</v>
      </c>
      <c r="P458" s="58">
        <v>5.1999999999999998E-2</v>
      </c>
      <c r="Q458" s="59">
        <v>1.571</v>
      </c>
    </row>
    <row r="459" spans="1:17" ht="14.25" customHeight="1" x14ac:dyDescent="0.35">
      <c r="A459" s="1">
        <v>2023</v>
      </c>
      <c r="B459" s="1" t="s">
        <v>26</v>
      </c>
      <c r="C459" s="1">
        <v>2</v>
      </c>
      <c r="D459" s="49">
        <v>64.813000000000002</v>
      </c>
      <c r="E459" s="12">
        <f t="shared" si="4"/>
        <v>81.016249999999999</v>
      </c>
      <c r="F459" s="50">
        <v>54.563000000000002</v>
      </c>
      <c r="G459" s="60">
        <v>74.043000000000006</v>
      </c>
      <c r="H459" s="61">
        <v>1926.2280000000001</v>
      </c>
      <c r="I459" s="62">
        <v>6.9</v>
      </c>
      <c r="J459" s="63">
        <v>3.3000000000000002E-2</v>
      </c>
      <c r="K459" s="64">
        <v>7.6619999999999999</v>
      </c>
      <c r="L459" s="65">
        <v>28.978000000000002</v>
      </c>
      <c r="M459" s="50">
        <v>4.9489999999999998</v>
      </c>
      <c r="N459" s="66">
        <v>1.4999999999999999E-2</v>
      </c>
      <c r="O459" s="57">
        <v>222.036</v>
      </c>
      <c r="P459" s="67">
        <v>4.8000000000000001E-2</v>
      </c>
      <c r="Q459" s="68">
        <v>1.4710000000000001</v>
      </c>
    </row>
    <row r="460" spans="1:17" ht="14.25" customHeight="1" x14ac:dyDescent="0.35">
      <c r="A460" s="1">
        <v>2023</v>
      </c>
      <c r="B460" s="1" t="s">
        <v>26</v>
      </c>
      <c r="C460" s="1">
        <v>3</v>
      </c>
      <c r="D460" s="49">
        <v>53.328000000000003</v>
      </c>
      <c r="E460" s="12">
        <f t="shared" si="4"/>
        <v>66.66</v>
      </c>
      <c r="F460" s="50">
        <v>44.905999999999999</v>
      </c>
      <c r="G460" s="60">
        <v>73.844999999999999</v>
      </c>
      <c r="H460" s="61">
        <v>1936.5260000000001</v>
      </c>
      <c r="I460" s="62">
        <v>6.9</v>
      </c>
      <c r="J460" s="63">
        <v>3.3000000000000002E-2</v>
      </c>
      <c r="K460" s="64">
        <v>7.5750000000000002</v>
      </c>
      <c r="L460" s="65">
        <v>26.716999999999999</v>
      </c>
      <c r="M460" s="50">
        <v>4.9530000000000003</v>
      </c>
      <c r="N460" s="66">
        <v>1.4999999999999999E-2</v>
      </c>
      <c r="O460" s="57">
        <v>219.73400000000001</v>
      </c>
      <c r="P460" s="67">
        <v>4.9000000000000002E-2</v>
      </c>
      <c r="Q460" s="68">
        <v>1.403</v>
      </c>
    </row>
    <row r="461" spans="1:17" ht="14.25" customHeight="1" x14ac:dyDescent="0.35">
      <c r="A461" s="1">
        <v>2023</v>
      </c>
      <c r="B461" s="1" t="s">
        <v>26</v>
      </c>
      <c r="C461" s="1">
        <v>4</v>
      </c>
      <c r="D461" s="49">
        <v>53.188000000000002</v>
      </c>
      <c r="E461" s="12">
        <f t="shared" si="4"/>
        <v>66.484999999999999</v>
      </c>
      <c r="F461" s="50">
        <v>44.938000000000002</v>
      </c>
      <c r="G461" s="60">
        <v>73.084999999999994</v>
      </c>
      <c r="H461" s="61">
        <v>1985.57</v>
      </c>
      <c r="I461" s="62">
        <v>6.9</v>
      </c>
      <c r="J461" s="63">
        <v>3.4000000000000002E-2</v>
      </c>
      <c r="K461" s="64">
        <v>7.6639999999999997</v>
      </c>
      <c r="L461" s="65">
        <v>26.988</v>
      </c>
      <c r="M461" s="50">
        <v>4.8979999999999997</v>
      </c>
      <c r="N461" s="66">
        <v>1.4999999999999999E-2</v>
      </c>
      <c r="O461" s="57">
        <v>249.62799999999999</v>
      </c>
      <c r="P461" s="67">
        <v>5.1999999999999998E-2</v>
      </c>
      <c r="Q461" s="68">
        <v>1.714</v>
      </c>
    </row>
    <row r="462" spans="1:17" ht="14.25" customHeight="1" x14ac:dyDescent="0.35">
      <c r="A462" s="1">
        <v>2023</v>
      </c>
      <c r="B462" s="1" t="s">
        <v>26</v>
      </c>
      <c r="C462" s="1">
        <v>5</v>
      </c>
      <c r="D462" s="49">
        <v>53.280999999999999</v>
      </c>
      <c r="E462" s="12">
        <f t="shared" si="4"/>
        <v>66.601249999999993</v>
      </c>
      <c r="F462" s="50">
        <v>45</v>
      </c>
      <c r="G462" s="60">
        <v>73.887</v>
      </c>
      <c r="H462" s="61">
        <v>1994.9390000000001</v>
      </c>
      <c r="I462" s="62">
        <v>6.9</v>
      </c>
      <c r="J462" s="63">
        <v>3.5000000000000003E-2</v>
      </c>
      <c r="K462" s="64">
        <v>7.5919999999999996</v>
      </c>
      <c r="L462" s="65">
        <v>27.670999999999999</v>
      </c>
      <c r="M462" s="50">
        <v>4.93</v>
      </c>
      <c r="N462" s="66">
        <v>1.4999999999999999E-2</v>
      </c>
      <c r="O462" s="57">
        <v>231.72200000000001</v>
      </c>
      <c r="P462" s="67">
        <v>4.9000000000000002E-2</v>
      </c>
      <c r="Q462" s="68">
        <v>1.6579999999999999</v>
      </c>
    </row>
    <row r="463" spans="1:17" ht="14.25" customHeight="1" x14ac:dyDescent="0.35">
      <c r="A463" s="1">
        <v>2023</v>
      </c>
      <c r="B463" s="1" t="s">
        <v>26</v>
      </c>
      <c r="C463" s="1">
        <v>6</v>
      </c>
      <c r="D463" s="49">
        <v>35.703000000000003</v>
      </c>
      <c r="E463" s="12">
        <f t="shared" si="4"/>
        <v>44.628750000000004</v>
      </c>
      <c r="F463" s="50">
        <v>30.062999999999999</v>
      </c>
      <c r="G463" s="60">
        <v>73.926000000000002</v>
      </c>
      <c r="H463" s="61">
        <v>2097.7739999999999</v>
      </c>
      <c r="I463" s="62">
        <v>6.8639999999999999</v>
      </c>
      <c r="J463" s="63">
        <v>0.05</v>
      </c>
      <c r="K463" s="64">
        <v>7.91</v>
      </c>
      <c r="L463" s="65">
        <v>62.191000000000003</v>
      </c>
      <c r="M463" s="50">
        <v>4.9249999999999998</v>
      </c>
      <c r="N463" s="66">
        <v>1.6E-2</v>
      </c>
      <c r="O463" s="57">
        <v>9893.0390000000007</v>
      </c>
      <c r="P463" s="67">
        <v>3.1E-2</v>
      </c>
      <c r="Q463" s="68">
        <v>1.514</v>
      </c>
    </row>
    <row r="464" spans="1:17" ht="14.25" customHeight="1" x14ac:dyDescent="0.35">
      <c r="A464" s="1">
        <v>2023</v>
      </c>
      <c r="B464" s="1" t="s">
        <v>26</v>
      </c>
      <c r="C464" s="1">
        <v>7</v>
      </c>
      <c r="D464" s="49">
        <v>53.030999999999999</v>
      </c>
      <c r="E464" s="12">
        <f t="shared" si="4"/>
        <v>66.288749999999993</v>
      </c>
      <c r="F464" s="50">
        <v>44.969000000000001</v>
      </c>
      <c r="G464" s="60">
        <v>74.727000000000004</v>
      </c>
      <c r="H464" s="61">
        <v>1682.5260000000001</v>
      </c>
      <c r="I464" s="62">
        <v>6.8959999999999999</v>
      </c>
      <c r="J464" s="63">
        <v>3.2000000000000001E-2</v>
      </c>
      <c r="K464" s="64">
        <v>7.8609999999999998</v>
      </c>
      <c r="L464" s="65">
        <v>46.564</v>
      </c>
      <c r="M464" s="50">
        <v>5.141</v>
      </c>
      <c r="N464" s="66">
        <v>1.4999999999999999E-2</v>
      </c>
      <c r="O464" s="57">
        <v>151.66499999999999</v>
      </c>
      <c r="P464" s="67">
        <v>5.0999999999999997E-2</v>
      </c>
      <c r="Q464" s="68">
        <v>0.92</v>
      </c>
    </row>
    <row r="465" spans="1:17" ht="14.25" customHeight="1" x14ac:dyDescent="0.35">
      <c r="A465" s="1">
        <v>2023</v>
      </c>
      <c r="B465" s="1" t="s">
        <v>26</v>
      </c>
      <c r="C465" s="1">
        <v>8</v>
      </c>
      <c r="D465" s="49">
        <v>53.046999999999997</v>
      </c>
      <c r="E465" s="12">
        <f t="shared" si="4"/>
        <v>66.308750000000003</v>
      </c>
      <c r="F465" s="50">
        <v>45.030999999999999</v>
      </c>
      <c r="G465" s="60">
        <v>74.677999999999997</v>
      </c>
      <c r="H465" s="69">
        <v>1792.15</v>
      </c>
      <c r="I465" s="62">
        <v>6.8760000000000003</v>
      </c>
      <c r="J465" s="63">
        <v>3.1E-2</v>
      </c>
      <c r="K465" s="50">
        <v>7.7439999999999998</v>
      </c>
      <c r="L465" s="65">
        <v>51.222000000000001</v>
      </c>
      <c r="M465" s="50">
        <v>5.2839999999999998</v>
      </c>
      <c r="N465" s="66">
        <v>1.4999999999999999E-2</v>
      </c>
      <c r="O465" s="57">
        <v>102.42100000000001</v>
      </c>
      <c r="P465" s="70">
        <v>5.0999999999999997E-2</v>
      </c>
      <c r="Q465" s="71">
        <v>0.34200000000000003</v>
      </c>
    </row>
    <row r="466" spans="1:17" ht="14.25" customHeight="1" x14ac:dyDescent="0.35">
      <c r="A466" s="1">
        <v>2023</v>
      </c>
      <c r="B466" s="1" t="s">
        <v>26</v>
      </c>
      <c r="C466" s="1">
        <v>9</v>
      </c>
      <c r="D466" s="49">
        <v>52.953000000000003</v>
      </c>
      <c r="E466" s="12">
        <f t="shared" si="4"/>
        <v>66.191249999999997</v>
      </c>
      <c r="F466" s="50">
        <v>44.969000000000001</v>
      </c>
      <c r="G466" s="60">
        <v>74.959999999999994</v>
      </c>
      <c r="H466" s="61">
        <v>1883.856</v>
      </c>
      <c r="I466" s="62">
        <v>6.8959999999999999</v>
      </c>
      <c r="J466" s="63">
        <v>0.03</v>
      </c>
      <c r="K466" s="64">
        <v>7.4989999999999997</v>
      </c>
      <c r="L466" s="65">
        <v>51.203000000000003</v>
      </c>
      <c r="M466" s="50">
        <v>5.2190000000000003</v>
      </c>
      <c r="N466" s="66">
        <v>1.4999999999999999E-2</v>
      </c>
      <c r="O466" s="57">
        <v>120.65900000000001</v>
      </c>
      <c r="P466" s="67">
        <v>0.04</v>
      </c>
      <c r="Q466" s="68">
        <v>0.39800000000000002</v>
      </c>
    </row>
    <row r="467" spans="1:17" ht="14.25" customHeight="1" x14ac:dyDescent="0.35">
      <c r="A467" s="1">
        <v>2023</v>
      </c>
      <c r="B467" s="1" t="s">
        <v>26</v>
      </c>
      <c r="C467" s="1">
        <v>10</v>
      </c>
      <c r="D467" s="49">
        <v>61.265999999999998</v>
      </c>
      <c r="E467" s="12">
        <f t="shared" si="4"/>
        <v>76.582499999999996</v>
      </c>
      <c r="F467" s="50">
        <v>51.875</v>
      </c>
      <c r="G467" s="72">
        <v>74.92</v>
      </c>
      <c r="H467" s="61">
        <v>1926.537</v>
      </c>
      <c r="I467" s="62">
        <v>6.8959999999999999</v>
      </c>
      <c r="J467" s="63">
        <v>3.2000000000000001E-2</v>
      </c>
      <c r="K467" s="73">
        <v>7.694</v>
      </c>
      <c r="L467" s="65">
        <v>50.984999999999999</v>
      </c>
      <c r="M467" s="50">
        <v>5.2569999999999997</v>
      </c>
      <c r="N467" s="74">
        <v>1.4999999999999999E-2</v>
      </c>
      <c r="O467" s="57">
        <v>109.08499999999999</v>
      </c>
      <c r="P467" s="75">
        <v>4.7E-2</v>
      </c>
      <c r="Q467" s="76">
        <v>0.44400000000000001</v>
      </c>
    </row>
    <row r="468" spans="1:17" ht="14.25" customHeight="1" x14ac:dyDescent="0.35">
      <c r="A468" s="1">
        <v>2023</v>
      </c>
      <c r="B468" s="1" t="s">
        <v>26</v>
      </c>
      <c r="C468" s="1">
        <v>11</v>
      </c>
      <c r="D468" s="49">
        <v>76.781000000000006</v>
      </c>
      <c r="E468" s="12">
        <f t="shared" si="4"/>
        <v>95.976250000000007</v>
      </c>
      <c r="F468" s="50">
        <v>65</v>
      </c>
      <c r="G468" s="72">
        <v>74.935000000000002</v>
      </c>
      <c r="H468" s="61">
        <v>1959.7750000000001</v>
      </c>
      <c r="I468" s="62">
        <v>6.8959999999999999</v>
      </c>
      <c r="J468" s="63">
        <v>3.2000000000000001E-2</v>
      </c>
      <c r="K468" s="77">
        <v>8.1329999999999991</v>
      </c>
      <c r="L468" s="65">
        <v>49.359000000000002</v>
      </c>
      <c r="M468" s="50">
        <v>5.2770000000000001</v>
      </c>
      <c r="N468" s="74">
        <v>1.4999999999999999E-2</v>
      </c>
      <c r="O468" s="57">
        <v>103.98</v>
      </c>
      <c r="P468" s="75">
        <v>4.7E-2</v>
      </c>
      <c r="Q468" s="76">
        <v>0.44700000000000001</v>
      </c>
    </row>
    <row r="469" spans="1:17" ht="14.25" customHeight="1" x14ac:dyDescent="0.35">
      <c r="A469" s="1">
        <v>2023</v>
      </c>
      <c r="B469" s="1" t="s">
        <v>26</v>
      </c>
      <c r="C469" s="1">
        <v>12</v>
      </c>
      <c r="D469" s="49">
        <v>76.593999999999994</v>
      </c>
      <c r="E469" s="12">
        <f t="shared" si="4"/>
        <v>95.742499999999993</v>
      </c>
      <c r="F469" s="50">
        <v>65</v>
      </c>
      <c r="G469" s="72">
        <v>75.040000000000006</v>
      </c>
      <c r="H469" s="61">
        <v>2008.5119999999999</v>
      </c>
      <c r="I469" s="62">
        <v>6.8959999999999999</v>
      </c>
      <c r="J469" s="63">
        <v>3.1E-2</v>
      </c>
      <c r="K469" s="73">
        <v>7.9450000000000003</v>
      </c>
      <c r="L469" s="65">
        <v>45.597000000000001</v>
      </c>
      <c r="M469" s="50">
        <v>5.2430000000000003</v>
      </c>
      <c r="N469" s="74">
        <v>1.4999999999999999E-2</v>
      </c>
      <c r="O469" s="57">
        <v>112.35599999999999</v>
      </c>
      <c r="P469" s="75">
        <v>4.2000000000000003E-2</v>
      </c>
      <c r="Q469" s="76">
        <v>0.42299999999999999</v>
      </c>
    </row>
    <row r="470" spans="1:17" ht="14.25" customHeight="1" x14ac:dyDescent="0.35">
      <c r="A470" s="1">
        <v>2023</v>
      </c>
      <c r="B470" s="1" t="s">
        <v>26</v>
      </c>
      <c r="C470" s="1">
        <v>13</v>
      </c>
      <c r="D470" s="49">
        <v>76.578000000000003</v>
      </c>
      <c r="E470" s="12">
        <f t="shared" si="4"/>
        <v>95.722499999999997</v>
      </c>
      <c r="F470" s="50">
        <v>64.968999999999994</v>
      </c>
      <c r="G470" s="78">
        <v>74.840999999999994</v>
      </c>
      <c r="H470" s="61">
        <v>1902.329</v>
      </c>
      <c r="I470" s="62">
        <v>6.8959999999999999</v>
      </c>
      <c r="J470" s="63">
        <v>0.03</v>
      </c>
      <c r="K470" s="79">
        <v>8.0169999999999995</v>
      </c>
      <c r="L470" s="65">
        <v>43.78</v>
      </c>
      <c r="M470" s="50">
        <v>5.63</v>
      </c>
      <c r="N470" s="66">
        <v>1.4999999999999999E-2</v>
      </c>
      <c r="O470" s="57">
        <v>55.917000000000002</v>
      </c>
      <c r="P470" s="80">
        <v>4.1000000000000002E-2</v>
      </c>
      <c r="Q470" s="81">
        <v>0.26200000000000001</v>
      </c>
    </row>
    <row r="471" spans="1:17" ht="14.25" customHeight="1" x14ac:dyDescent="0.35">
      <c r="A471" s="1">
        <v>2023</v>
      </c>
      <c r="B471" s="1" t="s">
        <v>26</v>
      </c>
      <c r="C471" s="1">
        <v>14</v>
      </c>
      <c r="D471" s="49">
        <v>94.813000000000002</v>
      </c>
      <c r="E471" s="12">
        <f t="shared" si="4"/>
        <v>118.51625</v>
      </c>
      <c r="F471" s="50">
        <v>80.313000000000002</v>
      </c>
      <c r="G471" s="60">
        <v>75.244</v>
      </c>
      <c r="H471" s="61">
        <v>1739.479</v>
      </c>
      <c r="I471" s="62">
        <v>6.8959999999999999</v>
      </c>
      <c r="J471" s="63">
        <v>3.1E-2</v>
      </c>
      <c r="K471" s="79">
        <v>8.1869999999999994</v>
      </c>
      <c r="L471" s="82">
        <v>34.290999999999997</v>
      </c>
      <c r="M471" s="50">
        <v>5.8220000000000001</v>
      </c>
      <c r="N471" s="66">
        <v>1.4999999999999999E-2</v>
      </c>
      <c r="O471" s="57">
        <v>29.681000000000001</v>
      </c>
      <c r="P471" s="80">
        <v>4.2999999999999997E-2</v>
      </c>
      <c r="Q471" s="81">
        <v>0.222</v>
      </c>
    </row>
    <row r="472" spans="1:17" ht="14.25" customHeight="1" x14ac:dyDescent="0.35">
      <c r="A472" s="1">
        <v>2023</v>
      </c>
      <c r="B472" s="1" t="s">
        <v>26</v>
      </c>
      <c r="C472" s="1">
        <v>15</v>
      </c>
      <c r="D472" s="49">
        <v>76.75</v>
      </c>
      <c r="E472" s="12">
        <f t="shared" si="4"/>
        <v>95.9375</v>
      </c>
      <c r="F472" s="50">
        <v>65</v>
      </c>
      <c r="G472" s="60">
        <v>75.497</v>
      </c>
      <c r="H472" s="61">
        <v>1697.569</v>
      </c>
      <c r="I472" s="62">
        <v>6.8959999999999999</v>
      </c>
      <c r="J472" s="63">
        <v>2.9000000000000001E-2</v>
      </c>
      <c r="K472" s="73">
        <v>8.173</v>
      </c>
      <c r="L472" s="65">
        <v>26.521000000000001</v>
      </c>
      <c r="M472" s="50">
        <v>5.7640000000000002</v>
      </c>
      <c r="N472" s="66">
        <v>1.4999999999999999E-2</v>
      </c>
      <c r="O472" s="57">
        <v>33.905999999999999</v>
      </c>
      <c r="P472" s="75">
        <v>3.7999999999999999E-2</v>
      </c>
      <c r="Q472" s="76">
        <v>0.14199999999999999</v>
      </c>
    </row>
    <row r="473" spans="1:17" ht="14.25" customHeight="1" x14ac:dyDescent="0.35">
      <c r="A473" s="1">
        <v>2023</v>
      </c>
      <c r="B473" s="1" t="s">
        <v>26</v>
      </c>
      <c r="C473" s="1">
        <v>16</v>
      </c>
      <c r="D473" s="49">
        <v>76.796999999999997</v>
      </c>
      <c r="E473" s="12">
        <f t="shared" si="4"/>
        <v>95.996250000000003</v>
      </c>
      <c r="F473" s="50">
        <v>64.968999999999994</v>
      </c>
      <c r="G473" s="60">
        <v>75.486999999999995</v>
      </c>
      <c r="H473" s="61">
        <v>1624.4839999999999</v>
      </c>
      <c r="I473" s="62">
        <v>6.8959999999999999</v>
      </c>
      <c r="J473" s="63">
        <v>2.8000000000000001E-2</v>
      </c>
      <c r="K473" s="79">
        <v>8.0890000000000004</v>
      </c>
      <c r="L473" s="61">
        <v>25.637</v>
      </c>
      <c r="M473" s="62">
        <v>5.7539999999999996</v>
      </c>
      <c r="N473" s="66">
        <v>1.4999999999999999E-2</v>
      </c>
      <c r="O473" s="57">
        <v>34.716000000000001</v>
      </c>
      <c r="P473" s="80">
        <v>3.5999999999999997E-2</v>
      </c>
      <c r="Q473" s="81">
        <v>0.14899999999999999</v>
      </c>
    </row>
    <row r="474" spans="1:17" ht="14.25" customHeight="1" x14ac:dyDescent="0.35">
      <c r="A474" s="1">
        <v>2023</v>
      </c>
      <c r="B474" s="1" t="s">
        <v>26</v>
      </c>
      <c r="C474" s="1">
        <v>17</v>
      </c>
      <c r="D474" s="49">
        <v>48.421999999999997</v>
      </c>
      <c r="E474" s="12">
        <f t="shared" si="4"/>
        <v>60.527499999999996</v>
      </c>
      <c r="F474" s="50">
        <v>40.719000000000001</v>
      </c>
      <c r="G474" s="60">
        <v>74.549000000000007</v>
      </c>
      <c r="H474" s="61">
        <v>1578.4490000000001</v>
      </c>
      <c r="I474" s="62">
        <v>6.875</v>
      </c>
      <c r="J474" s="63">
        <v>3.4000000000000002E-2</v>
      </c>
      <c r="K474" s="64">
        <v>8.5820000000000007</v>
      </c>
      <c r="L474" s="65">
        <v>43.829000000000001</v>
      </c>
      <c r="M474" s="50">
        <v>5.8609999999999998</v>
      </c>
      <c r="N474" s="66">
        <v>1.6E-2</v>
      </c>
      <c r="O474" s="57">
        <v>28.071999999999999</v>
      </c>
      <c r="P474" s="67">
        <v>4.2999999999999997E-2</v>
      </c>
      <c r="Q474" s="68">
        <v>0.20300000000000001</v>
      </c>
    </row>
    <row r="475" spans="1:17" ht="14.25" customHeight="1" x14ac:dyDescent="0.35">
      <c r="A475" s="1">
        <v>2023</v>
      </c>
      <c r="B475" s="1" t="s">
        <v>26</v>
      </c>
      <c r="C475" s="1">
        <v>18</v>
      </c>
      <c r="D475" s="49">
        <v>40.125</v>
      </c>
      <c r="E475" s="12">
        <f t="shared" si="4"/>
        <v>50.15625</v>
      </c>
      <c r="F475" s="50">
        <v>32.780999999999999</v>
      </c>
      <c r="G475" s="60">
        <v>74.209000000000003</v>
      </c>
      <c r="H475" s="61">
        <v>2603.56</v>
      </c>
      <c r="I475" s="62">
        <v>6.8520000000000003</v>
      </c>
      <c r="J475" s="63">
        <v>4.2000000000000003E-2</v>
      </c>
      <c r="K475" s="64">
        <v>8.5190000000000001</v>
      </c>
      <c r="L475" s="61">
        <v>77.271000000000001</v>
      </c>
      <c r="M475" s="62">
        <v>5.8360000000000003</v>
      </c>
      <c r="N475" s="66">
        <v>1.7000000000000001E-2</v>
      </c>
      <c r="O475" s="57">
        <v>381.13299999999998</v>
      </c>
      <c r="P475" s="67">
        <v>6.8000000000000005E-2</v>
      </c>
      <c r="Q475" s="68">
        <v>0.23599999999999999</v>
      </c>
    </row>
    <row r="476" spans="1:17" ht="14.25" customHeight="1" x14ac:dyDescent="0.35">
      <c r="A476" s="1">
        <v>2023</v>
      </c>
      <c r="B476" s="1" t="s">
        <v>26</v>
      </c>
      <c r="C476" s="1">
        <v>19</v>
      </c>
      <c r="D476" s="49">
        <v>118.203</v>
      </c>
      <c r="E476" s="12">
        <f t="shared" si="4"/>
        <v>147.75375</v>
      </c>
      <c r="F476" s="50">
        <v>100</v>
      </c>
      <c r="G476" s="60">
        <v>75.879000000000005</v>
      </c>
      <c r="H476" s="61">
        <v>1709.7929999999999</v>
      </c>
      <c r="I476" s="62">
        <v>6.9</v>
      </c>
      <c r="J476" s="63">
        <v>0.03</v>
      </c>
      <c r="K476" s="64">
        <v>8.282</v>
      </c>
      <c r="L476" s="65">
        <v>36.822000000000003</v>
      </c>
      <c r="M476" s="50">
        <v>5.8319999999999999</v>
      </c>
      <c r="N476" s="66">
        <v>1.4999999999999999E-2</v>
      </c>
      <c r="O476" s="57">
        <v>29.004000000000001</v>
      </c>
      <c r="P476" s="67">
        <v>4.2999999999999997E-2</v>
      </c>
      <c r="Q476" s="68">
        <v>0.188</v>
      </c>
    </row>
    <row r="477" spans="1:17" ht="14.25" customHeight="1" x14ac:dyDescent="0.35">
      <c r="A477" s="1">
        <v>2023</v>
      </c>
      <c r="B477" s="1" t="s">
        <v>26</v>
      </c>
      <c r="C477" s="1">
        <v>20</v>
      </c>
      <c r="D477" s="49">
        <v>118.203</v>
      </c>
      <c r="E477" s="12">
        <f t="shared" si="4"/>
        <v>147.75375</v>
      </c>
      <c r="F477" s="50">
        <v>99.968999999999994</v>
      </c>
      <c r="G477" s="60">
        <v>76.05</v>
      </c>
      <c r="H477" s="61">
        <v>1969.9549999999999</v>
      </c>
      <c r="I477" s="62">
        <v>6.9</v>
      </c>
      <c r="J477" s="63">
        <v>0.03</v>
      </c>
      <c r="K477" s="64">
        <v>8.0839999999999996</v>
      </c>
      <c r="L477" s="61">
        <v>43.959000000000003</v>
      </c>
      <c r="M477" s="62">
        <v>5.8579999999999997</v>
      </c>
      <c r="N477" s="66">
        <v>1.4999999999999999E-2</v>
      </c>
      <c r="O477" s="57">
        <v>27.449000000000002</v>
      </c>
      <c r="P477" s="67">
        <v>4.9000000000000002E-2</v>
      </c>
      <c r="Q477" s="68">
        <v>0.13600000000000001</v>
      </c>
    </row>
    <row r="478" spans="1:17" ht="14.25" customHeight="1" x14ac:dyDescent="0.35">
      <c r="A478" s="1">
        <v>2023</v>
      </c>
      <c r="B478" s="1" t="s">
        <v>26</v>
      </c>
      <c r="C478" s="1">
        <v>21</v>
      </c>
      <c r="D478" s="49">
        <v>118.438</v>
      </c>
      <c r="E478" s="12">
        <f t="shared" si="4"/>
        <v>148.04750000000001</v>
      </c>
      <c r="F478" s="50">
        <v>99.968999999999994</v>
      </c>
      <c r="G478" s="60">
        <v>76.658000000000001</v>
      </c>
      <c r="H478" s="61">
        <v>2169.0630000000001</v>
      </c>
      <c r="I478" s="62">
        <v>6.9</v>
      </c>
      <c r="J478" s="63">
        <v>3.1E-2</v>
      </c>
      <c r="K478" s="64">
        <v>7.85</v>
      </c>
      <c r="L478" s="65">
        <v>47.997999999999998</v>
      </c>
      <c r="M478" s="50">
        <v>5.3090000000000002</v>
      </c>
      <c r="N478" s="66">
        <v>1.4999999999999999E-2</v>
      </c>
      <c r="O478" s="57">
        <v>129.50700000000001</v>
      </c>
      <c r="P478" s="67">
        <v>5.6000000000000001E-2</v>
      </c>
      <c r="Q478" s="68">
        <v>1.4430000000000001</v>
      </c>
    </row>
    <row r="479" spans="1:17" ht="14.25" customHeight="1" x14ac:dyDescent="0.35">
      <c r="A479" s="1">
        <v>2023</v>
      </c>
      <c r="B479" s="1" t="s">
        <v>26</v>
      </c>
      <c r="C479" s="1">
        <v>22</v>
      </c>
      <c r="D479" s="49">
        <v>118.547</v>
      </c>
      <c r="E479" s="12">
        <f t="shared" si="4"/>
        <v>148.18375</v>
      </c>
      <c r="F479" s="50">
        <v>100.03100000000001</v>
      </c>
      <c r="G479" s="60">
        <v>76.653000000000006</v>
      </c>
      <c r="H479" s="61">
        <v>2236.3969999999999</v>
      </c>
      <c r="I479" s="62">
        <v>6.9</v>
      </c>
      <c r="J479" s="63">
        <v>0.03</v>
      </c>
      <c r="K479" s="64">
        <v>7.6970000000000001</v>
      </c>
      <c r="L479" s="61">
        <v>48.25</v>
      </c>
      <c r="M479" s="62">
        <v>4.9800000000000004</v>
      </c>
      <c r="N479" s="66">
        <v>1.4999999999999999E-2</v>
      </c>
      <c r="O479" s="57">
        <v>218.84700000000001</v>
      </c>
      <c r="P479" s="67">
        <v>5.0999999999999997E-2</v>
      </c>
      <c r="Q479" s="68">
        <v>3.1429999999999998</v>
      </c>
    </row>
    <row r="480" spans="1:17" ht="14.25" customHeight="1" x14ac:dyDescent="0.35">
      <c r="A480" s="1">
        <v>2023</v>
      </c>
      <c r="B480" s="1" t="s">
        <v>26</v>
      </c>
      <c r="C480" s="1">
        <v>23</v>
      </c>
      <c r="D480" s="49">
        <v>118.53100000000001</v>
      </c>
      <c r="E480" s="12">
        <f t="shared" si="4"/>
        <v>148.16374999999999</v>
      </c>
      <c r="F480" s="50">
        <v>99.968999999999994</v>
      </c>
      <c r="G480" s="60">
        <v>76.486000000000004</v>
      </c>
      <c r="H480" s="61">
        <v>2148.864</v>
      </c>
      <c r="I480" s="62">
        <v>6.9</v>
      </c>
      <c r="J480" s="63">
        <v>0.03</v>
      </c>
      <c r="K480" s="64">
        <v>7.702</v>
      </c>
      <c r="L480" s="65">
        <v>46.12</v>
      </c>
      <c r="M480" s="50">
        <v>4.9950000000000001</v>
      </c>
      <c r="N480" s="66">
        <v>1.4999999999999999E-2</v>
      </c>
      <c r="O480" s="57">
        <v>206.46100000000001</v>
      </c>
      <c r="P480" s="67">
        <v>3.9E-2</v>
      </c>
      <c r="Q480" s="68">
        <v>4.2539999999999996</v>
      </c>
    </row>
    <row r="481" spans="1:17" ht="14.25" customHeight="1" x14ac:dyDescent="0.35">
      <c r="A481" s="1">
        <v>2023</v>
      </c>
      <c r="B481" s="1" t="s">
        <v>26</v>
      </c>
      <c r="C481" s="1">
        <v>24</v>
      </c>
      <c r="D481" s="49">
        <v>123.203</v>
      </c>
      <c r="E481" s="12">
        <f t="shared" si="4"/>
        <v>154.00375</v>
      </c>
      <c r="F481" s="50">
        <v>103.938</v>
      </c>
      <c r="G481" s="60">
        <v>76.322999999999993</v>
      </c>
      <c r="H481" s="61">
        <v>2164.7719999999999</v>
      </c>
      <c r="I481" s="62">
        <v>6.9</v>
      </c>
      <c r="J481" s="63">
        <v>3.1E-2</v>
      </c>
      <c r="K481" s="64">
        <v>7.7290000000000001</v>
      </c>
      <c r="L481" s="61">
        <v>47.517000000000003</v>
      </c>
      <c r="M481" s="62">
        <v>5.1139999999999999</v>
      </c>
      <c r="N481" s="66">
        <v>1.4999999999999999E-2</v>
      </c>
      <c r="O481" s="57">
        <v>151.32400000000001</v>
      </c>
      <c r="P481" s="67">
        <v>3.9E-2</v>
      </c>
      <c r="Q481" s="68">
        <v>5.4329999999999998</v>
      </c>
    </row>
    <row r="482" spans="1:17" ht="14.25" customHeight="1" x14ac:dyDescent="0.35">
      <c r="A482" s="1">
        <v>2023</v>
      </c>
      <c r="B482" s="1" t="s">
        <v>26</v>
      </c>
      <c r="C482" s="1">
        <v>25</v>
      </c>
      <c r="D482" s="49">
        <v>130.328</v>
      </c>
      <c r="E482" s="12">
        <f t="shared" si="4"/>
        <v>162.91</v>
      </c>
      <c r="F482" s="50">
        <v>110</v>
      </c>
      <c r="G482" s="60">
        <v>76.671000000000006</v>
      </c>
      <c r="H482" s="61">
        <v>2217.078</v>
      </c>
      <c r="I482" s="62">
        <v>6.9</v>
      </c>
      <c r="J482" s="63">
        <v>3.1E-2</v>
      </c>
      <c r="K482" s="64">
        <v>7.5919999999999996</v>
      </c>
      <c r="L482" s="65">
        <v>50.232999999999997</v>
      </c>
      <c r="M482" s="50">
        <v>5.1269999999999998</v>
      </c>
      <c r="N482" s="66">
        <v>1.4999999999999999E-2</v>
      </c>
      <c r="O482" s="57">
        <v>146.99</v>
      </c>
      <c r="P482" s="67">
        <v>4.4999999999999998E-2</v>
      </c>
      <c r="Q482" s="68">
        <v>5.8159999999999998</v>
      </c>
    </row>
    <row r="483" spans="1:17" ht="14.25" customHeight="1" x14ac:dyDescent="0.35">
      <c r="A483" s="1">
        <v>2023</v>
      </c>
      <c r="B483" s="1" t="s">
        <v>26</v>
      </c>
      <c r="C483" s="1">
        <v>26</v>
      </c>
      <c r="D483" s="49">
        <v>122.547</v>
      </c>
      <c r="E483" s="12">
        <f t="shared" si="4"/>
        <v>153.18375</v>
      </c>
      <c r="F483" s="50">
        <v>103.40600000000001</v>
      </c>
      <c r="G483" s="60">
        <v>76.784000000000006</v>
      </c>
      <c r="H483" s="61">
        <v>2208.8440000000001</v>
      </c>
      <c r="I483" s="62">
        <v>6.9</v>
      </c>
      <c r="J483" s="63">
        <v>3.1E-2</v>
      </c>
      <c r="K483" s="64">
        <v>7.7</v>
      </c>
      <c r="L483" s="61">
        <v>52.874000000000002</v>
      </c>
      <c r="M483" s="62">
        <v>5.13</v>
      </c>
      <c r="N483" s="66">
        <v>1.4999999999999999E-2</v>
      </c>
      <c r="O483" s="57">
        <v>146.46199999999999</v>
      </c>
      <c r="P483" s="67">
        <v>4.8000000000000001E-2</v>
      </c>
      <c r="Q483" s="68">
        <v>5.4560000000000004</v>
      </c>
    </row>
    <row r="484" spans="1:17" ht="14.25" customHeight="1" x14ac:dyDescent="0.35">
      <c r="A484" s="1">
        <v>2023</v>
      </c>
      <c r="B484" s="1" t="s">
        <v>26</v>
      </c>
      <c r="C484" s="1">
        <v>27</v>
      </c>
      <c r="D484" s="12">
        <v>122.547</v>
      </c>
      <c r="E484" s="12">
        <f t="shared" si="4"/>
        <v>153.18375</v>
      </c>
      <c r="F484" s="13">
        <v>103.313</v>
      </c>
      <c r="G484" s="60">
        <v>76.603999999999999</v>
      </c>
      <c r="H484" s="61">
        <v>2205.797</v>
      </c>
      <c r="I484" s="62">
        <v>6.9</v>
      </c>
      <c r="J484" s="63">
        <v>3.2000000000000001E-2</v>
      </c>
      <c r="K484" s="64">
        <v>7.69</v>
      </c>
      <c r="L484" s="65">
        <v>50.564999999999998</v>
      </c>
      <c r="M484" s="50">
        <v>5.0919999999999996</v>
      </c>
      <c r="N484" s="66">
        <v>1.4999999999999999E-2</v>
      </c>
      <c r="O484" s="57">
        <v>159.33799999999999</v>
      </c>
      <c r="P484" s="67">
        <v>4.4999999999999998E-2</v>
      </c>
      <c r="Q484" s="68">
        <v>6.532</v>
      </c>
    </row>
    <row r="485" spans="1:17" ht="14.25" customHeight="1" x14ac:dyDescent="0.35">
      <c r="A485" s="1">
        <v>2023</v>
      </c>
      <c r="B485" s="1" t="s">
        <v>26</v>
      </c>
      <c r="C485" s="1">
        <v>28</v>
      </c>
      <c r="D485" s="12">
        <v>130.375</v>
      </c>
      <c r="E485" s="12">
        <f t="shared" si="4"/>
        <v>162.96875</v>
      </c>
      <c r="F485" s="13">
        <v>109.96899999999999</v>
      </c>
      <c r="G485" s="60">
        <v>76.731999999999999</v>
      </c>
      <c r="H485" s="61">
        <v>2256.451</v>
      </c>
      <c r="I485" s="62">
        <v>6.9</v>
      </c>
      <c r="J485" s="63">
        <v>3.1E-2</v>
      </c>
      <c r="K485" s="64">
        <v>7.7389999999999999</v>
      </c>
      <c r="L485" s="61">
        <v>50.893000000000001</v>
      </c>
      <c r="M485" s="62">
        <v>5.1669999999999998</v>
      </c>
      <c r="N485" s="66">
        <v>1.4999999999999999E-2</v>
      </c>
      <c r="O485" s="57">
        <v>135.126</v>
      </c>
      <c r="P485" s="67">
        <v>4.5999999999999999E-2</v>
      </c>
      <c r="Q485" s="68">
        <v>7.1740000000000004</v>
      </c>
    </row>
    <row r="486" spans="1:17" ht="14.25" customHeight="1" x14ac:dyDescent="0.35">
      <c r="A486" s="1">
        <v>2023</v>
      </c>
      <c r="B486" s="1" t="s">
        <v>26</v>
      </c>
      <c r="C486" s="1">
        <v>29</v>
      </c>
      <c r="D486" s="12">
        <v>130.48400000000001</v>
      </c>
      <c r="E486" s="12">
        <f t="shared" si="4"/>
        <v>163.10500000000002</v>
      </c>
      <c r="F486" s="13">
        <v>110</v>
      </c>
      <c r="G486" s="83">
        <v>76.831999999999994</v>
      </c>
      <c r="H486" s="69">
        <v>2277.748</v>
      </c>
      <c r="I486" s="50">
        <v>6.9</v>
      </c>
      <c r="J486" s="66">
        <v>3.1E-2</v>
      </c>
      <c r="K486" s="50">
        <v>7.5629999999999997</v>
      </c>
      <c r="L486" s="61">
        <v>51.213000000000001</v>
      </c>
      <c r="M486" s="62">
        <v>5.2110000000000003</v>
      </c>
      <c r="N486" s="66">
        <v>1.4999999999999999E-2</v>
      </c>
      <c r="O486" s="57">
        <v>121.14700000000001</v>
      </c>
      <c r="P486" s="84">
        <v>4.4999999999999998E-2</v>
      </c>
      <c r="Q486" s="71">
        <v>7.2779999999999996</v>
      </c>
    </row>
    <row r="487" spans="1:17" ht="14.25" customHeight="1" x14ac:dyDescent="0.35">
      <c r="A487" s="1">
        <v>2023</v>
      </c>
      <c r="B487" s="1" t="s">
        <v>26</v>
      </c>
      <c r="C487" s="1">
        <v>30</v>
      </c>
      <c r="D487" s="85">
        <v>130.297</v>
      </c>
      <c r="E487" s="12">
        <f t="shared" si="4"/>
        <v>162.87125</v>
      </c>
      <c r="F487" s="86">
        <v>109.90600000000001</v>
      </c>
      <c r="G487" s="83">
        <v>76.716999999999999</v>
      </c>
      <c r="H487" s="69">
        <v>2220.366</v>
      </c>
      <c r="I487" s="50">
        <v>6.9</v>
      </c>
      <c r="J487" s="66">
        <v>0.03</v>
      </c>
      <c r="K487" s="50">
        <v>7.5090000000000003</v>
      </c>
      <c r="L487" s="61">
        <v>49.79</v>
      </c>
      <c r="M487" s="62">
        <v>5.2</v>
      </c>
      <c r="N487" s="66">
        <v>1.4999999999999999E-2</v>
      </c>
      <c r="O487" s="57">
        <v>124.16</v>
      </c>
      <c r="P487" s="84">
        <v>4.2000000000000003E-2</v>
      </c>
      <c r="Q487" s="71">
        <v>7.5679999999999996</v>
      </c>
    </row>
    <row r="488" spans="1:17" ht="14.25" customHeight="1" x14ac:dyDescent="0.35">
      <c r="A488" s="1">
        <v>2023</v>
      </c>
      <c r="B488" s="1" t="s">
        <v>27</v>
      </c>
      <c r="C488" s="1">
        <v>1</v>
      </c>
      <c r="D488" s="49">
        <v>116.28100000000001</v>
      </c>
      <c r="E488" s="12">
        <f t="shared" si="4"/>
        <v>145.35124999999999</v>
      </c>
      <c r="F488" s="50">
        <v>98.093999999999994</v>
      </c>
      <c r="G488" s="51">
        <v>76.546000000000006</v>
      </c>
      <c r="H488" s="52">
        <v>2380.6869999999999</v>
      </c>
      <c r="I488" s="53">
        <v>6.9</v>
      </c>
      <c r="J488" s="54">
        <v>0.03</v>
      </c>
      <c r="K488" s="55">
        <v>7.2039999999999997</v>
      </c>
      <c r="L488" s="52">
        <v>54.767000000000003</v>
      </c>
      <c r="M488" s="55">
        <v>5.2320000000000002</v>
      </c>
      <c r="N488" s="56">
        <v>1.4999999999999999E-2</v>
      </c>
      <c r="O488" s="57">
        <v>115.34699999999999</v>
      </c>
      <c r="P488" s="58">
        <v>4.1000000000000002E-2</v>
      </c>
      <c r="Q488" s="59">
        <v>8.17</v>
      </c>
    </row>
    <row r="489" spans="1:17" ht="14.25" customHeight="1" x14ac:dyDescent="0.35">
      <c r="A489" s="1">
        <v>2023</v>
      </c>
      <c r="B489" s="1" t="s">
        <v>27</v>
      </c>
      <c r="C489" s="1">
        <v>2</v>
      </c>
      <c r="D489" s="49">
        <v>97.438000000000002</v>
      </c>
      <c r="E489" s="12">
        <f t="shared" si="4"/>
        <v>121.7975</v>
      </c>
      <c r="F489" s="50">
        <v>81.813000000000002</v>
      </c>
      <c r="G489" s="60">
        <v>76.704999999999998</v>
      </c>
      <c r="H489" s="61">
        <v>2328.1759999999999</v>
      </c>
      <c r="I489" s="62">
        <v>6.9</v>
      </c>
      <c r="J489" s="63">
        <v>0.03</v>
      </c>
      <c r="K489" s="64">
        <v>7.8689999999999998</v>
      </c>
      <c r="L489" s="65">
        <v>54.320999999999998</v>
      </c>
      <c r="M489" s="50">
        <v>5.258</v>
      </c>
      <c r="N489" s="66">
        <v>1.4999999999999999E-2</v>
      </c>
      <c r="O489" s="57">
        <v>108.613</v>
      </c>
      <c r="P489" s="67">
        <v>5.2999999999999999E-2</v>
      </c>
      <c r="Q489" s="68">
        <v>9.5579999999999998</v>
      </c>
    </row>
    <row r="490" spans="1:17" ht="14.25" customHeight="1" x14ac:dyDescent="0.35">
      <c r="A490" s="1">
        <v>2023</v>
      </c>
      <c r="B490" s="1" t="s">
        <v>27</v>
      </c>
      <c r="C490" s="1">
        <v>3</v>
      </c>
      <c r="D490" s="49">
        <v>113.01600000000001</v>
      </c>
      <c r="E490" s="12">
        <f t="shared" si="4"/>
        <v>141.27000000000001</v>
      </c>
      <c r="F490" s="50">
        <v>95.218999999999994</v>
      </c>
      <c r="G490" s="60">
        <v>76.700999999999993</v>
      </c>
      <c r="H490" s="61">
        <v>2152.4270000000001</v>
      </c>
      <c r="I490" s="62">
        <v>6.9</v>
      </c>
      <c r="J490" s="63">
        <v>3.1E-2</v>
      </c>
      <c r="K490" s="64">
        <v>8.27</v>
      </c>
      <c r="L490" s="65">
        <v>48.555999999999997</v>
      </c>
      <c r="M490" s="50">
        <v>5.2290000000000001</v>
      </c>
      <c r="N490" s="66">
        <v>1.4999999999999999E-2</v>
      </c>
      <c r="O490" s="57">
        <v>116.25</v>
      </c>
      <c r="P490" s="67">
        <v>5.0999999999999997E-2</v>
      </c>
      <c r="Q490" s="68">
        <v>8.5779999999999994</v>
      </c>
    </row>
    <row r="491" spans="1:17" ht="14.25" customHeight="1" x14ac:dyDescent="0.35">
      <c r="A491" s="1">
        <v>2023</v>
      </c>
      <c r="B491" s="1" t="s">
        <v>27</v>
      </c>
      <c r="C491" s="1">
        <v>4</v>
      </c>
      <c r="D491" s="49">
        <v>120.14100000000001</v>
      </c>
      <c r="E491" s="12">
        <f t="shared" si="4"/>
        <v>150.17625000000001</v>
      </c>
      <c r="F491" s="50">
        <v>101.28100000000001</v>
      </c>
      <c r="G491" s="60">
        <v>76.134</v>
      </c>
      <c r="H491" s="61">
        <v>2096.6260000000002</v>
      </c>
      <c r="I491" s="62">
        <v>6.9</v>
      </c>
      <c r="J491" s="63">
        <v>3.1E-2</v>
      </c>
      <c r="K491" s="64">
        <v>8.4740000000000002</v>
      </c>
      <c r="L491" s="65">
        <v>44.198</v>
      </c>
      <c r="M491" s="50">
        <v>5.1909999999999998</v>
      </c>
      <c r="N491" s="66">
        <v>1.4999999999999999E-2</v>
      </c>
      <c r="O491" s="57">
        <v>127.36199999999999</v>
      </c>
      <c r="P491" s="67">
        <v>0.05</v>
      </c>
      <c r="Q491" s="68">
        <v>8.6850000000000005</v>
      </c>
    </row>
    <row r="492" spans="1:17" ht="14.25" customHeight="1" x14ac:dyDescent="0.35">
      <c r="A492" s="1">
        <v>2023</v>
      </c>
      <c r="B492" s="1" t="s">
        <v>27</v>
      </c>
      <c r="C492" s="1">
        <v>5</v>
      </c>
      <c r="D492" s="49">
        <v>128.26599999999999</v>
      </c>
      <c r="E492" s="12">
        <f t="shared" si="4"/>
        <v>160.33249999999998</v>
      </c>
      <c r="F492" s="50">
        <v>108.59399999999999</v>
      </c>
      <c r="G492" s="60">
        <v>76.349000000000004</v>
      </c>
      <c r="H492" s="61">
        <v>2159.7910000000002</v>
      </c>
      <c r="I492" s="62">
        <v>6.9</v>
      </c>
      <c r="J492" s="63">
        <v>0.03</v>
      </c>
      <c r="K492" s="64">
        <v>7.6840000000000002</v>
      </c>
      <c r="L492" s="65">
        <v>43.145000000000003</v>
      </c>
      <c r="M492" s="50">
        <v>5.2149999999999999</v>
      </c>
      <c r="N492" s="66">
        <v>1.4999999999999999E-2</v>
      </c>
      <c r="O492" s="57">
        <v>119.73</v>
      </c>
      <c r="P492" s="67">
        <v>4.3999999999999997E-2</v>
      </c>
      <c r="Q492" s="68">
        <v>6.5890000000000004</v>
      </c>
    </row>
    <row r="493" spans="1:17" ht="14.25" customHeight="1" x14ac:dyDescent="0.35">
      <c r="A493" s="1">
        <v>2023</v>
      </c>
      <c r="B493" s="1" t="s">
        <v>27</v>
      </c>
      <c r="C493" s="1">
        <v>6</v>
      </c>
      <c r="D493" s="49">
        <v>129.73400000000001</v>
      </c>
      <c r="E493" s="12">
        <f t="shared" si="4"/>
        <v>162.16750000000002</v>
      </c>
      <c r="F493" s="50">
        <v>110</v>
      </c>
      <c r="G493" s="60">
        <v>76.614999999999995</v>
      </c>
      <c r="H493" s="61">
        <v>2239.3000000000002</v>
      </c>
      <c r="I493" s="62">
        <v>6.9</v>
      </c>
      <c r="J493" s="63">
        <v>0.03</v>
      </c>
      <c r="K493" s="64">
        <v>7.3460000000000001</v>
      </c>
      <c r="L493" s="65">
        <v>44.341999999999999</v>
      </c>
      <c r="M493" s="50">
        <v>5.21</v>
      </c>
      <c r="N493" s="66">
        <v>1.4999999999999999E-2</v>
      </c>
      <c r="O493" s="57">
        <v>121.27500000000001</v>
      </c>
      <c r="P493" s="67">
        <v>4.1000000000000002E-2</v>
      </c>
      <c r="Q493" s="68">
        <v>6.1559999999999997</v>
      </c>
    </row>
    <row r="494" spans="1:17" ht="14.25" customHeight="1" x14ac:dyDescent="0.35">
      <c r="A494" s="1">
        <v>2023</v>
      </c>
      <c r="B494" s="1" t="s">
        <v>27</v>
      </c>
      <c r="C494" s="1">
        <v>7</v>
      </c>
      <c r="D494" s="49">
        <v>129.703</v>
      </c>
      <c r="E494" s="12">
        <f t="shared" si="4"/>
        <v>162.12875</v>
      </c>
      <c r="F494" s="50">
        <v>109.96899999999999</v>
      </c>
      <c r="G494" s="60">
        <v>76.730999999999995</v>
      </c>
      <c r="H494" s="61">
        <v>2190.8229999999999</v>
      </c>
      <c r="I494" s="62">
        <v>6.9</v>
      </c>
      <c r="J494" s="63">
        <v>0.03</v>
      </c>
      <c r="K494" s="64">
        <v>7.3470000000000004</v>
      </c>
      <c r="L494" s="65">
        <v>43.616999999999997</v>
      </c>
      <c r="M494" s="50">
        <v>5.2169999999999996</v>
      </c>
      <c r="N494" s="66">
        <v>1.4999999999999999E-2</v>
      </c>
      <c r="O494" s="57">
        <v>119.19799999999999</v>
      </c>
      <c r="P494" s="67">
        <v>0.04</v>
      </c>
      <c r="Q494" s="68">
        <v>5.52</v>
      </c>
    </row>
    <row r="495" spans="1:17" ht="14.25" customHeight="1" x14ac:dyDescent="0.35">
      <c r="A495" s="1">
        <v>2023</v>
      </c>
      <c r="B495" s="1" t="s">
        <v>27</v>
      </c>
      <c r="C495" s="1">
        <v>8</v>
      </c>
      <c r="D495" s="49">
        <v>129.89099999999999</v>
      </c>
      <c r="E495" s="12">
        <f t="shared" ref="E495:E724" si="5">D495*1.25</f>
        <v>162.36374999999998</v>
      </c>
      <c r="F495" s="50">
        <v>109.938</v>
      </c>
      <c r="G495" s="60">
        <v>77.138999999999996</v>
      </c>
      <c r="H495" s="69">
        <v>2173.3879999999999</v>
      </c>
      <c r="I495" s="62">
        <v>6.9</v>
      </c>
      <c r="J495" s="63">
        <v>0.03</v>
      </c>
      <c r="K495" s="50">
        <v>7.4480000000000004</v>
      </c>
      <c r="L495" s="65">
        <v>45.938000000000002</v>
      </c>
      <c r="M495" s="50">
        <v>5.2149999999999999</v>
      </c>
      <c r="N495" s="66">
        <v>1.4999999999999999E-2</v>
      </c>
      <c r="O495" s="57">
        <v>119.68300000000001</v>
      </c>
      <c r="P495" s="70">
        <v>4.2000000000000003E-2</v>
      </c>
      <c r="Q495" s="71">
        <v>4.8109999999999999</v>
      </c>
    </row>
    <row r="496" spans="1:17" ht="14.25" customHeight="1" x14ac:dyDescent="0.35">
      <c r="A496" s="1">
        <v>2023</v>
      </c>
      <c r="B496" s="1" t="s">
        <v>27</v>
      </c>
      <c r="C496" s="1">
        <v>9</v>
      </c>
      <c r="D496" s="49">
        <v>133.71899999999999</v>
      </c>
      <c r="E496" s="12">
        <f t="shared" si="5"/>
        <v>167.14875000000001</v>
      </c>
      <c r="F496" s="50">
        <v>113.15600000000001</v>
      </c>
      <c r="G496" s="60">
        <v>77.200999999999993</v>
      </c>
      <c r="H496" s="61">
        <v>2255.9369999999999</v>
      </c>
      <c r="I496" s="62">
        <v>6.9</v>
      </c>
      <c r="J496" s="63">
        <v>0.03</v>
      </c>
      <c r="K496" s="64">
        <v>7.3479999999999999</v>
      </c>
      <c r="L496" s="65">
        <v>50.131999999999998</v>
      </c>
      <c r="M496" s="50">
        <v>5.2210000000000001</v>
      </c>
      <c r="N496" s="66">
        <v>1.4999999999999999E-2</v>
      </c>
      <c r="O496" s="57">
        <v>118.468</v>
      </c>
      <c r="P496" s="67">
        <v>4.5999999999999999E-2</v>
      </c>
      <c r="Q496" s="68">
        <v>5.0309999999999997</v>
      </c>
    </row>
    <row r="497" spans="1:17" ht="14.25" customHeight="1" x14ac:dyDescent="0.35">
      <c r="A497" s="1">
        <v>2023</v>
      </c>
      <c r="B497" s="1" t="s">
        <v>27</v>
      </c>
      <c r="C497" s="1">
        <v>10</v>
      </c>
      <c r="D497" s="49">
        <v>135.56299999999999</v>
      </c>
      <c r="E497" s="12">
        <f t="shared" si="5"/>
        <v>169.45374999999999</v>
      </c>
      <c r="F497" s="50">
        <v>115</v>
      </c>
      <c r="G497" s="72">
        <v>76.932000000000002</v>
      </c>
      <c r="H497" s="61">
        <v>2323.5940000000001</v>
      </c>
      <c r="I497" s="62">
        <v>6.9</v>
      </c>
      <c r="J497" s="63">
        <v>0.03</v>
      </c>
      <c r="K497" s="73">
        <v>7.1639999999999997</v>
      </c>
      <c r="L497" s="65">
        <v>52.47</v>
      </c>
      <c r="M497" s="50">
        <v>5.2160000000000002</v>
      </c>
      <c r="N497" s="74">
        <v>1.4999999999999999E-2</v>
      </c>
      <c r="O497" s="57">
        <v>119.398</v>
      </c>
      <c r="P497" s="75">
        <v>4.5999999999999999E-2</v>
      </c>
      <c r="Q497" s="76">
        <v>4.1609999999999996</v>
      </c>
    </row>
    <row r="498" spans="1:17" ht="14.25" customHeight="1" x14ac:dyDescent="0.35">
      <c r="A498" s="1">
        <v>2023</v>
      </c>
      <c r="B498" s="1" t="s">
        <v>27</v>
      </c>
      <c r="C498" s="1">
        <v>11</v>
      </c>
      <c r="D498" s="49">
        <v>135.81299999999999</v>
      </c>
      <c r="E498" s="12">
        <f t="shared" si="5"/>
        <v>169.76624999999999</v>
      </c>
      <c r="F498" s="50">
        <v>114.96899999999999</v>
      </c>
      <c r="G498" s="72">
        <v>77.269000000000005</v>
      </c>
      <c r="H498" s="61">
        <v>2359.6039999999998</v>
      </c>
      <c r="I498" s="62">
        <v>6.9</v>
      </c>
      <c r="J498" s="63">
        <v>0.03</v>
      </c>
      <c r="K498" s="77">
        <v>7.0629999999999997</v>
      </c>
      <c r="L498" s="65">
        <v>52.622999999999998</v>
      </c>
      <c r="M498" s="50">
        <v>5.2229999999999999</v>
      </c>
      <c r="N498" s="74">
        <v>1.4999999999999999E-2</v>
      </c>
      <c r="O498" s="57">
        <v>117.4</v>
      </c>
      <c r="P498" s="75">
        <v>4.7E-2</v>
      </c>
      <c r="Q498" s="76">
        <v>4.8029999999999999</v>
      </c>
    </row>
    <row r="499" spans="1:17" ht="14.25" customHeight="1" x14ac:dyDescent="0.35">
      <c r="A499" s="1">
        <v>2023</v>
      </c>
      <c r="B499" s="1" t="s">
        <v>27</v>
      </c>
      <c r="C499" s="1">
        <v>12</v>
      </c>
      <c r="D499" s="49">
        <v>135.672</v>
      </c>
      <c r="E499" s="12">
        <f t="shared" si="5"/>
        <v>169.59</v>
      </c>
      <c r="F499" s="50">
        <v>115.03100000000001</v>
      </c>
      <c r="G499" s="72">
        <v>77.308000000000007</v>
      </c>
      <c r="H499" s="61">
        <v>2326.3989999999999</v>
      </c>
      <c r="I499" s="62">
        <v>6.9</v>
      </c>
      <c r="J499" s="63">
        <v>0.03</v>
      </c>
      <c r="K499" s="73">
        <v>7.0679999999999996</v>
      </c>
      <c r="L499" s="65">
        <v>52.015999999999998</v>
      </c>
      <c r="M499" s="50">
        <v>5.2140000000000004</v>
      </c>
      <c r="N499" s="74">
        <v>1.4999999999999999E-2</v>
      </c>
      <c r="O499" s="57">
        <v>119.998</v>
      </c>
      <c r="P499" s="75">
        <v>4.7E-2</v>
      </c>
      <c r="Q499" s="76">
        <v>5.9660000000000002</v>
      </c>
    </row>
    <row r="500" spans="1:17" ht="14.25" customHeight="1" x14ac:dyDescent="0.35">
      <c r="A500" s="1">
        <v>2023</v>
      </c>
      <c r="B500" s="1" t="s">
        <v>27</v>
      </c>
      <c r="C500" s="1">
        <v>13</v>
      </c>
      <c r="D500" s="49">
        <v>135.5</v>
      </c>
      <c r="E500" s="12">
        <f t="shared" si="5"/>
        <v>169.375</v>
      </c>
      <c r="F500" s="50">
        <v>114.96899999999999</v>
      </c>
      <c r="G500" s="78">
        <v>77.575000000000003</v>
      </c>
      <c r="H500" s="61">
        <v>2352.2350000000001</v>
      </c>
      <c r="I500" s="62">
        <v>6.9</v>
      </c>
      <c r="J500" s="63">
        <v>0.03</v>
      </c>
      <c r="K500" s="79">
        <v>7.0590000000000002</v>
      </c>
      <c r="L500" s="65">
        <v>53.773000000000003</v>
      </c>
      <c r="M500" s="50">
        <v>5.218</v>
      </c>
      <c r="N500" s="66">
        <v>1.4999999999999999E-2</v>
      </c>
      <c r="O500" s="57">
        <v>118.934</v>
      </c>
      <c r="P500" s="80">
        <v>4.4999999999999998E-2</v>
      </c>
      <c r="Q500" s="81">
        <v>6.1379999999999999</v>
      </c>
    </row>
    <row r="501" spans="1:17" ht="14.25" customHeight="1" x14ac:dyDescent="0.35">
      <c r="A501" s="1">
        <v>2023</v>
      </c>
      <c r="B501" s="1" t="s">
        <v>27</v>
      </c>
      <c r="C501" s="1">
        <v>14</v>
      </c>
      <c r="D501" s="49">
        <v>135.375</v>
      </c>
      <c r="E501" s="12">
        <f t="shared" si="5"/>
        <v>169.21875</v>
      </c>
      <c r="F501" s="50">
        <v>115</v>
      </c>
      <c r="G501" s="60">
        <v>77.584999999999994</v>
      </c>
      <c r="H501" s="61">
        <v>2234.3580000000002</v>
      </c>
      <c r="I501" s="62">
        <v>6.9</v>
      </c>
      <c r="J501" s="63">
        <v>0.03</v>
      </c>
      <c r="K501" s="79">
        <v>7.1529999999999996</v>
      </c>
      <c r="L501" s="82">
        <v>52.302</v>
      </c>
      <c r="M501" s="50">
        <v>5.2270000000000003</v>
      </c>
      <c r="N501" s="66">
        <v>1.4999999999999999E-2</v>
      </c>
      <c r="O501" s="57">
        <v>116.642</v>
      </c>
      <c r="P501" s="80">
        <v>4.2000000000000003E-2</v>
      </c>
      <c r="Q501" s="81">
        <v>6.1109999999999998</v>
      </c>
    </row>
    <row r="502" spans="1:17" ht="14.25" customHeight="1" x14ac:dyDescent="0.35">
      <c r="A502" s="1">
        <v>2023</v>
      </c>
      <c r="B502" s="1" t="s">
        <v>27</v>
      </c>
      <c r="C502" s="1">
        <v>15</v>
      </c>
      <c r="D502" s="49">
        <v>133.59399999999999</v>
      </c>
      <c r="E502" s="12">
        <f t="shared" si="5"/>
        <v>166.99250000000001</v>
      </c>
      <c r="F502" s="50">
        <v>113.53100000000001</v>
      </c>
      <c r="G502" s="60">
        <v>77.707999999999998</v>
      </c>
      <c r="H502" s="61">
        <v>2258.1849999999999</v>
      </c>
      <c r="I502" s="62">
        <v>6.9</v>
      </c>
      <c r="J502" s="63">
        <v>3.1E-2</v>
      </c>
      <c r="K502" s="73">
        <v>8.1460000000000008</v>
      </c>
      <c r="L502" s="65">
        <v>52.481000000000002</v>
      </c>
      <c r="M502" s="50">
        <v>5.2480000000000002</v>
      </c>
      <c r="N502" s="66">
        <v>1.4999999999999999E-2</v>
      </c>
      <c r="O502" s="57">
        <v>111.096</v>
      </c>
      <c r="P502" s="75">
        <v>8.6999999999999994E-2</v>
      </c>
      <c r="Q502" s="76">
        <v>7.0419999999999998</v>
      </c>
    </row>
    <row r="503" spans="1:17" ht="14.25" customHeight="1" x14ac:dyDescent="0.35">
      <c r="A503" s="1">
        <v>2023</v>
      </c>
      <c r="B503" s="1" t="s">
        <v>27</v>
      </c>
      <c r="C503" s="1">
        <v>16</v>
      </c>
      <c r="D503" s="49">
        <v>133.578</v>
      </c>
      <c r="E503" s="12">
        <f t="shared" si="5"/>
        <v>166.9725</v>
      </c>
      <c r="F503" s="50">
        <v>113.59399999999999</v>
      </c>
      <c r="G503" s="60">
        <v>77.995000000000005</v>
      </c>
      <c r="H503" s="61">
        <v>2253.5219999999999</v>
      </c>
      <c r="I503" s="62">
        <v>6.9</v>
      </c>
      <c r="J503" s="63">
        <v>3.1E-2</v>
      </c>
      <c r="K503" s="79">
        <v>7.6470000000000002</v>
      </c>
      <c r="L503" s="61">
        <v>50.424999999999997</v>
      </c>
      <c r="M503" s="62">
        <v>5.226</v>
      </c>
      <c r="N503" s="66">
        <v>1.4999999999999999E-2</v>
      </c>
      <c r="O503" s="57">
        <v>116.786</v>
      </c>
      <c r="P503" s="80">
        <v>5.0999999999999997E-2</v>
      </c>
      <c r="Q503" s="81">
        <v>6.1859999999999999</v>
      </c>
    </row>
    <row r="504" spans="1:17" ht="14.25" customHeight="1" x14ac:dyDescent="0.35">
      <c r="A504" s="1">
        <v>2023</v>
      </c>
      <c r="B504" s="1" t="s">
        <v>27</v>
      </c>
      <c r="C504" s="1">
        <v>17</v>
      </c>
      <c r="D504" s="49">
        <v>134.547</v>
      </c>
      <c r="E504" s="12">
        <f t="shared" si="5"/>
        <v>168.18375</v>
      </c>
      <c r="F504" s="50">
        <v>114.188</v>
      </c>
      <c r="G504" s="60">
        <v>77.917000000000002</v>
      </c>
      <c r="H504" s="61">
        <v>2297.2429999999999</v>
      </c>
      <c r="I504" s="62">
        <v>6.9</v>
      </c>
      <c r="J504" s="63">
        <v>3.1E-2</v>
      </c>
      <c r="K504" s="64">
        <v>7.2290000000000001</v>
      </c>
      <c r="L504" s="65">
        <v>50.706000000000003</v>
      </c>
      <c r="M504" s="50">
        <v>5.218</v>
      </c>
      <c r="N504" s="66">
        <v>1.4999999999999999E-2</v>
      </c>
      <c r="O504" s="57">
        <v>119.212</v>
      </c>
      <c r="P504" s="67">
        <v>4.8000000000000001E-2</v>
      </c>
      <c r="Q504" s="68">
        <v>6.0209999999999999</v>
      </c>
    </row>
    <row r="505" spans="1:17" ht="14.25" customHeight="1" x14ac:dyDescent="0.35">
      <c r="A505" s="1">
        <v>2023</v>
      </c>
      <c r="B505" s="1" t="s">
        <v>27</v>
      </c>
      <c r="C505" s="1">
        <v>18</v>
      </c>
      <c r="D505" s="49">
        <v>127.422</v>
      </c>
      <c r="E505" s="12">
        <f t="shared" si="5"/>
        <v>159.2775</v>
      </c>
      <c r="F505" s="50">
        <v>107.96899999999999</v>
      </c>
      <c r="G505" s="60">
        <v>77.914000000000001</v>
      </c>
      <c r="H505" s="61">
        <v>2092.2080000000001</v>
      </c>
      <c r="I505" s="62">
        <v>6.9</v>
      </c>
      <c r="J505" s="63">
        <v>3.1E-2</v>
      </c>
      <c r="K505" s="64">
        <v>7.4960000000000004</v>
      </c>
      <c r="L505" s="61">
        <v>44.805</v>
      </c>
      <c r="M505" s="62">
        <v>5.2009999999999996</v>
      </c>
      <c r="N505" s="66">
        <v>1.4999999999999999E-2</v>
      </c>
      <c r="O505" s="57">
        <v>123.697</v>
      </c>
      <c r="P505" s="67">
        <v>4.8000000000000001E-2</v>
      </c>
      <c r="Q505" s="68">
        <v>4.4260000000000002</v>
      </c>
    </row>
    <row r="506" spans="1:17" ht="14.25" customHeight="1" x14ac:dyDescent="0.35">
      <c r="A506" s="1">
        <v>2023</v>
      </c>
      <c r="B506" s="1" t="s">
        <v>27</v>
      </c>
      <c r="C506" s="1">
        <v>19</v>
      </c>
      <c r="D506" s="49">
        <v>129.922</v>
      </c>
      <c r="E506" s="12">
        <f t="shared" si="5"/>
        <v>162.4025</v>
      </c>
      <c r="F506" s="50">
        <v>110</v>
      </c>
      <c r="G506" s="60">
        <v>77.754999999999995</v>
      </c>
      <c r="H506" s="61">
        <v>2306.6489999999999</v>
      </c>
      <c r="I506" s="62">
        <v>6.9</v>
      </c>
      <c r="J506" s="63">
        <v>3.2000000000000001E-2</v>
      </c>
      <c r="K506" s="64">
        <v>7.1420000000000003</v>
      </c>
      <c r="L506" s="65">
        <v>51.878999999999998</v>
      </c>
      <c r="M506" s="50">
        <v>5.2389999999999999</v>
      </c>
      <c r="N506" s="66">
        <v>1.4E-2</v>
      </c>
      <c r="O506" s="57">
        <v>113.798</v>
      </c>
      <c r="P506" s="67">
        <v>4.4999999999999998E-2</v>
      </c>
      <c r="Q506" s="68">
        <v>4.6680000000000001</v>
      </c>
    </row>
    <row r="507" spans="1:17" ht="14.25" customHeight="1" x14ac:dyDescent="0.35">
      <c r="A507" s="1">
        <v>2023</v>
      </c>
      <c r="B507" s="1" t="s">
        <v>27</v>
      </c>
      <c r="C507" s="1">
        <v>20</v>
      </c>
      <c r="D507" s="49">
        <v>129.922</v>
      </c>
      <c r="E507" s="12">
        <f t="shared" si="5"/>
        <v>162.4025</v>
      </c>
      <c r="F507" s="50">
        <v>110</v>
      </c>
      <c r="G507" s="60">
        <v>77.912000000000006</v>
      </c>
      <c r="H507" s="61">
        <v>2309.924</v>
      </c>
      <c r="I507" s="62">
        <v>6.9</v>
      </c>
      <c r="J507" s="63">
        <v>3.2000000000000001E-2</v>
      </c>
      <c r="K507" s="64">
        <v>7.1269999999999998</v>
      </c>
      <c r="L507" s="61">
        <v>53.143999999999998</v>
      </c>
      <c r="M507" s="62">
        <v>5.2329999999999997</v>
      </c>
      <c r="N507" s="66">
        <v>1.4999999999999999E-2</v>
      </c>
      <c r="O507" s="57">
        <v>115.188</v>
      </c>
      <c r="P507" s="67">
        <v>4.3999999999999997E-2</v>
      </c>
      <c r="Q507" s="68">
        <v>4.2240000000000002</v>
      </c>
    </row>
    <row r="508" spans="1:17" ht="14.25" customHeight="1" x14ac:dyDescent="0.35">
      <c r="A508" s="1">
        <v>2023</v>
      </c>
      <c r="B508" s="1" t="s">
        <v>27</v>
      </c>
      <c r="C508" s="1">
        <v>21</v>
      </c>
      <c r="D508" s="49">
        <v>129.89099999999999</v>
      </c>
      <c r="E508" s="12">
        <f t="shared" si="5"/>
        <v>162.36374999999998</v>
      </c>
      <c r="F508" s="50">
        <v>109.96899999999999</v>
      </c>
      <c r="G508" s="60">
        <v>77.962999999999994</v>
      </c>
      <c r="H508" s="61">
        <v>2173.3310000000001</v>
      </c>
      <c r="I508" s="62">
        <v>6.9</v>
      </c>
      <c r="J508" s="63">
        <v>3.2000000000000001E-2</v>
      </c>
      <c r="K508" s="64">
        <v>7.1139999999999999</v>
      </c>
      <c r="L508" s="65">
        <v>50.302</v>
      </c>
      <c r="M508" s="50">
        <v>5.2409999999999997</v>
      </c>
      <c r="N508" s="66">
        <v>1.4999999999999999E-2</v>
      </c>
      <c r="O508" s="57">
        <v>112.879</v>
      </c>
      <c r="P508" s="67">
        <v>4.1000000000000002E-2</v>
      </c>
      <c r="Q508" s="68">
        <v>4.1790000000000003</v>
      </c>
    </row>
    <row r="509" spans="1:17" ht="14.25" customHeight="1" x14ac:dyDescent="0.35">
      <c r="A509" s="1">
        <v>2023</v>
      </c>
      <c r="B509" s="1" t="s">
        <v>27</v>
      </c>
      <c r="C509" s="1">
        <v>22</v>
      </c>
      <c r="D509" s="49">
        <v>129.93799999999999</v>
      </c>
      <c r="E509" s="12">
        <f t="shared" si="5"/>
        <v>162.42249999999999</v>
      </c>
      <c r="F509" s="50">
        <v>110</v>
      </c>
      <c r="G509" s="60">
        <v>78.200999999999993</v>
      </c>
      <c r="H509" s="61">
        <v>2207.7240000000002</v>
      </c>
      <c r="I509" s="62">
        <v>6.9</v>
      </c>
      <c r="J509" s="63">
        <v>0.03</v>
      </c>
      <c r="K509" s="64">
        <v>7.1289999999999996</v>
      </c>
      <c r="L509" s="61">
        <v>50.463000000000001</v>
      </c>
      <c r="M509" s="62">
        <v>5.2370000000000001</v>
      </c>
      <c r="N509" s="66">
        <v>1.4999999999999999E-2</v>
      </c>
      <c r="O509" s="57">
        <v>113.71599999999999</v>
      </c>
      <c r="P509" s="67">
        <v>0.04</v>
      </c>
      <c r="Q509" s="68">
        <v>4.0970000000000004</v>
      </c>
    </row>
    <row r="510" spans="1:17" ht="14.25" customHeight="1" x14ac:dyDescent="0.35">
      <c r="A510" s="1">
        <v>2023</v>
      </c>
      <c r="B510" s="1" t="s">
        <v>27</v>
      </c>
      <c r="C510" s="1">
        <v>23</v>
      </c>
      <c r="D510" s="49">
        <v>129.828</v>
      </c>
      <c r="E510" s="12">
        <f t="shared" si="5"/>
        <v>162.285</v>
      </c>
      <c r="F510" s="50">
        <v>110</v>
      </c>
      <c r="G510" s="60">
        <v>77.884</v>
      </c>
      <c r="H510" s="61">
        <v>2258.1320000000001</v>
      </c>
      <c r="I510" s="62">
        <v>6.9</v>
      </c>
      <c r="J510" s="63">
        <v>3.1E-2</v>
      </c>
      <c r="K510" s="64">
        <v>7.3440000000000003</v>
      </c>
      <c r="L510" s="65">
        <v>50.966999999999999</v>
      </c>
      <c r="M510" s="50">
        <v>5.242</v>
      </c>
      <c r="N510" s="66">
        <v>1.4999999999999999E-2</v>
      </c>
      <c r="O510" s="57">
        <v>112.505</v>
      </c>
      <c r="P510" s="67">
        <v>0.106</v>
      </c>
      <c r="Q510" s="68">
        <v>3.8660000000000001</v>
      </c>
    </row>
    <row r="511" spans="1:17" ht="14.25" customHeight="1" x14ac:dyDescent="0.35">
      <c r="A511" s="1">
        <v>2023</v>
      </c>
      <c r="B511" s="1" t="s">
        <v>27</v>
      </c>
      <c r="C511" s="1">
        <v>24</v>
      </c>
      <c r="D511" s="49">
        <v>129.875</v>
      </c>
      <c r="E511" s="12">
        <f t="shared" si="5"/>
        <v>162.34375</v>
      </c>
      <c r="F511" s="50">
        <v>110</v>
      </c>
      <c r="G511" s="60">
        <v>77.679000000000002</v>
      </c>
      <c r="H511" s="61">
        <v>2297.3829999999998</v>
      </c>
      <c r="I511" s="62">
        <v>6.9</v>
      </c>
      <c r="J511" s="63">
        <v>3.2000000000000001E-2</v>
      </c>
      <c r="K511" s="64">
        <v>7.4889999999999999</v>
      </c>
      <c r="L511" s="61">
        <v>51.582000000000001</v>
      </c>
      <c r="M511" s="62">
        <v>5.2549999999999999</v>
      </c>
      <c r="N511" s="66">
        <v>1.4999999999999999E-2</v>
      </c>
      <c r="O511" s="57">
        <v>109.095</v>
      </c>
      <c r="P511" s="67">
        <v>5.3999999999999999E-2</v>
      </c>
      <c r="Q511" s="68">
        <v>3.863</v>
      </c>
    </row>
    <row r="512" spans="1:17" ht="14.25" customHeight="1" x14ac:dyDescent="0.35">
      <c r="A512" s="1">
        <v>2023</v>
      </c>
      <c r="B512" s="1" t="s">
        <v>27</v>
      </c>
      <c r="C512" s="1">
        <v>25</v>
      </c>
      <c r="D512" s="49">
        <v>129.828</v>
      </c>
      <c r="E512" s="12">
        <f t="shared" si="5"/>
        <v>162.285</v>
      </c>
      <c r="F512" s="50">
        <v>110</v>
      </c>
      <c r="G512" s="60">
        <v>77.644999999999996</v>
      </c>
      <c r="H512" s="61">
        <v>2331.5149999999999</v>
      </c>
      <c r="I512" s="62">
        <v>6.9</v>
      </c>
      <c r="J512" s="63">
        <v>0.03</v>
      </c>
      <c r="K512" s="64">
        <v>7.5110000000000001</v>
      </c>
      <c r="L512" s="65">
        <v>52.057000000000002</v>
      </c>
      <c r="M512" s="50">
        <v>5.2510000000000003</v>
      </c>
      <c r="N512" s="66">
        <v>1.4999999999999999E-2</v>
      </c>
      <c r="O512" s="57">
        <v>110.693</v>
      </c>
      <c r="P512" s="67">
        <v>4.2999999999999997E-2</v>
      </c>
      <c r="Q512" s="68">
        <v>3.5739999999999998</v>
      </c>
    </row>
    <row r="513" spans="1:17" ht="14.25" customHeight="1" x14ac:dyDescent="0.35">
      <c r="A513" s="1">
        <v>2023</v>
      </c>
      <c r="B513" s="1" t="s">
        <v>27</v>
      </c>
      <c r="C513" s="1">
        <v>26</v>
      </c>
      <c r="D513" s="49">
        <v>129.85900000000001</v>
      </c>
      <c r="E513" s="12">
        <f t="shared" si="5"/>
        <v>162.32375000000002</v>
      </c>
      <c r="F513" s="50">
        <v>109.96899999999999</v>
      </c>
      <c r="G513" s="60">
        <v>77.593000000000004</v>
      </c>
      <c r="H513" s="61">
        <v>2342.4659999999999</v>
      </c>
      <c r="I513" s="62">
        <v>6.9</v>
      </c>
      <c r="J513" s="63">
        <v>3.4000000000000002E-2</v>
      </c>
      <c r="K513" s="64">
        <v>7.5090000000000003</v>
      </c>
      <c r="L513" s="61">
        <v>52.264000000000003</v>
      </c>
      <c r="M513" s="62">
        <v>5.1639999999999997</v>
      </c>
      <c r="N513" s="66">
        <v>1.4E-2</v>
      </c>
      <c r="O513" s="57">
        <v>135.88</v>
      </c>
      <c r="P513" s="67">
        <v>4.2999999999999997E-2</v>
      </c>
      <c r="Q513" s="68">
        <v>3.63</v>
      </c>
    </row>
    <row r="514" spans="1:17" ht="14.25" customHeight="1" x14ac:dyDescent="0.35">
      <c r="A514" s="1">
        <v>2023</v>
      </c>
      <c r="B514" s="1" t="s">
        <v>27</v>
      </c>
      <c r="C514" s="1">
        <v>27</v>
      </c>
      <c r="D514" s="12">
        <v>129.90600000000001</v>
      </c>
      <c r="E514" s="12">
        <f t="shared" si="5"/>
        <v>162.38249999999999</v>
      </c>
      <c r="F514" s="13">
        <v>110</v>
      </c>
      <c r="G514" s="60">
        <v>77.989999999999995</v>
      </c>
      <c r="H514" s="61">
        <v>2351.538</v>
      </c>
      <c r="I514" s="62">
        <v>6.9</v>
      </c>
      <c r="J514" s="63">
        <v>0.03</v>
      </c>
      <c r="K514" s="64">
        <v>7.452</v>
      </c>
      <c r="L514" s="65">
        <v>52.551000000000002</v>
      </c>
      <c r="M514" s="50">
        <v>5.1280000000000001</v>
      </c>
      <c r="N514" s="66">
        <v>1.4999999999999999E-2</v>
      </c>
      <c r="O514" s="57">
        <v>146.65600000000001</v>
      </c>
      <c r="P514" s="67">
        <v>4.2999999999999997E-2</v>
      </c>
      <c r="Q514" s="68">
        <v>4.6909999999999998</v>
      </c>
    </row>
    <row r="515" spans="1:17" ht="14.25" customHeight="1" x14ac:dyDescent="0.35">
      <c r="A515" s="1">
        <v>2023</v>
      </c>
      <c r="B515" s="1" t="s">
        <v>27</v>
      </c>
      <c r="C515" s="1">
        <v>28</v>
      </c>
      <c r="D515" s="12">
        <v>129.672</v>
      </c>
      <c r="E515" s="12">
        <f t="shared" si="5"/>
        <v>162.09</v>
      </c>
      <c r="F515" s="13">
        <v>109.96899999999999</v>
      </c>
      <c r="G515" s="60">
        <v>77.756</v>
      </c>
      <c r="H515" s="61">
        <v>2256.6149999999998</v>
      </c>
      <c r="I515" s="62">
        <v>6.899</v>
      </c>
      <c r="J515" s="63">
        <v>0.03</v>
      </c>
      <c r="K515" s="64">
        <v>7.5730000000000004</v>
      </c>
      <c r="L515" s="61">
        <v>51.140999999999998</v>
      </c>
      <c r="M515" s="62">
        <v>5.1429999999999998</v>
      </c>
      <c r="N515" s="66">
        <v>1.4999999999999999E-2</v>
      </c>
      <c r="O515" s="57">
        <v>141.28</v>
      </c>
      <c r="P515" s="67">
        <v>0.04</v>
      </c>
      <c r="Q515" s="68">
        <v>5.7</v>
      </c>
    </row>
    <row r="516" spans="1:17" ht="14.25" customHeight="1" x14ac:dyDescent="0.35">
      <c r="A516" s="1">
        <v>2023</v>
      </c>
      <c r="B516" s="1" t="s">
        <v>27</v>
      </c>
      <c r="C516" s="1">
        <v>29</v>
      </c>
      <c r="D516" s="12">
        <v>129.578</v>
      </c>
      <c r="E516" s="12">
        <f t="shared" si="5"/>
        <v>161.9725</v>
      </c>
      <c r="F516" s="13">
        <v>109.90600000000001</v>
      </c>
      <c r="G516" s="83">
        <v>77.688999999999993</v>
      </c>
      <c r="H516" s="69">
        <v>2331.67</v>
      </c>
      <c r="I516" s="50">
        <v>6.9</v>
      </c>
      <c r="J516" s="66">
        <v>0.03</v>
      </c>
      <c r="K516" s="50">
        <v>7.25</v>
      </c>
      <c r="L516" s="61">
        <v>54.932000000000002</v>
      </c>
      <c r="M516" s="62">
        <v>5.1539999999999999</v>
      </c>
      <c r="N516" s="66">
        <v>1.4999999999999999E-2</v>
      </c>
      <c r="O516" s="57">
        <v>137.67500000000001</v>
      </c>
      <c r="P516" s="84">
        <v>3.6999999999999998E-2</v>
      </c>
      <c r="Q516" s="71">
        <v>5.3109999999999999</v>
      </c>
    </row>
    <row r="517" spans="1:17" ht="14.25" customHeight="1" x14ac:dyDescent="0.35">
      <c r="A517" s="1">
        <v>2023</v>
      </c>
      <c r="B517" s="1" t="s">
        <v>27</v>
      </c>
      <c r="C517" s="1">
        <v>30</v>
      </c>
      <c r="D517" s="12">
        <v>115.90600000000001</v>
      </c>
      <c r="E517" s="12">
        <f t="shared" si="5"/>
        <v>144.88249999999999</v>
      </c>
      <c r="F517" s="13">
        <v>98.156000000000006</v>
      </c>
      <c r="G517" s="83">
        <v>77.721000000000004</v>
      </c>
      <c r="H517" s="69">
        <v>2137.71</v>
      </c>
      <c r="I517" s="50">
        <v>6.9</v>
      </c>
      <c r="J517" s="66">
        <v>0.03</v>
      </c>
      <c r="K517" s="50">
        <v>7.8449999999999998</v>
      </c>
      <c r="L517" s="61">
        <v>47.84</v>
      </c>
      <c r="M517" s="62">
        <v>5.1749999999999998</v>
      </c>
      <c r="N517" s="66">
        <v>1.4999999999999999E-2</v>
      </c>
      <c r="O517" s="57">
        <v>131.078</v>
      </c>
      <c r="P517" s="84">
        <v>3.9E-2</v>
      </c>
      <c r="Q517" s="71">
        <v>4.7530000000000001</v>
      </c>
    </row>
    <row r="518" spans="1:17" ht="14.25" customHeight="1" x14ac:dyDescent="0.35">
      <c r="A518" s="1">
        <v>2023</v>
      </c>
      <c r="B518" s="1" t="s">
        <v>27</v>
      </c>
      <c r="C518" s="1">
        <v>31</v>
      </c>
      <c r="D518" s="85">
        <v>28.812999999999999</v>
      </c>
      <c r="E518" s="12">
        <f t="shared" si="5"/>
        <v>36.016249999999999</v>
      </c>
      <c r="F518" s="86">
        <v>24.25</v>
      </c>
      <c r="G518" s="87">
        <v>73.569999999999993</v>
      </c>
      <c r="H518" s="88">
        <v>2147.0340000000001</v>
      </c>
      <c r="I518" s="89">
        <v>6.8639999999999999</v>
      </c>
      <c r="J518" s="90">
        <v>4.1000000000000002E-2</v>
      </c>
      <c r="K518" s="89">
        <v>7.798</v>
      </c>
      <c r="L518" s="61">
        <v>52.829000000000001</v>
      </c>
      <c r="M518" s="64">
        <v>5.22</v>
      </c>
      <c r="N518" s="66">
        <v>1.4999999999999999E-2</v>
      </c>
      <c r="O518" s="57">
        <v>123.024</v>
      </c>
      <c r="P518" s="66">
        <v>5.3999999999999999E-2</v>
      </c>
      <c r="Q518" s="91">
        <v>6.1749999999999998</v>
      </c>
    </row>
    <row r="519" spans="1:17" ht="14.25" customHeight="1" x14ac:dyDescent="0.35">
      <c r="A519" s="1">
        <v>2023</v>
      </c>
      <c r="B519" s="1" t="s">
        <v>28</v>
      </c>
      <c r="C519" s="1">
        <v>1</v>
      </c>
      <c r="D519" s="49">
        <v>125.453</v>
      </c>
      <c r="E519" s="12">
        <f t="shared" si="5"/>
        <v>156.81625</v>
      </c>
      <c r="F519" s="50">
        <v>106.438</v>
      </c>
      <c r="G519" s="51">
        <v>77.924999999999997</v>
      </c>
      <c r="H519" s="52">
        <v>2301.549</v>
      </c>
      <c r="I519" s="53">
        <v>6.9</v>
      </c>
      <c r="J519" s="54">
        <v>3.1E-2</v>
      </c>
      <c r="K519" s="55">
        <v>7.4829999999999997</v>
      </c>
      <c r="L519" s="52">
        <v>50.960999999999999</v>
      </c>
      <c r="M519" s="55">
        <v>5.1260000000000003</v>
      </c>
      <c r="N519" s="56">
        <v>1.4999999999999999E-2</v>
      </c>
      <c r="O519" s="57">
        <v>147.09</v>
      </c>
      <c r="P519" s="58">
        <v>4.4999999999999998E-2</v>
      </c>
      <c r="Q519" s="59">
        <v>4.7809999999999997</v>
      </c>
    </row>
    <row r="520" spans="1:17" ht="14.25" customHeight="1" x14ac:dyDescent="0.35">
      <c r="A520" s="1">
        <v>2023</v>
      </c>
      <c r="B520" s="1" t="s">
        <v>28</v>
      </c>
      <c r="C520" s="1">
        <v>2</v>
      </c>
      <c r="D520" s="49">
        <v>135.547</v>
      </c>
      <c r="E520" s="12">
        <f t="shared" si="5"/>
        <v>169.43375</v>
      </c>
      <c r="F520" s="50">
        <v>115</v>
      </c>
      <c r="G520" s="60">
        <v>78.117999999999995</v>
      </c>
      <c r="H520" s="61">
        <v>2366.0650000000001</v>
      </c>
      <c r="I520" s="62">
        <v>6.9</v>
      </c>
      <c r="J520" s="63">
        <v>0.03</v>
      </c>
      <c r="K520" s="64">
        <v>7.1970000000000001</v>
      </c>
      <c r="L520" s="65">
        <v>55.466999999999999</v>
      </c>
      <c r="M520" s="50">
        <v>5.1719999999999997</v>
      </c>
      <c r="N520" s="66">
        <v>1.4999999999999999E-2</v>
      </c>
      <c r="O520" s="57">
        <v>132.458</v>
      </c>
      <c r="P520" s="67">
        <v>4.5999999999999999E-2</v>
      </c>
      <c r="Q520" s="68">
        <v>3.6259999999999999</v>
      </c>
    </row>
    <row r="521" spans="1:17" ht="14.25" customHeight="1" x14ac:dyDescent="0.35">
      <c r="A521" s="1">
        <v>2023</v>
      </c>
      <c r="B521" s="1" t="s">
        <v>28</v>
      </c>
      <c r="C521" s="1">
        <v>3</v>
      </c>
      <c r="D521" s="49">
        <v>135.578</v>
      </c>
      <c r="E521" s="12">
        <f t="shared" si="5"/>
        <v>169.4725</v>
      </c>
      <c r="F521" s="50">
        <v>115</v>
      </c>
      <c r="G521" s="60">
        <v>78.259</v>
      </c>
      <c r="H521" s="61">
        <v>2310.1460000000002</v>
      </c>
      <c r="I521" s="62">
        <v>6.9</v>
      </c>
      <c r="J521" s="63">
        <v>0.03</v>
      </c>
      <c r="K521" s="64">
        <v>7.3159999999999998</v>
      </c>
      <c r="L521" s="65">
        <v>54.485999999999997</v>
      </c>
      <c r="M521" s="50">
        <v>5.1760000000000002</v>
      </c>
      <c r="N521" s="66">
        <v>1.4999999999999999E-2</v>
      </c>
      <c r="O521" s="57">
        <v>131.256</v>
      </c>
      <c r="P521" s="67">
        <v>4.5999999999999999E-2</v>
      </c>
      <c r="Q521" s="68">
        <v>0.64</v>
      </c>
    </row>
    <row r="522" spans="1:17" ht="14.25" customHeight="1" x14ac:dyDescent="0.35">
      <c r="A522" s="1">
        <v>2023</v>
      </c>
      <c r="B522" s="1" t="s">
        <v>28</v>
      </c>
      <c r="C522" s="1">
        <v>4</v>
      </c>
      <c r="D522" s="49">
        <v>135.59399999999999</v>
      </c>
      <c r="E522" s="12">
        <f t="shared" si="5"/>
        <v>169.49250000000001</v>
      </c>
      <c r="F522" s="50">
        <v>115</v>
      </c>
      <c r="G522" s="60">
        <v>78.143000000000001</v>
      </c>
      <c r="H522" s="61">
        <v>2221.3009999999999</v>
      </c>
      <c r="I522" s="62">
        <v>6.9</v>
      </c>
      <c r="J522" s="63">
        <v>0.03</v>
      </c>
      <c r="K522" s="64">
        <v>7.319</v>
      </c>
      <c r="L522" s="65">
        <v>52.136000000000003</v>
      </c>
      <c r="M522" s="50">
        <v>5.1790000000000003</v>
      </c>
      <c r="N522" s="66">
        <v>1.4999999999999999E-2</v>
      </c>
      <c r="O522" s="57">
        <v>130.27799999999999</v>
      </c>
      <c r="P522" s="67">
        <v>4.1000000000000002E-2</v>
      </c>
      <c r="Q522" s="68">
        <v>0.84199999999999997</v>
      </c>
    </row>
    <row r="523" spans="1:17" ht="14.25" customHeight="1" x14ac:dyDescent="0.35">
      <c r="A523" s="1">
        <v>2023</v>
      </c>
      <c r="B523" s="1" t="s">
        <v>28</v>
      </c>
      <c r="C523" s="1">
        <v>5</v>
      </c>
      <c r="D523" s="49">
        <v>135.547</v>
      </c>
      <c r="E523" s="12">
        <f t="shared" si="5"/>
        <v>169.43375</v>
      </c>
      <c r="F523" s="50">
        <v>115</v>
      </c>
      <c r="G523" s="60">
        <v>77.905000000000001</v>
      </c>
      <c r="H523" s="61">
        <v>2238.84</v>
      </c>
      <c r="I523" s="62">
        <v>6.9</v>
      </c>
      <c r="J523" s="63">
        <v>0.03</v>
      </c>
      <c r="K523" s="64">
        <v>7.3140000000000001</v>
      </c>
      <c r="L523" s="65">
        <v>52.347999999999999</v>
      </c>
      <c r="M523" s="50">
        <v>5.1619999999999999</v>
      </c>
      <c r="N523" s="66">
        <v>1.4999999999999999E-2</v>
      </c>
      <c r="O523" s="57">
        <v>135.27099999999999</v>
      </c>
      <c r="P523" s="67">
        <v>0.04</v>
      </c>
      <c r="Q523" s="68">
        <v>0.55500000000000005</v>
      </c>
    </row>
    <row r="524" spans="1:17" ht="14.25" customHeight="1" x14ac:dyDescent="0.35">
      <c r="A524" s="1">
        <v>2023</v>
      </c>
      <c r="B524" s="1" t="s">
        <v>28</v>
      </c>
      <c r="C524" s="1">
        <v>6</v>
      </c>
      <c r="D524" s="49">
        <v>135.59399999999999</v>
      </c>
      <c r="E524" s="12">
        <f t="shared" si="5"/>
        <v>169.49250000000001</v>
      </c>
      <c r="F524" s="50">
        <v>114.96899999999999</v>
      </c>
      <c r="G524" s="60">
        <v>77.884</v>
      </c>
      <c r="H524" s="61">
        <v>2312.585</v>
      </c>
      <c r="I524" s="62">
        <v>6.9</v>
      </c>
      <c r="J524" s="63">
        <v>0.03</v>
      </c>
      <c r="K524" s="64">
        <v>7.35</v>
      </c>
      <c r="L524" s="65">
        <v>53.457000000000001</v>
      </c>
      <c r="M524" s="50">
        <v>5.16</v>
      </c>
      <c r="N524" s="66">
        <v>1.4999999999999999E-2</v>
      </c>
      <c r="O524" s="57">
        <v>136.18100000000001</v>
      </c>
      <c r="P524" s="67">
        <v>4.4999999999999998E-2</v>
      </c>
      <c r="Q524" s="68">
        <v>0.53600000000000003</v>
      </c>
    </row>
    <row r="525" spans="1:17" ht="14.25" customHeight="1" x14ac:dyDescent="0.35">
      <c r="A525" s="1">
        <v>2023</v>
      </c>
      <c r="B525" s="1" t="s">
        <v>28</v>
      </c>
      <c r="C525" s="1">
        <v>7</v>
      </c>
      <c r="D525" s="49">
        <v>133.35900000000001</v>
      </c>
      <c r="E525" s="12">
        <f t="shared" si="5"/>
        <v>166.69875000000002</v>
      </c>
      <c r="F525" s="50">
        <v>112.90600000000001</v>
      </c>
      <c r="G525" s="60">
        <v>78.322999999999993</v>
      </c>
      <c r="H525" s="61">
        <v>2348.991</v>
      </c>
      <c r="I525" s="62">
        <v>6.9</v>
      </c>
      <c r="J525" s="63">
        <v>0.03</v>
      </c>
      <c r="K525" s="64">
        <v>7.18</v>
      </c>
      <c r="L525" s="65">
        <v>54.634</v>
      </c>
      <c r="M525" s="50">
        <v>5.1459999999999999</v>
      </c>
      <c r="N525" s="66">
        <v>1.4999999999999999E-2</v>
      </c>
      <c r="O525" s="57">
        <v>140.678</v>
      </c>
      <c r="P525" s="67">
        <v>4.3999999999999997E-2</v>
      </c>
      <c r="Q525" s="68">
        <v>0.54500000000000004</v>
      </c>
    </row>
    <row r="526" spans="1:17" ht="14.25" customHeight="1" x14ac:dyDescent="0.35">
      <c r="A526" s="1">
        <v>2023</v>
      </c>
      <c r="B526" s="1" t="s">
        <v>28</v>
      </c>
      <c r="C526" s="1">
        <v>8</v>
      </c>
      <c r="D526" s="49">
        <v>130.625</v>
      </c>
      <c r="E526" s="12">
        <f t="shared" si="5"/>
        <v>163.28125</v>
      </c>
      <c r="F526" s="50">
        <v>110.78100000000001</v>
      </c>
      <c r="G526" s="60">
        <v>78.400999999999996</v>
      </c>
      <c r="H526" s="69">
        <v>2327.835</v>
      </c>
      <c r="I526" s="62">
        <v>6.9</v>
      </c>
      <c r="J526" s="63">
        <v>0.03</v>
      </c>
      <c r="K526" s="50">
        <v>7.5030000000000001</v>
      </c>
      <c r="L526" s="65">
        <v>56.762</v>
      </c>
      <c r="M526" s="50">
        <v>5.1609999999999996</v>
      </c>
      <c r="N526" s="66">
        <v>1.4999999999999999E-2</v>
      </c>
      <c r="O526" s="57">
        <v>135.96700000000001</v>
      </c>
      <c r="P526" s="70">
        <v>4.8000000000000001E-2</v>
      </c>
      <c r="Q526" s="71">
        <v>0.52800000000000002</v>
      </c>
    </row>
    <row r="527" spans="1:17" ht="14.25" customHeight="1" x14ac:dyDescent="0.35">
      <c r="A527" s="1">
        <v>2023</v>
      </c>
      <c r="B527" s="1" t="s">
        <v>28</v>
      </c>
      <c r="C527" s="1">
        <v>9</v>
      </c>
      <c r="D527" s="49">
        <v>129.18799999999999</v>
      </c>
      <c r="E527" s="12">
        <f t="shared" si="5"/>
        <v>161.48499999999999</v>
      </c>
      <c r="F527" s="50">
        <v>109.65600000000001</v>
      </c>
      <c r="G527" s="60">
        <v>78.233999999999995</v>
      </c>
      <c r="H527" s="61">
        <v>2254.0459999999998</v>
      </c>
      <c r="I527" s="62">
        <v>6.9</v>
      </c>
      <c r="J527" s="63">
        <v>3.1E-2</v>
      </c>
      <c r="K527" s="64">
        <v>7.2960000000000003</v>
      </c>
      <c r="L527" s="65">
        <v>55.463000000000001</v>
      </c>
      <c r="M527" s="50">
        <v>5.125</v>
      </c>
      <c r="N527" s="66">
        <v>1.4999999999999999E-2</v>
      </c>
      <c r="O527" s="57">
        <v>147.46299999999999</v>
      </c>
      <c r="P527" s="67">
        <v>4.9000000000000002E-2</v>
      </c>
      <c r="Q527" s="68">
        <v>0.54400000000000004</v>
      </c>
    </row>
    <row r="528" spans="1:17" ht="14.25" customHeight="1" x14ac:dyDescent="0.35">
      <c r="A528" s="1">
        <v>2023</v>
      </c>
      <c r="B528" s="1" t="s">
        <v>28</v>
      </c>
      <c r="C528" s="1">
        <v>10</v>
      </c>
      <c r="D528" s="49">
        <v>127.60899999999999</v>
      </c>
      <c r="E528" s="12">
        <f t="shared" si="5"/>
        <v>159.51124999999999</v>
      </c>
      <c r="F528" s="50">
        <v>108.375</v>
      </c>
      <c r="G528" s="72">
        <v>78.262</v>
      </c>
      <c r="H528" s="61">
        <v>2210.105</v>
      </c>
      <c r="I528" s="62">
        <v>6.9</v>
      </c>
      <c r="J528" s="63">
        <v>3.1E-2</v>
      </c>
      <c r="K528" s="73">
        <v>7.16</v>
      </c>
      <c r="L528" s="65">
        <v>53.802</v>
      </c>
      <c r="M528" s="50">
        <v>5.085</v>
      </c>
      <c r="N528" s="74">
        <v>1.4999999999999999E-2</v>
      </c>
      <c r="O528" s="57">
        <v>161.35599999999999</v>
      </c>
      <c r="P528" s="75">
        <v>4.7E-2</v>
      </c>
      <c r="Q528" s="76">
        <v>0.55500000000000005</v>
      </c>
    </row>
    <row r="529" spans="1:17" ht="14.25" customHeight="1" x14ac:dyDescent="0.35">
      <c r="A529" s="1">
        <v>2023</v>
      </c>
      <c r="B529" s="1" t="s">
        <v>28</v>
      </c>
      <c r="C529" s="1">
        <v>11</v>
      </c>
      <c r="D529" s="49">
        <v>129.60900000000001</v>
      </c>
      <c r="E529" s="12">
        <f t="shared" si="5"/>
        <v>162.01125000000002</v>
      </c>
      <c r="F529" s="50">
        <v>110</v>
      </c>
      <c r="G529" s="72">
        <v>78.558999999999997</v>
      </c>
      <c r="H529" s="61">
        <v>2134.8420000000001</v>
      </c>
      <c r="I529" s="62">
        <v>6.9</v>
      </c>
      <c r="J529" s="63">
        <v>0.03</v>
      </c>
      <c r="K529" s="77">
        <v>7.0960000000000001</v>
      </c>
      <c r="L529" s="65">
        <v>52.887999999999998</v>
      </c>
      <c r="M529" s="50">
        <v>5.0949999999999998</v>
      </c>
      <c r="N529" s="74">
        <v>1.4999999999999999E-2</v>
      </c>
      <c r="O529" s="57">
        <v>158.226</v>
      </c>
      <c r="P529" s="75">
        <v>4.3999999999999997E-2</v>
      </c>
      <c r="Q529" s="76">
        <v>0.55400000000000005</v>
      </c>
    </row>
    <row r="530" spans="1:17" ht="14.25" customHeight="1" x14ac:dyDescent="0.35">
      <c r="A530" s="1">
        <v>2023</v>
      </c>
      <c r="B530" s="1" t="s">
        <v>28</v>
      </c>
      <c r="C530" s="1">
        <v>12</v>
      </c>
      <c r="D530" s="49">
        <v>106.85899999999999</v>
      </c>
      <c r="E530" s="12">
        <f t="shared" si="5"/>
        <v>133.57374999999999</v>
      </c>
      <c r="F530" s="50">
        <v>90.625</v>
      </c>
      <c r="G530" s="72">
        <v>78.23</v>
      </c>
      <c r="H530" s="61">
        <v>2170.076</v>
      </c>
      <c r="I530" s="62">
        <v>6.8689999999999998</v>
      </c>
      <c r="J530" s="63">
        <v>3.3000000000000002E-2</v>
      </c>
      <c r="K530" s="73">
        <v>7.1449999999999996</v>
      </c>
      <c r="L530" s="65">
        <v>64.385999999999996</v>
      </c>
      <c r="M530" s="50">
        <v>5.0549999999999997</v>
      </c>
      <c r="N530" s="74">
        <v>1.4999999999999999E-2</v>
      </c>
      <c r="O530" s="57">
        <v>1640.8610000000001</v>
      </c>
      <c r="P530" s="75">
        <v>4.7E-2</v>
      </c>
      <c r="Q530" s="76">
        <v>0.55500000000000005</v>
      </c>
    </row>
    <row r="531" spans="1:17" ht="14.25" customHeight="1" x14ac:dyDescent="0.35">
      <c r="A531" s="1">
        <v>2023</v>
      </c>
      <c r="B531" s="1" t="s">
        <v>28</v>
      </c>
      <c r="C531" s="1">
        <v>13</v>
      </c>
      <c r="D531" s="49">
        <v>126.125</v>
      </c>
      <c r="E531" s="12">
        <f t="shared" si="5"/>
        <v>157.65625</v>
      </c>
      <c r="F531" s="50">
        <v>107.09399999999999</v>
      </c>
      <c r="G531" s="78">
        <v>78.66</v>
      </c>
      <c r="H531" s="61">
        <v>2159.643</v>
      </c>
      <c r="I531" s="62">
        <v>6.9</v>
      </c>
      <c r="J531" s="63">
        <v>2.9000000000000001E-2</v>
      </c>
      <c r="K531" s="79">
        <v>7.2460000000000004</v>
      </c>
      <c r="L531" s="65">
        <v>54.395000000000003</v>
      </c>
      <c r="M531" s="50">
        <v>5.0830000000000002</v>
      </c>
      <c r="N531" s="66">
        <v>1.4999999999999999E-2</v>
      </c>
      <c r="O531" s="57">
        <v>162.548</v>
      </c>
      <c r="P531" s="80">
        <v>4.9000000000000002E-2</v>
      </c>
      <c r="Q531" s="81">
        <v>0.56000000000000005</v>
      </c>
    </row>
    <row r="532" spans="1:17" ht="14.25" customHeight="1" x14ac:dyDescent="0.35">
      <c r="A532" s="1">
        <v>2023</v>
      </c>
      <c r="B532" s="1" t="s">
        <v>28</v>
      </c>
      <c r="C532" s="1">
        <v>14</v>
      </c>
      <c r="D532" s="49">
        <v>127.26600000000001</v>
      </c>
      <c r="E532" s="12">
        <f t="shared" si="5"/>
        <v>159.08250000000001</v>
      </c>
      <c r="F532" s="50">
        <v>108.03100000000001</v>
      </c>
      <c r="G532" s="60">
        <v>78.471999999999994</v>
      </c>
      <c r="H532" s="61">
        <v>2142.9569999999999</v>
      </c>
      <c r="I532" s="62">
        <v>6.9</v>
      </c>
      <c r="J532" s="63">
        <v>2.9000000000000001E-2</v>
      </c>
      <c r="K532" s="79">
        <v>7.0250000000000004</v>
      </c>
      <c r="L532" s="82">
        <v>53.136000000000003</v>
      </c>
      <c r="M532" s="50">
        <v>5.08</v>
      </c>
      <c r="N532" s="66">
        <v>1.4999999999999999E-2</v>
      </c>
      <c r="O532" s="57">
        <v>163.47</v>
      </c>
      <c r="P532" s="80">
        <v>4.7E-2</v>
      </c>
      <c r="Q532" s="81">
        <v>0.56799999999999995</v>
      </c>
    </row>
    <row r="533" spans="1:17" ht="14.25" customHeight="1" x14ac:dyDescent="0.35">
      <c r="A533" s="1">
        <v>2023</v>
      </c>
      <c r="B533" s="1" t="s">
        <v>28</v>
      </c>
      <c r="C533" s="1">
        <v>15</v>
      </c>
      <c r="D533" s="49">
        <v>129.93799999999999</v>
      </c>
      <c r="E533" s="12">
        <f t="shared" si="5"/>
        <v>162.42249999999999</v>
      </c>
      <c r="F533" s="50">
        <v>110.313</v>
      </c>
      <c r="G533" s="60">
        <v>78.494</v>
      </c>
      <c r="H533" s="61">
        <v>2248.6840000000002</v>
      </c>
      <c r="I533" s="62">
        <v>6.9</v>
      </c>
      <c r="J533" s="63">
        <v>0.03</v>
      </c>
      <c r="K533" s="73">
        <v>6.9089999999999998</v>
      </c>
      <c r="L533" s="65">
        <v>56.036999999999999</v>
      </c>
      <c r="M533" s="50">
        <v>5.0880000000000001</v>
      </c>
      <c r="N533" s="66">
        <v>1.4999999999999999E-2</v>
      </c>
      <c r="O533" s="57">
        <v>160.654</v>
      </c>
      <c r="P533" s="75">
        <v>4.5999999999999999E-2</v>
      </c>
      <c r="Q533" s="76">
        <v>2.117</v>
      </c>
    </row>
    <row r="534" spans="1:17" ht="14.25" customHeight="1" x14ac:dyDescent="0.35">
      <c r="A534" s="1">
        <v>2023</v>
      </c>
      <c r="B534" s="1" t="s">
        <v>28</v>
      </c>
      <c r="C534" s="1">
        <v>16</v>
      </c>
      <c r="D534" s="49">
        <v>133.297</v>
      </c>
      <c r="E534" s="12">
        <f t="shared" si="5"/>
        <v>166.62125</v>
      </c>
      <c r="F534" s="50">
        <v>113.21899999999999</v>
      </c>
      <c r="G534" s="60">
        <v>78.942999999999998</v>
      </c>
      <c r="H534" s="61">
        <v>2303.201</v>
      </c>
      <c r="I534" s="62">
        <v>6.9</v>
      </c>
      <c r="J534" s="63">
        <v>0.03</v>
      </c>
      <c r="K534" s="79">
        <v>6.8979999999999997</v>
      </c>
      <c r="L534" s="61">
        <v>58.231999999999999</v>
      </c>
      <c r="M534" s="62">
        <v>5.0720000000000001</v>
      </c>
      <c r="N534" s="66">
        <v>1.4E-2</v>
      </c>
      <c r="O534" s="57">
        <v>166.47300000000001</v>
      </c>
      <c r="P534" s="80">
        <v>4.5999999999999999E-2</v>
      </c>
      <c r="Q534" s="81">
        <v>2.9889999999999999</v>
      </c>
    </row>
    <row r="535" spans="1:17" ht="14.25" customHeight="1" x14ac:dyDescent="0.35">
      <c r="A535" s="1">
        <v>2023</v>
      </c>
      <c r="B535" s="1" t="s">
        <v>28</v>
      </c>
      <c r="C535" s="1">
        <v>17</v>
      </c>
      <c r="D535" s="49">
        <v>133.15600000000001</v>
      </c>
      <c r="E535" s="12">
        <f t="shared" si="5"/>
        <v>166.44499999999999</v>
      </c>
      <c r="F535" s="50">
        <v>113.125</v>
      </c>
      <c r="G535" s="60">
        <v>79.135000000000005</v>
      </c>
      <c r="H535" s="61">
        <v>2236.5189999999998</v>
      </c>
      <c r="I535" s="62">
        <v>6.9</v>
      </c>
      <c r="J535" s="63">
        <v>2.9000000000000001E-2</v>
      </c>
      <c r="K535" s="64">
        <v>7.0739999999999998</v>
      </c>
      <c r="L535" s="65">
        <v>55.722999999999999</v>
      </c>
      <c r="M535" s="50">
        <v>5.0309999999999997</v>
      </c>
      <c r="N535" s="66">
        <v>1.4999999999999999E-2</v>
      </c>
      <c r="O535" s="57">
        <v>184.04400000000001</v>
      </c>
      <c r="P535" s="67">
        <v>4.7E-2</v>
      </c>
      <c r="Q535" s="68">
        <v>3.0640000000000001</v>
      </c>
    </row>
    <row r="536" spans="1:17" ht="14.25" customHeight="1" x14ac:dyDescent="0.35">
      <c r="A536" s="1">
        <v>2023</v>
      </c>
      <c r="B536" s="1" t="s">
        <v>28</v>
      </c>
      <c r="C536" s="1">
        <v>18</v>
      </c>
      <c r="D536" s="49">
        <v>135.35900000000001</v>
      </c>
      <c r="E536" s="12">
        <f t="shared" si="5"/>
        <v>169.19875000000002</v>
      </c>
      <c r="F536" s="50">
        <v>114.96899999999999</v>
      </c>
      <c r="G536" s="60">
        <v>78.790999999999997</v>
      </c>
      <c r="H536" s="61">
        <v>2212.114</v>
      </c>
      <c r="I536" s="62">
        <v>6.9</v>
      </c>
      <c r="J536" s="63">
        <v>2.9000000000000001E-2</v>
      </c>
      <c r="K536" s="64">
        <v>6.8840000000000003</v>
      </c>
      <c r="L536" s="61">
        <v>55.045000000000002</v>
      </c>
      <c r="M536" s="62">
        <v>5.0380000000000003</v>
      </c>
      <c r="N536" s="66">
        <v>1.4999999999999999E-2</v>
      </c>
      <c r="O536" s="57">
        <v>181.02199999999999</v>
      </c>
      <c r="P536" s="67">
        <v>4.2999999999999997E-2</v>
      </c>
      <c r="Q536" s="68">
        <v>3.0379999999999998</v>
      </c>
    </row>
    <row r="537" spans="1:17" ht="14.25" customHeight="1" x14ac:dyDescent="0.35">
      <c r="A537" s="1">
        <v>2023</v>
      </c>
      <c r="B537" s="1" t="s">
        <v>28</v>
      </c>
      <c r="C537" s="1">
        <v>19</v>
      </c>
      <c r="D537" s="49">
        <v>133.453</v>
      </c>
      <c r="E537" s="12">
        <f t="shared" si="5"/>
        <v>166.81625</v>
      </c>
      <c r="F537" s="50">
        <v>113.34399999999999</v>
      </c>
      <c r="G537" s="60">
        <v>79.138999999999996</v>
      </c>
      <c r="H537" s="61">
        <v>2315.5210000000002</v>
      </c>
      <c r="I537" s="62">
        <v>6.9</v>
      </c>
      <c r="J537" s="63">
        <v>0.03</v>
      </c>
      <c r="K537" s="64">
        <v>6.8129999999999997</v>
      </c>
      <c r="L537" s="65">
        <v>57.747999999999998</v>
      </c>
      <c r="M537" s="50">
        <v>5.0720000000000001</v>
      </c>
      <c r="N537" s="66">
        <v>1.4999999999999999E-2</v>
      </c>
      <c r="O537" s="57">
        <v>166.488</v>
      </c>
      <c r="P537" s="67">
        <v>4.2000000000000003E-2</v>
      </c>
      <c r="Q537" s="68">
        <v>2.9590000000000001</v>
      </c>
    </row>
    <row r="538" spans="1:17" ht="14.25" customHeight="1" x14ac:dyDescent="0.35">
      <c r="A538" s="1">
        <v>2023</v>
      </c>
      <c r="B538" s="1" t="s">
        <v>28</v>
      </c>
      <c r="C538" s="1">
        <v>20</v>
      </c>
      <c r="D538" s="49">
        <v>131.328</v>
      </c>
      <c r="E538" s="12">
        <f t="shared" si="5"/>
        <v>164.16</v>
      </c>
      <c r="F538" s="50">
        <v>111.46899999999999</v>
      </c>
      <c r="G538" s="60">
        <v>79.093999999999994</v>
      </c>
      <c r="H538" s="61">
        <v>2270.2199999999998</v>
      </c>
      <c r="I538" s="62">
        <v>6.899</v>
      </c>
      <c r="J538" s="63">
        <v>0.03</v>
      </c>
      <c r="K538" s="64">
        <v>7.1159999999999997</v>
      </c>
      <c r="L538" s="61">
        <v>55.875999999999998</v>
      </c>
      <c r="M538" s="62">
        <v>5.0970000000000004</v>
      </c>
      <c r="N538" s="66">
        <v>1.4999999999999999E-2</v>
      </c>
      <c r="O538" s="57">
        <v>157.69</v>
      </c>
      <c r="P538" s="67">
        <v>4.7E-2</v>
      </c>
      <c r="Q538" s="68">
        <v>2.9319999999999999</v>
      </c>
    </row>
    <row r="539" spans="1:17" ht="14.25" customHeight="1" x14ac:dyDescent="0.35">
      <c r="A539" s="1">
        <v>2023</v>
      </c>
      <c r="B539" s="1" t="s">
        <v>28</v>
      </c>
      <c r="C539" s="1">
        <v>21</v>
      </c>
      <c r="D539" s="49">
        <v>129.59399999999999</v>
      </c>
      <c r="E539" s="12">
        <f t="shared" si="5"/>
        <v>161.99250000000001</v>
      </c>
      <c r="F539" s="50">
        <v>109.938</v>
      </c>
      <c r="G539" s="60">
        <v>79.287000000000006</v>
      </c>
      <c r="H539" s="61">
        <v>2317.0889999999999</v>
      </c>
      <c r="I539" s="62">
        <v>6.9</v>
      </c>
      <c r="J539" s="63">
        <v>2.9000000000000001E-2</v>
      </c>
      <c r="K539" s="64">
        <v>7.077</v>
      </c>
      <c r="L539" s="65">
        <v>57.143000000000001</v>
      </c>
      <c r="M539" s="50">
        <v>5.077</v>
      </c>
      <c r="N539" s="66">
        <v>1.4999999999999999E-2</v>
      </c>
      <c r="O539" s="57">
        <v>165.91200000000001</v>
      </c>
      <c r="P539" s="67">
        <v>4.7E-2</v>
      </c>
      <c r="Q539" s="68">
        <v>2.3679999999999999</v>
      </c>
    </row>
    <row r="540" spans="1:17" ht="14.25" customHeight="1" x14ac:dyDescent="0.35">
      <c r="A540" s="1">
        <v>2023</v>
      </c>
      <c r="B540" s="1" t="s">
        <v>28</v>
      </c>
      <c r="C540" s="1">
        <v>22</v>
      </c>
      <c r="D540" s="49">
        <v>128.59399999999999</v>
      </c>
      <c r="E540" s="12">
        <f t="shared" si="5"/>
        <v>160.74250000000001</v>
      </c>
      <c r="F540" s="50">
        <v>109.063</v>
      </c>
      <c r="G540" s="60">
        <v>79.088999999999999</v>
      </c>
      <c r="H540" s="61">
        <v>2258.2910000000002</v>
      </c>
      <c r="I540" s="62">
        <v>6.9</v>
      </c>
      <c r="J540" s="63">
        <v>0.03</v>
      </c>
      <c r="K540" s="64">
        <v>7.21</v>
      </c>
      <c r="L540" s="61">
        <v>55.325000000000003</v>
      </c>
      <c r="M540" s="62">
        <v>5.077</v>
      </c>
      <c r="N540" s="66">
        <v>1.4999999999999999E-2</v>
      </c>
      <c r="O540" s="57">
        <v>165.64099999999999</v>
      </c>
      <c r="P540" s="67">
        <v>4.5999999999999999E-2</v>
      </c>
      <c r="Q540" s="68">
        <v>1.524</v>
      </c>
    </row>
    <row r="541" spans="1:17" ht="14.25" customHeight="1" x14ac:dyDescent="0.35">
      <c r="A541" s="1">
        <v>2023</v>
      </c>
      <c r="B541" s="1" t="s">
        <v>28</v>
      </c>
      <c r="C541" s="1">
        <v>23</v>
      </c>
      <c r="D541" s="49">
        <v>127.797</v>
      </c>
      <c r="E541" s="12">
        <f t="shared" si="5"/>
        <v>159.74625</v>
      </c>
      <c r="F541" s="50">
        <v>108.40600000000001</v>
      </c>
      <c r="G541" s="60">
        <v>78.997</v>
      </c>
      <c r="H541" s="61">
        <v>2311.7890000000002</v>
      </c>
      <c r="I541" s="62">
        <v>6.9</v>
      </c>
      <c r="J541" s="63">
        <v>0.03</v>
      </c>
      <c r="K541" s="64">
        <v>7.069</v>
      </c>
      <c r="L541" s="65">
        <v>56.741999999999997</v>
      </c>
      <c r="M541" s="50">
        <v>5.1539999999999999</v>
      </c>
      <c r="N541" s="66">
        <v>1.4E-2</v>
      </c>
      <c r="O541" s="57">
        <v>139.49199999999999</v>
      </c>
      <c r="P541" s="67">
        <v>4.5999999999999999E-2</v>
      </c>
      <c r="Q541" s="68">
        <v>1.5349999999999999</v>
      </c>
    </row>
    <row r="542" spans="1:17" ht="14.25" customHeight="1" x14ac:dyDescent="0.35">
      <c r="A542" s="1">
        <v>2023</v>
      </c>
      <c r="B542" s="1" t="s">
        <v>28</v>
      </c>
      <c r="C542" s="1">
        <v>24</v>
      </c>
      <c r="D542" s="49">
        <v>129.71899999999999</v>
      </c>
      <c r="E542" s="12">
        <f t="shared" si="5"/>
        <v>162.14875000000001</v>
      </c>
      <c r="F542" s="50">
        <v>110</v>
      </c>
      <c r="G542" s="60">
        <v>79.031999999999996</v>
      </c>
      <c r="H542" s="61">
        <v>2297.25</v>
      </c>
      <c r="I542" s="62">
        <v>6.9</v>
      </c>
      <c r="J542" s="63">
        <v>0.03</v>
      </c>
      <c r="K542" s="64">
        <v>7.008</v>
      </c>
      <c r="L542" s="61">
        <v>56.646000000000001</v>
      </c>
      <c r="M542" s="62">
        <v>5.1859999999999999</v>
      </c>
      <c r="N542" s="66">
        <v>1.4999999999999999E-2</v>
      </c>
      <c r="O542" s="57">
        <v>128.13399999999999</v>
      </c>
      <c r="P542" s="67">
        <v>4.8000000000000001E-2</v>
      </c>
      <c r="Q542" s="68">
        <v>1.5569999999999999</v>
      </c>
    </row>
    <row r="543" spans="1:17" ht="14.25" customHeight="1" x14ac:dyDescent="0.35">
      <c r="A543" s="1">
        <v>2023</v>
      </c>
      <c r="B543" s="1" t="s">
        <v>28</v>
      </c>
      <c r="C543" s="1">
        <v>25</v>
      </c>
      <c r="D543" s="49">
        <v>129.65600000000001</v>
      </c>
      <c r="E543" s="12">
        <f t="shared" si="5"/>
        <v>162.07</v>
      </c>
      <c r="F543" s="50">
        <v>109.96899999999999</v>
      </c>
      <c r="G543" s="60">
        <v>79.218999999999994</v>
      </c>
      <c r="H543" s="61">
        <v>2260.5920000000001</v>
      </c>
      <c r="I543" s="62">
        <v>6.9</v>
      </c>
      <c r="J543" s="63">
        <v>0.03</v>
      </c>
      <c r="K543" s="64">
        <v>6.9029999999999996</v>
      </c>
      <c r="L543" s="65">
        <v>56.183999999999997</v>
      </c>
      <c r="M543" s="50">
        <v>5.181</v>
      </c>
      <c r="N543" s="66">
        <v>1.4999999999999999E-2</v>
      </c>
      <c r="O543" s="57">
        <v>129.54499999999999</v>
      </c>
      <c r="P543" s="67">
        <v>4.2000000000000003E-2</v>
      </c>
      <c r="Q543" s="68">
        <v>1.5389999999999999</v>
      </c>
    </row>
    <row r="544" spans="1:17" ht="14.25" customHeight="1" x14ac:dyDescent="0.35">
      <c r="A544" s="1">
        <v>2023</v>
      </c>
      <c r="B544" s="1" t="s">
        <v>28</v>
      </c>
      <c r="C544" s="1">
        <v>26</v>
      </c>
      <c r="D544" s="49">
        <v>132</v>
      </c>
      <c r="E544" s="12">
        <f t="shared" si="5"/>
        <v>165</v>
      </c>
      <c r="F544" s="50">
        <v>112</v>
      </c>
      <c r="G544" s="60">
        <v>79.213999999999999</v>
      </c>
      <c r="H544" s="61">
        <v>2269.223</v>
      </c>
      <c r="I544" s="62">
        <v>6.9</v>
      </c>
      <c r="J544" s="63">
        <v>0.03</v>
      </c>
      <c r="K544" s="64">
        <v>7.1050000000000004</v>
      </c>
      <c r="L544" s="61">
        <v>57.25</v>
      </c>
      <c r="M544" s="62">
        <v>5.165</v>
      </c>
      <c r="N544" s="66">
        <v>1.4999999999999999E-2</v>
      </c>
      <c r="O544" s="57">
        <v>135.29900000000001</v>
      </c>
      <c r="P544" s="67">
        <v>4.3999999999999997E-2</v>
      </c>
      <c r="Q544" s="68">
        <v>1.5449999999999999</v>
      </c>
    </row>
    <row r="545" spans="1:17" ht="14.25" customHeight="1" x14ac:dyDescent="0.35">
      <c r="A545" s="1">
        <v>2023</v>
      </c>
      <c r="B545" s="1" t="s">
        <v>28</v>
      </c>
      <c r="C545" s="1">
        <v>27</v>
      </c>
      <c r="D545" s="12">
        <v>135.078</v>
      </c>
      <c r="E545" s="12">
        <f t="shared" si="5"/>
        <v>168.8475</v>
      </c>
      <c r="F545" s="13">
        <v>114.71899999999999</v>
      </c>
      <c r="G545" s="60">
        <v>79.453000000000003</v>
      </c>
      <c r="H545" s="61">
        <v>2299.3609999999999</v>
      </c>
      <c r="I545" s="62">
        <v>6.9</v>
      </c>
      <c r="J545" s="63">
        <v>0.03</v>
      </c>
      <c r="K545" s="64">
        <v>7.1669999999999998</v>
      </c>
      <c r="L545" s="65">
        <v>58.539000000000001</v>
      </c>
      <c r="M545" s="50">
        <v>5.157</v>
      </c>
      <c r="N545" s="66">
        <v>1.4999999999999999E-2</v>
      </c>
      <c r="O545" s="57">
        <v>137.113</v>
      </c>
      <c r="P545" s="67">
        <v>4.8000000000000001E-2</v>
      </c>
      <c r="Q545" s="68">
        <v>1.5649999999999999</v>
      </c>
    </row>
    <row r="546" spans="1:17" ht="14.25" customHeight="1" x14ac:dyDescent="0.35">
      <c r="A546" s="1">
        <v>2023</v>
      </c>
      <c r="B546" s="1" t="s">
        <v>28</v>
      </c>
      <c r="C546" s="1">
        <v>28</v>
      </c>
      <c r="D546" s="12">
        <v>132.23400000000001</v>
      </c>
      <c r="E546" s="12">
        <f t="shared" si="5"/>
        <v>165.29250000000002</v>
      </c>
      <c r="F546" s="13">
        <v>112.313</v>
      </c>
      <c r="G546" s="60">
        <v>79.346999999999994</v>
      </c>
      <c r="H546" s="61">
        <v>2289.232</v>
      </c>
      <c r="I546" s="62">
        <v>6.9</v>
      </c>
      <c r="J546" s="63">
        <v>3.1E-2</v>
      </c>
      <c r="K546" s="64">
        <v>7.0629999999999997</v>
      </c>
      <c r="L546" s="61">
        <v>57.793999999999997</v>
      </c>
      <c r="M546" s="62">
        <v>5.19</v>
      </c>
      <c r="N546" s="66">
        <v>1.4999999999999999E-2</v>
      </c>
      <c r="O546" s="57">
        <v>126.92700000000001</v>
      </c>
      <c r="P546" s="67">
        <v>4.8000000000000001E-2</v>
      </c>
      <c r="Q546" s="68">
        <v>1.5660000000000001</v>
      </c>
    </row>
    <row r="547" spans="1:17" ht="14.25" customHeight="1" x14ac:dyDescent="0.35">
      <c r="A547" s="1">
        <v>2023</v>
      </c>
      <c r="B547" s="1" t="s">
        <v>28</v>
      </c>
      <c r="C547" s="1">
        <v>29</v>
      </c>
      <c r="D547" s="12">
        <v>131.34399999999999</v>
      </c>
      <c r="E547" s="12">
        <f t="shared" si="5"/>
        <v>164.18</v>
      </c>
      <c r="F547" s="13">
        <v>111.5</v>
      </c>
      <c r="G547" s="83">
        <v>79.692999999999998</v>
      </c>
      <c r="H547" s="69">
        <v>2304.123</v>
      </c>
      <c r="I547" s="50">
        <v>6.9</v>
      </c>
      <c r="J547" s="66">
        <v>0.03</v>
      </c>
      <c r="K547" s="50">
        <v>7.0490000000000004</v>
      </c>
      <c r="L547" s="61">
        <v>58.268999999999998</v>
      </c>
      <c r="M547" s="62">
        <v>5.1970000000000001</v>
      </c>
      <c r="N547" s="66">
        <v>1.4999999999999999E-2</v>
      </c>
      <c r="O547" s="57">
        <v>124.77500000000001</v>
      </c>
      <c r="P547" s="84">
        <v>5.3999999999999999E-2</v>
      </c>
      <c r="Q547" s="71">
        <v>2.8050000000000002</v>
      </c>
    </row>
    <row r="548" spans="1:17" ht="14.25" customHeight="1" x14ac:dyDescent="0.35">
      <c r="A548" s="1">
        <v>2023</v>
      </c>
      <c r="B548" s="1" t="s">
        <v>28</v>
      </c>
      <c r="C548" s="1">
        <v>30</v>
      </c>
      <c r="D548" s="85">
        <v>135.23400000000001</v>
      </c>
      <c r="E548" s="12">
        <f t="shared" si="5"/>
        <v>169.04250000000002</v>
      </c>
      <c r="F548" s="86">
        <v>115</v>
      </c>
      <c r="G548" s="83">
        <v>79.884</v>
      </c>
      <c r="H548" s="69">
        <v>2329.0410000000002</v>
      </c>
      <c r="I548" s="50">
        <v>6.9</v>
      </c>
      <c r="J548" s="66">
        <v>0.03</v>
      </c>
      <c r="K548" s="50">
        <v>6.8550000000000004</v>
      </c>
      <c r="L548" s="61">
        <v>59.898000000000003</v>
      </c>
      <c r="M548" s="62">
        <v>4.9349999999999996</v>
      </c>
      <c r="N548" s="66">
        <v>1.4999999999999999E-2</v>
      </c>
      <c r="O548" s="57">
        <v>245.68199999999999</v>
      </c>
      <c r="P548" s="84">
        <v>5.8000000000000003E-2</v>
      </c>
      <c r="Q548" s="71">
        <v>3.8359999999999999</v>
      </c>
    </row>
    <row r="549" spans="1:17" ht="14.25" customHeight="1" x14ac:dyDescent="0.35">
      <c r="A549" s="1">
        <v>2023</v>
      </c>
      <c r="B549" s="1" t="s">
        <v>29</v>
      </c>
      <c r="C549" s="1">
        <v>1</v>
      </c>
      <c r="D549" s="49">
        <v>135.25</v>
      </c>
      <c r="E549" s="12">
        <f t="shared" si="5"/>
        <v>169.0625</v>
      </c>
      <c r="F549" s="50">
        <v>115</v>
      </c>
      <c r="G549" s="51">
        <v>79.915000000000006</v>
      </c>
      <c r="H549" s="52">
        <v>2276.721</v>
      </c>
      <c r="I549" s="53">
        <v>6.9</v>
      </c>
      <c r="J549" s="54">
        <v>2.9000000000000001E-2</v>
      </c>
      <c r="K549" s="55">
        <v>6.8730000000000002</v>
      </c>
      <c r="L549" s="52">
        <v>58.347000000000001</v>
      </c>
      <c r="M549" s="55">
        <v>4.8369999999999997</v>
      </c>
      <c r="N549" s="56">
        <v>1.4999999999999999E-2</v>
      </c>
      <c r="O549" s="57">
        <v>286.31700000000001</v>
      </c>
      <c r="P549" s="58">
        <v>5.8000000000000003E-2</v>
      </c>
      <c r="Q549" s="59">
        <v>3.927</v>
      </c>
    </row>
    <row r="550" spans="1:17" ht="14.25" customHeight="1" x14ac:dyDescent="0.35">
      <c r="A550" s="1">
        <v>2023</v>
      </c>
      <c r="B550" s="1" t="s">
        <v>29</v>
      </c>
      <c r="C550" s="1">
        <v>2</v>
      </c>
      <c r="D550" s="49">
        <v>135.26599999999999</v>
      </c>
      <c r="E550" s="12">
        <f t="shared" si="5"/>
        <v>169.08249999999998</v>
      </c>
      <c r="F550" s="50">
        <v>115</v>
      </c>
      <c r="G550" s="60">
        <v>79.994</v>
      </c>
      <c r="H550" s="61">
        <v>2242.1860000000001</v>
      </c>
      <c r="I550" s="62">
        <v>6.9</v>
      </c>
      <c r="J550" s="63">
        <v>2.9000000000000001E-2</v>
      </c>
      <c r="K550" s="64">
        <v>6.7770000000000001</v>
      </c>
      <c r="L550" s="65">
        <v>57.945</v>
      </c>
      <c r="M550" s="50">
        <v>4.8410000000000002</v>
      </c>
      <c r="N550" s="66">
        <v>1.4999999999999999E-2</v>
      </c>
      <c r="O550" s="57">
        <v>283.233</v>
      </c>
      <c r="P550" s="67">
        <v>5.5E-2</v>
      </c>
      <c r="Q550" s="68">
        <v>3.9209999999999998</v>
      </c>
    </row>
    <row r="551" spans="1:17" ht="14.25" customHeight="1" x14ac:dyDescent="0.35">
      <c r="A551" s="1">
        <v>2023</v>
      </c>
      <c r="B551" s="1" t="s">
        <v>29</v>
      </c>
      <c r="C551" s="1">
        <v>3</v>
      </c>
      <c r="D551" s="49">
        <v>134.21899999999999</v>
      </c>
      <c r="E551" s="12">
        <f t="shared" si="5"/>
        <v>167.77375000000001</v>
      </c>
      <c r="F551" s="50">
        <v>114.15600000000001</v>
      </c>
      <c r="G551" s="60">
        <v>79.850999999999999</v>
      </c>
      <c r="H551" s="61">
        <v>2299.9749999999999</v>
      </c>
      <c r="I551" s="62">
        <v>6.9</v>
      </c>
      <c r="J551" s="63">
        <v>2.9000000000000001E-2</v>
      </c>
      <c r="K551" s="64">
        <v>6.7640000000000002</v>
      </c>
      <c r="L551" s="65">
        <v>60.382399999999997</v>
      </c>
      <c r="M551" s="50">
        <v>4.8464999999999998</v>
      </c>
      <c r="N551" s="66">
        <v>1.46E-2</v>
      </c>
      <c r="O551" s="57">
        <v>279.82029999999997</v>
      </c>
      <c r="P551" s="67">
        <v>5.2999999999999999E-2</v>
      </c>
      <c r="Q551" s="68">
        <v>3.8820000000000001</v>
      </c>
    </row>
    <row r="552" spans="1:17" ht="14.25" customHeight="1" x14ac:dyDescent="0.35">
      <c r="A552" s="1">
        <v>2023</v>
      </c>
      <c r="B552" s="1" t="s">
        <v>29</v>
      </c>
      <c r="C552" s="1">
        <v>4</v>
      </c>
      <c r="D552" s="49">
        <v>135.25</v>
      </c>
      <c r="E552" s="12">
        <f t="shared" si="5"/>
        <v>169.0625</v>
      </c>
      <c r="F552" s="50">
        <v>114.96899999999999</v>
      </c>
      <c r="G552" s="60">
        <v>79.918000000000006</v>
      </c>
      <c r="H552" s="61">
        <v>2345.672</v>
      </c>
      <c r="I552" s="62">
        <v>6.9</v>
      </c>
      <c r="J552" s="63">
        <v>2.9000000000000001E-2</v>
      </c>
      <c r="K552" s="64">
        <v>6.8479999999999999</v>
      </c>
      <c r="L552" s="65">
        <v>61.289000000000001</v>
      </c>
      <c r="M552" s="50">
        <v>4.8460000000000001</v>
      </c>
      <c r="N552" s="66">
        <v>1.4999999999999999E-2</v>
      </c>
      <c r="O552" s="57">
        <v>280.19</v>
      </c>
      <c r="P552" s="67">
        <v>5.6000000000000001E-2</v>
      </c>
      <c r="Q552" s="68">
        <v>3.7650000000000001</v>
      </c>
    </row>
    <row r="553" spans="1:17" ht="14.25" customHeight="1" x14ac:dyDescent="0.35">
      <c r="A553" s="1">
        <v>2023</v>
      </c>
      <c r="B553" s="1" t="s">
        <v>29</v>
      </c>
      <c r="C553" s="1">
        <v>5</v>
      </c>
      <c r="D553" s="49">
        <v>134.10900000000001</v>
      </c>
      <c r="E553" s="12">
        <f t="shared" si="5"/>
        <v>167.63625000000002</v>
      </c>
      <c r="F553" s="50">
        <v>113.875</v>
      </c>
      <c r="G553" s="60">
        <v>79.840999999999994</v>
      </c>
      <c r="H553" s="61">
        <v>2329.761</v>
      </c>
      <c r="I553" s="62">
        <v>6.9</v>
      </c>
      <c r="J553" s="63">
        <v>2.9000000000000001E-2</v>
      </c>
      <c r="K553" s="64">
        <v>6.601</v>
      </c>
      <c r="L553" s="65">
        <v>61.893000000000001</v>
      </c>
      <c r="M553" s="50">
        <v>4.9947999999999997</v>
      </c>
      <c r="N553" s="66">
        <v>1.46E-2</v>
      </c>
      <c r="O553" s="57">
        <v>220.4615</v>
      </c>
      <c r="P553" s="67">
        <v>5.3600000000000002E-2</v>
      </c>
      <c r="Q553" s="68">
        <v>3.8260000000000001</v>
      </c>
    </row>
    <row r="554" spans="1:17" ht="14.25" customHeight="1" x14ac:dyDescent="0.35">
      <c r="A554" s="1">
        <v>2023</v>
      </c>
      <c r="B554" s="1" t="s">
        <v>29</v>
      </c>
      <c r="C554" s="1">
        <v>6</v>
      </c>
      <c r="D554" s="49">
        <v>133.60900000000001</v>
      </c>
      <c r="E554" s="12">
        <f t="shared" si="5"/>
        <v>167.01125000000002</v>
      </c>
      <c r="F554" s="50">
        <v>113.5</v>
      </c>
      <c r="G554" s="60">
        <v>79.941999999999993</v>
      </c>
      <c r="H554" s="61">
        <v>2415.884</v>
      </c>
      <c r="I554" s="62">
        <v>6.9</v>
      </c>
      <c r="J554" s="63">
        <v>3.1E-2</v>
      </c>
      <c r="K554" s="64">
        <v>7.2169999999999996</v>
      </c>
      <c r="L554" s="65">
        <v>62.5642</v>
      </c>
      <c r="M554" s="50">
        <v>5.2702</v>
      </c>
      <c r="N554" s="66">
        <v>1.46E-2</v>
      </c>
      <c r="O554" s="57">
        <v>106.0226</v>
      </c>
      <c r="P554" s="67">
        <v>5.3999999999999999E-2</v>
      </c>
      <c r="Q554" s="68">
        <v>3.7730000000000001</v>
      </c>
    </row>
    <row r="555" spans="1:17" ht="14.25" customHeight="1" x14ac:dyDescent="0.35">
      <c r="A555" s="1">
        <v>2023</v>
      </c>
      <c r="B555" s="1" t="s">
        <v>29</v>
      </c>
      <c r="C555" s="1">
        <v>7</v>
      </c>
      <c r="D555" s="49">
        <v>134.98400000000001</v>
      </c>
      <c r="E555" s="12">
        <f t="shared" si="5"/>
        <v>168.73000000000002</v>
      </c>
      <c r="F555" s="50">
        <v>114.688</v>
      </c>
      <c r="G555" s="60">
        <v>80.185000000000002</v>
      </c>
      <c r="H555" s="61">
        <v>2407.1669999999999</v>
      </c>
      <c r="I555" s="62">
        <v>6.9</v>
      </c>
      <c r="J555" s="63">
        <v>0.03</v>
      </c>
      <c r="K555" s="64">
        <v>7.6070000000000002</v>
      </c>
      <c r="L555" s="65">
        <v>62.22</v>
      </c>
      <c r="M555" s="50">
        <v>5.4619999999999997</v>
      </c>
      <c r="N555" s="66">
        <v>1.4500000000000001E-2</v>
      </c>
      <c r="O555" s="57">
        <v>72.802999999999997</v>
      </c>
      <c r="P555" s="67">
        <v>0.06</v>
      </c>
      <c r="Q555" s="68">
        <v>3.7690000000000001</v>
      </c>
    </row>
    <row r="556" spans="1:17" ht="14.25" customHeight="1" x14ac:dyDescent="0.35">
      <c r="A556" s="1">
        <v>2023</v>
      </c>
      <c r="B556" s="1" t="s">
        <v>29</v>
      </c>
      <c r="C556" s="1">
        <v>8</v>
      </c>
      <c r="D556" s="49">
        <v>135.35900000000001</v>
      </c>
      <c r="E556" s="12">
        <f t="shared" si="5"/>
        <v>169.19875000000002</v>
      </c>
      <c r="F556" s="50">
        <v>115</v>
      </c>
      <c r="G556" s="60">
        <v>80.266000000000005</v>
      </c>
      <c r="H556" s="69">
        <v>2473.672</v>
      </c>
      <c r="I556" s="62">
        <v>6.9</v>
      </c>
      <c r="J556" s="63">
        <v>2.9000000000000001E-2</v>
      </c>
      <c r="K556" s="50">
        <v>7.2190000000000003</v>
      </c>
      <c r="L556" s="65">
        <v>64.705200000000005</v>
      </c>
      <c r="M556" s="50">
        <v>5.5430999999999999</v>
      </c>
      <c r="N556" s="66">
        <v>1.46E-2</v>
      </c>
      <c r="O556" s="57">
        <v>56.3919</v>
      </c>
      <c r="P556" s="70">
        <v>5.1900000000000002E-2</v>
      </c>
      <c r="Q556" s="71">
        <v>3.8439999999999999</v>
      </c>
    </row>
    <row r="557" spans="1:17" ht="14.25" customHeight="1" x14ac:dyDescent="0.35">
      <c r="A557" s="1">
        <v>2023</v>
      </c>
      <c r="B557" s="1" t="s">
        <v>29</v>
      </c>
      <c r="C557" s="1">
        <v>9</v>
      </c>
      <c r="D557" s="49">
        <v>135.328</v>
      </c>
      <c r="E557" s="12">
        <f t="shared" si="5"/>
        <v>169.16</v>
      </c>
      <c r="F557" s="50">
        <v>114.96899999999999</v>
      </c>
      <c r="G557" s="60">
        <v>80.25</v>
      </c>
      <c r="H557" s="61">
        <v>2364.3130000000001</v>
      </c>
      <c r="I557" s="62">
        <v>6.9</v>
      </c>
      <c r="J557" s="63">
        <v>2.9000000000000001E-2</v>
      </c>
      <c r="K557" s="64">
        <v>7.1589999999999998</v>
      </c>
      <c r="L557" s="65">
        <v>62.004199999999997</v>
      </c>
      <c r="M557" s="50">
        <v>5.5416999999999996</v>
      </c>
      <c r="N557" s="66">
        <v>1.46E-2</v>
      </c>
      <c r="O557" s="57">
        <v>56.469799999999999</v>
      </c>
      <c r="P557" s="67">
        <v>4.7E-2</v>
      </c>
      <c r="Q557" s="68">
        <v>3.8079999999999998</v>
      </c>
    </row>
    <row r="558" spans="1:17" ht="14.25" customHeight="1" x14ac:dyDescent="0.35">
      <c r="A558" s="1">
        <v>2023</v>
      </c>
      <c r="B558" s="1" t="s">
        <v>29</v>
      </c>
      <c r="C558" s="1">
        <v>10</v>
      </c>
      <c r="D558" s="49">
        <v>135.39099999999999</v>
      </c>
      <c r="E558" s="12">
        <f t="shared" si="5"/>
        <v>169.23874999999998</v>
      </c>
      <c r="F558" s="50">
        <v>115.03100000000001</v>
      </c>
      <c r="G558" s="72">
        <v>80.644000000000005</v>
      </c>
      <c r="H558" s="61">
        <v>2292.4940000000001</v>
      </c>
      <c r="I558" s="62">
        <v>6.9</v>
      </c>
      <c r="J558" s="63">
        <v>2.9000000000000001E-2</v>
      </c>
      <c r="K558" s="73">
        <v>7.2409999999999997</v>
      </c>
      <c r="L558" s="65">
        <v>60.405999999999999</v>
      </c>
      <c r="M558" s="50">
        <v>5.5469999999999997</v>
      </c>
      <c r="N558" s="74">
        <v>1.4999999999999999E-2</v>
      </c>
      <c r="O558" s="57">
        <v>55.777000000000001</v>
      </c>
      <c r="P558" s="75">
        <v>4.7E-2</v>
      </c>
      <c r="Q558" s="76">
        <v>3.9849999999999999</v>
      </c>
    </row>
    <row r="559" spans="1:17" ht="14.25" customHeight="1" x14ac:dyDescent="0.35">
      <c r="A559" s="1">
        <v>2023</v>
      </c>
      <c r="B559" s="1" t="s">
        <v>29</v>
      </c>
      <c r="C559" s="1">
        <v>11</v>
      </c>
      <c r="D559" s="49">
        <v>129.18799999999999</v>
      </c>
      <c r="E559" s="12">
        <f t="shared" si="5"/>
        <v>161.48499999999999</v>
      </c>
      <c r="F559" s="50">
        <v>109.84399999999999</v>
      </c>
      <c r="G559" s="72">
        <v>80.971999999999994</v>
      </c>
      <c r="H559" s="61">
        <v>2355.7710000000002</v>
      </c>
      <c r="I559" s="62">
        <v>6.9</v>
      </c>
      <c r="J559" s="63">
        <v>0.03</v>
      </c>
      <c r="K559" s="77">
        <v>7.3220000000000001</v>
      </c>
      <c r="L559" s="65">
        <v>62.698999999999998</v>
      </c>
      <c r="M559" s="50">
        <v>5.556</v>
      </c>
      <c r="N559" s="74">
        <v>1.4999999999999999E-2</v>
      </c>
      <c r="O559" s="57">
        <v>54.738</v>
      </c>
      <c r="P559" s="75">
        <v>5.3999999999999999E-2</v>
      </c>
      <c r="Q559" s="76">
        <v>3.835</v>
      </c>
    </row>
    <row r="560" spans="1:17" ht="14.25" customHeight="1" x14ac:dyDescent="0.35">
      <c r="A560" s="1">
        <v>2023</v>
      </c>
      <c r="B560" s="1" t="s">
        <v>29</v>
      </c>
      <c r="C560" s="1">
        <v>12</v>
      </c>
      <c r="D560" s="49">
        <v>125.14100000000001</v>
      </c>
      <c r="E560" s="12">
        <f t="shared" si="5"/>
        <v>156.42625000000001</v>
      </c>
      <c r="F560" s="50">
        <v>106.625</v>
      </c>
      <c r="G560" s="72">
        <v>81.34</v>
      </c>
      <c r="H560" s="61">
        <v>2379.5509999999999</v>
      </c>
      <c r="I560" s="62">
        <v>6.9</v>
      </c>
      <c r="J560" s="63">
        <v>0.03</v>
      </c>
      <c r="K560" s="73">
        <v>7.3029999999999999</v>
      </c>
      <c r="L560" s="65">
        <v>64.581000000000003</v>
      </c>
      <c r="M560" s="50">
        <v>5.56</v>
      </c>
      <c r="N560" s="74">
        <v>1.4999999999999999E-2</v>
      </c>
      <c r="O560" s="57">
        <v>54.481999999999999</v>
      </c>
      <c r="P560" s="75">
        <v>5.3999999999999999E-2</v>
      </c>
      <c r="Q560" s="76">
        <v>3.87</v>
      </c>
    </row>
    <row r="561" spans="1:17" ht="14.25" customHeight="1" x14ac:dyDescent="0.35">
      <c r="A561" s="1">
        <v>2023</v>
      </c>
      <c r="B561" s="1" t="s">
        <v>29</v>
      </c>
      <c r="C561" s="1">
        <v>13</v>
      </c>
      <c r="D561" s="49">
        <v>125.53100000000001</v>
      </c>
      <c r="E561" s="12">
        <f t="shared" si="5"/>
        <v>156.91374999999999</v>
      </c>
      <c r="F561" s="50">
        <v>107.03100000000001</v>
      </c>
      <c r="G561" s="78">
        <v>81.509</v>
      </c>
      <c r="H561" s="61">
        <v>2366.067</v>
      </c>
      <c r="I561" s="62">
        <v>6.9</v>
      </c>
      <c r="J561" s="63">
        <v>0.03</v>
      </c>
      <c r="K561" s="79">
        <v>7.625</v>
      </c>
      <c r="L561" s="65">
        <v>63.33</v>
      </c>
      <c r="M561" s="50">
        <v>5.5570000000000004</v>
      </c>
      <c r="N561" s="66">
        <v>1.4999999999999999E-2</v>
      </c>
      <c r="O561" s="57">
        <v>54.673999999999999</v>
      </c>
      <c r="P561" s="80">
        <v>6.5000000000000002E-2</v>
      </c>
      <c r="Q561" s="81">
        <v>3.899</v>
      </c>
    </row>
    <row r="562" spans="1:17" ht="14.25" customHeight="1" x14ac:dyDescent="0.35">
      <c r="A562" s="1">
        <v>2023</v>
      </c>
      <c r="B562" s="1" t="s">
        <v>29</v>
      </c>
      <c r="C562" s="1">
        <v>14</v>
      </c>
      <c r="D562" s="49">
        <v>125.953</v>
      </c>
      <c r="E562" s="12">
        <f t="shared" si="5"/>
        <v>157.44125</v>
      </c>
      <c r="F562" s="50">
        <v>107.375</v>
      </c>
      <c r="G562" s="60">
        <v>81.462999999999994</v>
      </c>
      <c r="H562" s="61">
        <v>2384.0709999999999</v>
      </c>
      <c r="I562" s="62">
        <v>6.9</v>
      </c>
      <c r="J562" s="63">
        <v>0.03</v>
      </c>
      <c r="K562" s="79">
        <v>7.5270000000000001</v>
      </c>
      <c r="L562" s="82">
        <v>63.953000000000003</v>
      </c>
      <c r="M562" s="50">
        <v>5.5720000000000001</v>
      </c>
      <c r="N562" s="66">
        <v>1.4999999999999999E-2</v>
      </c>
      <c r="O562" s="57">
        <v>52.988999999999997</v>
      </c>
      <c r="P562" s="80">
        <v>6.2E-2</v>
      </c>
      <c r="Q562" s="81">
        <v>3.8759999999999999</v>
      </c>
    </row>
    <row r="563" spans="1:17" ht="14.25" customHeight="1" x14ac:dyDescent="0.35">
      <c r="A563" s="1">
        <v>2023</v>
      </c>
      <c r="B563" s="1" t="s">
        <v>29</v>
      </c>
      <c r="C563" s="1">
        <v>15</v>
      </c>
      <c r="D563" s="49">
        <v>128.01599999999999</v>
      </c>
      <c r="E563" s="12">
        <f t="shared" si="5"/>
        <v>160.01999999999998</v>
      </c>
      <c r="F563" s="50">
        <v>109.063</v>
      </c>
      <c r="G563" s="60">
        <v>81.415000000000006</v>
      </c>
      <c r="H563" s="61">
        <v>2366.6889999999999</v>
      </c>
      <c r="I563" s="62">
        <v>6.9</v>
      </c>
      <c r="J563" s="63">
        <v>0.03</v>
      </c>
      <c r="K563" s="73">
        <v>7.484</v>
      </c>
      <c r="L563" s="65">
        <v>63.991999999999997</v>
      </c>
      <c r="M563" s="50">
        <v>5.5890000000000004</v>
      </c>
      <c r="N563" s="66">
        <v>1.4999999999999999E-2</v>
      </c>
      <c r="O563" s="57">
        <v>50.744</v>
      </c>
      <c r="P563" s="75">
        <v>5.7000000000000002E-2</v>
      </c>
      <c r="Q563" s="76">
        <v>3.867</v>
      </c>
    </row>
    <row r="564" spans="1:17" ht="14.25" customHeight="1" x14ac:dyDescent="0.35">
      <c r="A564" s="1">
        <v>2023</v>
      </c>
      <c r="B564" s="1" t="s">
        <v>29</v>
      </c>
      <c r="C564" s="1">
        <v>16</v>
      </c>
      <c r="D564" s="49">
        <v>117.71899999999999</v>
      </c>
      <c r="E564" s="12">
        <f t="shared" si="5"/>
        <v>147.14875000000001</v>
      </c>
      <c r="F564" s="50">
        <v>100.313</v>
      </c>
      <c r="G564" s="60">
        <v>81.442999999999998</v>
      </c>
      <c r="H564" s="61">
        <v>2251.8879999999999</v>
      </c>
      <c r="I564" s="62">
        <v>6.9</v>
      </c>
      <c r="J564" s="63">
        <v>0.03</v>
      </c>
      <c r="K564" s="79">
        <v>7.5430000000000001</v>
      </c>
      <c r="L564" s="61">
        <v>57.807000000000002</v>
      </c>
      <c r="M564" s="62">
        <v>5.6</v>
      </c>
      <c r="N564" s="66">
        <v>1.4999999999999999E-2</v>
      </c>
      <c r="O564" s="57">
        <v>49.375</v>
      </c>
      <c r="P564" s="80">
        <v>5.2999999999999999E-2</v>
      </c>
      <c r="Q564" s="81">
        <v>4.0810000000000004</v>
      </c>
    </row>
    <row r="565" spans="1:17" ht="14.25" customHeight="1" x14ac:dyDescent="0.35">
      <c r="A565" s="1">
        <v>2023</v>
      </c>
      <c r="B565" s="1" t="s">
        <v>29</v>
      </c>
      <c r="C565" s="1">
        <v>17</v>
      </c>
      <c r="D565" s="49">
        <v>118.14100000000001</v>
      </c>
      <c r="E565" s="12">
        <f t="shared" si="5"/>
        <v>147.67625000000001</v>
      </c>
      <c r="F565" s="50">
        <v>100.59399999999999</v>
      </c>
      <c r="G565" s="60">
        <v>81.632000000000005</v>
      </c>
      <c r="H565" s="61">
        <v>2272.0639999999999</v>
      </c>
      <c r="I565" s="62">
        <v>6.9</v>
      </c>
      <c r="J565" s="63">
        <v>0.03</v>
      </c>
      <c r="K565" s="64">
        <v>7.4829999999999997</v>
      </c>
      <c r="L565" s="65">
        <v>59.17</v>
      </c>
      <c r="M565" s="50">
        <v>5.5979999999999999</v>
      </c>
      <c r="N565" s="66">
        <v>1.4999999999999999E-2</v>
      </c>
      <c r="O565" s="57">
        <v>49.512</v>
      </c>
      <c r="P565" s="67">
        <v>5.3999999999999999E-2</v>
      </c>
      <c r="Q565" s="68">
        <v>3.8210000000000002</v>
      </c>
    </row>
    <row r="566" spans="1:17" ht="14.25" customHeight="1" x14ac:dyDescent="0.35">
      <c r="A566" s="1">
        <v>2023</v>
      </c>
      <c r="B566" s="1" t="s">
        <v>29</v>
      </c>
      <c r="C566" s="1">
        <v>18</v>
      </c>
      <c r="D566" s="49">
        <v>122.28100000000001</v>
      </c>
      <c r="E566" s="12">
        <f t="shared" si="5"/>
        <v>152.85124999999999</v>
      </c>
      <c r="F566" s="50">
        <v>104.09399999999999</v>
      </c>
      <c r="G566" s="60">
        <v>81.99</v>
      </c>
      <c r="H566" s="61">
        <v>2366.2530000000002</v>
      </c>
      <c r="I566" s="62">
        <v>6.9</v>
      </c>
      <c r="J566" s="63">
        <v>0.03</v>
      </c>
      <c r="K566" s="64">
        <v>7.5529999999999999</v>
      </c>
      <c r="L566" s="61">
        <v>64.072000000000003</v>
      </c>
      <c r="M566" s="62">
        <v>5.5739999999999998</v>
      </c>
      <c r="N566" s="66">
        <v>1.4999999999999999E-2</v>
      </c>
      <c r="O566" s="57">
        <v>52.564</v>
      </c>
      <c r="P566" s="67">
        <v>6.5000000000000002E-2</v>
      </c>
      <c r="Q566" s="68">
        <v>3.97</v>
      </c>
    </row>
    <row r="567" spans="1:17" ht="14.25" customHeight="1" x14ac:dyDescent="0.35">
      <c r="A567" s="1">
        <v>2023</v>
      </c>
      <c r="B567" s="1" t="s">
        <v>29</v>
      </c>
      <c r="C567" s="1">
        <v>19</v>
      </c>
      <c r="D567" s="49">
        <v>131.797</v>
      </c>
      <c r="E567" s="12">
        <f t="shared" si="5"/>
        <v>164.74625</v>
      </c>
      <c r="F567" s="50">
        <v>112.53100000000001</v>
      </c>
      <c r="G567" s="60">
        <v>82.182000000000002</v>
      </c>
      <c r="H567" s="61">
        <v>2429.7170000000001</v>
      </c>
      <c r="I567" s="62">
        <v>6.9</v>
      </c>
      <c r="J567" s="63">
        <v>0.03</v>
      </c>
      <c r="K567" s="64">
        <v>7.3520000000000003</v>
      </c>
      <c r="L567" s="65">
        <v>65.944999999999993</v>
      </c>
      <c r="M567" s="50">
        <v>5.5819999999999999</v>
      </c>
      <c r="N567" s="66">
        <v>1.4999999999999999E-2</v>
      </c>
      <c r="O567" s="57">
        <v>51.515999999999998</v>
      </c>
      <c r="P567" s="67">
        <v>6.3E-2</v>
      </c>
      <c r="Q567" s="68">
        <v>3.9289999999999998</v>
      </c>
    </row>
    <row r="568" spans="1:17" ht="14.25" customHeight="1" x14ac:dyDescent="0.35">
      <c r="A568" s="1">
        <v>2023</v>
      </c>
      <c r="B568" s="1" t="s">
        <v>29</v>
      </c>
      <c r="C568" s="1">
        <v>20</v>
      </c>
      <c r="D568" s="49">
        <v>123.01600000000001</v>
      </c>
      <c r="E568" s="12">
        <f t="shared" si="5"/>
        <v>153.77000000000001</v>
      </c>
      <c r="F568" s="50">
        <v>104.90600000000001</v>
      </c>
      <c r="G568" s="60">
        <v>82.293000000000006</v>
      </c>
      <c r="H568" s="61">
        <v>2373.1260000000002</v>
      </c>
      <c r="I568" s="62">
        <v>6.9</v>
      </c>
      <c r="J568" s="63">
        <v>0.03</v>
      </c>
      <c r="K568" s="64">
        <v>7.6180000000000003</v>
      </c>
      <c r="L568" s="61">
        <v>63.851999999999997</v>
      </c>
      <c r="M568" s="62">
        <v>5.59</v>
      </c>
      <c r="N568" s="66">
        <v>1.4999999999999999E-2</v>
      </c>
      <c r="O568" s="57">
        <v>50.694000000000003</v>
      </c>
      <c r="P568" s="67">
        <v>6.9000000000000006E-2</v>
      </c>
      <c r="Q568" s="68">
        <v>4.0819999999999999</v>
      </c>
    </row>
    <row r="569" spans="1:17" ht="14.25" customHeight="1" x14ac:dyDescent="0.35">
      <c r="A569" s="1">
        <v>2023</v>
      </c>
      <c r="B569" s="1" t="s">
        <v>29</v>
      </c>
      <c r="C569" s="1">
        <v>21</v>
      </c>
      <c r="D569" s="49">
        <v>130.453</v>
      </c>
      <c r="E569" s="12">
        <f t="shared" si="5"/>
        <v>163.06625</v>
      </c>
      <c r="F569" s="50">
        <v>111.375</v>
      </c>
      <c r="G569" s="60">
        <v>82.113</v>
      </c>
      <c r="H569" s="61">
        <v>2408.826</v>
      </c>
      <c r="I569" s="62">
        <v>6.9</v>
      </c>
      <c r="J569" s="63">
        <v>0.03</v>
      </c>
      <c r="K569" s="64">
        <v>7.0380000000000003</v>
      </c>
      <c r="L569" s="65">
        <v>65.447000000000003</v>
      </c>
      <c r="M569" s="50">
        <v>5.41</v>
      </c>
      <c r="N569" s="66">
        <v>1.4999999999999999E-2</v>
      </c>
      <c r="O569" s="57">
        <v>79.488</v>
      </c>
      <c r="P569" s="67">
        <v>5.8000000000000003E-2</v>
      </c>
      <c r="Q569" s="68">
        <v>4.4160000000000004</v>
      </c>
    </row>
    <row r="570" spans="1:17" ht="14.25" customHeight="1" x14ac:dyDescent="0.35">
      <c r="A570" s="1">
        <v>2023</v>
      </c>
      <c r="B570" s="1" t="s">
        <v>29</v>
      </c>
      <c r="C570" s="1">
        <v>22</v>
      </c>
      <c r="D570" s="49">
        <v>134.65600000000001</v>
      </c>
      <c r="E570" s="12">
        <f t="shared" si="5"/>
        <v>168.32</v>
      </c>
      <c r="F570" s="50">
        <v>114.90600000000001</v>
      </c>
      <c r="G570" s="60">
        <v>82.03</v>
      </c>
      <c r="H570" s="61">
        <v>2445.5830000000001</v>
      </c>
      <c r="I570" s="62">
        <v>6.9</v>
      </c>
      <c r="J570" s="63">
        <v>2.9000000000000001E-2</v>
      </c>
      <c r="K570" s="64">
        <v>6.8789999999999996</v>
      </c>
      <c r="L570" s="61">
        <v>66.703000000000003</v>
      </c>
      <c r="M570" s="62">
        <v>5.3</v>
      </c>
      <c r="N570" s="66">
        <v>1.4999999999999999E-2</v>
      </c>
      <c r="O570" s="57">
        <v>98.524000000000001</v>
      </c>
      <c r="P570" s="67">
        <v>0.06</v>
      </c>
      <c r="Q570" s="68">
        <v>4.49</v>
      </c>
    </row>
    <row r="571" spans="1:17" ht="14.25" customHeight="1" x14ac:dyDescent="0.35">
      <c r="A571" s="1">
        <v>2023</v>
      </c>
      <c r="B571" s="1" t="s">
        <v>29</v>
      </c>
      <c r="C571" s="1">
        <v>23</v>
      </c>
      <c r="D571" s="49">
        <v>134.703</v>
      </c>
      <c r="E571" s="12">
        <f t="shared" si="5"/>
        <v>168.37875</v>
      </c>
      <c r="F571" s="50">
        <v>114.96899999999999</v>
      </c>
      <c r="G571" s="60">
        <v>82.097999999999999</v>
      </c>
      <c r="H571" s="61">
        <v>2400.0949999999998</v>
      </c>
      <c r="I571" s="62">
        <v>6.9</v>
      </c>
      <c r="J571" s="63">
        <v>0.03</v>
      </c>
      <c r="K571" s="64">
        <v>6.78</v>
      </c>
      <c r="L571" s="65">
        <v>65.374700000000004</v>
      </c>
      <c r="M571" s="50">
        <v>5.2869999999999999</v>
      </c>
      <c r="N571" s="66">
        <v>1.46E-2</v>
      </c>
      <c r="O571" s="57">
        <v>101.42019999999999</v>
      </c>
      <c r="P571" s="67">
        <v>5.3400000000000003E-2</v>
      </c>
      <c r="Q571" s="68">
        <v>4.415</v>
      </c>
    </row>
    <row r="572" spans="1:17" ht="14.25" customHeight="1" x14ac:dyDescent="0.35">
      <c r="A572" s="1">
        <v>2023</v>
      </c>
      <c r="B572" s="1" t="s">
        <v>29</v>
      </c>
      <c r="C572" s="1">
        <v>24</v>
      </c>
      <c r="D572" s="49">
        <v>133.01599999999999</v>
      </c>
      <c r="E572" s="12">
        <f t="shared" si="5"/>
        <v>166.26999999999998</v>
      </c>
      <c r="F572" s="50">
        <v>113.53100000000001</v>
      </c>
      <c r="G572" s="60">
        <v>82.19</v>
      </c>
      <c r="H572" s="61">
        <v>2384.8629999999998</v>
      </c>
      <c r="I572" s="62">
        <v>6.9</v>
      </c>
      <c r="J572" s="63">
        <v>0.03</v>
      </c>
      <c r="K572" s="64">
        <v>6.8739999999999997</v>
      </c>
      <c r="L572" s="61">
        <v>65.275999999999996</v>
      </c>
      <c r="M572" s="62">
        <v>5.3150000000000004</v>
      </c>
      <c r="N572" s="66">
        <v>1.4999999999999999E-2</v>
      </c>
      <c r="O572" s="57">
        <v>95.378</v>
      </c>
      <c r="P572" s="67">
        <v>5.2999999999999999E-2</v>
      </c>
      <c r="Q572" s="68">
        <v>4.7460000000000004</v>
      </c>
    </row>
    <row r="573" spans="1:17" ht="14.25" customHeight="1" x14ac:dyDescent="0.35">
      <c r="A573" s="1">
        <v>2023</v>
      </c>
      <c r="B573" s="1" t="s">
        <v>29</v>
      </c>
      <c r="C573" s="1">
        <v>25</v>
      </c>
      <c r="D573" s="49">
        <v>134.578</v>
      </c>
      <c r="E573" s="12">
        <f t="shared" si="5"/>
        <v>168.2225</v>
      </c>
      <c r="F573" s="50">
        <v>114.813</v>
      </c>
      <c r="G573" s="60">
        <v>82.558000000000007</v>
      </c>
      <c r="H573" s="61">
        <v>2415.9290000000001</v>
      </c>
      <c r="I573" s="62">
        <v>6.9</v>
      </c>
      <c r="J573" s="63">
        <v>0.03</v>
      </c>
      <c r="K573" s="64">
        <v>7.1989999999999998</v>
      </c>
      <c r="L573" s="65">
        <v>66.64</v>
      </c>
      <c r="M573" s="50">
        <v>5.3310000000000004</v>
      </c>
      <c r="N573" s="66">
        <v>1.4999999999999999E-2</v>
      </c>
      <c r="O573" s="57">
        <v>91.92</v>
      </c>
      <c r="P573" s="67">
        <v>6.2E-2</v>
      </c>
      <c r="Q573" s="68">
        <v>4.2169999999999996</v>
      </c>
    </row>
    <row r="574" spans="1:17" ht="14.25" customHeight="1" x14ac:dyDescent="0.35">
      <c r="A574" s="1">
        <v>2023</v>
      </c>
      <c r="B574" s="1" t="s">
        <v>29</v>
      </c>
      <c r="C574" s="1">
        <v>26</v>
      </c>
      <c r="D574" s="49">
        <v>134.71899999999999</v>
      </c>
      <c r="E574" s="12">
        <f t="shared" si="5"/>
        <v>168.39875000000001</v>
      </c>
      <c r="F574" s="50">
        <v>114.938</v>
      </c>
      <c r="G574" s="60">
        <v>82.960999999999999</v>
      </c>
      <c r="H574" s="61">
        <v>2415.2820000000002</v>
      </c>
      <c r="I574" s="62">
        <v>6.9009999999999998</v>
      </c>
      <c r="J574" s="63">
        <v>0.03</v>
      </c>
      <c r="K574" s="64">
        <v>6.9589999999999996</v>
      </c>
      <c r="L574" s="61">
        <v>66.77</v>
      </c>
      <c r="M574" s="62">
        <v>5.3220000000000001</v>
      </c>
      <c r="N574" s="66">
        <v>1.4999999999999999E-2</v>
      </c>
      <c r="O574" s="57">
        <v>94.02</v>
      </c>
      <c r="P574" s="67">
        <v>5.7000000000000002E-2</v>
      </c>
      <c r="Q574" s="68">
        <v>4.1820000000000004</v>
      </c>
    </row>
    <row r="575" spans="1:17" ht="14.25" customHeight="1" x14ac:dyDescent="0.35">
      <c r="A575" s="1">
        <v>2023</v>
      </c>
      <c r="B575" s="1" t="s">
        <v>29</v>
      </c>
      <c r="C575" s="1">
        <v>27</v>
      </c>
      <c r="D575" s="12">
        <v>136.078</v>
      </c>
      <c r="E575" s="12">
        <f t="shared" si="5"/>
        <v>170.0975</v>
      </c>
      <c r="F575" s="13">
        <v>116.03100000000001</v>
      </c>
      <c r="G575" s="60">
        <v>82.981999999999999</v>
      </c>
      <c r="H575" s="61">
        <v>2437.1210000000001</v>
      </c>
      <c r="I575" s="62">
        <v>6.9</v>
      </c>
      <c r="J575" s="63">
        <v>0.03</v>
      </c>
      <c r="K575" s="64">
        <v>6.9249999999999998</v>
      </c>
      <c r="L575" s="65">
        <v>67.177000000000007</v>
      </c>
      <c r="M575" s="50">
        <v>5.2809999999999997</v>
      </c>
      <c r="N575" s="66">
        <v>1.4999999999999999E-2</v>
      </c>
      <c r="O575" s="57">
        <v>103.078</v>
      </c>
      <c r="P575" s="67">
        <v>5.7000000000000002E-2</v>
      </c>
      <c r="Q575" s="68">
        <v>4.1710000000000003</v>
      </c>
    </row>
    <row r="576" spans="1:17" ht="14.25" customHeight="1" x14ac:dyDescent="0.35">
      <c r="A576" s="1">
        <v>2023</v>
      </c>
      <c r="B576" s="1" t="s">
        <v>29</v>
      </c>
      <c r="C576" s="1">
        <v>28</v>
      </c>
      <c r="D576" s="12">
        <v>140.46899999999999</v>
      </c>
      <c r="E576" s="12">
        <f t="shared" si="5"/>
        <v>175.58625000000001</v>
      </c>
      <c r="F576" s="13">
        <v>119.813</v>
      </c>
      <c r="G576" s="60">
        <v>82.81</v>
      </c>
      <c r="H576" s="61">
        <v>2403.8069999999998</v>
      </c>
      <c r="I576" s="62">
        <v>6.9</v>
      </c>
      <c r="J576" s="63">
        <v>0.03</v>
      </c>
      <c r="K576" s="64">
        <v>6.7930000000000001</v>
      </c>
      <c r="L576" s="61">
        <v>66.537999999999997</v>
      </c>
      <c r="M576" s="62">
        <v>5.3010000000000002</v>
      </c>
      <c r="N576" s="66">
        <v>1.4E-2</v>
      </c>
      <c r="O576" s="57">
        <v>98.256</v>
      </c>
      <c r="P576" s="67">
        <v>5.5E-2</v>
      </c>
      <c r="Q576" s="68">
        <v>3.964</v>
      </c>
    </row>
    <row r="577" spans="1:17" ht="14.25" customHeight="1" x14ac:dyDescent="0.35">
      <c r="A577" s="1">
        <v>2023</v>
      </c>
      <c r="B577" s="1" t="s">
        <v>29</v>
      </c>
      <c r="C577" s="1">
        <v>29</v>
      </c>
      <c r="D577" s="12">
        <v>138.75</v>
      </c>
      <c r="E577" s="12">
        <f t="shared" si="5"/>
        <v>173.4375</v>
      </c>
      <c r="F577" s="13">
        <v>118.28100000000001</v>
      </c>
      <c r="G577" s="83">
        <v>82.686999999999998</v>
      </c>
      <c r="H577" s="69">
        <v>2388.7489999999998</v>
      </c>
      <c r="I577" s="50">
        <v>6.9</v>
      </c>
      <c r="J577" s="66">
        <v>0.03</v>
      </c>
      <c r="K577" s="50">
        <v>6.7210000000000001</v>
      </c>
      <c r="L577" s="61">
        <v>68.198999999999998</v>
      </c>
      <c r="M577" s="62">
        <v>5.3070000000000004</v>
      </c>
      <c r="N577" s="66">
        <v>1.4999999999999999E-2</v>
      </c>
      <c r="O577" s="57">
        <v>97.073999999999998</v>
      </c>
      <c r="P577" s="84">
        <v>5.0999999999999997E-2</v>
      </c>
      <c r="Q577" s="71">
        <v>4.1139999999999999</v>
      </c>
    </row>
    <row r="578" spans="1:17" ht="14.25" customHeight="1" x14ac:dyDescent="0.35">
      <c r="A578" s="1">
        <v>2023</v>
      </c>
      <c r="B578" s="1" t="s">
        <v>29</v>
      </c>
      <c r="C578" s="1">
        <v>30</v>
      </c>
      <c r="D578" s="12">
        <v>136.06299999999999</v>
      </c>
      <c r="E578" s="12">
        <f t="shared" si="5"/>
        <v>170.07874999999999</v>
      </c>
      <c r="F578" s="13">
        <v>116.03100000000001</v>
      </c>
      <c r="G578" s="83">
        <v>82.894999999999996</v>
      </c>
      <c r="H578" s="69">
        <v>2369.4580000000001</v>
      </c>
      <c r="I578" s="50">
        <v>6.9</v>
      </c>
      <c r="J578" s="66">
        <v>0.03</v>
      </c>
      <c r="K578" s="50">
        <v>6.5970000000000004</v>
      </c>
      <c r="L578" s="61">
        <v>66.394999999999996</v>
      </c>
      <c r="M578" s="62">
        <v>5.2910000000000004</v>
      </c>
      <c r="N578" s="66">
        <v>1.4999999999999999E-2</v>
      </c>
      <c r="O578" s="57">
        <v>100.703</v>
      </c>
      <c r="P578" s="84">
        <v>4.9000000000000002E-2</v>
      </c>
      <c r="Q578" s="71">
        <v>4.2279999999999998</v>
      </c>
    </row>
    <row r="579" spans="1:17" ht="14.25" customHeight="1" x14ac:dyDescent="0.35">
      <c r="A579" s="1">
        <v>2023</v>
      </c>
      <c r="B579" s="1" t="s">
        <v>29</v>
      </c>
      <c r="C579" s="1">
        <v>31</v>
      </c>
      <c r="D579" s="85">
        <v>136.625</v>
      </c>
      <c r="E579" s="12">
        <f t="shared" si="5"/>
        <v>170.78125</v>
      </c>
      <c r="F579" s="86">
        <v>116.09399999999999</v>
      </c>
      <c r="G579" s="87">
        <v>83.105000000000004</v>
      </c>
      <c r="H579" s="88">
        <v>2383.058</v>
      </c>
      <c r="I579" s="89">
        <v>6.9</v>
      </c>
      <c r="J579" s="90">
        <v>0.03</v>
      </c>
      <c r="K579" s="89">
        <v>6.6959999999999997</v>
      </c>
      <c r="L579" s="61">
        <v>65.953000000000003</v>
      </c>
      <c r="M579" s="64">
        <v>5.3070000000000004</v>
      </c>
      <c r="N579" s="66">
        <v>1.4999999999999999E-2</v>
      </c>
      <c r="O579" s="57">
        <v>97.358000000000004</v>
      </c>
      <c r="P579" s="66">
        <v>4.9000000000000002E-2</v>
      </c>
      <c r="Q579" s="91">
        <v>4.1509999999999998</v>
      </c>
    </row>
    <row r="580" spans="1:17" ht="14.25" customHeight="1" x14ac:dyDescent="0.35">
      <c r="A580" s="1">
        <v>2023</v>
      </c>
      <c r="B580" s="1" t="s">
        <v>30</v>
      </c>
      <c r="C580" s="1">
        <v>1</v>
      </c>
      <c r="D580" s="49">
        <v>136.43799999999999</v>
      </c>
      <c r="E580" s="12">
        <f t="shared" si="5"/>
        <v>170.54749999999999</v>
      </c>
      <c r="F580" s="50">
        <v>115.78100000000001</v>
      </c>
      <c r="G580" s="51">
        <v>83.29</v>
      </c>
      <c r="H580" s="52">
        <v>2470.8449999999998</v>
      </c>
      <c r="I580" s="53">
        <v>6.9</v>
      </c>
      <c r="J580" s="54">
        <v>0.03</v>
      </c>
      <c r="K580" s="55">
        <v>6.8819999999999997</v>
      </c>
      <c r="L580" s="52">
        <v>67.834999999999994</v>
      </c>
      <c r="M580" s="55">
        <v>5.3209999999999997</v>
      </c>
      <c r="N580" s="56">
        <v>1.4999999999999999E-2</v>
      </c>
      <c r="O580" s="57">
        <v>94.016999999999996</v>
      </c>
      <c r="P580" s="58">
        <v>5.3999999999999999E-2</v>
      </c>
      <c r="Q580" s="59">
        <v>4.258</v>
      </c>
    </row>
    <row r="581" spans="1:17" ht="14.25" customHeight="1" x14ac:dyDescent="0.35">
      <c r="A581" s="1">
        <v>2023</v>
      </c>
      <c r="B581" s="1" t="s">
        <v>30</v>
      </c>
      <c r="C581" s="1">
        <v>2</v>
      </c>
      <c r="D581" s="49">
        <v>135.59399999999999</v>
      </c>
      <c r="E581" s="12">
        <f t="shared" si="5"/>
        <v>169.49250000000001</v>
      </c>
      <c r="F581" s="50">
        <v>114.90600000000001</v>
      </c>
      <c r="G581" s="60">
        <v>83.262</v>
      </c>
      <c r="H581" s="61">
        <v>2547.5189999999998</v>
      </c>
      <c r="I581" s="62">
        <v>6.9</v>
      </c>
      <c r="J581" s="63">
        <v>3.1E-2</v>
      </c>
      <c r="K581" s="64">
        <v>6.7409999999999997</v>
      </c>
      <c r="L581" s="65">
        <v>69.641000000000005</v>
      </c>
      <c r="M581" s="50">
        <v>5.2859999999999996</v>
      </c>
      <c r="N581" s="66">
        <v>1.4999999999999999E-2</v>
      </c>
      <c r="O581" s="57">
        <v>101.629</v>
      </c>
      <c r="P581" s="67">
        <v>5.3999999999999999E-2</v>
      </c>
      <c r="Q581" s="68">
        <v>4.3209999999999997</v>
      </c>
    </row>
    <row r="582" spans="1:17" ht="14.25" customHeight="1" x14ac:dyDescent="0.35">
      <c r="A582" s="1">
        <v>2023</v>
      </c>
      <c r="B582" s="1" t="s">
        <v>30</v>
      </c>
      <c r="C582" s="1">
        <v>3</v>
      </c>
      <c r="D582" s="49">
        <v>135.453</v>
      </c>
      <c r="E582" s="12">
        <f t="shared" si="5"/>
        <v>169.31625</v>
      </c>
      <c r="F582" s="50">
        <v>114.938</v>
      </c>
      <c r="G582" s="60">
        <v>82.869</v>
      </c>
      <c r="H582" s="61">
        <v>2545.9659999999999</v>
      </c>
      <c r="I582" s="62">
        <v>6.9</v>
      </c>
      <c r="J582" s="63">
        <v>0.03</v>
      </c>
      <c r="K582" s="64">
        <v>6.83</v>
      </c>
      <c r="L582" s="65">
        <v>73.846000000000004</v>
      </c>
      <c r="M582" s="50">
        <v>5.2930000000000001</v>
      </c>
      <c r="N582" s="66">
        <v>1.4999999999999999E-2</v>
      </c>
      <c r="O582" s="57">
        <v>100.706</v>
      </c>
      <c r="P582" s="67">
        <v>5.5E-2</v>
      </c>
      <c r="Q582" s="68">
        <v>4.1500000000000004</v>
      </c>
    </row>
    <row r="583" spans="1:17" ht="14.25" customHeight="1" x14ac:dyDescent="0.35">
      <c r="A583" s="1">
        <v>2023</v>
      </c>
      <c r="B583" s="1" t="s">
        <v>30</v>
      </c>
      <c r="C583" s="1">
        <v>4</v>
      </c>
      <c r="D583" s="49">
        <v>135.48400000000001</v>
      </c>
      <c r="E583" s="12">
        <f t="shared" si="5"/>
        <v>169.35500000000002</v>
      </c>
      <c r="F583" s="50">
        <v>114.96899999999999</v>
      </c>
      <c r="G583" s="60">
        <v>82.759</v>
      </c>
      <c r="H583" s="61">
        <v>2515.0140000000001</v>
      </c>
      <c r="I583" s="62">
        <v>6.9</v>
      </c>
      <c r="J583" s="63">
        <v>0.03</v>
      </c>
      <c r="K583" s="64">
        <v>6.6909999999999998</v>
      </c>
      <c r="L583" s="65">
        <v>70.256</v>
      </c>
      <c r="M583" s="50">
        <v>5.0789999999999997</v>
      </c>
      <c r="N583" s="66">
        <v>1.4999999999999999E-2</v>
      </c>
      <c r="O583" s="57">
        <v>180.53</v>
      </c>
      <c r="P583" s="67">
        <v>5.1999999999999998E-2</v>
      </c>
      <c r="Q583" s="68">
        <v>4.2960000000000003</v>
      </c>
    </row>
    <row r="584" spans="1:17" ht="14.25" customHeight="1" x14ac:dyDescent="0.35">
      <c r="A584" s="1">
        <v>2023</v>
      </c>
      <c r="B584" s="1" t="s">
        <v>30</v>
      </c>
      <c r="C584" s="1">
        <v>5</v>
      </c>
      <c r="D584" s="49">
        <v>135.5</v>
      </c>
      <c r="E584" s="12">
        <f t="shared" si="5"/>
        <v>169.375</v>
      </c>
      <c r="F584" s="50">
        <v>115</v>
      </c>
      <c r="G584" s="60">
        <v>83.066999999999993</v>
      </c>
      <c r="H584" s="61">
        <v>2493.8649999999998</v>
      </c>
      <c r="I584" s="62">
        <v>6.9</v>
      </c>
      <c r="J584" s="63">
        <v>0.03</v>
      </c>
      <c r="K584" s="64">
        <v>6.5819999999999999</v>
      </c>
      <c r="L584" s="65">
        <v>70.338999999999999</v>
      </c>
      <c r="M584" s="50">
        <v>4.8769999999999998</v>
      </c>
      <c r="N584" s="66">
        <v>1.6E-2</v>
      </c>
      <c r="O584" s="57">
        <v>260.512</v>
      </c>
      <c r="P584" s="67">
        <v>5.3999999999999999E-2</v>
      </c>
      <c r="Q584" s="68">
        <v>4.2640000000000002</v>
      </c>
    </row>
    <row r="585" spans="1:17" ht="14.25" customHeight="1" x14ac:dyDescent="0.35">
      <c r="A585" s="1">
        <v>2023</v>
      </c>
      <c r="B585" s="1" t="s">
        <v>30</v>
      </c>
      <c r="C585" s="1">
        <v>6</v>
      </c>
      <c r="D585" s="49">
        <v>135.25</v>
      </c>
      <c r="E585" s="12">
        <f t="shared" si="5"/>
        <v>169.0625</v>
      </c>
      <c r="F585" s="50">
        <v>114.96899999999999</v>
      </c>
      <c r="G585" s="60">
        <v>83.046000000000006</v>
      </c>
      <c r="H585" s="61">
        <v>2335.0770000000002</v>
      </c>
      <c r="I585" s="62">
        <v>6.9</v>
      </c>
      <c r="J585" s="63">
        <v>0.03</v>
      </c>
      <c r="K585" s="64">
        <v>6.7009999999999996</v>
      </c>
      <c r="L585" s="65">
        <v>67.680999999999997</v>
      </c>
      <c r="M585" s="50">
        <v>4.891</v>
      </c>
      <c r="N585" s="66">
        <v>1.6E-2</v>
      </c>
      <c r="O585" s="57">
        <v>252.565</v>
      </c>
      <c r="P585" s="67">
        <v>5.0999999999999997E-2</v>
      </c>
      <c r="Q585" s="68">
        <v>4.4589999999999996</v>
      </c>
    </row>
    <row r="586" spans="1:17" ht="14.25" customHeight="1" x14ac:dyDescent="0.35">
      <c r="A586" s="1">
        <v>2023</v>
      </c>
      <c r="B586" s="1" t="s">
        <v>30</v>
      </c>
      <c r="C586" s="1">
        <v>7</v>
      </c>
      <c r="D586" s="49">
        <v>127.828</v>
      </c>
      <c r="E586" s="12">
        <f t="shared" si="5"/>
        <v>159.785</v>
      </c>
      <c r="F586" s="50">
        <v>108.5</v>
      </c>
      <c r="G586" s="60">
        <v>83.18</v>
      </c>
      <c r="H586" s="61">
        <v>1907.011</v>
      </c>
      <c r="I586" s="62">
        <v>6.9</v>
      </c>
      <c r="J586" s="63">
        <v>0.03</v>
      </c>
      <c r="K586" s="64">
        <v>7.391</v>
      </c>
      <c r="L586" s="65">
        <v>52.198</v>
      </c>
      <c r="M586" s="50">
        <v>4.859</v>
      </c>
      <c r="N586" s="66">
        <v>1.6E-2</v>
      </c>
      <c r="O586" s="57">
        <v>271.60000000000002</v>
      </c>
      <c r="P586" s="67">
        <v>5.0999999999999997E-2</v>
      </c>
      <c r="Q586" s="68">
        <v>4.4980000000000002</v>
      </c>
    </row>
    <row r="587" spans="1:17" ht="14.25" customHeight="1" x14ac:dyDescent="0.35">
      <c r="A587" s="1">
        <v>2023</v>
      </c>
      <c r="B587" s="1" t="s">
        <v>30</v>
      </c>
      <c r="C587" s="1">
        <v>8</v>
      </c>
      <c r="D587" s="49">
        <v>110.23399999999999</v>
      </c>
      <c r="E587" s="12">
        <f t="shared" si="5"/>
        <v>137.79249999999999</v>
      </c>
      <c r="F587" s="50">
        <v>93.125</v>
      </c>
      <c r="G587" s="60">
        <v>83.481999999999999</v>
      </c>
      <c r="H587" s="69">
        <v>1724.3440000000001</v>
      </c>
      <c r="I587" s="62">
        <v>6.9</v>
      </c>
      <c r="J587" s="63">
        <v>0.03</v>
      </c>
      <c r="K587" s="50">
        <v>7.9340000000000002</v>
      </c>
      <c r="L587" s="65">
        <v>46.588999999999999</v>
      </c>
      <c r="M587" s="50">
        <v>4.8550000000000004</v>
      </c>
      <c r="N587" s="66">
        <v>1.6E-2</v>
      </c>
      <c r="O587" s="57">
        <v>274.32799999999997</v>
      </c>
      <c r="P587" s="70">
        <v>5.7000000000000002E-2</v>
      </c>
      <c r="Q587" s="71">
        <v>4.7110000000000003</v>
      </c>
    </row>
    <row r="588" spans="1:17" ht="14.25" customHeight="1" x14ac:dyDescent="0.35">
      <c r="A588" s="1">
        <v>2023</v>
      </c>
      <c r="B588" s="1" t="s">
        <v>30</v>
      </c>
      <c r="C588" s="1">
        <v>9</v>
      </c>
      <c r="D588" s="49">
        <v>111.64100000000001</v>
      </c>
      <c r="E588" s="12">
        <f t="shared" si="5"/>
        <v>139.55125000000001</v>
      </c>
      <c r="F588" s="50">
        <v>94.468999999999994</v>
      </c>
      <c r="G588" s="60">
        <v>83.494</v>
      </c>
      <c r="H588" s="61">
        <v>1722.4580000000001</v>
      </c>
      <c r="I588" s="62">
        <v>6.9</v>
      </c>
      <c r="J588" s="63">
        <v>3.1E-2</v>
      </c>
      <c r="K588" s="64">
        <v>4.8150000000000004</v>
      </c>
      <c r="L588" s="65">
        <v>47.289000000000001</v>
      </c>
      <c r="M588" s="50">
        <v>4.8520000000000003</v>
      </c>
      <c r="N588" s="66">
        <v>1.6E-2</v>
      </c>
      <c r="O588" s="57">
        <v>276.44799999999998</v>
      </c>
      <c r="P588" s="67">
        <v>5.8999999999999997E-2</v>
      </c>
      <c r="Q588" s="68">
        <v>7.9</v>
      </c>
    </row>
    <row r="589" spans="1:17" ht="14.25" customHeight="1" x14ac:dyDescent="0.35">
      <c r="A589" s="1">
        <v>2023</v>
      </c>
      <c r="B589" s="1" t="s">
        <v>30</v>
      </c>
      <c r="C589" s="1">
        <v>10</v>
      </c>
      <c r="D589" s="49">
        <v>118.14100000000001</v>
      </c>
      <c r="E589" s="12">
        <f t="shared" si="5"/>
        <v>147.67625000000001</v>
      </c>
      <c r="F589" s="50">
        <v>99.968999999999994</v>
      </c>
      <c r="G589" s="72">
        <v>83.471000000000004</v>
      </c>
      <c r="H589" s="61">
        <v>1713.144</v>
      </c>
      <c r="I589" s="62">
        <v>6.9</v>
      </c>
      <c r="J589" s="63">
        <v>3.1E-2</v>
      </c>
      <c r="K589" s="73">
        <v>7.6479999999999997</v>
      </c>
      <c r="L589" s="65">
        <v>46.753</v>
      </c>
      <c r="M589" s="50">
        <v>5.15</v>
      </c>
      <c r="N589" s="74">
        <v>1.6E-2</v>
      </c>
      <c r="O589" s="57">
        <v>171.697</v>
      </c>
      <c r="P589" s="75">
        <v>5.6000000000000001E-2</v>
      </c>
      <c r="Q589" s="76">
        <v>5.3079999999999998</v>
      </c>
    </row>
    <row r="590" spans="1:17" ht="14.25" customHeight="1" x14ac:dyDescent="0.35">
      <c r="A590" s="1">
        <v>2023</v>
      </c>
      <c r="B590" s="1" t="s">
        <v>30</v>
      </c>
      <c r="C590" s="1">
        <v>11</v>
      </c>
      <c r="D590" s="49">
        <v>117.98399999999999</v>
      </c>
      <c r="E590" s="12">
        <f t="shared" si="5"/>
        <v>147.47999999999999</v>
      </c>
      <c r="F590" s="50">
        <v>99.968999999999994</v>
      </c>
      <c r="G590" s="72">
        <v>83.498000000000005</v>
      </c>
      <c r="H590" s="61">
        <v>1641.1849999999999</v>
      </c>
      <c r="I590" s="62">
        <v>6.9</v>
      </c>
      <c r="J590" s="63">
        <v>0.03</v>
      </c>
      <c r="K590" s="77">
        <v>7.5369999999999999</v>
      </c>
      <c r="L590" s="65">
        <v>43.779000000000003</v>
      </c>
      <c r="M590" s="50">
        <v>5.2610000000000001</v>
      </c>
      <c r="N590" s="74">
        <v>1.6E-2</v>
      </c>
      <c r="O590" s="57">
        <v>109.383</v>
      </c>
      <c r="P590" s="75">
        <v>5.7000000000000002E-2</v>
      </c>
      <c r="Q590" s="76">
        <v>7.8849999999999998</v>
      </c>
    </row>
    <row r="591" spans="1:17" ht="14.25" customHeight="1" x14ac:dyDescent="0.35">
      <c r="A591" s="1">
        <v>2023</v>
      </c>
      <c r="B591" s="1" t="s">
        <v>30</v>
      </c>
      <c r="C591" s="1">
        <v>12</v>
      </c>
      <c r="D591" s="49">
        <v>112.75</v>
      </c>
      <c r="E591" s="12">
        <f t="shared" si="5"/>
        <v>140.9375</v>
      </c>
      <c r="F591" s="50">
        <v>95.813000000000002</v>
      </c>
      <c r="G591" s="72">
        <v>83.494</v>
      </c>
      <c r="H591" s="61">
        <v>1603.3389999999999</v>
      </c>
      <c r="I591" s="62">
        <v>6.9</v>
      </c>
      <c r="J591" s="63">
        <v>0.03</v>
      </c>
      <c r="K591" s="73">
        <v>7.65</v>
      </c>
      <c r="L591" s="65">
        <v>43.755000000000003</v>
      </c>
      <c r="M591" s="50">
        <v>5.202</v>
      </c>
      <c r="N591" s="74">
        <v>1.6E-2</v>
      </c>
      <c r="O591" s="57">
        <v>123.666</v>
      </c>
      <c r="P591" s="75">
        <v>5.8999999999999997E-2</v>
      </c>
      <c r="Q591" s="76">
        <v>6.1749999999999998</v>
      </c>
    </row>
    <row r="592" spans="1:17" ht="14.25" customHeight="1" x14ac:dyDescent="0.35">
      <c r="A592" s="1">
        <v>2023</v>
      </c>
      <c r="B592" s="1" t="s">
        <v>30</v>
      </c>
      <c r="C592" s="1">
        <v>13</v>
      </c>
      <c r="D592" s="49">
        <v>110.48399999999999</v>
      </c>
      <c r="E592" s="12">
        <f t="shared" si="5"/>
        <v>138.10499999999999</v>
      </c>
      <c r="F592" s="50">
        <v>94.25</v>
      </c>
      <c r="G592" s="78">
        <v>83.494</v>
      </c>
      <c r="H592" s="61">
        <v>1527.136</v>
      </c>
      <c r="I592" s="62">
        <v>6.9</v>
      </c>
      <c r="J592" s="63">
        <v>0.03</v>
      </c>
      <c r="K592" s="79">
        <v>7.6349999999999998</v>
      </c>
      <c r="L592" s="65">
        <v>40.234999999999999</v>
      </c>
      <c r="M592" s="50">
        <v>5.1970000000000001</v>
      </c>
      <c r="N592" s="66">
        <v>1.6E-2</v>
      </c>
      <c r="O592" s="57">
        <v>123.666</v>
      </c>
      <c r="P592" s="80">
        <v>5.3999999999999999E-2</v>
      </c>
      <c r="Q592" s="81">
        <v>5.8959999999999999</v>
      </c>
    </row>
    <row r="593" spans="1:17" ht="14.25" customHeight="1" x14ac:dyDescent="0.35">
      <c r="A593" s="1">
        <v>2023</v>
      </c>
      <c r="B593" s="1" t="s">
        <v>30</v>
      </c>
      <c r="C593" s="1">
        <v>14</v>
      </c>
      <c r="D593" s="49">
        <v>109.75</v>
      </c>
      <c r="E593" s="12">
        <f t="shared" si="5"/>
        <v>137.1875</v>
      </c>
      <c r="F593" s="50">
        <v>93.75</v>
      </c>
      <c r="G593" s="60">
        <v>83.340999999999994</v>
      </c>
      <c r="H593" s="61">
        <v>1522.4659999999999</v>
      </c>
      <c r="I593" s="62">
        <v>6.9</v>
      </c>
      <c r="J593" s="63">
        <v>3.1E-2</v>
      </c>
      <c r="K593" s="79">
        <v>7.7480000000000002</v>
      </c>
      <c r="L593" s="82">
        <v>37.664000000000001</v>
      </c>
      <c r="M593" s="50">
        <v>5.1829999999999998</v>
      </c>
      <c r="N593" s="66">
        <v>1.6E-2</v>
      </c>
      <c r="O593" s="57">
        <v>128.71</v>
      </c>
      <c r="P593" s="80">
        <v>0.06</v>
      </c>
      <c r="Q593" s="81">
        <v>5.1520000000000001</v>
      </c>
    </row>
    <row r="594" spans="1:17" ht="14.25" customHeight="1" x14ac:dyDescent="0.35">
      <c r="A594" s="1">
        <v>2023</v>
      </c>
      <c r="B594" s="1" t="s">
        <v>30</v>
      </c>
      <c r="C594" s="1">
        <v>15</v>
      </c>
      <c r="D594" s="49">
        <v>111.59399999999999</v>
      </c>
      <c r="E594" s="12">
        <f t="shared" si="5"/>
        <v>139.49250000000001</v>
      </c>
      <c r="F594" s="50">
        <v>94.968999999999994</v>
      </c>
      <c r="G594" s="60">
        <v>83.575999999999993</v>
      </c>
      <c r="H594" s="61">
        <v>1581.1489999999999</v>
      </c>
      <c r="I594" s="62">
        <v>6.9</v>
      </c>
      <c r="J594" s="63">
        <v>3.1E-2</v>
      </c>
      <c r="K594" s="73">
        <v>7.835</v>
      </c>
      <c r="L594" s="65">
        <v>36.759</v>
      </c>
      <c r="M594" s="50">
        <v>5.1630000000000003</v>
      </c>
      <c r="N594" s="66">
        <v>1.6E-2</v>
      </c>
      <c r="O594" s="57">
        <v>135.08199999999999</v>
      </c>
      <c r="P594" s="75">
        <v>6.4000000000000001E-2</v>
      </c>
      <c r="Q594" s="76">
        <v>4.6959999999999997</v>
      </c>
    </row>
    <row r="595" spans="1:17" ht="14.25" customHeight="1" x14ac:dyDescent="0.35">
      <c r="A595" s="1">
        <v>2023</v>
      </c>
      <c r="B595" s="1" t="s">
        <v>30</v>
      </c>
      <c r="C595" s="1">
        <v>16</v>
      </c>
      <c r="D595" s="49">
        <v>115.73399999999999</v>
      </c>
      <c r="E595" s="12">
        <f t="shared" si="5"/>
        <v>144.66749999999999</v>
      </c>
      <c r="F595" s="50">
        <v>98.313000000000002</v>
      </c>
      <c r="G595" s="60">
        <v>83.853999999999999</v>
      </c>
      <c r="H595" s="61">
        <v>1632.404</v>
      </c>
      <c r="I595" s="62">
        <v>6.9</v>
      </c>
      <c r="J595" s="63">
        <v>3.2000000000000001E-2</v>
      </c>
      <c r="K595" s="79">
        <v>7.7750000000000004</v>
      </c>
      <c r="L595" s="61">
        <v>37.384999999999998</v>
      </c>
      <c r="M595" s="62">
        <v>5.1269999999999998</v>
      </c>
      <c r="N595" s="66">
        <v>1.6E-2</v>
      </c>
      <c r="O595" s="57">
        <v>147.374</v>
      </c>
      <c r="P595" s="80">
        <v>6.5000000000000002E-2</v>
      </c>
      <c r="Q595" s="81">
        <v>4.2430000000000003</v>
      </c>
    </row>
    <row r="596" spans="1:17" ht="14.25" customHeight="1" x14ac:dyDescent="0.35">
      <c r="A596" s="1">
        <v>2023</v>
      </c>
      <c r="B596" s="1" t="s">
        <v>30</v>
      </c>
      <c r="C596" s="1">
        <v>17</v>
      </c>
      <c r="D596" s="49">
        <v>113.422</v>
      </c>
      <c r="E596" s="12">
        <f t="shared" si="5"/>
        <v>141.7775</v>
      </c>
      <c r="F596" s="50">
        <v>96.281000000000006</v>
      </c>
      <c r="G596" s="60">
        <v>83.587999999999994</v>
      </c>
      <c r="H596" s="61">
        <v>1609.693</v>
      </c>
      <c r="I596" s="62">
        <v>6.9</v>
      </c>
      <c r="J596" s="63">
        <v>3.1E-2</v>
      </c>
      <c r="K596" s="64">
        <v>7.6619999999999999</v>
      </c>
      <c r="L596" s="65">
        <v>36.912999999999997</v>
      </c>
      <c r="M596" s="50">
        <v>5.1130000000000004</v>
      </c>
      <c r="N596" s="66">
        <v>1.6E-2</v>
      </c>
      <c r="O596" s="57">
        <v>153.89099999999999</v>
      </c>
      <c r="P596" s="67">
        <v>6.6000000000000003E-2</v>
      </c>
      <c r="Q596" s="68">
        <v>5.7880000000000003</v>
      </c>
    </row>
    <row r="597" spans="1:17" ht="14.25" customHeight="1" x14ac:dyDescent="0.35">
      <c r="A597" s="1">
        <v>2023</v>
      </c>
      <c r="B597" s="1" t="s">
        <v>30</v>
      </c>
      <c r="C597" s="1">
        <v>18</v>
      </c>
      <c r="D597" s="49">
        <v>112.625</v>
      </c>
      <c r="E597" s="12">
        <f t="shared" si="5"/>
        <v>140.78125</v>
      </c>
      <c r="F597" s="50">
        <v>95.406000000000006</v>
      </c>
      <c r="G597" s="60">
        <v>83.504000000000005</v>
      </c>
      <c r="H597" s="61">
        <v>1609.0440000000001</v>
      </c>
      <c r="I597" s="62">
        <v>6.9</v>
      </c>
      <c r="J597" s="63">
        <v>3.2000000000000001E-2</v>
      </c>
      <c r="K597" s="64">
        <v>7.8890000000000002</v>
      </c>
      <c r="L597" s="61">
        <v>37.442999999999998</v>
      </c>
      <c r="M597" s="62">
        <v>5.1269999999999998</v>
      </c>
      <c r="N597" s="66">
        <v>1.6E-2</v>
      </c>
      <c r="O597" s="57">
        <v>146.81899999999999</v>
      </c>
      <c r="P597" s="67">
        <v>0.06</v>
      </c>
      <c r="Q597" s="68">
        <v>8.08</v>
      </c>
    </row>
    <row r="598" spans="1:17" ht="14.25" customHeight="1" x14ac:dyDescent="0.35">
      <c r="A598" s="1">
        <v>2023</v>
      </c>
      <c r="B598" s="1" t="s">
        <v>30</v>
      </c>
      <c r="C598" s="1">
        <v>19</v>
      </c>
      <c r="D598" s="49">
        <v>118.203</v>
      </c>
      <c r="E598" s="12">
        <f t="shared" si="5"/>
        <v>147.75375</v>
      </c>
      <c r="F598" s="50">
        <v>99.968999999999994</v>
      </c>
      <c r="G598" s="60">
        <v>83.361000000000004</v>
      </c>
      <c r="H598" s="61">
        <v>1564.788</v>
      </c>
      <c r="I598" s="62">
        <v>6.9</v>
      </c>
      <c r="J598" s="63">
        <v>3.2000000000000001E-2</v>
      </c>
      <c r="K598" s="64">
        <v>8.0120000000000005</v>
      </c>
      <c r="L598" s="65">
        <v>35.765999999999998</v>
      </c>
      <c r="M598" s="50">
        <v>5.1589999999999998</v>
      </c>
      <c r="N598" s="66">
        <v>1.6E-2</v>
      </c>
      <c r="O598" s="57">
        <v>136.602</v>
      </c>
      <c r="P598" s="67">
        <v>5.2999999999999999E-2</v>
      </c>
      <c r="Q598" s="68">
        <v>10.214</v>
      </c>
    </row>
    <row r="599" spans="1:17" ht="14.25" customHeight="1" x14ac:dyDescent="0.35">
      <c r="A599" s="1">
        <v>2023</v>
      </c>
      <c r="B599" s="1" t="s">
        <v>30</v>
      </c>
      <c r="C599" s="1">
        <v>20</v>
      </c>
      <c r="D599" s="49">
        <v>112.875</v>
      </c>
      <c r="E599" s="12">
        <f t="shared" si="5"/>
        <v>141.09375</v>
      </c>
      <c r="F599" s="50">
        <v>95.593999999999994</v>
      </c>
      <c r="G599" s="60">
        <v>83.052999999999997</v>
      </c>
      <c r="H599" s="61">
        <v>1499.35</v>
      </c>
      <c r="I599" s="62">
        <v>6.9</v>
      </c>
      <c r="J599" s="63">
        <v>3.2000000000000001E-2</v>
      </c>
      <c r="K599" s="64">
        <v>8.1</v>
      </c>
      <c r="L599" s="61">
        <v>34.231000000000002</v>
      </c>
      <c r="M599" s="62">
        <v>5.16</v>
      </c>
      <c r="N599" s="66">
        <v>1.6E-2</v>
      </c>
      <c r="O599" s="57">
        <v>135.93199999999999</v>
      </c>
      <c r="P599" s="67">
        <v>4.8000000000000001E-2</v>
      </c>
      <c r="Q599" s="68">
        <v>4.8780000000000001</v>
      </c>
    </row>
    <row r="600" spans="1:17" ht="14.25" customHeight="1" x14ac:dyDescent="0.35">
      <c r="A600" s="1">
        <v>2023</v>
      </c>
      <c r="B600" s="1" t="s">
        <v>30</v>
      </c>
      <c r="C600" s="1">
        <v>21</v>
      </c>
      <c r="D600" s="49">
        <v>116.39100000000001</v>
      </c>
      <c r="E600" s="12">
        <f t="shared" si="5"/>
        <v>145.48875000000001</v>
      </c>
      <c r="F600" s="50">
        <v>98.343999999999994</v>
      </c>
      <c r="G600" s="60">
        <v>82.213999999999999</v>
      </c>
      <c r="H600" s="61">
        <v>1399.3869999999999</v>
      </c>
      <c r="I600" s="62">
        <v>6.8860000000000001</v>
      </c>
      <c r="J600" s="63">
        <v>3.1E-2</v>
      </c>
      <c r="K600" s="64">
        <v>7.9269999999999996</v>
      </c>
      <c r="L600" s="65">
        <v>31.007000000000001</v>
      </c>
      <c r="M600" s="50">
        <v>5.1520000000000001</v>
      </c>
      <c r="N600" s="66">
        <v>1.6E-2</v>
      </c>
      <c r="O600" s="57">
        <v>139.1</v>
      </c>
      <c r="P600" s="67">
        <v>4.5999999999999999E-2</v>
      </c>
      <c r="Q600" s="68">
        <v>7.3</v>
      </c>
    </row>
    <row r="601" spans="1:17" ht="14.25" customHeight="1" x14ac:dyDescent="0.35">
      <c r="A601" s="1">
        <v>2023</v>
      </c>
      <c r="B601" s="1" t="s">
        <v>30</v>
      </c>
      <c r="C601" s="1">
        <v>22</v>
      </c>
      <c r="D601" s="49">
        <v>124.172</v>
      </c>
      <c r="E601" s="12">
        <f t="shared" si="5"/>
        <v>155.215</v>
      </c>
      <c r="F601" s="50">
        <v>105</v>
      </c>
      <c r="G601" s="60">
        <v>83.247</v>
      </c>
      <c r="H601" s="61">
        <v>1595.454</v>
      </c>
      <c r="I601" s="62">
        <v>6.9</v>
      </c>
      <c r="J601" s="63">
        <v>0.03</v>
      </c>
      <c r="K601" s="64">
        <v>7.9059999999999997</v>
      </c>
      <c r="L601" s="61">
        <v>38.956000000000003</v>
      </c>
      <c r="M601" s="62">
        <v>5.1719999999999997</v>
      </c>
      <c r="N601" s="66">
        <v>1.6E-2</v>
      </c>
      <c r="O601" s="57">
        <v>132.19900000000001</v>
      </c>
      <c r="P601" s="67">
        <v>5.3999999999999999E-2</v>
      </c>
      <c r="Q601" s="68">
        <v>9.407</v>
      </c>
    </row>
    <row r="602" spans="1:17" ht="14.25" customHeight="1" x14ac:dyDescent="0.35">
      <c r="A602" s="1">
        <v>2023</v>
      </c>
      <c r="B602" s="1" t="s">
        <v>30</v>
      </c>
      <c r="C602" s="1">
        <v>23</v>
      </c>
      <c r="D602" s="49">
        <v>118.10899999999999</v>
      </c>
      <c r="E602" s="12">
        <f t="shared" si="5"/>
        <v>147.63624999999999</v>
      </c>
      <c r="F602" s="50">
        <v>99.531000000000006</v>
      </c>
      <c r="G602" s="60">
        <v>83.531999999999996</v>
      </c>
      <c r="H602" s="61">
        <v>1667.104</v>
      </c>
      <c r="I602" s="62">
        <v>6.9</v>
      </c>
      <c r="J602" s="63">
        <v>2.9000000000000001E-2</v>
      </c>
      <c r="K602" s="64">
        <v>7.8010000000000002</v>
      </c>
      <c r="L602" s="65">
        <v>41.654000000000003</v>
      </c>
      <c r="M602" s="50">
        <v>5.1550000000000002</v>
      </c>
      <c r="N602" s="66">
        <v>1.6E-2</v>
      </c>
      <c r="O602" s="57">
        <v>137.714</v>
      </c>
      <c r="P602" s="67">
        <v>5.7000000000000002E-2</v>
      </c>
      <c r="Q602" s="68">
        <v>8.3070000000000004</v>
      </c>
    </row>
    <row r="603" spans="1:17" ht="14.25" customHeight="1" x14ac:dyDescent="0.35">
      <c r="A603" s="1">
        <v>2023</v>
      </c>
      <c r="B603" s="1" t="s">
        <v>30</v>
      </c>
      <c r="C603" s="1">
        <v>24</v>
      </c>
      <c r="D603" s="49">
        <v>118.84399999999999</v>
      </c>
      <c r="E603" s="12">
        <f t="shared" si="5"/>
        <v>148.55500000000001</v>
      </c>
      <c r="F603" s="50">
        <v>100</v>
      </c>
      <c r="G603" s="60">
        <v>83.370999999999995</v>
      </c>
      <c r="H603" s="61">
        <v>1664.8689999999999</v>
      </c>
      <c r="I603" s="62">
        <v>6.9</v>
      </c>
      <c r="J603" s="63">
        <v>0.03</v>
      </c>
      <c r="K603" s="64">
        <v>7.7160000000000002</v>
      </c>
      <c r="L603" s="61">
        <v>41.722000000000001</v>
      </c>
      <c r="M603" s="62">
        <v>5.157</v>
      </c>
      <c r="N603" s="66">
        <v>1.6E-2</v>
      </c>
      <c r="O603" s="57">
        <v>137.011</v>
      </c>
      <c r="P603" s="67">
        <v>5.7000000000000002E-2</v>
      </c>
      <c r="Q603" s="68">
        <v>10.179</v>
      </c>
    </row>
    <row r="604" spans="1:17" ht="14.25" customHeight="1" x14ac:dyDescent="0.35">
      <c r="A604" s="1">
        <v>2023</v>
      </c>
      <c r="B604" s="1" t="s">
        <v>30</v>
      </c>
      <c r="C604" s="1">
        <v>25</v>
      </c>
      <c r="D604" s="49">
        <v>118.703</v>
      </c>
      <c r="E604" s="12">
        <f t="shared" si="5"/>
        <v>148.37875</v>
      </c>
      <c r="F604" s="50">
        <v>99.968999999999994</v>
      </c>
      <c r="G604" s="60">
        <v>83.35</v>
      </c>
      <c r="H604" s="61">
        <v>1605.279</v>
      </c>
      <c r="I604" s="62">
        <v>6.9</v>
      </c>
      <c r="J604" s="63">
        <v>3.1E-2</v>
      </c>
      <c r="K604" s="64">
        <v>7.6219999999999999</v>
      </c>
      <c r="L604" s="65">
        <v>37.319000000000003</v>
      </c>
      <c r="M604" s="50">
        <v>4.984</v>
      </c>
      <c r="N604" s="66">
        <v>1.6E-2</v>
      </c>
      <c r="O604" s="57">
        <v>210.892</v>
      </c>
      <c r="P604" s="67">
        <v>4.8000000000000001E-2</v>
      </c>
      <c r="Q604" s="68">
        <v>11.375</v>
      </c>
    </row>
    <row r="605" spans="1:17" ht="14.25" customHeight="1" x14ac:dyDescent="0.35">
      <c r="A605" s="1">
        <v>2023</v>
      </c>
      <c r="B605" s="1" t="s">
        <v>30</v>
      </c>
      <c r="C605" s="1">
        <v>26</v>
      </c>
      <c r="D605" s="49">
        <v>111.75</v>
      </c>
      <c r="E605" s="12">
        <f t="shared" si="5"/>
        <v>139.6875</v>
      </c>
      <c r="F605" s="50">
        <v>94.375</v>
      </c>
      <c r="G605" s="60">
        <v>83.483000000000004</v>
      </c>
      <c r="H605" s="61">
        <v>1559.4190000000001</v>
      </c>
      <c r="I605" s="62">
        <v>6.9</v>
      </c>
      <c r="J605" s="63">
        <v>2.9000000000000001E-2</v>
      </c>
      <c r="K605" s="64">
        <v>7.6550000000000002</v>
      </c>
      <c r="L605" s="61">
        <v>36.505000000000003</v>
      </c>
      <c r="M605" s="62">
        <v>4.8710000000000004</v>
      </c>
      <c r="N605" s="66">
        <v>1.6E-2</v>
      </c>
      <c r="O605" s="57">
        <v>265.21800000000002</v>
      </c>
      <c r="P605" s="67">
        <v>5.0999999999999997E-2</v>
      </c>
      <c r="Q605" s="68">
        <v>10.989000000000001</v>
      </c>
    </row>
    <row r="606" spans="1:17" ht="14.25" customHeight="1" x14ac:dyDescent="0.35">
      <c r="A606" s="1">
        <v>2023</v>
      </c>
      <c r="B606" s="1" t="s">
        <v>30</v>
      </c>
      <c r="C606" s="1">
        <v>27</v>
      </c>
      <c r="D606" s="12">
        <v>112.28100000000001</v>
      </c>
      <c r="E606" s="12">
        <f t="shared" si="5"/>
        <v>140.35124999999999</v>
      </c>
      <c r="F606" s="13">
        <v>95</v>
      </c>
      <c r="G606" s="60">
        <v>83.531999999999996</v>
      </c>
      <c r="H606" s="61">
        <v>1514.1510000000001</v>
      </c>
      <c r="I606" s="62">
        <v>6.9</v>
      </c>
      <c r="J606" s="63">
        <v>0.03</v>
      </c>
      <c r="K606" s="64">
        <v>7.6689999999999996</v>
      </c>
      <c r="L606" s="65">
        <v>37.103000000000002</v>
      </c>
      <c r="M606" s="50">
        <v>4.8970000000000002</v>
      </c>
      <c r="N606" s="66">
        <v>1.6E-2</v>
      </c>
      <c r="O606" s="57">
        <v>248.988</v>
      </c>
      <c r="P606" s="67">
        <v>5.1999999999999998E-2</v>
      </c>
      <c r="Q606" s="68">
        <v>11.266999999999999</v>
      </c>
    </row>
    <row r="607" spans="1:17" ht="14.25" customHeight="1" x14ac:dyDescent="0.35">
      <c r="A607" s="1">
        <v>2023</v>
      </c>
      <c r="B607" s="1" t="s">
        <v>30</v>
      </c>
      <c r="C607" s="1">
        <v>28</v>
      </c>
      <c r="D607" s="12">
        <v>30.765999999999998</v>
      </c>
      <c r="E607" s="12">
        <f t="shared" si="5"/>
        <v>38.457499999999996</v>
      </c>
      <c r="F607" s="13">
        <v>26.030999999999999</v>
      </c>
      <c r="G607" s="60">
        <v>83.808000000000007</v>
      </c>
      <c r="H607" s="61">
        <v>1514.652</v>
      </c>
      <c r="I607" s="62">
        <v>6.899</v>
      </c>
      <c r="J607" s="63">
        <v>2.8000000000000001E-2</v>
      </c>
      <c r="K607" s="64">
        <v>7.8259999999999996</v>
      </c>
      <c r="L607" s="61">
        <v>29.952999999999999</v>
      </c>
      <c r="M607" s="62">
        <v>4.875</v>
      </c>
      <c r="N607" s="66">
        <v>1.6E-2</v>
      </c>
      <c r="O607" s="57">
        <v>262.89499999999998</v>
      </c>
      <c r="P607" s="67">
        <v>6.8000000000000005E-2</v>
      </c>
      <c r="Q607" s="68">
        <v>7.8890000000000002</v>
      </c>
    </row>
    <row r="608" spans="1:17" ht="14.25" customHeight="1" x14ac:dyDescent="0.35">
      <c r="A608" s="1">
        <v>2023</v>
      </c>
      <c r="B608" s="1" t="s">
        <v>30</v>
      </c>
      <c r="C608" s="1">
        <v>29</v>
      </c>
      <c r="D608" s="12">
        <v>6.109</v>
      </c>
      <c r="E608" s="12">
        <f t="shared" si="5"/>
        <v>7.6362500000000004</v>
      </c>
      <c r="F608" s="13">
        <v>5.2190000000000003</v>
      </c>
      <c r="G608" s="83">
        <v>83.61</v>
      </c>
      <c r="H608" s="69">
        <v>1550.5719999999999</v>
      </c>
      <c r="I608" s="50">
        <v>6.9290000000000003</v>
      </c>
      <c r="J608" s="66">
        <v>2.7E-2</v>
      </c>
      <c r="K608" s="50">
        <v>7.5819999999999999</v>
      </c>
      <c r="L608" s="61">
        <v>36.455199999999998</v>
      </c>
      <c r="M608" s="62">
        <v>4.9305000000000003</v>
      </c>
      <c r="N608" s="66">
        <v>1.6E-2</v>
      </c>
      <c r="O608" s="57">
        <v>235.52950000000001</v>
      </c>
      <c r="P608" s="84">
        <v>2.47E-2</v>
      </c>
      <c r="Q608" s="71">
        <v>7.4180000000000001</v>
      </c>
    </row>
    <row r="609" spans="1:17" ht="14.25" customHeight="1" x14ac:dyDescent="0.35">
      <c r="A609" s="1">
        <v>2023</v>
      </c>
      <c r="B609" s="1" t="s">
        <v>30</v>
      </c>
      <c r="C609" s="1">
        <v>30</v>
      </c>
      <c r="D609" s="12">
        <v>9.4220000000000006</v>
      </c>
      <c r="E609" s="12">
        <f t="shared" si="5"/>
        <v>11.7775</v>
      </c>
      <c r="F609" s="13">
        <v>7.9059999999999997</v>
      </c>
      <c r="G609" s="83">
        <v>83.141999999999996</v>
      </c>
      <c r="H609" s="69">
        <v>1790.0640000000001</v>
      </c>
      <c r="I609" s="50">
        <v>6.9219999999999997</v>
      </c>
      <c r="J609" s="66">
        <v>3.4000000000000002E-2</v>
      </c>
      <c r="K609" s="50">
        <v>7.5140000000000002</v>
      </c>
      <c r="L609" s="61">
        <v>68.622</v>
      </c>
      <c r="M609" s="62">
        <v>5.0119999999999996</v>
      </c>
      <c r="N609" s="66">
        <v>9.8000000000000004E-2</v>
      </c>
      <c r="O609" s="57">
        <v>325</v>
      </c>
      <c r="P609" s="84">
        <v>8.2000000000000003E-2</v>
      </c>
      <c r="Q609" s="71">
        <v>7.1440000000000001</v>
      </c>
    </row>
    <row r="610" spans="1:17" ht="14.25" customHeight="1" x14ac:dyDescent="0.35">
      <c r="A610" s="1">
        <v>2023</v>
      </c>
      <c r="B610" s="1" t="s">
        <v>30</v>
      </c>
      <c r="C610" s="1">
        <v>31</v>
      </c>
      <c r="D610" s="85">
        <v>111.875</v>
      </c>
      <c r="E610" s="12">
        <f t="shared" si="5"/>
        <v>139.84375</v>
      </c>
      <c r="F610" s="86">
        <v>94.593999999999994</v>
      </c>
      <c r="G610" s="87">
        <v>83.917000000000002</v>
      </c>
      <c r="H610" s="88">
        <v>1624.6880000000001</v>
      </c>
      <c r="I610" s="89">
        <v>6.9</v>
      </c>
      <c r="J610" s="90">
        <v>0.03</v>
      </c>
      <c r="K610" s="89">
        <v>7.9560000000000004</v>
      </c>
      <c r="L610" s="61">
        <v>37.878</v>
      </c>
      <c r="M610" s="64">
        <v>4.9009999999999998</v>
      </c>
      <c r="N610" s="66">
        <v>1.7000000000000001E-2</v>
      </c>
      <c r="O610" s="57">
        <v>247.583</v>
      </c>
      <c r="P610" s="66">
        <v>5.8999999999999997E-2</v>
      </c>
      <c r="Q610" s="91">
        <v>7.7910000000000004</v>
      </c>
    </row>
    <row r="611" spans="1:17" ht="14.25" customHeight="1" x14ac:dyDescent="0.35">
      <c r="A611" s="1">
        <v>2023</v>
      </c>
      <c r="B611" s="1" t="s">
        <v>31</v>
      </c>
      <c r="C611" s="1">
        <v>1</v>
      </c>
      <c r="D611" s="49">
        <v>113.703</v>
      </c>
      <c r="E611" s="12">
        <f t="shared" si="5"/>
        <v>142.12875</v>
      </c>
      <c r="F611" s="50">
        <v>95.938000000000002</v>
      </c>
      <c r="G611" s="51">
        <v>83.912999999999997</v>
      </c>
      <c r="H611" s="52">
        <v>1629.941</v>
      </c>
      <c r="I611" s="53">
        <v>6.9</v>
      </c>
      <c r="J611" s="54">
        <v>0.03</v>
      </c>
      <c r="K611" s="55">
        <v>7.8929999999999998</v>
      </c>
      <c r="L611" s="52">
        <v>30.940999999999999</v>
      </c>
      <c r="M611" s="55">
        <v>4.9240000000000004</v>
      </c>
      <c r="N611" s="56">
        <v>1.6E-2</v>
      </c>
      <c r="O611" s="57">
        <v>240.31899999999999</v>
      </c>
      <c r="P611" s="58">
        <v>5.1999999999999998E-2</v>
      </c>
      <c r="Q611" s="59">
        <v>7.4480000000000004</v>
      </c>
    </row>
    <row r="612" spans="1:17" ht="14.25" customHeight="1" x14ac:dyDescent="0.35">
      <c r="A612" s="1">
        <v>2023</v>
      </c>
      <c r="B612" s="1" t="s">
        <v>31</v>
      </c>
      <c r="C612" s="1">
        <v>2</v>
      </c>
      <c r="D612" s="49">
        <v>112.563</v>
      </c>
      <c r="E612" s="12">
        <f t="shared" si="5"/>
        <v>140.70375000000001</v>
      </c>
      <c r="F612" s="50">
        <v>94.968999999999994</v>
      </c>
      <c r="G612" s="60">
        <v>83.733999999999995</v>
      </c>
      <c r="H612" s="61">
        <v>1600.13</v>
      </c>
      <c r="I612" s="62">
        <v>6.9</v>
      </c>
      <c r="J612" s="63">
        <v>0.03</v>
      </c>
      <c r="K612" s="64">
        <v>7.9130000000000003</v>
      </c>
      <c r="L612" s="65">
        <v>34.765999999999998</v>
      </c>
      <c r="M612" s="50">
        <v>4.8780000000000001</v>
      </c>
      <c r="N612" s="66">
        <v>1.6E-2</v>
      </c>
      <c r="O612" s="57">
        <v>261.709</v>
      </c>
      <c r="P612" s="67">
        <v>5.1999999999999998E-2</v>
      </c>
      <c r="Q612" s="68">
        <v>6.67</v>
      </c>
    </row>
    <row r="613" spans="1:17" ht="14.25" customHeight="1" x14ac:dyDescent="0.35">
      <c r="A613" s="1">
        <v>2023</v>
      </c>
      <c r="B613" s="1" t="s">
        <v>31</v>
      </c>
      <c r="C613" s="1">
        <v>3</v>
      </c>
      <c r="D613" s="49">
        <v>111.375</v>
      </c>
      <c r="E613" s="12">
        <f t="shared" si="5"/>
        <v>139.21875</v>
      </c>
      <c r="F613" s="50">
        <v>94.156000000000006</v>
      </c>
      <c r="G613" s="60">
        <v>83.837000000000003</v>
      </c>
      <c r="H613" s="61">
        <v>1538.7380000000001</v>
      </c>
      <c r="I613" s="62">
        <v>6.9</v>
      </c>
      <c r="J613" s="63">
        <v>0.03</v>
      </c>
      <c r="K613" s="64">
        <v>7.7290000000000001</v>
      </c>
      <c r="L613" s="65">
        <v>37.607999999999997</v>
      </c>
      <c r="M613" s="50">
        <v>4.9039999999999999</v>
      </c>
      <c r="N613" s="66">
        <v>1.6E-2</v>
      </c>
      <c r="O613" s="57">
        <v>245.37899999999999</v>
      </c>
      <c r="P613" s="67">
        <v>5.2999999999999999E-2</v>
      </c>
      <c r="Q613" s="68">
        <v>8.6199999999999992</v>
      </c>
    </row>
    <row r="614" spans="1:17" ht="14.25" customHeight="1" x14ac:dyDescent="0.35">
      <c r="A614" s="1">
        <v>2023</v>
      </c>
      <c r="B614" s="1" t="s">
        <v>31</v>
      </c>
      <c r="C614" s="1">
        <v>4</v>
      </c>
      <c r="D614" s="49">
        <v>107.625</v>
      </c>
      <c r="E614" s="12">
        <f t="shared" si="5"/>
        <v>134.53125</v>
      </c>
      <c r="F614" s="50">
        <v>91.063000000000002</v>
      </c>
      <c r="G614" s="60">
        <v>83.650999999999996</v>
      </c>
      <c r="H614" s="61">
        <v>1545.12</v>
      </c>
      <c r="I614" s="62">
        <v>6.9</v>
      </c>
      <c r="J614" s="63">
        <v>0.03</v>
      </c>
      <c r="K614" s="64">
        <v>8.0399999999999991</v>
      </c>
      <c r="L614" s="65">
        <v>34.524999999999999</v>
      </c>
      <c r="M614" s="50">
        <v>4.8860000000000001</v>
      </c>
      <c r="N614" s="66">
        <v>1.6E-2</v>
      </c>
      <c r="O614" s="57">
        <v>256.01799999999997</v>
      </c>
      <c r="P614" s="67">
        <v>4.9000000000000002E-2</v>
      </c>
      <c r="Q614" s="68">
        <v>10.532</v>
      </c>
    </row>
    <row r="615" spans="1:17" ht="14.25" customHeight="1" x14ac:dyDescent="0.35">
      <c r="A615" s="1">
        <v>2023</v>
      </c>
      <c r="B615" s="1" t="s">
        <v>31</v>
      </c>
      <c r="C615" s="1">
        <v>5</v>
      </c>
      <c r="D615" s="49">
        <v>112.26600000000001</v>
      </c>
      <c r="E615" s="12">
        <f t="shared" si="5"/>
        <v>140.33250000000001</v>
      </c>
      <c r="F615" s="50">
        <v>94.968999999999994</v>
      </c>
      <c r="G615" s="60">
        <v>83.221000000000004</v>
      </c>
      <c r="H615" s="61">
        <v>1540.931</v>
      </c>
      <c r="I615" s="62">
        <v>6.9</v>
      </c>
      <c r="J615" s="63">
        <v>0.03</v>
      </c>
      <c r="K615" s="64">
        <v>8.1649999999999991</v>
      </c>
      <c r="L615" s="65">
        <v>32.331000000000003</v>
      </c>
      <c r="M615" s="50">
        <v>4.8710000000000004</v>
      </c>
      <c r="N615" s="66">
        <v>1.6E-2</v>
      </c>
      <c r="O615" s="57">
        <v>265.63499999999999</v>
      </c>
      <c r="P615" s="67">
        <v>0.05</v>
      </c>
      <c r="Q615" s="68">
        <v>10</v>
      </c>
    </row>
    <row r="616" spans="1:17" ht="14.25" customHeight="1" x14ac:dyDescent="0.35">
      <c r="A616" s="1">
        <v>2023</v>
      </c>
      <c r="B616" s="1" t="s">
        <v>31</v>
      </c>
      <c r="C616" s="1">
        <v>6</v>
      </c>
      <c r="D616" s="49">
        <v>114.26600000000001</v>
      </c>
      <c r="E616" s="12">
        <f t="shared" si="5"/>
        <v>142.83250000000001</v>
      </c>
      <c r="F616" s="50">
        <v>96.688000000000002</v>
      </c>
      <c r="G616" s="60">
        <v>83.557000000000002</v>
      </c>
      <c r="H616" s="61">
        <v>1613.43</v>
      </c>
      <c r="I616" s="62">
        <v>6.9</v>
      </c>
      <c r="J616" s="63">
        <v>3.1E-2</v>
      </c>
      <c r="K616" s="64">
        <v>8.07</v>
      </c>
      <c r="L616" s="65">
        <v>36.816000000000003</v>
      </c>
      <c r="M616" s="50">
        <v>4.907</v>
      </c>
      <c r="N616" s="66">
        <v>1.6E-2</v>
      </c>
      <c r="O616" s="57">
        <v>243.709</v>
      </c>
      <c r="P616" s="67">
        <v>6.3E-2</v>
      </c>
      <c r="Q616" s="68">
        <v>9.2370000000000001</v>
      </c>
    </row>
    <row r="617" spans="1:17" ht="14.25" customHeight="1" x14ac:dyDescent="0.35">
      <c r="A617" s="1">
        <v>2023</v>
      </c>
      <c r="B617" s="1" t="s">
        <v>31</v>
      </c>
      <c r="C617" s="1">
        <v>7</v>
      </c>
      <c r="D617" s="49">
        <v>112.328</v>
      </c>
      <c r="E617" s="12">
        <f t="shared" si="5"/>
        <v>140.41</v>
      </c>
      <c r="F617" s="50">
        <v>95.031000000000006</v>
      </c>
      <c r="G617" s="60">
        <v>83.775000000000006</v>
      </c>
      <c r="H617" s="61">
        <v>1635.5260000000001</v>
      </c>
      <c r="I617" s="62">
        <v>6.9</v>
      </c>
      <c r="J617" s="63">
        <v>3.1E-2</v>
      </c>
      <c r="K617" s="64">
        <v>7.81</v>
      </c>
      <c r="L617" s="65">
        <v>37.823999999999998</v>
      </c>
      <c r="M617" s="50">
        <v>4.8970000000000002</v>
      </c>
      <c r="N617" s="66">
        <v>1.6E-2</v>
      </c>
      <c r="O617" s="57">
        <v>249.72200000000001</v>
      </c>
      <c r="P617" s="67">
        <v>6.0999999999999999E-2</v>
      </c>
      <c r="Q617" s="68">
        <v>5.9409999999999998</v>
      </c>
    </row>
    <row r="618" spans="1:17" ht="14.25" customHeight="1" x14ac:dyDescent="0.35">
      <c r="A618" s="1">
        <v>2023</v>
      </c>
      <c r="B618" s="1" t="s">
        <v>31</v>
      </c>
      <c r="C618" s="1">
        <v>8</v>
      </c>
      <c r="D618" s="49">
        <v>112.23399999999999</v>
      </c>
      <c r="E618" s="12">
        <f t="shared" si="5"/>
        <v>140.29249999999999</v>
      </c>
      <c r="F618" s="50">
        <v>94.938000000000002</v>
      </c>
      <c r="G618" s="60">
        <v>84.201999999999998</v>
      </c>
      <c r="H618" s="69">
        <v>1641.41</v>
      </c>
      <c r="I618" s="62">
        <v>6.9</v>
      </c>
      <c r="J618" s="63">
        <v>2.9000000000000001E-2</v>
      </c>
      <c r="K618" s="50">
        <v>7.6680000000000001</v>
      </c>
      <c r="L618" s="65">
        <v>35.572000000000003</v>
      </c>
      <c r="M618" s="50">
        <v>4.9560000000000004</v>
      </c>
      <c r="N618" s="66">
        <v>1.7000000000000001E-2</v>
      </c>
      <c r="O618" s="57">
        <v>227.87700000000001</v>
      </c>
      <c r="P618" s="70">
        <v>5.8000000000000003E-2</v>
      </c>
      <c r="Q618" s="71">
        <v>2.04</v>
      </c>
    </row>
    <row r="619" spans="1:17" ht="14.25" customHeight="1" x14ac:dyDescent="0.35">
      <c r="A619" s="1">
        <v>2023</v>
      </c>
      <c r="B619" s="1" t="s">
        <v>31</v>
      </c>
      <c r="C619" s="1">
        <v>9</v>
      </c>
      <c r="D619" s="49">
        <v>109.313</v>
      </c>
      <c r="E619" s="12">
        <f t="shared" si="5"/>
        <v>136.64125000000001</v>
      </c>
      <c r="F619" s="50">
        <v>92.593999999999994</v>
      </c>
      <c r="G619" s="60">
        <v>84.247</v>
      </c>
      <c r="H619" s="61">
        <v>1628.856</v>
      </c>
      <c r="I619" s="62">
        <v>6.9</v>
      </c>
      <c r="J619" s="63">
        <v>0.03</v>
      </c>
      <c r="K619" s="64">
        <v>7.476</v>
      </c>
      <c r="L619" s="65">
        <v>34.201000000000001</v>
      </c>
      <c r="M619" s="50">
        <v>5.1139999999999999</v>
      </c>
      <c r="N619" s="66">
        <v>1.9E-2</v>
      </c>
      <c r="O619" s="57">
        <v>151.55699999999999</v>
      </c>
      <c r="P619" s="67">
        <v>5.8000000000000003E-2</v>
      </c>
      <c r="Q619" s="68">
        <v>2.4900000000000002</v>
      </c>
    </row>
    <row r="620" spans="1:17" ht="14.25" customHeight="1" x14ac:dyDescent="0.35">
      <c r="A620" s="1">
        <v>2023</v>
      </c>
      <c r="B620" s="1" t="s">
        <v>31</v>
      </c>
      <c r="C620" s="1">
        <v>10</v>
      </c>
      <c r="D620" s="49">
        <v>112.203</v>
      </c>
      <c r="E620" s="12">
        <f t="shared" si="5"/>
        <v>140.25375</v>
      </c>
      <c r="F620" s="50">
        <v>94.968999999999994</v>
      </c>
      <c r="G620" s="72">
        <v>84.082999999999998</v>
      </c>
      <c r="H620" s="61">
        <v>1585.116</v>
      </c>
      <c r="I620" s="62">
        <v>6.9</v>
      </c>
      <c r="J620" s="63">
        <v>2.9000000000000001E-2</v>
      </c>
      <c r="K620" s="73">
        <v>7.34</v>
      </c>
      <c r="L620" s="65">
        <v>35.429000000000002</v>
      </c>
      <c r="M620" s="50">
        <v>5.12</v>
      </c>
      <c r="N620" s="74">
        <v>1.7000000000000001E-2</v>
      </c>
      <c r="O620" s="57">
        <v>149.42099999999999</v>
      </c>
      <c r="P620" s="75">
        <v>5.7000000000000002E-2</v>
      </c>
      <c r="Q620" s="76">
        <v>2.9409999999999998</v>
      </c>
    </row>
    <row r="621" spans="1:17" ht="14.25" customHeight="1" x14ac:dyDescent="0.35">
      <c r="A621" s="1">
        <v>2023</v>
      </c>
      <c r="B621" s="1" t="s">
        <v>31</v>
      </c>
      <c r="C621" s="1">
        <v>11</v>
      </c>
      <c r="D621" s="49">
        <v>112.48399999999999</v>
      </c>
      <c r="E621" s="12">
        <f t="shared" si="5"/>
        <v>140.60499999999999</v>
      </c>
      <c r="F621" s="50">
        <v>95</v>
      </c>
      <c r="G621" s="72">
        <v>84.057000000000002</v>
      </c>
      <c r="H621" s="61">
        <v>1547.0920000000001</v>
      </c>
      <c r="I621" s="62">
        <v>6.9</v>
      </c>
      <c r="J621" s="63">
        <v>0.03</v>
      </c>
      <c r="K621" s="77">
        <v>7.52</v>
      </c>
      <c r="L621" s="65">
        <v>34.194000000000003</v>
      </c>
      <c r="M621" s="50">
        <v>5.1360000000000001</v>
      </c>
      <c r="N621" s="74">
        <v>1.7000000000000001E-2</v>
      </c>
      <c r="O621" s="57">
        <v>144.09800000000001</v>
      </c>
      <c r="P621" s="75">
        <v>5.1999999999999998E-2</v>
      </c>
      <c r="Q621" s="76">
        <v>2.5030000000000001</v>
      </c>
    </row>
    <row r="622" spans="1:17" ht="14.25" customHeight="1" x14ac:dyDescent="0.35">
      <c r="A622" s="1">
        <v>2023</v>
      </c>
      <c r="B622" s="1" t="s">
        <v>31</v>
      </c>
      <c r="C622" s="1">
        <v>12</v>
      </c>
      <c r="D622" s="49">
        <v>106.96899999999999</v>
      </c>
      <c r="E622" s="12">
        <f t="shared" si="5"/>
        <v>133.71125000000001</v>
      </c>
      <c r="F622" s="50">
        <v>90.313000000000002</v>
      </c>
      <c r="G622" s="72">
        <v>83.956000000000003</v>
      </c>
      <c r="H622" s="61">
        <v>1608.848</v>
      </c>
      <c r="I622" s="62">
        <v>6.9</v>
      </c>
      <c r="J622" s="63">
        <v>0.03</v>
      </c>
      <c r="K622" s="73">
        <v>7.64</v>
      </c>
      <c r="L622" s="65">
        <v>35.277000000000001</v>
      </c>
      <c r="M622" s="50">
        <v>5.125</v>
      </c>
      <c r="N622" s="74">
        <v>1.6E-2</v>
      </c>
      <c r="O622" s="57">
        <v>147.39099999999999</v>
      </c>
      <c r="P622" s="75">
        <v>6.0999999999999999E-2</v>
      </c>
      <c r="Q622" s="76">
        <v>2.573</v>
      </c>
    </row>
    <row r="623" spans="1:17" ht="14.25" customHeight="1" x14ac:dyDescent="0.35">
      <c r="A623" s="1">
        <v>2023</v>
      </c>
      <c r="B623" s="1" t="s">
        <v>31</v>
      </c>
      <c r="C623" s="1">
        <v>13</v>
      </c>
      <c r="D623" s="49">
        <v>115.672</v>
      </c>
      <c r="E623" s="12">
        <f t="shared" si="5"/>
        <v>144.59</v>
      </c>
      <c r="F623" s="50">
        <v>97.656000000000006</v>
      </c>
      <c r="G623" s="78">
        <v>83.662000000000006</v>
      </c>
      <c r="H623" s="61">
        <v>1629.9580000000001</v>
      </c>
      <c r="I623" s="62">
        <v>6.9</v>
      </c>
      <c r="J623" s="63">
        <v>3.1E-2</v>
      </c>
      <c r="K623" s="79">
        <v>7.4249999999999998</v>
      </c>
      <c r="L623" s="65">
        <v>36.591000000000001</v>
      </c>
      <c r="M623" s="50">
        <v>5.1319999999999997</v>
      </c>
      <c r="N623" s="66">
        <v>1.6E-2</v>
      </c>
      <c r="O623" s="57">
        <v>145.23099999999999</v>
      </c>
      <c r="P623" s="80">
        <v>5.8000000000000003E-2</v>
      </c>
      <c r="Q623" s="81">
        <v>3.948</v>
      </c>
    </row>
    <row r="624" spans="1:17" ht="14.25" customHeight="1" x14ac:dyDescent="0.35">
      <c r="A624" s="1">
        <v>2023</v>
      </c>
      <c r="B624" s="1" t="s">
        <v>31</v>
      </c>
      <c r="C624" s="1">
        <v>14</v>
      </c>
      <c r="D624" s="49">
        <v>114.813</v>
      </c>
      <c r="E624" s="12">
        <f t="shared" si="5"/>
        <v>143.51625000000001</v>
      </c>
      <c r="F624" s="50">
        <v>97.093999999999994</v>
      </c>
      <c r="G624" s="60">
        <v>83.591999999999999</v>
      </c>
      <c r="H624" s="61">
        <v>1654.8130000000001</v>
      </c>
      <c r="I624" s="62">
        <v>6.9</v>
      </c>
      <c r="J624" s="63">
        <v>3.1E-2</v>
      </c>
      <c r="K624" s="79">
        <v>7.4219999999999997</v>
      </c>
      <c r="L624" s="82">
        <v>36.814999999999998</v>
      </c>
      <c r="M624" s="50">
        <v>5.1349999999999998</v>
      </c>
      <c r="N624" s="66">
        <v>1.6E-2</v>
      </c>
      <c r="O624" s="57">
        <v>144.61000000000001</v>
      </c>
      <c r="P624" s="80">
        <v>5.7000000000000002E-2</v>
      </c>
      <c r="Q624" s="81">
        <v>3.8</v>
      </c>
    </row>
    <row r="625" spans="1:17" ht="14.25" customHeight="1" x14ac:dyDescent="0.35">
      <c r="A625" s="1">
        <v>2023</v>
      </c>
      <c r="B625" s="1" t="s">
        <v>31</v>
      </c>
      <c r="C625" s="1">
        <v>15</v>
      </c>
      <c r="D625" s="49">
        <v>107.90600000000001</v>
      </c>
      <c r="E625" s="12">
        <f t="shared" si="5"/>
        <v>134.88249999999999</v>
      </c>
      <c r="F625" s="50">
        <v>91.063000000000002</v>
      </c>
      <c r="G625" s="60">
        <v>83.591999999999999</v>
      </c>
      <c r="H625" s="61">
        <v>1633.2280000000001</v>
      </c>
      <c r="I625" s="62">
        <v>6.9</v>
      </c>
      <c r="J625" s="63">
        <v>0.03</v>
      </c>
      <c r="K625" s="73">
        <v>7.2809999999999997</v>
      </c>
      <c r="L625" s="65">
        <v>34.683999999999997</v>
      </c>
      <c r="M625" s="50">
        <v>5.1890000000000001</v>
      </c>
      <c r="N625" s="66">
        <v>1.6E-2</v>
      </c>
      <c r="O625" s="57">
        <v>135.40299999999999</v>
      </c>
      <c r="P625" s="75">
        <v>5.8999999999999997E-2</v>
      </c>
      <c r="Q625" s="76">
        <v>3.867</v>
      </c>
    </row>
    <row r="626" spans="1:17" ht="14.25" customHeight="1" x14ac:dyDescent="0.35">
      <c r="A626" s="1">
        <v>2023</v>
      </c>
      <c r="B626" s="1" t="s">
        <v>31</v>
      </c>
      <c r="C626" s="1">
        <v>16</v>
      </c>
      <c r="D626" s="49">
        <v>112.422</v>
      </c>
      <c r="E626" s="12">
        <f t="shared" si="5"/>
        <v>140.5275</v>
      </c>
      <c r="F626" s="50">
        <v>95.031000000000006</v>
      </c>
      <c r="G626" s="60">
        <v>82.998999999999995</v>
      </c>
      <c r="H626" s="61">
        <v>1619.22</v>
      </c>
      <c r="I626" s="62">
        <v>6.9</v>
      </c>
      <c r="J626" s="63">
        <v>0.03</v>
      </c>
      <c r="K626" s="79">
        <v>7.2690000000000001</v>
      </c>
      <c r="L626" s="61">
        <v>30.608000000000001</v>
      </c>
      <c r="M626" s="62">
        <v>5.3090000000000002</v>
      </c>
      <c r="N626" s="66">
        <v>1.6E-2</v>
      </c>
      <c r="O626" s="57">
        <v>96.448999999999998</v>
      </c>
      <c r="P626" s="80">
        <v>5.1999999999999998E-2</v>
      </c>
      <c r="Q626" s="81">
        <v>6.431</v>
      </c>
    </row>
    <row r="627" spans="1:17" ht="14.25" customHeight="1" x14ac:dyDescent="0.35">
      <c r="A627" s="1">
        <v>2023</v>
      </c>
      <c r="B627" s="1" t="s">
        <v>31</v>
      </c>
      <c r="C627" s="1">
        <v>17</v>
      </c>
      <c r="D627" s="49">
        <v>111.64100000000001</v>
      </c>
      <c r="E627" s="12">
        <f t="shared" si="5"/>
        <v>139.55125000000001</v>
      </c>
      <c r="F627" s="50">
        <v>94.438000000000002</v>
      </c>
      <c r="G627" s="60">
        <v>83.037000000000006</v>
      </c>
      <c r="H627" s="61">
        <v>1583.4960000000001</v>
      </c>
      <c r="I627" s="62">
        <v>6.9</v>
      </c>
      <c r="J627" s="63">
        <v>2.9000000000000001E-2</v>
      </c>
      <c r="K627" s="64">
        <v>7.165</v>
      </c>
      <c r="L627" s="65">
        <v>31.277000000000001</v>
      </c>
      <c r="M627" s="50">
        <v>5.319</v>
      </c>
      <c r="N627" s="66">
        <v>1.6E-2</v>
      </c>
      <c r="O627" s="57">
        <v>94.816000000000003</v>
      </c>
      <c r="P627" s="67">
        <v>5.2999999999999999E-2</v>
      </c>
      <c r="Q627" s="68">
        <v>6.8639999999999999</v>
      </c>
    </row>
    <row r="628" spans="1:17" ht="14.25" customHeight="1" x14ac:dyDescent="0.35">
      <c r="A628" s="1">
        <v>2023</v>
      </c>
      <c r="B628" s="1" t="s">
        <v>31</v>
      </c>
      <c r="C628" s="1">
        <v>18</v>
      </c>
      <c r="D628" s="49">
        <v>112.35899999999999</v>
      </c>
      <c r="E628" s="12">
        <f t="shared" si="5"/>
        <v>140.44874999999999</v>
      </c>
      <c r="F628" s="50">
        <v>95</v>
      </c>
      <c r="G628" s="60">
        <v>83.259</v>
      </c>
      <c r="H628" s="61">
        <v>1562.569</v>
      </c>
      <c r="I628" s="62">
        <v>6.9</v>
      </c>
      <c r="J628" s="63">
        <v>2.9000000000000001E-2</v>
      </c>
      <c r="K628" s="64">
        <v>7.2910000000000004</v>
      </c>
      <c r="L628" s="61">
        <v>31.452000000000002</v>
      </c>
      <c r="M628" s="62">
        <v>5.3380000000000001</v>
      </c>
      <c r="N628" s="66">
        <v>1.6E-2</v>
      </c>
      <c r="O628" s="57">
        <v>90.251999999999995</v>
      </c>
      <c r="P628" s="67">
        <v>5.0999999999999997E-2</v>
      </c>
      <c r="Q628" s="68">
        <v>4.9390000000000001</v>
      </c>
    </row>
    <row r="629" spans="1:17" ht="14.25" customHeight="1" x14ac:dyDescent="0.35">
      <c r="A629" s="1">
        <v>2023</v>
      </c>
      <c r="B629" s="1" t="s">
        <v>31</v>
      </c>
      <c r="C629" s="1">
        <v>19</v>
      </c>
      <c r="D629" s="49">
        <v>112.375</v>
      </c>
      <c r="E629" s="12">
        <f t="shared" si="5"/>
        <v>140.46875</v>
      </c>
      <c r="F629" s="50">
        <v>94.968999999999994</v>
      </c>
      <c r="G629" s="60">
        <v>82.995000000000005</v>
      </c>
      <c r="H629" s="61">
        <v>1606.1990000000001</v>
      </c>
      <c r="I629" s="62">
        <v>6.9</v>
      </c>
      <c r="J629" s="63">
        <v>2.9000000000000001E-2</v>
      </c>
      <c r="K629" s="64">
        <v>7.5750000000000002</v>
      </c>
      <c r="L629" s="65">
        <v>32.204999999999998</v>
      </c>
      <c r="M629" s="50">
        <v>5.3289999999999997</v>
      </c>
      <c r="N629" s="66">
        <v>1.6E-2</v>
      </c>
      <c r="O629" s="57">
        <v>92.334999999999994</v>
      </c>
      <c r="P629" s="67">
        <v>5.7000000000000002E-2</v>
      </c>
      <c r="Q629" s="68">
        <v>4.2770000000000001</v>
      </c>
    </row>
    <row r="630" spans="1:17" ht="14.25" customHeight="1" x14ac:dyDescent="0.35">
      <c r="A630" s="1">
        <v>2023</v>
      </c>
      <c r="B630" s="1" t="s">
        <v>31</v>
      </c>
      <c r="C630" s="1">
        <v>20</v>
      </c>
      <c r="D630" s="49">
        <v>113.078</v>
      </c>
      <c r="E630" s="12">
        <f t="shared" si="5"/>
        <v>141.3475</v>
      </c>
      <c r="F630" s="50">
        <v>95.593999999999994</v>
      </c>
      <c r="G630" s="60">
        <v>83.138999999999996</v>
      </c>
      <c r="H630" s="61">
        <v>1623.146</v>
      </c>
      <c r="I630" s="62">
        <v>6.9</v>
      </c>
      <c r="J630" s="63">
        <v>2.9000000000000001E-2</v>
      </c>
      <c r="K630" s="64">
        <v>7.7240000000000002</v>
      </c>
      <c r="L630" s="61">
        <v>33.134999999999998</v>
      </c>
      <c r="M630" s="62">
        <v>5.3380000000000001</v>
      </c>
      <c r="N630" s="66">
        <v>1.6E-2</v>
      </c>
      <c r="O630" s="57">
        <v>90.563000000000002</v>
      </c>
      <c r="P630" s="67">
        <v>5.3999999999999999E-2</v>
      </c>
      <c r="Q630" s="68">
        <v>4.298</v>
      </c>
    </row>
    <row r="631" spans="1:17" ht="14.25" customHeight="1" x14ac:dyDescent="0.35">
      <c r="A631" s="1">
        <v>2023</v>
      </c>
      <c r="B631" s="1" t="s">
        <v>31</v>
      </c>
      <c r="C631" s="1">
        <v>21</v>
      </c>
      <c r="D631" s="49">
        <v>112.313</v>
      </c>
      <c r="E631" s="12">
        <f t="shared" si="5"/>
        <v>140.39125000000001</v>
      </c>
      <c r="F631" s="50">
        <v>95</v>
      </c>
      <c r="G631" s="60">
        <v>82.870999999999995</v>
      </c>
      <c r="H631" s="61">
        <v>1629.7719999999999</v>
      </c>
      <c r="I631" s="62">
        <v>6.9</v>
      </c>
      <c r="J631" s="63">
        <v>2.9000000000000001E-2</v>
      </c>
      <c r="K631" s="64">
        <v>7.6379999999999999</v>
      </c>
      <c r="L631" s="65">
        <v>35.546999999999997</v>
      </c>
      <c r="M631" s="50">
        <v>5.3440000000000003</v>
      </c>
      <c r="N631" s="66">
        <v>1.6E-2</v>
      </c>
      <c r="O631" s="57">
        <v>89.238</v>
      </c>
      <c r="P631" s="67">
        <v>5.2999999999999999E-2</v>
      </c>
      <c r="Q631" s="68">
        <v>4.3659999999999997</v>
      </c>
    </row>
    <row r="632" spans="1:17" ht="14.25" customHeight="1" x14ac:dyDescent="0.35">
      <c r="A632" s="1">
        <v>2023</v>
      </c>
      <c r="B632" s="1" t="s">
        <v>31</v>
      </c>
      <c r="C632" s="1">
        <v>22</v>
      </c>
      <c r="D632" s="49">
        <v>113.71899999999999</v>
      </c>
      <c r="E632" s="12">
        <f t="shared" si="5"/>
        <v>142.14875000000001</v>
      </c>
      <c r="F632" s="50">
        <v>95.938000000000002</v>
      </c>
      <c r="G632" s="60">
        <v>82.784000000000006</v>
      </c>
      <c r="H632" s="61">
        <v>1646.2139999999999</v>
      </c>
      <c r="I632" s="62">
        <v>6.9</v>
      </c>
      <c r="J632" s="63">
        <v>2.8000000000000001E-2</v>
      </c>
      <c r="K632" s="64">
        <v>7.55</v>
      </c>
      <c r="L632" s="61">
        <v>34.646000000000001</v>
      </c>
      <c r="M632" s="62">
        <v>5.335</v>
      </c>
      <c r="N632" s="66">
        <v>1.6E-2</v>
      </c>
      <c r="O632" s="57">
        <v>90.93</v>
      </c>
      <c r="P632" s="67">
        <v>5.3999999999999999E-2</v>
      </c>
      <c r="Q632" s="68">
        <v>3</v>
      </c>
    </row>
    <row r="633" spans="1:17" ht="14.25" customHeight="1" x14ac:dyDescent="0.35">
      <c r="A633" s="1">
        <v>2023</v>
      </c>
      <c r="B633" s="1" t="s">
        <v>31</v>
      </c>
      <c r="C633" s="1">
        <v>23</v>
      </c>
      <c r="D633" s="49">
        <v>114.438</v>
      </c>
      <c r="E633" s="12">
        <f t="shared" si="5"/>
        <v>143.04750000000001</v>
      </c>
      <c r="F633" s="50">
        <v>96.656000000000006</v>
      </c>
      <c r="G633" s="60">
        <v>82.744</v>
      </c>
      <c r="H633" s="61">
        <v>1607.3610000000001</v>
      </c>
      <c r="I633" s="62">
        <v>6.9</v>
      </c>
      <c r="J633" s="63">
        <v>2.8000000000000001E-2</v>
      </c>
      <c r="K633" s="64">
        <v>7.4889999999999999</v>
      </c>
      <c r="L633" s="65">
        <v>35.886000000000003</v>
      </c>
      <c r="M633" s="50">
        <v>5.3529999999999998</v>
      </c>
      <c r="N633" s="66">
        <v>1.6E-2</v>
      </c>
      <c r="O633" s="57">
        <v>87.635000000000005</v>
      </c>
      <c r="P633" s="67">
        <v>5.5E-2</v>
      </c>
      <c r="Q633" s="68">
        <v>2.8519999999999999</v>
      </c>
    </row>
    <row r="634" spans="1:17" ht="14.25" customHeight="1" x14ac:dyDescent="0.35">
      <c r="A634" s="1">
        <v>2023</v>
      </c>
      <c r="B634" s="1" t="s">
        <v>31</v>
      </c>
      <c r="C634" s="1">
        <v>24</v>
      </c>
      <c r="D634" s="49">
        <v>114.48399999999999</v>
      </c>
      <c r="E634" s="12">
        <f t="shared" si="5"/>
        <v>143.10499999999999</v>
      </c>
      <c r="F634" s="50">
        <v>96.656000000000006</v>
      </c>
      <c r="G634" s="60">
        <v>82.807000000000002</v>
      </c>
      <c r="H634" s="61">
        <v>1545.68</v>
      </c>
      <c r="I634" s="62">
        <v>6.9</v>
      </c>
      <c r="J634" s="63">
        <v>2.8000000000000001E-2</v>
      </c>
      <c r="K634" s="64">
        <v>7.3550000000000004</v>
      </c>
      <c r="L634" s="61">
        <v>32.426000000000002</v>
      </c>
      <c r="M634" s="62">
        <v>5.3019999999999996</v>
      </c>
      <c r="N634" s="66">
        <v>1.6E-2</v>
      </c>
      <c r="O634" s="57">
        <v>98.186999999999998</v>
      </c>
      <c r="P634" s="67">
        <v>0.05</v>
      </c>
      <c r="Q634" s="68">
        <v>2.847</v>
      </c>
    </row>
    <row r="635" spans="1:17" ht="14.25" customHeight="1" x14ac:dyDescent="0.35">
      <c r="A635" s="1">
        <v>2023</v>
      </c>
      <c r="B635" s="1" t="s">
        <v>31</v>
      </c>
      <c r="C635" s="1">
        <v>25</v>
      </c>
      <c r="D635" s="49">
        <v>112.453</v>
      </c>
      <c r="E635" s="12">
        <f t="shared" si="5"/>
        <v>140.56625</v>
      </c>
      <c r="F635" s="50">
        <v>94.938000000000002</v>
      </c>
      <c r="G635" s="60">
        <v>82.600999999999999</v>
      </c>
      <c r="H635" s="61">
        <v>1544.9</v>
      </c>
      <c r="I635" s="62">
        <v>6.9</v>
      </c>
      <c r="J635" s="63">
        <v>2.8000000000000001E-2</v>
      </c>
      <c r="K635" s="64">
        <v>7.492</v>
      </c>
      <c r="L635" s="65">
        <v>34.607999999999997</v>
      </c>
      <c r="M635" s="50">
        <v>5.2990000000000004</v>
      </c>
      <c r="N635" s="66">
        <v>1.6E-2</v>
      </c>
      <c r="O635" s="57">
        <v>99.009</v>
      </c>
      <c r="P635" s="67">
        <v>5.0999999999999997E-2</v>
      </c>
      <c r="Q635" s="68">
        <v>2.4470000000000001</v>
      </c>
    </row>
    <row r="636" spans="1:17" ht="14.25" customHeight="1" x14ac:dyDescent="0.35">
      <c r="A636" s="1">
        <v>2023</v>
      </c>
      <c r="B636" s="1" t="s">
        <v>31</v>
      </c>
      <c r="C636" s="1">
        <v>26</v>
      </c>
      <c r="D636" s="49">
        <v>114.28100000000001</v>
      </c>
      <c r="E636" s="12">
        <f t="shared" si="5"/>
        <v>142.85124999999999</v>
      </c>
      <c r="F636" s="50">
        <v>96.563000000000002</v>
      </c>
      <c r="G636" s="60">
        <v>82.912999999999997</v>
      </c>
      <c r="H636" s="61">
        <v>1592.953</v>
      </c>
      <c r="I636" s="62">
        <v>6.9</v>
      </c>
      <c r="J636" s="63">
        <v>2.8000000000000001E-2</v>
      </c>
      <c r="K636" s="64">
        <v>7.5579999999999998</v>
      </c>
      <c r="L636" s="61">
        <v>38.003</v>
      </c>
      <c r="M636" s="62">
        <v>5.31</v>
      </c>
      <c r="N636" s="66">
        <v>1.6E-2</v>
      </c>
      <c r="O636" s="57">
        <v>96.159000000000006</v>
      </c>
      <c r="P636" s="67">
        <v>5.7000000000000002E-2</v>
      </c>
      <c r="Q636" s="68">
        <v>2.3279999999999998</v>
      </c>
    </row>
    <row r="637" spans="1:17" ht="14.25" customHeight="1" x14ac:dyDescent="0.35">
      <c r="A637" s="1">
        <v>2023</v>
      </c>
      <c r="B637" s="1" t="s">
        <v>31</v>
      </c>
      <c r="C637" s="1">
        <v>27</v>
      </c>
      <c r="D637" s="12">
        <v>118.297</v>
      </c>
      <c r="E637" s="12">
        <f t="shared" si="5"/>
        <v>147.87125</v>
      </c>
      <c r="F637" s="13">
        <v>99.968999999999994</v>
      </c>
      <c r="G637" s="60">
        <v>82.963999999999999</v>
      </c>
      <c r="H637" s="61">
        <v>1629.9570000000001</v>
      </c>
      <c r="I637" s="62">
        <v>6.9</v>
      </c>
      <c r="J637" s="63">
        <v>2.8000000000000001E-2</v>
      </c>
      <c r="K637" s="64">
        <v>7.226</v>
      </c>
      <c r="L637" s="65">
        <v>40.14</v>
      </c>
      <c r="M637" s="50">
        <v>5.3120000000000003</v>
      </c>
      <c r="N637" s="66">
        <v>1.6E-2</v>
      </c>
      <c r="O637" s="57">
        <v>95.849000000000004</v>
      </c>
      <c r="P637" s="67">
        <v>5.6000000000000001E-2</v>
      </c>
      <c r="Q637" s="68">
        <v>2.177</v>
      </c>
    </row>
    <row r="638" spans="1:17" ht="14.25" customHeight="1" x14ac:dyDescent="0.35">
      <c r="A638" s="1">
        <v>2023</v>
      </c>
      <c r="B638" s="1" t="s">
        <v>31</v>
      </c>
      <c r="C638" s="1">
        <v>28</v>
      </c>
      <c r="D638" s="12">
        <v>118.26600000000001</v>
      </c>
      <c r="E638" s="12">
        <f t="shared" si="5"/>
        <v>147.83250000000001</v>
      </c>
      <c r="F638" s="13">
        <v>100</v>
      </c>
      <c r="G638" s="60">
        <v>82.893000000000001</v>
      </c>
      <c r="H638" s="61">
        <v>1642.22</v>
      </c>
      <c r="I638" s="62">
        <v>6.9009999999999998</v>
      </c>
      <c r="J638" s="63">
        <v>2.8000000000000001E-2</v>
      </c>
      <c r="K638" s="64">
        <v>7.1509999999999998</v>
      </c>
      <c r="L638" s="61">
        <v>40.570999999999998</v>
      </c>
      <c r="M638" s="62">
        <v>5.3230000000000004</v>
      </c>
      <c r="N638" s="66">
        <v>1.6E-2</v>
      </c>
      <c r="O638" s="57">
        <v>93.444999999999993</v>
      </c>
      <c r="P638" s="67">
        <v>5.6000000000000001E-2</v>
      </c>
      <c r="Q638" s="68">
        <v>2.0489999999999999</v>
      </c>
    </row>
    <row r="639" spans="1:17" ht="14.25" customHeight="1" x14ac:dyDescent="0.35">
      <c r="A639" s="1">
        <v>2023</v>
      </c>
      <c r="B639" s="1" t="s">
        <v>31</v>
      </c>
      <c r="C639" s="1">
        <v>29</v>
      </c>
      <c r="D639" s="12">
        <v>118.23399999999999</v>
      </c>
      <c r="E639" s="12">
        <f t="shared" si="5"/>
        <v>147.79249999999999</v>
      </c>
      <c r="F639" s="13">
        <v>100</v>
      </c>
      <c r="G639" s="83">
        <v>82.742999999999995</v>
      </c>
      <c r="H639" s="69">
        <v>1636.3</v>
      </c>
      <c r="I639" s="50">
        <v>6.9</v>
      </c>
      <c r="J639" s="66">
        <v>2.8000000000000001E-2</v>
      </c>
      <c r="K639" s="50">
        <v>7.0869999999999997</v>
      </c>
      <c r="L639" s="61">
        <v>40.206000000000003</v>
      </c>
      <c r="M639" s="62">
        <v>5.3940000000000001</v>
      </c>
      <c r="N639" s="66">
        <v>1.4999999999999999E-2</v>
      </c>
      <c r="O639" s="57">
        <v>81.498999999999995</v>
      </c>
      <c r="P639" s="84">
        <v>5.5E-2</v>
      </c>
      <c r="Q639" s="71">
        <v>2.5129999999999999</v>
      </c>
    </row>
    <row r="640" spans="1:17" ht="14.25" customHeight="1" x14ac:dyDescent="0.35">
      <c r="A640" s="1">
        <v>2023</v>
      </c>
      <c r="B640" s="1" t="s">
        <v>31</v>
      </c>
      <c r="C640" s="1">
        <v>30</v>
      </c>
      <c r="D640" s="85">
        <v>112.60899999999999</v>
      </c>
      <c r="E640" s="12">
        <f t="shared" si="5"/>
        <v>140.76124999999999</v>
      </c>
      <c r="F640" s="86">
        <v>95.156000000000006</v>
      </c>
      <c r="G640" s="83">
        <v>82.272000000000006</v>
      </c>
      <c r="H640" s="69">
        <v>1630.49</v>
      </c>
      <c r="I640" s="50">
        <v>6.9</v>
      </c>
      <c r="J640" s="66">
        <v>2.8000000000000001E-2</v>
      </c>
      <c r="K640" s="50">
        <v>7.1390000000000002</v>
      </c>
      <c r="L640" s="61">
        <v>38.293999999999997</v>
      </c>
      <c r="M640" s="62">
        <v>5.4530000000000003</v>
      </c>
      <c r="N640" s="66">
        <v>1.4999999999999999E-2</v>
      </c>
      <c r="O640" s="57">
        <v>69.203000000000003</v>
      </c>
      <c r="P640" s="84">
        <v>5.0999999999999997E-2</v>
      </c>
      <c r="Q640" s="71">
        <v>2.7349999999999999</v>
      </c>
    </row>
    <row r="641" spans="1:17" ht="14.25" customHeight="1" x14ac:dyDescent="0.35">
      <c r="A641" s="1">
        <v>2023</v>
      </c>
      <c r="B641" s="1" t="s">
        <v>32</v>
      </c>
      <c r="C641" s="1">
        <v>1</v>
      </c>
      <c r="D641" s="49">
        <v>111.313</v>
      </c>
      <c r="E641" s="12">
        <f t="shared" si="5"/>
        <v>139.14125000000001</v>
      </c>
      <c r="F641" s="50">
        <v>94.063000000000002</v>
      </c>
      <c r="G641" s="51">
        <v>81.793000000000006</v>
      </c>
      <c r="H641" s="52">
        <v>1574.1079999999999</v>
      </c>
      <c r="I641" s="53">
        <v>6.9</v>
      </c>
      <c r="J641" s="54">
        <v>2.8000000000000001E-2</v>
      </c>
      <c r="K641" s="55">
        <v>6.968</v>
      </c>
      <c r="L641" s="52">
        <v>38.238</v>
      </c>
      <c r="M641" s="55">
        <v>5.4690000000000003</v>
      </c>
      <c r="N641" s="56">
        <v>1.4999999999999999E-2</v>
      </c>
      <c r="O641" s="57">
        <v>66.900000000000006</v>
      </c>
      <c r="P641" s="58">
        <v>4.8000000000000001E-2</v>
      </c>
      <c r="Q641" s="59">
        <v>3.613</v>
      </c>
    </row>
    <row r="642" spans="1:17" ht="14.25" customHeight="1" x14ac:dyDescent="0.35">
      <c r="A642" s="1">
        <v>2023</v>
      </c>
      <c r="B642" s="1" t="s">
        <v>32</v>
      </c>
      <c r="C642" s="1">
        <v>2</v>
      </c>
      <c r="D642" s="49">
        <v>112.28100000000001</v>
      </c>
      <c r="E642" s="12">
        <f t="shared" si="5"/>
        <v>140.35124999999999</v>
      </c>
      <c r="F642" s="50">
        <v>95.031000000000006</v>
      </c>
      <c r="G642" s="60">
        <v>81.747</v>
      </c>
      <c r="H642" s="61">
        <v>1567.4469999999999</v>
      </c>
      <c r="I642" s="62">
        <v>6.9</v>
      </c>
      <c r="J642" s="63">
        <v>2.9000000000000001E-2</v>
      </c>
      <c r="K642" s="64">
        <v>7.1669999999999998</v>
      </c>
      <c r="L642" s="65">
        <v>38.679000000000002</v>
      </c>
      <c r="M642" s="50">
        <v>5.4749999999999996</v>
      </c>
      <c r="N642" s="66">
        <v>1.4999999999999999E-2</v>
      </c>
      <c r="O642" s="57">
        <v>65.787999999999997</v>
      </c>
      <c r="P642" s="67">
        <v>0.05</v>
      </c>
      <c r="Q642" s="68">
        <v>4.0339999999999998</v>
      </c>
    </row>
    <row r="643" spans="1:17" ht="14.25" customHeight="1" x14ac:dyDescent="0.35">
      <c r="A643" s="1">
        <v>2023</v>
      </c>
      <c r="B643" s="1" t="s">
        <v>32</v>
      </c>
      <c r="C643" s="1">
        <v>3</v>
      </c>
      <c r="D643" s="49">
        <v>112.26600000000001</v>
      </c>
      <c r="E643" s="12">
        <f t="shared" si="5"/>
        <v>140.33250000000001</v>
      </c>
      <c r="F643" s="50">
        <v>94.968999999999994</v>
      </c>
      <c r="G643" s="60">
        <v>82.128</v>
      </c>
      <c r="H643" s="61">
        <v>1614.242</v>
      </c>
      <c r="I643" s="62">
        <v>6.9</v>
      </c>
      <c r="J643" s="63">
        <v>2.8000000000000001E-2</v>
      </c>
      <c r="K643" s="64">
        <v>7.1829999999999998</v>
      </c>
      <c r="L643" s="65">
        <v>39.631999999999998</v>
      </c>
      <c r="M643" s="50">
        <v>5.4720000000000004</v>
      </c>
      <c r="N643" s="66">
        <v>1.4999999999999999E-2</v>
      </c>
      <c r="O643" s="57">
        <v>66.349000000000004</v>
      </c>
      <c r="P643" s="67">
        <v>5.1999999999999998E-2</v>
      </c>
      <c r="Q643" s="68">
        <v>3.7749999999999999</v>
      </c>
    </row>
    <row r="644" spans="1:17" ht="14.25" customHeight="1" x14ac:dyDescent="0.35">
      <c r="A644" s="1">
        <v>2023</v>
      </c>
      <c r="B644" s="1" t="s">
        <v>32</v>
      </c>
      <c r="C644" s="1">
        <v>4</v>
      </c>
      <c r="D644" s="49">
        <v>126.75</v>
      </c>
      <c r="E644" s="12">
        <f t="shared" si="5"/>
        <v>158.4375</v>
      </c>
      <c r="F644" s="50">
        <v>107.5</v>
      </c>
      <c r="G644" s="60">
        <v>82.316000000000003</v>
      </c>
      <c r="H644" s="61">
        <v>1977.0219999999999</v>
      </c>
      <c r="I644" s="62">
        <v>6.9</v>
      </c>
      <c r="J644" s="63">
        <v>2.9000000000000001E-2</v>
      </c>
      <c r="K644" s="64">
        <v>6.9710000000000001</v>
      </c>
      <c r="L644" s="65">
        <v>54.610999999999997</v>
      </c>
      <c r="M644" s="50">
        <v>5.5149999999999997</v>
      </c>
      <c r="N644" s="66">
        <v>1.4999999999999999E-2</v>
      </c>
      <c r="O644" s="57">
        <v>60.354999999999997</v>
      </c>
      <c r="P644" s="67">
        <v>5.2999999999999999E-2</v>
      </c>
      <c r="Q644" s="68">
        <v>2.4460000000000002</v>
      </c>
    </row>
    <row r="645" spans="1:17" ht="14.25" customHeight="1" x14ac:dyDescent="0.35">
      <c r="A645" s="1">
        <v>2023</v>
      </c>
      <c r="B645" s="1" t="s">
        <v>32</v>
      </c>
      <c r="C645" s="1">
        <v>5</v>
      </c>
      <c r="D645" s="49">
        <v>135.60900000000001</v>
      </c>
      <c r="E645" s="12">
        <f t="shared" si="5"/>
        <v>169.51125000000002</v>
      </c>
      <c r="F645" s="50">
        <v>114.96899999999999</v>
      </c>
      <c r="G645" s="60">
        <v>82.540999999999997</v>
      </c>
      <c r="H645" s="61">
        <v>2322.8539999999998</v>
      </c>
      <c r="I645" s="62">
        <v>6.9</v>
      </c>
      <c r="J645" s="63">
        <v>0.03</v>
      </c>
      <c r="K645" s="64">
        <v>6.702</v>
      </c>
      <c r="L645" s="65">
        <v>65.307000000000002</v>
      </c>
      <c r="M645" s="50">
        <v>5.4710000000000001</v>
      </c>
      <c r="N645" s="66">
        <v>1.4999999999999999E-2</v>
      </c>
      <c r="O645" s="57">
        <v>66.957999999999998</v>
      </c>
      <c r="P645" s="67">
        <v>5.1999999999999998E-2</v>
      </c>
      <c r="Q645" s="68">
        <v>3.0840000000000001</v>
      </c>
    </row>
    <row r="646" spans="1:17" ht="14.25" customHeight="1" x14ac:dyDescent="0.35">
      <c r="A646" s="1">
        <v>2023</v>
      </c>
      <c r="B646" s="1" t="s">
        <v>32</v>
      </c>
      <c r="C646" s="1">
        <v>6</v>
      </c>
      <c r="D646" s="49">
        <v>135.875</v>
      </c>
      <c r="E646" s="12">
        <f t="shared" si="5"/>
        <v>169.84375</v>
      </c>
      <c r="F646" s="50">
        <v>115.03100000000001</v>
      </c>
      <c r="G646" s="60">
        <v>82.646000000000001</v>
      </c>
      <c r="H646" s="61">
        <v>2403.36</v>
      </c>
      <c r="I646" s="62">
        <v>6.9</v>
      </c>
      <c r="J646" s="63">
        <v>0.03</v>
      </c>
      <c r="K646" s="64">
        <v>6.5119999999999996</v>
      </c>
      <c r="L646" s="65">
        <v>67.33</v>
      </c>
      <c r="M646" s="50">
        <v>5.4340000000000002</v>
      </c>
      <c r="N646" s="66">
        <v>1.4999999999999999E-2</v>
      </c>
      <c r="O646" s="57">
        <v>72.364000000000004</v>
      </c>
      <c r="P646" s="67">
        <v>5.1999999999999998E-2</v>
      </c>
      <c r="Q646" s="68">
        <v>3.2280000000000002</v>
      </c>
    </row>
    <row r="647" spans="1:17" ht="14.25" customHeight="1" x14ac:dyDescent="0.35">
      <c r="A647" s="1">
        <v>2023</v>
      </c>
      <c r="B647" s="1" t="s">
        <v>32</v>
      </c>
      <c r="C647" s="1">
        <v>7</v>
      </c>
      <c r="D647" s="49">
        <v>135.797</v>
      </c>
      <c r="E647" s="12">
        <f t="shared" si="5"/>
        <v>169.74625</v>
      </c>
      <c r="F647" s="50">
        <v>114.875</v>
      </c>
      <c r="G647" s="60">
        <v>82.668999999999997</v>
      </c>
      <c r="H647" s="61">
        <v>2357.6849999999999</v>
      </c>
      <c r="I647" s="62">
        <v>6.9</v>
      </c>
      <c r="J647" s="63">
        <v>0.03</v>
      </c>
      <c r="K647" s="64">
        <v>6.6760000000000002</v>
      </c>
      <c r="L647" s="65">
        <v>60.850999999999999</v>
      </c>
      <c r="M647" s="50">
        <v>5.4169999999999998</v>
      </c>
      <c r="N647" s="66">
        <v>1.4999999999999999E-2</v>
      </c>
      <c r="O647" s="57">
        <v>75.290999999999997</v>
      </c>
      <c r="P647" s="67">
        <v>4.8000000000000001E-2</v>
      </c>
      <c r="Q647" s="68">
        <v>2.4249999999999998</v>
      </c>
    </row>
    <row r="648" spans="1:17" ht="14.25" customHeight="1" x14ac:dyDescent="0.35">
      <c r="A648" s="1">
        <v>2023</v>
      </c>
      <c r="B648" s="1" t="s">
        <v>32</v>
      </c>
      <c r="C648" s="1">
        <v>8</v>
      </c>
      <c r="D648" s="49">
        <v>134.21899999999999</v>
      </c>
      <c r="E648" s="12">
        <f t="shared" si="5"/>
        <v>167.77375000000001</v>
      </c>
      <c r="F648" s="50">
        <v>113.59399999999999</v>
      </c>
      <c r="G648" s="60">
        <v>82.456999999999994</v>
      </c>
      <c r="H648" s="69">
        <v>2217.029</v>
      </c>
      <c r="I648" s="62">
        <v>6.9</v>
      </c>
      <c r="J648" s="63">
        <v>0.03</v>
      </c>
      <c r="K648" s="50">
        <v>6.8</v>
      </c>
      <c r="L648" s="65">
        <v>56.125</v>
      </c>
      <c r="M648" s="50">
        <v>5.4240000000000004</v>
      </c>
      <c r="N648" s="66">
        <v>1.4999999999999999E-2</v>
      </c>
      <c r="O648" s="57">
        <v>74.075000000000003</v>
      </c>
      <c r="P648" s="70">
        <v>4.4999999999999998E-2</v>
      </c>
      <c r="Q648" s="71">
        <v>2.9279999999999999</v>
      </c>
    </row>
    <row r="649" spans="1:17" ht="14.25" customHeight="1" x14ac:dyDescent="0.35">
      <c r="A649" s="1">
        <v>2023</v>
      </c>
      <c r="B649" s="1" t="s">
        <v>32</v>
      </c>
      <c r="C649" s="1">
        <v>9</v>
      </c>
      <c r="D649" s="49">
        <v>135.875</v>
      </c>
      <c r="E649" s="12">
        <f t="shared" si="5"/>
        <v>169.84375</v>
      </c>
      <c r="F649" s="50">
        <v>115</v>
      </c>
      <c r="G649" s="60">
        <v>82.036000000000001</v>
      </c>
      <c r="H649" s="61">
        <v>2277.9090000000001</v>
      </c>
      <c r="I649" s="62">
        <v>6.9</v>
      </c>
      <c r="J649" s="63">
        <v>0.03</v>
      </c>
      <c r="K649" s="64">
        <v>6.7519999999999998</v>
      </c>
      <c r="L649" s="65">
        <v>56.51</v>
      </c>
      <c r="M649" s="50">
        <v>5.4240000000000004</v>
      </c>
      <c r="N649" s="66">
        <v>1.4999999999999999E-2</v>
      </c>
      <c r="O649" s="57">
        <v>73.954999999999998</v>
      </c>
      <c r="P649" s="67">
        <v>4.2999999999999997E-2</v>
      </c>
      <c r="Q649" s="68">
        <v>3.536</v>
      </c>
    </row>
    <row r="650" spans="1:17" ht="14.25" customHeight="1" x14ac:dyDescent="0.35">
      <c r="A650" s="1">
        <v>2023</v>
      </c>
      <c r="B650" s="1" t="s">
        <v>32</v>
      </c>
      <c r="C650" s="1">
        <v>10</v>
      </c>
      <c r="D650" s="49">
        <v>135.875</v>
      </c>
      <c r="E650" s="12">
        <f t="shared" si="5"/>
        <v>169.84375</v>
      </c>
      <c r="F650" s="50">
        <v>114.96899999999999</v>
      </c>
      <c r="G650" s="72">
        <v>82.046999999999997</v>
      </c>
      <c r="H650" s="61">
        <v>2303.1350000000002</v>
      </c>
      <c r="I650" s="62">
        <v>6.9</v>
      </c>
      <c r="J650" s="63">
        <v>0.03</v>
      </c>
      <c r="K650" s="73">
        <v>6.7240000000000002</v>
      </c>
      <c r="L650" s="65">
        <v>57.853999999999999</v>
      </c>
      <c r="M650" s="50">
        <v>5.423</v>
      </c>
      <c r="N650" s="74">
        <v>1.4999999999999999E-2</v>
      </c>
      <c r="O650" s="57">
        <v>74.183000000000007</v>
      </c>
      <c r="P650" s="75">
        <v>4.5999999999999999E-2</v>
      </c>
      <c r="Q650" s="76">
        <v>3.6030000000000002</v>
      </c>
    </row>
    <row r="651" spans="1:17" ht="14.25" customHeight="1" x14ac:dyDescent="0.35">
      <c r="A651" s="1">
        <v>2023</v>
      </c>
      <c r="B651" s="1" t="s">
        <v>32</v>
      </c>
      <c r="C651" s="1">
        <v>11</v>
      </c>
      <c r="D651" s="49">
        <v>135.922</v>
      </c>
      <c r="E651" s="12">
        <f t="shared" si="5"/>
        <v>169.9025</v>
      </c>
      <c r="F651" s="50">
        <v>114.96899999999999</v>
      </c>
      <c r="G651" s="72">
        <v>82.1</v>
      </c>
      <c r="H651" s="61">
        <v>2396.8649999999998</v>
      </c>
      <c r="I651" s="62">
        <v>6.9</v>
      </c>
      <c r="J651" s="63">
        <v>0.03</v>
      </c>
      <c r="K651" s="77">
        <v>6.6749999999999998</v>
      </c>
      <c r="L651" s="65">
        <v>63.405000000000001</v>
      </c>
      <c r="M651" s="50">
        <v>5.4279999999999999</v>
      </c>
      <c r="N651" s="74">
        <v>1.4999999999999999E-2</v>
      </c>
      <c r="O651" s="57">
        <v>73.331999999999994</v>
      </c>
      <c r="P651" s="75">
        <v>4.9000000000000002E-2</v>
      </c>
      <c r="Q651" s="76">
        <v>4.12</v>
      </c>
    </row>
    <row r="652" spans="1:17" ht="14.25" customHeight="1" x14ac:dyDescent="0.35">
      <c r="A652" s="1">
        <v>2023</v>
      </c>
      <c r="B652" s="1" t="s">
        <v>32</v>
      </c>
      <c r="C652" s="1">
        <v>12</v>
      </c>
      <c r="D652" s="49">
        <v>134.76599999999999</v>
      </c>
      <c r="E652" s="12">
        <f t="shared" si="5"/>
        <v>168.45749999999998</v>
      </c>
      <c r="F652" s="50">
        <v>114.063</v>
      </c>
      <c r="G652" s="72">
        <v>81.983000000000004</v>
      </c>
      <c r="H652" s="61">
        <v>2434.7330000000002</v>
      </c>
      <c r="I652" s="62">
        <v>6.9</v>
      </c>
      <c r="J652" s="63">
        <v>0.03</v>
      </c>
      <c r="K652" s="73">
        <v>6.6950000000000003</v>
      </c>
      <c r="L652" s="65">
        <v>63.118000000000002</v>
      </c>
      <c r="M652" s="50">
        <v>5.4210000000000003</v>
      </c>
      <c r="N652" s="74">
        <v>1.4999999999999999E-2</v>
      </c>
      <c r="O652" s="57">
        <v>74.516999999999996</v>
      </c>
      <c r="P652" s="75">
        <v>4.9000000000000002E-2</v>
      </c>
      <c r="Q652" s="76">
        <v>4.7850000000000001</v>
      </c>
    </row>
    <row r="653" spans="1:17" ht="14.25" customHeight="1" x14ac:dyDescent="0.35">
      <c r="A653" s="1">
        <v>2023</v>
      </c>
      <c r="B653" s="1" t="s">
        <v>32</v>
      </c>
      <c r="C653" s="1">
        <v>13</v>
      </c>
      <c r="D653" s="49">
        <v>135.625</v>
      </c>
      <c r="E653" s="12">
        <f t="shared" si="5"/>
        <v>169.53125</v>
      </c>
      <c r="F653" s="50">
        <v>115</v>
      </c>
      <c r="G653" s="78">
        <v>82.052000000000007</v>
      </c>
      <c r="H653" s="61">
        <v>2383.7370000000001</v>
      </c>
      <c r="I653" s="62">
        <v>6.9</v>
      </c>
      <c r="J653" s="63">
        <v>2.9000000000000001E-2</v>
      </c>
      <c r="K653" s="79">
        <v>6.6760000000000002</v>
      </c>
      <c r="L653" s="65">
        <v>57.372999999999998</v>
      </c>
      <c r="M653" s="50">
        <v>5.319</v>
      </c>
      <c r="N653" s="66">
        <v>1.4E-2</v>
      </c>
      <c r="O653" s="57">
        <v>99.638999999999996</v>
      </c>
      <c r="P653" s="80">
        <v>4.7E-2</v>
      </c>
      <c r="Q653" s="81">
        <v>4.0389999999999997</v>
      </c>
    </row>
    <row r="654" spans="1:17" ht="14.25" customHeight="1" x14ac:dyDescent="0.35">
      <c r="A654" s="1">
        <v>2023</v>
      </c>
      <c r="B654" s="1" t="s">
        <v>32</v>
      </c>
      <c r="C654" s="1">
        <v>14</v>
      </c>
      <c r="D654" s="49">
        <v>125.953</v>
      </c>
      <c r="E654" s="12">
        <f t="shared" si="5"/>
        <v>157.44125</v>
      </c>
      <c r="F654" s="50">
        <v>106.59399999999999</v>
      </c>
      <c r="G654" s="60">
        <v>81.905000000000001</v>
      </c>
      <c r="H654" s="61">
        <v>2388.7049999999999</v>
      </c>
      <c r="I654" s="62">
        <v>6.9</v>
      </c>
      <c r="J654" s="63">
        <v>2.9000000000000001E-2</v>
      </c>
      <c r="K654" s="79">
        <v>6.6929999999999996</v>
      </c>
      <c r="L654" s="82">
        <v>58.372799999999998</v>
      </c>
      <c r="M654" s="50">
        <v>5.1577999999999999</v>
      </c>
      <c r="N654" s="66">
        <v>1.47E-2</v>
      </c>
      <c r="O654" s="57">
        <v>136.76939999999999</v>
      </c>
      <c r="P654" s="80">
        <v>4.8500000000000001E-2</v>
      </c>
      <c r="Q654" s="81">
        <v>4.0919999999999996</v>
      </c>
    </row>
    <row r="655" spans="1:17" ht="14.25" customHeight="1" x14ac:dyDescent="0.35">
      <c r="A655" s="1">
        <v>2023</v>
      </c>
      <c r="B655" s="1" t="s">
        <v>32</v>
      </c>
      <c r="C655" s="1">
        <v>15</v>
      </c>
      <c r="D655" s="49">
        <v>133.922</v>
      </c>
      <c r="E655" s="12">
        <f t="shared" si="5"/>
        <v>167.4025</v>
      </c>
      <c r="F655" s="50">
        <v>113.15600000000001</v>
      </c>
      <c r="G655" s="60">
        <v>81.995999999999995</v>
      </c>
      <c r="H655" s="61">
        <v>2330.7550000000001</v>
      </c>
      <c r="I655" s="62">
        <v>6.9</v>
      </c>
      <c r="J655" s="63">
        <v>2.9000000000000001E-2</v>
      </c>
      <c r="K655" s="73">
        <v>6.7709999999999999</v>
      </c>
      <c r="L655" s="65">
        <v>61.040399999999998</v>
      </c>
      <c r="M655" s="50">
        <v>5.1676000000000002</v>
      </c>
      <c r="N655" s="66">
        <v>1.47E-2</v>
      </c>
      <c r="O655" s="57">
        <v>133.75649999999999</v>
      </c>
      <c r="P655" s="75">
        <v>4.5999999999999999E-2</v>
      </c>
      <c r="Q655" s="76">
        <v>4.1059999999999999</v>
      </c>
    </row>
    <row r="656" spans="1:17" ht="14.25" customHeight="1" x14ac:dyDescent="0.35">
      <c r="A656" s="1">
        <v>2023</v>
      </c>
      <c r="B656" s="1" t="s">
        <v>32</v>
      </c>
      <c r="C656" s="1">
        <v>16</v>
      </c>
      <c r="D656" s="49">
        <v>126.672</v>
      </c>
      <c r="E656" s="12">
        <f t="shared" si="5"/>
        <v>158.34</v>
      </c>
      <c r="F656" s="50">
        <v>106.90600000000001</v>
      </c>
      <c r="G656" s="60">
        <v>82.012</v>
      </c>
      <c r="H656" s="61">
        <v>2260.002</v>
      </c>
      <c r="I656" s="62">
        <v>6.9</v>
      </c>
      <c r="J656" s="63">
        <v>2.9000000000000001E-2</v>
      </c>
      <c r="K656" s="79">
        <v>7.0019999999999998</v>
      </c>
      <c r="L656" s="61">
        <v>63.225999999999999</v>
      </c>
      <c r="M656" s="62">
        <v>5.1769999999999996</v>
      </c>
      <c r="N656" s="66">
        <v>1.4999999999999999E-2</v>
      </c>
      <c r="O656" s="57">
        <v>130.97900000000001</v>
      </c>
      <c r="P656" s="80">
        <v>4.8000000000000001E-2</v>
      </c>
      <c r="Q656" s="81">
        <v>3.3759999999999999</v>
      </c>
    </row>
    <row r="657" spans="1:17" ht="14.25" customHeight="1" x14ac:dyDescent="0.35">
      <c r="A657" s="1">
        <v>2023</v>
      </c>
      <c r="B657" s="1" t="s">
        <v>32</v>
      </c>
      <c r="C657" s="1">
        <v>17</v>
      </c>
      <c r="D657" s="49">
        <v>135.73400000000001</v>
      </c>
      <c r="E657" s="12">
        <f t="shared" si="5"/>
        <v>169.66750000000002</v>
      </c>
      <c r="F657" s="50">
        <v>114.96899999999999</v>
      </c>
      <c r="G657" s="60">
        <v>81.8</v>
      </c>
      <c r="H657" s="61">
        <v>2431.0419999999999</v>
      </c>
      <c r="I657" s="62">
        <v>6.9</v>
      </c>
      <c r="J657" s="63">
        <v>0.03</v>
      </c>
      <c r="K657" s="64">
        <v>7.1109999999999998</v>
      </c>
      <c r="L657" s="65">
        <v>69.2</v>
      </c>
      <c r="M657" s="50">
        <v>5.1950000000000003</v>
      </c>
      <c r="N657" s="66">
        <v>1.4999999999999999E-2</v>
      </c>
      <c r="O657" s="57">
        <v>125.547</v>
      </c>
      <c r="P657" s="67">
        <v>6.4000000000000001E-2</v>
      </c>
      <c r="Q657" s="68">
        <v>2.722</v>
      </c>
    </row>
    <row r="658" spans="1:17" ht="14.25" customHeight="1" x14ac:dyDescent="0.35">
      <c r="A658" s="1">
        <v>2023</v>
      </c>
      <c r="B658" s="1" t="s">
        <v>32</v>
      </c>
      <c r="C658" s="1">
        <v>18</v>
      </c>
      <c r="D658" s="49">
        <v>139.46899999999999</v>
      </c>
      <c r="E658" s="12">
        <f t="shared" si="5"/>
        <v>174.33625000000001</v>
      </c>
      <c r="F658" s="50">
        <v>118.188</v>
      </c>
      <c r="G658" s="60">
        <v>81.930999999999997</v>
      </c>
      <c r="H658" s="61">
        <v>2448.8429999999998</v>
      </c>
      <c r="I658" s="62">
        <v>6.9</v>
      </c>
      <c r="J658" s="63">
        <v>0.03</v>
      </c>
      <c r="K658" s="64">
        <v>6.8550000000000004</v>
      </c>
      <c r="L658" s="61">
        <v>68.363</v>
      </c>
      <c r="M658" s="62">
        <v>5.181</v>
      </c>
      <c r="N658" s="66">
        <v>1.4999999999999999E-2</v>
      </c>
      <c r="O658" s="57">
        <v>129.49</v>
      </c>
      <c r="P658" s="67">
        <v>5.1999999999999998E-2</v>
      </c>
      <c r="Q658" s="68">
        <v>4.2759999999999998</v>
      </c>
    </row>
    <row r="659" spans="1:17" ht="14.25" customHeight="1" x14ac:dyDescent="0.35">
      <c r="A659" s="1">
        <v>2023</v>
      </c>
      <c r="B659" s="1" t="s">
        <v>32</v>
      </c>
      <c r="C659" s="1">
        <v>19</v>
      </c>
      <c r="D659" s="49">
        <v>120.5</v>
      </c>
      <c r="E659" s="12">
        <f t="shared" si="5"/>
        <v>150.625</v>
      </c>
      <c r="F659" s="50">
        <v>102.125</v>
      </c>
      <c r="G659" s="60">
        <v>82.096999999999994</v>
      </c>
      <c r="H659" s="61">
        <v>2377.7199999999998</v>
      </c>
      <c r="I659" s="62">
        <v>6.9</v>
      </c>
      <c r="J659" s="63">
        <v>0.03</v>
      </c>
      <c r="K659" s="64">
        <v>6.9850000000000003</v>
      </c>
      <c r="L659" s="65">
        <v>66.984999999999999</v>
      </c>
      <c r="M659" s="50">
        <v>5.1539999999999999</v>
      </c>
      <c r="N659" s="66">
        <v>1.4E-2</v>
      </c>
      <c r="O659" s="57">
        <v>139.63300000000001</v>
      </c>
      <c r="P659" s="67">
        <v>5.5E-2</v>
      </c>
      <c r="Q659" s="68">
        <v>8.5519999999999996</v>
      </c>
    </row>
    <row r="660" spans="1:17" ht="14.25" customHeight="1" x14ac:dyDescent="0.35">
      <c r="A660" s="1">
        <v>2023</v>
      </c>
      <c r="B660" s="1" t="s">
        <v>32</v>
      </c>
      <c r="C660" s="1">
        <v>20</v>
      </c>
      <c r="D660" s="49">
        <v>127.65600000000001</v>
      </c>
      <c r="E660" s="12">
        <f t="shared" si="5"/>
        <v>159.57</v>
      </c>
      <c r="F660" s="50">
        <v>108.21899999999999</v>
      </c>
      <c r="G660" s="60">
        <v>82.192999999999998</v>
      </c>
      <c r="H660" s="61">
        <v>2337.3029999999999</v>
      </c>
      <c r="I660" s="62">
        <v>6.9</v>
      </c>
      <c r="J660" s="63">
        <v>2.9000000000000001E-2</v>
      </c>
      <c r="K660" s="64">
        <v>6.7389999999999999</v>
      </c>
      <c r="L660" s="61">
        <v>64.847999999999999</v>
      </c>
      <c r="M660" s="62">
        <v>5.0060000000000002</v>
      </c>
      <c r="N660" s="66">
        <v>1.4999999999999999E-2</v>
      </c>
      <c r="O660" s="57">
        <v>193.898</v>
      </c>
      <c r="P660" s="67">
        <v>5.0999999999999997E-2</v>
      </c>
      <c r="Q660" s="68">
        <v>8.0090000000000003</v>
      </c>
    </row>
    <row r="661" spans="1:17" ht="14.25" customHeight="1" x14ac:dyDescent="0.35">
      <c r="A661" s="1">
        <v>2023</v>
      </c>
      <c r="B661" s="1" t="s">
        <v>32</v>
      </c>
      <c r="C661" s="1">
        <v>21</v>
      </c>
      <c r="D661" s="49">
        <v>129.56299999999999</v>
      </c>
      <c r="E661" s="12">
        <f t="shared" si="5"/>
        <v>161.95374999999999</v>
      </c>
      <c r="F661" s="50">
        <v>110</v>
      </c>
      <c r="G661" s="60">
        <v>81.930999999999997</v>
      </c>
      <c r="H661" s="61">
        <v>2374.5189999999998</v>
      </c>
      <c r="I661" s="62">
        <v>6.9</v>
      </c>
      <c r="J661" s="63">
        <v>2.9000000000000001E-2</v>
      </c>
      <c r="K661" s="64">
        <v>6.6379999999999999</v>
      </c>
      <c r="L661" s="65">
        <v>63.738</v>
      </c>
      <c r="M661" s="50">
        <v>4.9969999999999999</v>
      </c>
      <c r="N661" s="66">
        <v>1.4999999999999999E-2</v>
      </c>
      <c r="O661" s="57">
        <v>198.00899999999999</v>
      </c>
      <c r="P661" s="67">
        <v>4.9000000000000002E-2</v>
      </c>
      <c r="Q661" s="68">
        <v>9.4629999999999992</v>
      </c>
    </row>
    <row r="662" spans="1:17" ht="14.25" customHeight="1" x14ac:dyDescent="0.35">
      <c r="A662" s="1">
        <v>2023</v>
      </c>
      <c r="B662" s="1" t="s">
        <v>32</v>
      </c>
      <c r="C662" s="1">
        <v>22</v>
      </c>
      <c r="D662" s="49">
        <v>129.64099999999999</v>
      </c>
      <c r="E662" s="12">
        <f t="shared" si="5"/>
        <v>162.05124999999998</v>
      </c>
      <c r="F662" s="50">
        <v>109.96899999999999</v>
      </c>
      <c r="G662" s="60">
        <v>81.456999999999994</v>
      </c>
      <c r="H662" s="61">
        <v>2278.0120000000002</v>
      </c>
      <c r="I662" s="62">
        <v>6.9</v>
      </c>
      <c r="J662" s="63">
        <v>2.8000000000000001E-2</v>
      </c>
      <c r="K662" s="64">
        <v>6.6669999999999998</v>
      </c>
      <c r="L662" s="61">
        <v>59.073</v>
      </c>
      <c r="M662" s="62">
        <v>4.9930000000000003</v>
      </c>
      <c r="N662" s="66">
        <v>1.4999999999999999E-2</v>
      </c>
      <c r="O662" s="57">
        <v>199.55</v>
      </c>
      <c r="P662" s="67">
        <v>4.3999999999999997E-2</v>
      </c>
      <c r="Q662" s="68">
        <v>10.644</v>
      </c>
    </row>
    <row r="663" spans="1:17" ht="14.25" customHeight="1" x14ac:dyDescent="0.35">
      <c r="A663" s="1">
        <v>2023</v>
      </c>
      <c r="B663" s="1" t="s">
        <v>32</v>
      </c>
      <c r="C663" s="1">
        <v>23</v>
      </c>
      <c r="D663" s="49">
        <v>132.15600000000001</v>
      </c>
      <c r="E663" s="12">
        <f t="shared" si="5"/>
        <v>165.19499999999999</v>
      </c>
      <c r="F663" s="50">
        <v>112</v>
      </c>
      <c r="G663" s="60">
        <v>81.411000000000001</v>
      </c>
      <c r="H663" s="61">
        <v>2318.9699999999998</v>
      </c>
      <c r="I663" s="62">
        <v>6.9</v>
      </c>
      <c r="J663" s="63">
        <v>2.8000000000000001E-2</v>
      </c>
      <c r="K663" s="64">
        <v>6.601</v>
      </c>
      <c r="L663" s="65">
        <v>61.363</v>
      </c>
      <c r="M663" s="50">
        <v>5.0069999999999997</v>
      </c>
      <c r="N663" s="66">
        <v>1.4999999999999999E-2</v>
      </c>
      <c r="O663" s="57">
        <v>193.64099999999999</v>
      </c>
      <c r="P663" s="67">
        <v>4.3999999999999997E-2</v>
      </c>
      <c r="Q663" s="68">
        <v>10.276</v>
      </c>
    </row>
    <row r="664" spans="1:17" ht="14.25" customHeight="1" x14ac:dyDescent="0.35">
      <c r="A664" s="1">
        <v>2023</v>
      </c>
      <c r="B664" s="1" t="s">
        <v>32</v>
      </c>
      <c r="C664" s="1">
        <v>24</v>
      </c>
      <c r="D664" s="49">
        <v>139.60900000000001</v>
      </c>
      <c r="E664" s="12">
        <f t="shared" si="5"/>
        <v>174.51125000000002</v>
      </c>
      <c r="F664" s="50">
        <v>118.46899999999999</v>
      </c>
      <c r="G664" s="60">
        <v>81.402000000000001</v>
      </c>
      <c r="H664" s="61">
        <v>2351.6950000000002</v>
      </c>
      <c r="I664" s="62">
        <v>6.9</v>
      </c>
      <c r="J664" s="63">
        <v>2.9000000000000001E-2</v>
      </c>
      <c r="K664" s="64">
        <v>6.5540000000000003</v>
      </c>
      <c r="L664" s="61">
        <v>62.319000000000003</v>
      </c>
      <c r="M664" s="62">
        <v>5.0119999999999996</v>
      </c>
      <c r="N664" s="66">
        <v>1.4999999999999999E-2</v>
      </c>
      <c r="O664" s="57">
        <v>190.97800000000001</v>
      </c>
      <c r="P664" s="67">
        <v>4.9000000000000002E-2</v>
      </c>
      <c r="Q664" s="68">
        <v>11.327</v>
      </c>
    </row>
    <row r="665" spans="1:17" ht="14.25" customHeight="1" x14ac:dyDescent="0.35">
      <c r="A665" s="1">
        <v>2023</v>
      </c>
      <c r="B665" s="1" t="s">
        <v>32</v>
      </c>
      <c r="C665" s="1">
        <v>25</v>
      </c>
      <c r="D665" s="49">
        <v>140.5</v>
      </c>
      <c r="E665" s="12">
        <f t="shared" si="5"/>
        <v>175.625</v>
      </c>
      <c r="F665" s="50">
        <v>119.21899999999999</v>
      </c>
      <c r="G665" s="60">
        <v>81.19</v>
      </c>
      <c r="H665" s="61">
        <v>2388.1350000000002</v>
      </c>
      <c r="I665" s="62">
        <v>6.9</v>
      </c>
      <c r="J665" s="63">
        <v>2.9000000000000001E-2</v>
      </c>
      <c r="K665" s="64">
        <v>6.3620000000000001</v>
      </c>
      <c r="L665" s="65">
        <v>63.290999999999997</v>
      </c>
      <c r="M665" s="50">
        <v>5.01</v>
      </c>
      <c r="N665" s="66">
        <v>1.4999999999999999E-2</v>
      </c>
      <c r="O665" s="57">
        <v>192.22399999999999</v>
      </c>
      <c r="P665" s="67">
        <v>4.8000000000000001E-2</v>
      </c>
      <c r="Q665" s="68">
        <v>8.7089999999999996</v>
      </c>
    </row>
    <row r="666" spans="1:17" ht="14.25" customHeight="1" x14ac:dyDescent="0.35">
      <c r="A666" s="1">
        <v>2023</v>
      </c>
      <c r="B666" s="1" t="s">
        <v>32</v>
      </c>
      <c r="C666" s="1">
        <v>26</v>
      </c>
      <c r="D666" s="49">
        <v>56.578000000000003</v>
      </c>
      <c r="E666" s="12">
        <f t="shared" si="5"/>
        <v>70.722499999999997</v>
      </c>
      <c r="F666" s="50">
        <v>47.75</v>
      </c>
      <c r="G666" s="60">
        <v>80.64</v>
      </c>
      <c r="H666" s="61">
        <v>2262.5329999999999</v>
      </c>
      <c r="I666" s="62">
        <v>6.9119999999999999</v>
      </c>
      <c r="J666" s="63">
        <v>3.1E-2</v>
      </c>
      <c r="K666" s="64">
        <v>7.1349999999999998</v>
      </c>
      <c r="L666" s="61">
        <v>75.031999999999996</v>
      </c>
      <c r="M666" s="62">
        <v>5.1150000000000002</v>
      </c>
      <c r="N666" s="66">
        <v>1.4999999999999999E-2</v>
      </c>
      <c r="O666" s="57">
        <v>157.04599999999999</v>
      </c>
      <c r="P666" s="67">
        <v>7.0999999999999994E-2</v>
      </c>
      <c r="Q666" s="68">
        <v>4.7380000000000004</v>
      </c>
    </row>
    <row r="667" spans="1:17" ht="14.25" customHeight="1" x14ac:dyDescent="0.35">
      <c r="A667" s="1">
        <v>2023</v>
      </c>
      <c r="B667" s="1" t="s">
        <v>32</v>
      </c>
      <c r="C667" s="1">
        <v>27</v>
      </c>
      <c r="D667" s="12">
        <v>141.047</v>
      </c>
      <c r="E667" s="12">
        <f t="shared" si="5"/>
        <v>176.30875</v>
      </c>
      <c r="F667" s="13">
        <v>119.90600000000001</v>
      </c>
      <c r="G667" s="60">
        <v>81.194000000000003</v>
      </c>
      <c r="H667" s="61">
        <v>2354.6909999999998</v>
      </c>
      <c r="I667" s="62">
        <v>6.9</v>
      </c>
      <c r="J667" s="63">
        <v>0.03</v>
      </c>
      <c r="K667" s="64">
        <v>6.95</v>
      </c>
      <c r="L667" s="65">
        <v>63.146999999999998</v>
      </c>
      <c r="M667" s="50">
        <v>5.3129999999999997</v>
      </c>
      <c r="N667" s="66">
        <v>1.4E-2</v>
      </c>
      <c r="O667" s="57">
        <v>113.916</v>
      </c>
      <c r="P667" s="67">
        <v>7.0999999999999994E-2</v>
      </c>
      <c r="Q667" s="68">
        <v>6.6520000000000001</v>
      </c>
    </row>
    <row r="668" spans="1:17" ht="14.25" customHeight="1" x14ac:dyDescent="0.35">
      <c r="A668" s="1">
        <v>2023</v>
      </c>
      <c r="B668" s="1" t="s">
        <v>32</v>
      </c>
      <c r="C668" s="1">
        <v>28</v>
      </c>
      <c r="D668" s="12">
        <v>140.96899999999999</v>
      </c>
      <c r="E668" s="12">
        <f t="shared" si="5"/>
        <v>176.21125000000001</v>
      </c>
      <c r="F668" s="13">
        <v>119.90600000000001</v>
      </c>
      <c r="G668" s="60">
        <v>80.856999999999999</v>
      </c>
      <c r="H668" s="61">
        <v>2478.58</v>
      </c>
      <c r="I668" s="62">
        <v>6.9</v>
      </c>
      <c r="J668" s="63">
        <v>2.9000000000000001E-2</v>
      </c>
      <c r="K668" s="64">
        <v>6.4290000000000003</v>
      </c>
      <c r="L668" s="61">
        <v>65.988</v>
      </c>
      <c r="M668" s="62">
        <v>5.5190000000000001</v>
      </c>
      <c r="N668" s="66">
        <v>1.4999999999999999E-2</v>
      </c>
      <c r="O668" s="57">
        <v>59.607999999999997</v>
      </c>
      <c r="P668" s="67">
        <v>6.2E-2</v>
      </c>
      <c r="Q668" s="68">
        <v>7.4939999999999998</v>
      </c>
    </row>
    <row r="669" spans="1:17" ht="14.25" customHeight="1" x14ac:dyDescent="0.35">
      <c r="A669" s="1">
        <v>2023</v>
      </c>
      <c r="B669" s="1" t="s">
        <v>32</v>
      </c>
      <c r="C669" s="1">
        <v>29</v>
      </c>
      <c r="D669" s="12">
        <v>134.73400000000001</v>
      </c>
      <c r="E669" s="12">
        <f t="shared" si="5"/>
        <v>168.41750000000002</v>
      </c>
      <c r="F669" s="13">
        <v>114.563</v>
      </c>
      <c r="G669" s="83">
        <v>80.5</v>
      </c>
      <c r="H669" s="69">
        <v>2321.7420000000002</v>
      </c>
      <c r="I669" s="50">
        <v>6.9</v>
      </c>
      <c r="J669" s="66">
        <v>2.9000000000000001E-2</v>
      </c>
      <c r="K669" s="50">
        <v>6.5529999999999999</v>
      </c>
      <c r="L669" s="61">
        <v>60.536000000000001</v>
      </c>
      <c r="M669" s="62">
        <v>5.5129999999999999</v>
      </c>
      <c r="N669" s="66">
        <v>1.4999999999999999E-2</v>
      </c>
      <c r="O669" s="57">
        <v>60.207999999999998</v>
      </c>
      <c r="P669" s="84">
        <v>5.5E-2</v>
      </c>
      <c r="Q669" s="71">
        <v>6.8920000000000003</v>
      </c>
    </row>
    <row r="670" spans="1:17" ht="14.25" customHeight="1" x14ac:dyDescent="0.35">
      <c r="A670" s="1">
        <v>2023</v>
      </c>
      <c r="B670" s="1" t="s">
        <v>32</v>
      </c>
      <c r="C670" s="1">
        <v>30</v>
      </c>
      <c r="D670" s="12">
        <v>140.375</v>
      </c>
      <c r="E670" s="12">
        <f t="shared" si="5"/>
        <v>175.46875</v>
      </c>
      <c r="F670" s="13">
        <v>119.313</v>
      </c>
      <c r="G670" s="83">
        <v>80.156000000000006</v>
      </c>
      <c r="H670" s="69">
        <v>2457.2060000000001</v>
      </c>
      <c r="I670" s="50">
        <v>6.9</v>
      </c>
      <c r="J670" s="66">
        <v>2.9000000000000001E-2</v>
      </c>
      <c r="K670" s="50">
        <v>6.492</v>
      </c>
      <c r="L670" s="61">
        <v>63.284999999999997</v>
      </c>
      <c r="M670" s="62">
        <v>5.5110000000000001</v>
      </c>
      <c r="N670" s="66">
        <v>1.4999999999999999E-2</v>
      </c>
      <c r="O670" s="57">
        <v>60.655000000000001</v>
      </c>
      <c r="P670" s="84">
        <v>5.6000000000000001E-2</v>
      </c>
      <c r="Q670" s="71">
        <v>4.6029999999999998</v>
      </c>
    </row>
    <row r="671" spans="1:17" ht="14.25" customHeight="1" x14ac:dyDescent="0.35">
      <c r="A671" s="1">
        <v>2023</v>
      </c>
      <c r="B671" s="1" t="s">
        <v>32</v>
      </c>
      <c r="C671" s="1">
        <v>31</v>
      </c>
      <c r="D671" s="85">
        <v>137.85900000000001</v>
      </c>
      <c r="E671" s="12">
        <f t="shared" si="5"/>
        <v>172.32375000000002</v>
      </c>
      <c r="F671" s="86">
        <v>117.063</v>
      </c>
      <c r="G671" s="87">
        <v>80.5</v>
      </c>
      <c r="H671" s="88">
        <v>2488.9760000000001</v>
      </c>
      <c r="I671" s="89">
        <v>6.9</v>
      </c>
      <c r="J671" s="90">
        <v>2.9000000000000001E-2</v>
      </c>
      <c r="K671" s="89">
        <v>6.4950000000000001</v>
      </c>
      <c r="L671" s="61">
        <v>66.344999999999999</v>
      </c>
      <c r="M671" s="64">
        <v>5.5110000000000001</v>
      </c>
      <c r="N671" s="66">
        <v>1.4999999999999999E-2</v>
      </c>
      <c r="O671" s="57">
        <v>60.667000000000002</v>
      </c>
      <c r="P671" s="66">
        <v>6.7000000000000004E-2</v>
      </c>
      <c r="Q671" s="91">
        <v>6.8979999999999997</v>
      </c>
    </row>
    <row r="672" spans="1:17" ht="14.25" customHeight="1" x14ac:dyDescent="0.35">
      <c r="A672" s="1">
        <v>2023</v>
      </c>
      <c r="B672" s="1" t="s">
        <v>33</v>
      </c>
      <c r="C672" s="1">
        <v>1</v>
      </c>
      <c r="D672" s="49">
        <v>141.09399999999999</v>
      </c>
      <c r="E672" s="12">
        <f t="shared" si="5"/>
        <v>176.36750000000001</v>
      </c>
      <c r="F672" s="50">
        <v>119.84399999999999</v>
      </c>
      <c r="G672" s="51">
        <v>80.534000000000006</v>
      </c>
      <c r="H672" s="52">
        <v>2571.6149999999998</v>
      </c>
      <c r="I672" s="53">
        <v>6.9</v>
      </c>
      <c r="J672" s="54">
        <v>2.9000000000000001E-2</v>
      </c>
      <c r="K672" s="55">
        <v>6.2069999999999999</v>
      </c>
      <c r="L672" s="52">
        <v>69.028000000000006</v>
      </c>
      <c r="M672" s="55">
        <v>5.5010000000000003</v>
      </c>
      <c r="N672" s="56">
        <v>1.4999999999999999E-2</v>
      </c>
      <c r="O672" s="57">
        <v>62.087000000000003</v>
      </c>
      <c r="P672" s="58">
        <v>0.06</v>
      </c>
      <c r="Q672" s="59">
        <v>7.6710000000000003</v>
      </c>
    </row>
    <row r="673" spans="1:17" ht="14.25" customHeight="1" x14ac:dyDescent="0.35">
      <c r="A673" s="1">
        <v>2023</v>
      </c>
      <c r="B673" s="1" t="s">
        <v>33</v>
      </c>
      <c r="C673" s="1">
        <v>2</v>
      </c>
      <c r="D673" s="49">
        <v>141.18799999999999</v>
      </c>
      <c r="E673" s="12">
        <f t="shared" si="5"/>
        <v>176.48499999999999</v>
      </c>
      <c r="F673" s="50">
        <v>119.71899999999999</v>
      </c>
      <c r="G673" s="60">
        <v>80.572000000000003</v>
      </c>
      <c r="H673" s="61">
        <v>2504.6460000000002</v>
      </c>
      <c r="I673" s="62">
        <v>6.9</v>
      </c>
      <c r="J673" s="63">
        <v>0.03</v>
      </c>
      <c r="K673" s="64">
        <v>6.4660000000000002</v>
      </c>
      <c r="L673" s="65">
        <v>65.471000000000004</v>
      </c>
      <c r="M673" s="50">
        <v>5.5129999999999999</v>
      </c>
      <c r="N673" s="66">
        <v>1.4999999999999999E-2</v>
      </c>
      <c r="O673" s="57">
        <v>60.313000000000002</v>
      </c>
      <c r="P673" s="67">
        <v>6.2E-2</v>
      </c>
      <c r="Q673" s="68">
        <v>6.0640000000000001</v>
      </c>
    </row>
    <row r="674" spans="1:17" ht="14.25" customHeight="1" x14ac:dyDescent="0.35">
      <c r="A674" s="1">
        <v>2023</v>
      </c>
      <c r="B674" s="1" t="s">
        <v>33</v>
      </c>
      <c r="C674" s="1">
        <v>3</v>
      </c>
      <c r="D674" s="49">
        <v>139.46899999999999</v>
      </c>
      <c r="E674" s="12">
        <f t="shared" si="5"/>
        <v>174.33625000000001</v>
      </c>
      <c r="F674" s="50">
        <v>118.28100000000001</v>
      </c>
      <c r="G674" s="60">
        <v>80.429000000000002</v>
      </c>
      <c r="H674" s="61">
        <v>2496.4960000000001</v>
      </c>
      <c r="I674" s="62">
        <v>6.9</v>
      </c>
      <c r="J674" s="63">
        <v>0.03</v>
      </c>
      <c r="K674" s="64">
        <v>6.4820000000000002</v>
      </c>
      <c r="L674" s="65">
        <v>67.703000000000003</v>
      </c>
      <c r="M674" s="50">
        <v>5.26</v>
      </c>
      <c r="N674" s="66">
        <v>1.4999999999999999E-2</v>
      </c>
      <c r="O674" s="57">
        <v>115.04600000000001</v>
      </c>
      <c r="P674" s="67">
        <v>6.2E-2</v>
      </c>
      <c r="Q674" s="68">
        <v>4.8760000000000003</v>
      </c>
    </row>
    <row r="675" spans="1:17" ht="14.25" customHeight="1" x14ac:dyDescent="0.35">
      <c r="A675" s="1">
        <v>2023</v>
      </c>
      <c r="B675" s="1" t="s">
        <v>33</v>
      </c>
      <c r="C675" s="1">
        <v>4</v>
      </c>
      <c r="D675" s="49">
        <v>139.10900000000001</v>
      </c>
      <c r="E675" s="12">
        <f t="shared" si="5"/>
        <v>173.88625000000002</v>
      </c>
      <c r="F675" s="50">
        <v>117.938</v>
      </c>
      <c r="G675" s="60">
        <v>80.429000000000002</v>
      </c>
      <c r="H675" s="61">
        <v>2403.2820000000002</v>
      </c>
      <c r="I675" s="62">
        <v>6.9</v>
      </c>
      <c r="J675" s="63">
        <v>2.9000000000000001E-2</v>
      </c>
      <c r="K675" s="64">
        <v>6.4279999999999999</v>
      </c>
      <c r="L675" s="65">
        <v>61.796999999999997</v>
      </c>
      <c r="M675" s="50">
        <v>5.1280000000000001</v>
      </c>
      <c r="N675" s="66">
        <v>1.4999999999999999E-2</v>
      </c>
      <c r="O675" s="57">
        <v>146.291</v>
      </c>
      <c r="P675" s="67">
        <v>5.8999999999999997E-2</v>
      </c>
      <c r="Q675" s="68">
        <v>3.9780000000000002</v>
      </c>
    </row>
    <row r="676" spans="1:17" ht="14.25" customHeight="1" x14ac:dyDescent="0.35">
      <c r="A676" s="1">
        <v>2023</v>
      </c>
      <c r="B676" s="1" t="s">
        <v>33</v>
      </c>
      <c r="C676" s="1">
        <v>5</v>
      </c>
      <c r="D676" s="49">
        <v>137.31299999999999</v>
      </c>
      <c r="E676" s="12">
        <f t="shared" si="5"/>
        <v>171.64124999999999</v>
      </c>
      <c r="F676" s="50">
        <v>116.09399999999999</v>
      </c>
      <c r="G676" s="60">
        <v>80.450999999999993</v>
      </c>
      <c r="H676" s="61">
        <v>2223.8809999999999</v>
      </c>
      <c r="I676" s="62">
        <v>6.9</v>
      </c>
      <c r="J676" s="63">
        <v>2.9000000000000001E-2</v>
      </c>
      <c r="K676" s="64">
        <v>6.5579999999999998</v>
      </c>
      <c r="L676" s="65">
        <v>58.981999999999999</v>
      </c>
      <c r="M676" s="50">
        <v>5.1420000000000003</v>
      </c>
      <c r="N676" s="66">
        <v>1.4999999999999999E-2</v>
      </c>
      <c r="O676" s="57">
        <v>141.751</v>
      </c>
      <c r="P676" s="67">
        <v>5.6000000000000001E-2</v>
      </c>
      <c r="Q676" s="68">
        <v>4.5709999999999997</v>
      </c>
    </row>
    <row r="677" spans="1:17" ht="14.25" customHeight="1" x14ac:dyDescent="0.35">
      <c r="A677" s="1">
        <v>2023</v>
      </c>
      <c r="B677" s="1" t="s">
        <v>33</v>
      </c>
      <c r="C677" s="1">
        <v>6</v>
      </c>
      <c r="D677" s="49">
        <v>138.56299999999999</v>
      </c>
      <c r="E677" s="12">
        <f t="shared" si="5"/>
        <v>173.20374999999999</v>
      </c>
      <c r="F677" s="50">
        <v>117.375</v>
      </c>
      <c r="G677" s="60">
        <v>80.531000000000006</v>
      </c>
      <c r="H677" s="61">
        <v>2290.54</v>
      </c>
      <c r="I677" s="62">
        <v>6.9</v>
      </c>
      <c r="J677" s="63">
        <v>2.9000000000000001E-2</v>
      </c>
      <c r="K677" s="64">
        <v>6.5679999999999996</v>
      </c>
      <c r="L677" s="65">
        <v>60.21</v>
      </c>
      <c r="M677" s="50">
        <v>5.1479999999999997</v>
      </c>
      <c r="N677" s="66">
        <v>1.4999999999999999E-2</v>
      </c>
      <c r="O677" s="57">
        <v>139.48500000000001</v>
      </c>
      <c r="P677" s="67">
        <v>5.7000000000000002E-2</v>
      </c>
      <c r="Q677" s="68">
        <v>2.512</v>
      </c>
    </row>
    <row r="678" spans="1:17" ht="14.25" customHeight="1" x14ac:dyDescent="0.35">
      <c r="A678" s="1">
        <v>2023</v>
      </c>
      <c r="B678" s="1" t="s">
        <v>33</v>
      </c>
      <c r="C678" s="1">
        <v>7</v>
      </c>
      <c r="D678" s="49">
        <v>140.06299999999999</v>
      </c>
      <c r="E678" s="12">
        <f t="shared" si="5"/>
        <v>175.07874999999999</v>
      </c>
      <c r="F678" s="50">
        <v>118.688</v>
      </c>
      <c r="G678" s="60">
        <v>80.412999999999997</v>
      </c>
      <c r="H678" s="61">
        <v>2388.8719999999998</v>
      </c>
      <c r="I678" s="62">
        <v>6.9</v>
      </c>
      <c r="J678" s="63">
        <v>0.03</v>
      </c>
      <c r="K678" s="64">
        <v>6.78</v>
      </c>
      <c r="L678" s="65">
        <v>62.566000000000003</v>
      </c>
      <c r="M678" s="50">
        <v>5.157</v>
      </c>
      <c r="N678" s="66">
        <v>1.4999999999999999E-2</v>
      </c>
      <c r="O678" s="57">
        <v>137.02000000000001</v>
      </c>
      <c r="P678" s="67">
        <v>6.2E-2</v>
      </c>
      <c r="Q678" s="68">
        <v>3.5369999999999999</v>
      </c>
    </row>
    <row r="679" spans="1:17" ht="14.25" customHeight="1" x14ac:dyDescent="0.35">
      <c r="A679" s="1">
        <v>2023</v>
      </c>
      <c r="B679" s="1" t="s">
        <v>33</v>
      </c>
      <c r="C679" s="1">
        <v>8</v>
      </c>
      <c r="D679" s="49">
        <v>93.343999999999994</v>
      </c>
      <c r="E679" s="12">
        <f t="shared" si="5"/>
        <v>116.67999999999999</v>
      </c>
      <c r="F679" s="50">
        <v>79.063000000000002</v>
      </c>
      <c r="G679" s="60">
        <v>80.215999999999994</v>
      </c>
      <c r="H679" s="69">
        <v>2283.5940000000001</v>
      </c>
      <c r="I679" s="62">
        <v>6.9029999999999996</v>
      </c>
      <c r="J679" s="63">
        <v>3.3000000000000002E-2</v>
      </c>
      <c r="K679" s="50">
        <v>6.9249999999999998</v>
      </c>
      <c r="L679" s="65">
        <v>63.670999999999999</v>
      </c>
      <c r="M679" s="50">
        <v>5.1760000000000002</v>
      </c>
      <c r="N679" s="66">
        <v>1.6E-2</v>
      </c>
      <c r="O679" s="57">
        <v>133.255</v>
      </c>
      <c r="P679" s="70">
        <v>7.5999999999999998E-2</v>
      </c>
      <c r="Q679" s="71">
        <v>4.3529999999999998</v>
      </c>
    </row>
    <row r="680" spans="1:17" ht="14.25" customHeight="1" x14ac:dyDescent="0.35">
      <c r="A680" s="1">
        <v>2023</v>
      </c>
      <c r="B680" s="1" t="s">
        <v>33</v>
      </c>
      <c r="C680" s="1">
        <v>9</v>
      </c>
      <c r="D680" s="49">
        <v>139.53100000000001</v>
      </c>
      <c r="E680" s="12">
        <f t="shared" si="5"/>
        <v>174.41374999999999</v>
      </c>
      <c r="F680" s="50">
        <v>118.375</v>
      </c>
      <c r="G680" s="60">
        <v>79.924999999999997</v>
      </c>
      <c r="H680" s="61">
        <v>2402.5300000000002</v>
      </c>
      <c r="I680" s="62">
        <v>6.9039999999999999</v>
      </c>
      <c r="J680" s="63">
        <v>0.03</v>
      </c>
      <c r="K680" s="64">
        <v>6.8639999999999999</v>
      </c>
      <c r="L680" s="65">
        <v>63.505000000000003</v>
      </c>
      <c r="M680" s="50">
        <v>5.2770000000000001</v>
      </c>
      <c r="N680" s="66">
        <v>1.4999999999999999E-2</v>
      </c>
      <c r="O680" s="57">
        <v>107.57299999999999</v>
      </c>
      <c r="P680" s="67">
        <v>6.1600000000000002E-2</v>
      </c>
      <c r="Q680" s="68">
        <v>5.1589999999999998</v>
      </c>
    </row>
    <row r="681" spans="1:17" ht="14.25" customHeight="1" x14ac:dyDescent="0.35">
      <c r="A681" s="1">
        <v>2023</v>
      </c>
      <c r="B681" s="1" t="s">
        <v>33</v>
      </c>
      <c r="C681" s="1">
        <v>10</v>
      </c>
      <c r="D681" s="49">
        <v>141.5</v>
      </c>
      <c r="E681" s="12">
        <f t="shared" si="5"/>
        <v>176.875</v>
      </c>
      <c r="F681" s="50">
        <v>120</v>
      </c>
      <c r="G681" s="72">
        <v>79.674000000000007</v>
      </c>
      <c r="H681" s="61">
        <v>2430.8739999999998</v>
      </c>
      <c r="I681" s="62">
        <v>6.9039999999999999</v>
      </c>
      <c r="J681" s="63">
        <v>0.03</v>
      </c>
      <c r="K681" s="73">
        <v>6.5259999999999998</v>
      </c>
      <c r="L681" s="65">
        <v>62.378999999999998</v>
      </c>
      <c r="M681" s="50">
        <v>5.319</v>
      </c>
      <c r="N681" s="74">
        <v>1.4999999999999999E-2</v>
      </c>
      <c r="O681" s="57">
        <v>95.403000000000006</v>
      </c>
      <c r="P681" s="75">
        <v>5.8999999999999997E-2</v>
      </c>
      <c r="Q681" s="76">
        <v>12.06</v>
      </c>
    </row>
    <row r="682" spans="1:17" ht="14.25" customHeight="1" x14ac:dyDescent="0.35">
      <c r="A682" s="1">
        <v>2023</v>
      </c>
      <c r="B682" s="1" t="s">
        <v>33</v>
      </c>
      <c r="C682" s="1">
        <v>11</v>
      </c>
      <c r="D682" s="49">
        <v>136.125</v>
      </c>
      <c r="E682" s="12">
        <f t="shared" si="5"/>
        <v>170.15625</v>
      </c>
      <c r="F682" s="50">
        <v>115.34399999999999</v>
      </c>
      <c r="G682" s="72">
        <v>79.713999999999999</v>
      </c>
      <c r="H682" s="61">
        <v>2345.9450000000002</v>
      </c>
      <c r="I682" s="62">
        <v>6.9039999999999999</v>
      </c>
      <c r="J682" s="63">
        <v>0.03</v>
      </c>
      <c r="K682" s="77">
        <v>6.57</v>
      </c>
      <c r="L682" s="65">
        <v>59.970999999999997</v>
      </c>
      <c r="M682" s="50">
        <v>5.3250000000000002</v>
      </c>
      <c r="N682" s="74">
        <v>1.4999999999999999E-2</v>
      </c>
      <c r="O682" s="57">
        <v>93.683999999999997</v>
      </c>
      <c r="P682" s="75">
        <v>5.6000000000000001E-2</v>
      </c>
      <c r="Q682" s="76">
        <v>11.618</v>
      </c>
    </row>
    <row r="683" spans="1:17" ht="14.25" customHeight="1" x14ac:dyDescent="0.35">
      <c r="A683" s="1">
        <v>2023</v>
      </c>
      <c r="B683" s="1" t="s">
        <v>33</v>
      </c>
      <c r="C683" s="1">
        <v>12</v>
      </c>
      <c r="D683" s="49">
        <v>128.68799999999999</v>
      </c>
      <c r="E683" s="12">
        <f t="shared" si="5"/>
        <v>160.85999999999999</v>
      </c>
      <c r="F683" s="50">
        <v>108.875</v>
      </c>
      <c r="G683" s="72">
        <v>79.637</v>
      </c>
      <c r="H683" s="61">
        <v>2286.0929999999998</v>
      </c>
      <c r="I683" s="62">
        <v>6.9039999999999999</v>
      </c>
      <c r="J683" s="63">
        <v>2.9000000000000001E-2</v>
      </c>
      <c r="K683" s="73">
        <v>6.5780000000000003</v>
      </c>
      <c r="L683" s="65">
        <v>59.756</v>
      </c>
      <c r="M683" s="50">
        <v>5.2750000000000004</v>
      </c>
      <c r="N683" s="74">
        <v>1.4999999999999999E-2</v>
      </c>
      <c r="O683" s="57">
        <v>105.901</v>
      </c>
      <c r="P683" s="75">
        <v>5.7000000000000002E-2</v>
      </c>
      <c r="Q683" s="76">
        <v>10.891999999999999</v>
      </c>
    </row>
    <row r="684" spans="1:17" ht="14.25" customHeight="1" x14ac:dyDescent="0.35">
      <c r="A684" s="1">
        <v>2023</v>
      </c>
      <c r="B684" s="1" t="s">
        <v>33</v>
      </c>
      <c r="C684" s="1">
        <v>13</v>
      </c>
      <c r="D684" s="49">
        <v>66.391000000000005</v>
      </c>
      <c r="E684" s="12">
        <f t="shared" si="5"/>
        <v>82.98875000000001</v>
      </c>
      <c r="F684" s="50">
        <v>56.155999999999999</v>
      </c>
      <c r="G684" s="78">
        <v>79.39</v>
      </c>
      <c r="H684" s="61">
        <v>2167.0889999999999</v>
      </c>
      <c r="I684" s="62">
        <v>6.9020000000000001</v>
      </c>
      <c r="J684" s="63">
        <v>2.9000000000000001E-2</v>
      </c>
      <c r="K684" s="79">
        <v>6.7949999999999999</v>
      </c>
      <c r="L684" s="65">
        <v>42.942999999999998</v>
      </c>
      <c r="M684" s="50">
        <v>5.2960000000000003</v>
      </c>
      <c r="N684" s="66">
        <v>1.6E-2</v>
      </c>
      <c r="O684" s="57">
        <v>103.039</v>
      </c>
      <c r="P684" s="80">
        <v>4.8000000000000001E-2</v>
      </c>
      <c r="Q684" s="81">
        <v>11.397</v>
      </c>
    </row>
    <row r="685" spans="1:17" ht="14.25" customHeight="1" x14ac:dyDescent="0.35">
      <c r="A685" s="1">
        <v>2023</v>
      </c>
      <c r="B685" s="1" t="s">
        <v>33</v>
      </c>
      <c r="C685" s="1">
        <v>14</v>
      </c>
      <c r="D685" s="49">
        <v>139.85900000000001</v>
      </c>
      <c r="E685" s="12">
        <f t="shared" si="5"/>
        <v>174.82375000000002</v>
      </c>
      <c r="F685" s="50">
        <v>118.375</v>
      </c>
      <c r="G685" s="60">
        <v>79.522000000000006</v>
      </c>
      <c r="H685" s="61">
        <v>2359.6370000000002</v>
      </c>
      <c r="I685" s="62">
        <v>6.8979999999999997</v>
      </c>
      <c r="J685" s="63">
        <v>2.9000000000000001E-2</v>
      </c>
      <c r="K685" s="79">
        <v>6.6219999999999999</v>
      </c>
      <c r="L685" s="82">
        <v>61.853999999999999</v>
      </c>
      <c r="M685" s="50">
        <v>5.3479999999999999</v>
      </c>
      <c r="N685" s="66">
        <v>1.4999999999999999E-2</v>
      </c>
      <c r="O685" s="57">
        <v>88.424000000000007</v>
      </c>
      <c r="P685" s="80">
        <v>4.5999999999999999E-2</v>
      </c>
      <c r="Q685" s="81">
        <v>10.967000000000001</v>
      </c>
    </row>
    <row r="686" spans="1:17" ht="14.25" customHeight="1" x14ac:dyDescent="0.35">
      <c r="A686" s="1">
        <v>2023</v>
      </c>
      <c r="B686" s="1" t="s">
        <v>33</v>
      </c>
      <c r="C686" s="1">
        <v>15</v>
      </c>
      <c r="D686" s="49">
        <v>141.76599999999999</v>
      </c>
      <c r="E686" s="12">
        <f t="shared" si="5"/>
        <v>177.20749999999998</v>
      </c>
      <c r="F686" s="50">
        <v>120</v>
      </c>
      <c r="G686" s="60">
        <v>79.305000000000007</v>
      </c>
      <c r="H686" s="61">
        <v>2365.4259999999999</v>
      </c>
      <c r="I686" s="62">
        <v>6.8979999999999997</v>
      </c>
      <c r="J686" s="63">
        <v>2.9000000000000001E-2</v>
      </c>
      <c r="K686" s="73">
        <v>6.4790000000000001</v>
      </c>
      <c r="L686" s="65">
        <v>60.832999999999998</v>
      </c>
      <c r="M686" s="50">
        <v>5.3239999999999998</v>
      </c>
      <c r="N686" s="66">
        <v>1.4999999999999999E-2</v>
      </c>
      <c r="O686" s="57">
        <v>93.671999999999997</v>
      </c>
      <c r="P686" s="75">
        <v>4.7E-2</v>
      </c>
      <c r="Q686" s="76">
        <v>10.606999999999999</v>
      </c>
    </row>
    <row r="687" spans="1:17" ht="14.25" customHeight="1" x14ac:dyDescent="0.35">
      <c r="A687" s="1">
        <v>2023</v>
      </c>
      <c r="B687" s="1" t="s">
        <v>33</v>
      </c>
      <c r="C687" s="1">
        <v>16</v>
      </c>
      <c r="D687" s="49">
        <v>141.39099999999999</v>
      </c>
      <c r="E687" s="12">
        <f t="shared" si="5"/>
        <v>176.73874999999998</v>
      </c>
      <c r="F687" s="50">
        <v>119.688</v>
      </c>
      <c r="G687" s="60">
        <v>79.457999999999998</v>
      </c>
      <c r="H687" s="61">
        <v>2242.067</v>
      </c>
      <c r="I687" s="62">
        <v>6.8979999999999997</v>
      </c>
      <c r="J687" s="63">
        <v>2.9000000000000001E-2</v>
      </c>
      <c r="K687" s="79">
        <v>6.8920000000000003</v>
      </c>
      <c r="L687" s="61">
        <v>56.741999999999997</v>
      </c>
      <c r="M687" s="62">
        <v>5.3869999999999996</v>
      </c>
      <c r="N687" s="66">
        <v>1.4999999999999999E-2</v>
      </c>
      <c r="O687" s="57">
        <v>80.968000000000004</v>
      </c>
      <c r="P687" s="80">
        <v>4.4999999999999998E-2</v>
      </c>
      <c r="Q687" s="81">
        <v>3.5920000000000001</v>
      </c>
    </row>
    <row r="688" spans="1:17" ht="14.25" customHeight="1" x14ac:dyDescent="0.35">
      <c r="A688" s="1">
        <v>2023</v>
      </c>
      <c r="B688" s="1" t="s">
        <v>33</v>
      </c>
      <c r="C688" s="1">
        <v>17</v>
      </c>
      <c r="D688" s="49">
        <v>140.65600000000001</v>
      </c>
      <c r="E688" s="12">
        <f t="shared" si="5"/>
        <v>175.82</v>
      </c>
      <c r="F688" s="50">
        <v>119.09399999999999</v>
      </c>
      <c r="G688" s="60">
        <v>79.623000000000005</v>
      </c>
      <c r="H688" s="61">
        <v>2355.527</v>
      </c>
      <c r="I688" s="62">
        <v>6.8979999999999997</v>
      </c>
      <c r="J688" s="63">
        <v>2.9000000000000001E-2</v>
      </c>
      <c r="K688" s="64">
        <v>6.7050000000000001</v>
      </c>
      <c r="L688" s="65">
        <v>58.191000000000003</v>
      </c>
      <c r="M688" s="50">
        <v>5.0190000000000001</v>
      </c>
      <c r="N688" s="66">
        <v>1.4E-2</v>
      </c>
      <c r="O688" s="57">
        <v>219.499</v>
      </c>
      <c r="P688" s="67">
        <v>4.3999999999999997E-2</v>
      </c>
      <c r="Q688" s="68">
        <v>3.5750000000000002</v>
      </c>
    </row>
    <row r="689" spans="1:17" ht="14.25" customHeight="1" x14ac:dyDescent="0.35">
      <c r="A689" s="1">
        <v>2023</v>
      </c>
      <c r="B689" s="1" t="s">
        <v>33</v>
      </c>
      <c r="C689" s="1">
        <v>18</v>
      </c>
      <c r="D689" s="49">
        <v>141.64099999999999</v>
      </c>
      <c r="E689" s="12">
        <f t="shared" si="5"/>
        <v>177.05124999999998</v>
      </c>
      <c r="F689" s="50">
        <v>119.90600000000001</v>
      </c>
      <c r="G689" s="60">
        <v>79.722999999999999</v>
      </c>
      <c r="H689" s="61">
        <v>2388.6880000000001</v>
      </c>
      <c r="I689" s="62">
        <v>6.8979999999999997</v>
      </c>
      <c r="J689" s="63">
        <v>2.9000000000000001E-2</v>
      </c>
      <c r="K689" s="64">
        <v>6.5590000000000002</v>
      </c>
      <c r="L689" s="61">
        <v>59.957000000000001</v>
      </c>
      <c r="M689" s="62">
        <v>4.8550000000000004</v>
      </c>
      <c r="N689" s="66">
        <v>1.4999999999999999E-2</v>
      </c>
      <c r="O689" s="57">
        <v>275.71600000000001</v>
      </c>
      <c r="P689" s="67">
        <v>4.3999999999999997E-2</v>
      </c>
      <c r="Q689" s="68">
        <v>2.0099999999999998</v>
      </c>
    </row>
    <row r="690" spans="1:17" ht="14.25" customHeight="1" x14ac:dyDescent="0.35">
      <c r="A690" s="1">
        <v>2023</v>
      </c>
      <c r="B690" s="1" t="s">
        <v>33</v>
      </c>
      <c r="C690" s="1">
        <v>19</v>
      </c>
      <c r="D690" s="49">
        <v>135.875</v>
      </c>
      <c r="E690" s="12">
        <f t="shared" si="5"/>
        <v>169.84375</v>
      </c>
      <c r="F690" s="50">
        <v>114.875</v>
      </c>
      <c r="G690" s="60">
        <v>79.494</v>
      </c>
      <c r="H690" s="61">
        <v>2242.4459999999999</v>
      </c>
      <c r="I690" s="62">
        <v>6.8979999999999997</v>
      </c>
      <c r="J690" s="63">
        <v>2.9000000000000001E-2</v>
      </c>
      <c r="K690" s="64">
        <v>6.6920000000000002</v>
      </c>
      <c r="L690" s="65">
        <v>57.222999999999999</v>
      </c>
      <c r="M690" s="50">
        <v>4.867</v>
      </c>
      <c r="N690" s="66">
        <v>1.4999999999999999E-2</v>
      </c>
      <c r="O690" s="57">
        <v>267.47699999999998</v>
      </c>
      <c r="P690" s="67">
        <v>4.2999999999999997E-2</v>
      </c>
      <c r="Q690" s="68">
        <v>3.4889999999999999</v>
      </c>
    </row>
    <row r="691" spans="1:17" ht="14.25" customHeight="1" x14ac:dyDescent="0.35">
      <c r="A691" s="1">
        <v>2023</v>
      </c>
      <c r="B691" s="1" t="s">
        <v>33</v>
      </c>
      <c r="C691" s="1">
        <v>20</v>
      </c>
      <c r="D691" s="49">
        <v>140.93799999999999</v>
      </c>
      <c r="E691" s="12">
        <f t="shared" si="5"/>
        <v>176.17249999999999</v>
      </c>
      <c r="F691" s="50">
        <v>119.21899999999999</v>
      </c>
      <c r="G691" s="60">
        <v>78.736999999999995</v>
      </c>
      <c r="H691" s="61">
        <v>2316.2779999999998</v>
      </c>
      <c r="I691" s="62">
        <v>6.8979999999999997</v>
      </c>
      <c r="J691" s="63">
        <v>2.9000000000000001E-2</v>
      </c>
      <c r="K691" s="64">
        <v>6.6639999999999997</v>
      </c>
      <c r="L691" s="61">
        <v>58.113</v>
      </c>
      <c r="M691" s="62">
        <v>4.843</v>
      </c>
      <c r="N691" s="66">
        <v>1.4999999999999999E-2</v>
      </c>
      <c r="O691" s="57">
        <v>282.76600000000002</v>
      </c>
      <c r="P691" s="67">
        <v>4.2999999999999997E-2</v>
      </c>
      <c r="Q691" s="68">
        <v>5.5380000000000003</v>
      </c>
    </row>
    <row r="692" spans="1:17" ht="14.25" customHeight="1" x14ac:dyDescent="0.35">
      <c r="A692" s="1">
        <v>2023</v>
      </c>
      <c r="B692" s="1" t="s">
        <v>33</v>
      </c>
      <c r="C692" s="1">
        <v>21</v>
      </c>
      <c r="D692" s="49">
        <v>141.09399999999999</v>
      </c>
      <c r="E692" s="12">
        <f t="shared" si="5"/>
        <v>176.36750000000001</v>
      </c>
      <c r="F692" s="50">
        <v>119.5</v>
      </c>
      <c r="G692" s="60">
        <v>79.097999999999999</v>
      </c>
      <c r="H692" s="61">
        <v>2393.7240000000002</v>
      </c>
      <c r="I692" s="62">
        <v>6.8979999999999997</v>
      </c>
      <c r="J692" s="63">
        <v>2.9000000000000001E-2</v>
      </c>
      <c r="K692" s="64">
        <v>6.6710000000000003</v>
      </c>
      <c r="L692" s="65">
        <v>60.109000000000002</v>
      </c>
      <c r="M692" s="50">
        <v>4.8220000000000001</v>
      </c>
      <c r="N692" s="66">
        <v>1.4999999999999999E-2</v>
      </c>
      <c r="O692" s="57">
        <v>298.01799999999997</v>
      </c>
      <c r="P692" s="67">
        <v>4.5999999999999999E-2</v>
      </c>
      <c r="Q692" s="68">
        <v>3.835</v>
      </c>
    </row>
    <row r="693" spans="1:17" ht="14.25" customHeight="1" x14ac:dyDescent="0.35">
      <c r="A693" s="1">
        <v>2023</v>
      </c>
      <c r="B693" s="1" t="s">
        <v>33</v>
      </c>
      <c r="C693" s="1">
        <v>22</v>
      </c>
      <c r="D693" s="49">
        <v>141.828</v>
      </c>
      <c r="E693" s="12">
        <f t="shared" si="5"/>
        <v>177.285</v>
      </c>
      <c r="F693" s="50">
        <v>120</v>
      </c>
      <c r="G693" s="60">
        <v>79.376000000000005</v>
      </c>
      <c r="H693" s="61">
        <v>2427.248</v>
      </c>
      <c r="I693" s="62">
        <v>6.8979999999999997</v>
      </c>
      <c r="J693" s="63">
        <v>2.9000000000000001E-2</v>
      </c>
      <c r="K693" s="64">
        <v>6.5819999999999999</v>
      </c>
      <c r="L693" s="61">
        <v>60.784999999999997</v>
      </c>
      <c r="M693" s="62">
        <v>4.79</v>
      </c>
      <c r="N693" s="66">
        <v>1.4999999999999999E-2</v>
      </c>
      <c r="O693" s="57">
        <v>322.66000000000003</v>
      </c>
      <c r="P693" s="67">
        <v>4.4999999999999998E-2</v>
      </c>
      <c r="Q693" s="68">
        <v>6.3689999999999998</v>
      </c>
    </row>
    <row r="694" spans="1:17" ht="14.25" customHeight="1" x14ac:dyDescent="0.35">
      <c r="A694" s="1">
        <v>2023</v>
      </c>
      <c r="B694" s="1" t="s">
        <v>33</v>
      </c>
      <c r="C694" s="1">
        <v>23</v>
      </c>
      <c r="D694" s="49">
        <v>134.28100000000001</v>
      </c>
      <c r="E694" s="12">
        <f t="shared" si="5"/>
        <v>167.85124999999999</v>
      </c>
      <c r="F694" s="50">
        <v>113.53100000000001</v>
      </c>
      <c r="G694" s="60">
        <v>79.066000000000003</v>
      </c>
      <c r="H694" s="61">
        <v>2368.317</v>
      </c>
      <c r="I694" s="62">
        <v>6.8979999999999997</v>
      </c>
      <c r="J694" s="63">
        <v>2.8000000000000001E-2</v>
      </c>
      <c r="K694" s="64">
        <v>6.524</v>
      </c>
      <c r="L694" s="65">
        <v>58.67</v>
      </c>
      <c r="M694" s="50">
        <v>4.8179999999999996</v>
      </c>
      <c r="N694" s="66">
        <v>1.4999999999999999E-2</v>
      </c>
      <c r="O694" s="57">
        <v>299.10399999999998</v>
      </c>
      <c r="P694" s="67">
        <v>4.2999999999999997E-2</v>
      </c>
      <c r="Q694" s="68">
        <v>6.2309999999999999</v>
      </c>
    </row>
    <row r="695" spans="1:17" ht="14.25" customHeight="1" x14ac:dyDescent="0.35">
      <c r="A695" s="1">
        <v>2023</v>
      </c>
      <c r="B695" s="1" t="s">
        <v>33</v>
      </c>
      <c r="C695" s="1">
        <v>24</v>
      </c>
      <c r="D695" s="49">
        <v>130.15600000000001</v>
      </c>
      <c r="E695" s="12">
        <f t="shared" si="5"/>
        <v>162.69499999999999</v>
      </c>
      <c r="F695" s="50">
        <v>109.938</v>
      </c>
      <c r="G695" s="60">
        <v>79.078999999999994</v>
      </c>
      <c r="H695" s="61">
        <v>2256.2489999999998</v>
      </c>
      <c r="I695" s="62">
        <v>6.8979999999999997</v>
      </c>
      <c r="J695" s="63">
        <v>2.9000000000000001E-2</v>
      </c>
      <c r="K695" s="64">
        <v>6.3940000000000001</v>
      </c>
      <c r="L695" s="61">
        <v>55.206000000000003</v>
      </c>
      <c r="M695" s="62">
        <v>4.8490000000000002</v>
      </c>
      <c r="N695" s="66">
        <v>1.4999999999999999E-2</v>
      </c>
      <c r="O695" s="57">
        <v>277.79700000000003</v>
      </c>
      <c r="P695" s="67">
        <v>3.9E-2</v>
      </c>
      <c r="Q695" s="68">
        <v>5.3639999999999999</v>
      </c>
    </row>
    <row r="696" spans="1:17" ht="14.25" customHeight="1" x14ac:dyDescent="0.35">
      <c r="A696" s="1">
        <v>2023</v>
      </c>
      <c r="B696" s="1" t="s">
        <v>33</v>
      </c>
      <c r="C696" s="1">
        <v>25</v>
      </c>
      <c r="D696" s="49">
        <v>132.172</v>
      </c>
      <c r="E696" s="12">
        <f t="shared" si="5"/>
        <v>165.215</v>
      </c>
      <c r="F696" s="50">
        <v>111.71899999999999</v>
      </c>
      <c r="G696" s="60">
        <v>78.852999999999994</v>
      </c>
      <c r="H696" s="61">
        <v>2431.4389999999999</v>
      </c>
      <c r="I696" s="62">
        <v>6.8979999999999997</v>
      </c>
      <c r="J696" s="63">
        <v>2.9000000000000001E-2</v>
      </c>
      <c r="K696" s="64">
        <v>6.3819999999999997</v>
      </c>
      <c r="L696" s="65">
        <v>59.412999999999997</v>
      </c>
      <c r="M696" s="50">
        <v>4.8209999999999997</v>
      </c>
      <c r="N696" s="66">
        <v>1.4999999999999999E-2</v>
      </c>
      <c r="O696" s="57">
        <v>297.01</v>
      </c>
      <c r="P696" s="67">
        <v>0.04</v>
      </c>
      <c r="Q696" s="68">
        <v>7.1239999999999997</v>
      </c>
    </row>
    <row r="697" spans="1:17" ht="14.25" customHeight="1" x14ac:dyDescent="0.35">
      <c r="A697" s="1">
        <v>2023</v>
      </c>
      <c r="B697" s="1" t="s">
        <v>33</v>
      </c>
      <c r="C697" s="1">
        <v>26</v>
      </c>
      <c r="D697" s="49">
        <v>136.76599999999999</v>
      </c>
      <c r="E697" s="12">
        <f t="shared" si="5"/>
        <v>170.95749999999998</v>
      </c>
      <c r="F697" s="50">
        <v>115.59399999999999</v>
      </c>
      <c r="G697" s="60">
        <v>78.394999999999996</v>
      </c>
      <c r="H697" s="61">
        <v>2377.2840000000001</v>
      </c>
      <c r="I697" s="62">
        <v>6.8979999999999997</v>
      </c>
      <c r="J697" s="63">
        <v>2.8000000000000001E-2</v>
      </c>
      <c r="K697" s="64">
        <v>6.3710000000000004</v>
      </c>
      <c r="L697" s="61">
        <v>59.125</v>
      </c>
      <c r="M697" s="62">
        <v>4.8239999999999998</v>
      </c>
      <c r="N697" s="66">
        <v>1.4999999999999999E-2</v>
      </c>
      <c r="O697" s="57">
        <v>294.95299999999997</v>
      </c>
      <c r="P697" s="67">
        <v>0.04</v>
      </c>
      <c r="Q697" s="68">
        <v>6.9909999999999997</v>
      </c>
    </row>
    <row r="698" spans="1:17" ht="14.25" customHeight="1" x14ac:dyDescent="0.35">
      <c r="A698" s="1">
        <v>2023</v>
      </c>
      <c r="B698" s="1" t="s">
        <v>33</v>
      </c>
      <c r="C698" s="1">
        <v>27</v>
      </c>
      <c r="D698" s="12">
        <v>141.625</v>
      </c>
      <c r="E698" s="12">
        <f t="shared" si="5"/>
        <v>177.03125</v>
      </c>
      <c r="F698" s="13">
        <v>119.84399999999999</v>
      </c>
      <c r="G698" s="60">
        <v>78.465999999999994</v>
      </c>
      <c r="H698" s="61">
        <v>2404.5309999999999</v>
      </c>
      <c r="I698" s="62">
        <v>6.8979999999999997</v>
      </c>
      <c r="J698" s="63">
        <v>2.9000000000000001E-2</v>
      </c>
      <c r="K698" s="64">
        <v>6.4850000000000003</v>
      </c>
      <c r="L698" s="65">
        <v>58.384</v>
      </c>
      <c r="M698" s="50">
        <v>4.7910000000000004</v>
      </c>
      <c r="N698" s="66">
        <v>1.4999999999999999E-2</v>
      </c>
      <c r="O698" s="57">
        <v>319.13499999999999</v>
      </c>
      <c r="P698" s="67">
        <v>4.3999999999999997E-2</v>
      </c>
      <c r="Q698" s="68">
        <v>8.18</v>
      </c>
    </row>
    <row r="699" spans="1:17" ht="14.25" customHeight="1" x14ac:dyDescent="0.35">
      <c r="A699" s="1">
        <v>2023</v>
      </c>
      <c r="B699" s="1" t="s">
        <v>33</v>
      </c>
      <c r="C699" s="1">
        <v>28</v>
      </c>
      <c r="D699" s="12">
        <v>137.422</v>
      </c>
      <c r="E699" s="12">
        <f t="shared" si="5"/>
        <v>171.7775</v>
      </c>
      <c r="F699" s="13">
        <v>116.438</v>
      </c>
      <c r="G699" s="60">
        <v>78.391999999999996</v>
      </c>
      <c r="H699" s="61">
        <v>2472.1280000000002</v>
      </c>
      <c r="I699" s="62">
        <v>6.8979999999999997</v>
      </c>
      <c r="J699" s="63">
        <v>2.9000000000000001E-2</v>
      </c>
      <c r="K699" s="64">
        <v>6.4690000000000003</v>
      </c>
      <c r="L699" s="61">
        <v>61.932000000000002</v>
      </c>
      <c r="M699" s="62">
        <v>4.83</v>
      </c>
      <c r="N699" s="66">
        <v>1.4999999999999999E-2</v>
      </c>
      <c r="O699" s="57">
        <v>309.99200000000002</v>
      </c>
      <c r="P699" s="67">
        <v>4.8000000000000001E-2</v>
      </c>
      <c r="Q699" s="68">
        <v>8.3160000000000007</v>
      </c>
    </row>
    <row r="700" spans="1:17" ht="14.25" customHeight="1" x14ac:dyDescent="0.35">
      <c r="A700" s="1">
        <v>2023</v>
      </c>
      <c r="B700" s="1" t="s">
        <v>33</v>
      </c>
      <c r="C700" s="1">
        <v>29</v>
      </c>
      <c r="D700" s="12">
        <v>135.625</v>
      </c>
      <c r="E700" s="12">
        <f t="shared" si="5"/>
        <v>169.53125</v>
      </c>
      <c r="F700" s="13">
        <v>115</v>
      </c>
      <c r="G700" s="83">
        <v>78.254999999999995</v>
      </c>
      <c r="H700" s="69">
        <v>2451.8069999999998</v>
      </c>
      <c r="I700" s="50">
        <v>6.8979999999999997</v>
      </c>
      <c r="J700" s="66">
        <v>2.8000000000000001E-2</v>
      </c>
      <c r="K700" s="50">
        <v>6.4539999999999997</v>
      </c>
      <c r="L700" s="61">
        <v>62.015000000000001</v>
      </c>
      <c r="M700" s="62">
        <v>4.827</v>
      </c>
      <c r="N700" s="66">
        <v>1.4999999999999999E-2</v>
      </c>
      <c r="O700" s="57">
        <v>293.63600000000002</v>
      </c>
      <c r="P700" s="84">
        <v>4.8000000000000001E-2</v>
      </c>
      <c r="Q700" s="71">
        <v>8.41</v>
      </c>
    </row>
    <row r="701" spans="1:17" ht="14.25" customHeight="1" x14ac:dyDescent="0.35">
      <c r="A701" s="1">
        <v>2023</v>
      </c>
      <c r="B701" s="1" t="s">
        <v>33</v>
      </c>
      <c r="C701" s="1">
        <v>30</v>
      </c>
      <c r="D701" s="85">
        <v>135.672</v>
      </c>
      <c r="E701" s="12">
        <f t="shared" si="5"/>
        <v>169.59</v>
      </c>
      <c r="F701" s="86">
        <v>114.938</v>
      </c>
      <c r="G701" s="83">
        <v>78.436999999999998</v>
      </c>
      <c r="H701" s="69">
        <v>2449.4079999999999</v>
      </c>
      <c r="I701" s="50">
        <v>6.8979999999999997</v>
      </c>
      <c r="J701" s="66">
        <v>2.9000000000000001E-2</v>
      </c>
      <c r="K701" s="50">
        <v>6.657</v>
      </c>
      <c r="L701" s="61">
        <v>60.887</v>
      </c>
      <c r="M701" s="62">
        <v>4.835</v>
      </c>
      <c r="N701" s="66">
        <v>1.4999999999999999E-2</v>
      </c>
      <c r="O701" s="57">
        <v>287.60599999999999</v>
      </c>
      <c r="P701" s="84">
        <v>4.9000000000000002E-2</v>
      </c>
      <c r="Q701" s="71">
        <v>6.7009999999999996</v>
      </c>
    </row>
    <row r="702" spans="1:17" ht="14.25" customHeight="1" x14ac:dyDescent="0.35">
      <c r="A702" s="1">
        <v>2023</v>
      </c>
      <c r="B702" s="1" t="s">
        <v>34</v>
      </c>
      <c r="C702" s="1">
        <v>1</v>
      </c>
      <c r="D702" s="92">
        <v>157.5</v>
      </c>
      <c r="E702" s="12">
        <f t="shared" si="5"/>
        <v>196.875</v>
      </c>
      <c r="F702" s="50">
        <v>147.678</v>
      </c>
      <c r="G702" s="93">
        <v>78.228999999999999</v>
      </c>
      <c r="H702" s="93">
        <v>2430.4070000000002</v>
      </c>
      <c r="I702" s="93">
        <v>6.8979999999999997</v>
      </c>
      <c r="J702" s="93">
        <v>2.9000000000000001E-2</v>
      </c>
      <c r="K702" s="94">
        <v>6.5330000000000004</v>
      </c>
      <c r="L702" s="93">
        <v>60.503999999999998</v>
      </c>
      <c r="M702" s="93">
        <v>4.8129999999999997</v>
      </c>
      <c r="N702" s="93">
        <v>1.4999999999999999E-2</v>
      </c>
      <c r="O702" s="94">
        <v>302.61500000000001</v>
      </c>
      <c r="P702" s="95">
        <v>4.5999999999999999E-2</v>
      </c>
      <c r="Q702" s="96">
        <v>7.8310000000000004</v>
      </c>
    </row>
    <row r="703" spans="1:17" ht="14.25" customHeight="1" x14ac:dyDescent="0.35">
      <c r="A703" s="1">
        <v>2023</v>
      </c>
      <c r="B703" s="1" t="s">
        <v>34</v>
      </c>
      <c r="C703" s="1">
        <v>2</v>
      </c>
      <c r="D703" s="92">
        <v>157.84399999999999</v>
      </c>
      <c r="E703" s="12">
        <f t="shared" si="5"/>
        <v>197.30500000000001</v>
      </c>
      <c r="F703" s="50">
        <v>148.167</v>
      </c>
      <c r="G703" s="93">
        <v>77.957999999999998</v>
      </c>
      <c r="H703" s="93">
        <v>2424.1179999999999</v>
      </c>
      <c r="I703" s="93">
        <v>6.8979999999999997</v>
      </c>
      <c r="J703" s="93">
        <v>2.8000000000000001E-2</v>
      </c>
      <c r="K703" s="94">
        <v>6.5010000000000003</v>
      </c>
      <c r="L703" s="93">
        <v>57.805</v>
      </c>
      <c r="M703" s="93">
        <v>4.8150000000000004</v>
      </c>
      <c r="N703" s="93">
        <v>1.4999999999999999E-2</v>
      </c>
      <c r="O703" s="94">
        <v>301.18799999999999</v>
      </c>
      <c r="P703" s="95">
        <v>4.5999999999999999E-2</v>
      </c>
      <c r="Q703" s="96">
        <v>8.218</v>
      </c>
    </row>
    <row r="704" spans="1:17" ht="14.25" customHeight="1" x14ac:dyDescent="0.35">
      <c r="A704" s="1">
        <v>2023</v>
      </c>
      <c r="B704" s="1" t="s">
        <v>34</v>
      </c>
      <c r="C704" s="1">
        <v>3</v>
      </c>
      <c r="D704" s="92">
        <v>154.81299999999999</v>
      </c>
      <c r="E704" s="12">
        <f t="shared" si="5"/>
        <v>193.51624999999999</v>
      </c>
      <c r="F704" s="50">
        <v>144.97499999999999</v>
      </c>
      <c r="G704" s="93">
        <v>77.852000000000004</v>
      </c>
      <c r="H704" s="93">
        <v>2234.8069999999998</v>
      </c>
      <c r="I704" s="93">
        <v>6.8979999999999997</v>
      </c>
      <c r="J704" s="93">
        <v>2.9000000000000001E-2</v>
      </c>
      <c r="K704" s="94">
        <v>6.8319999999999999</v>
      </c>
      <c r="L704" s="93">
        <v>52.307000000000002</v>
      </c>
      <c r="M704" s="93">
        <v>4.8259999999999996</v>
      </c>
      <c r="N704" s="93">
        <v>1.4999999999999999E-2</v>
      </c>
      <c r="O704" s="94">
        <v>293.995</v>
      </c>
      <c r="P704" s="95">
        <v>4.3999999999999997E-2</v>
      </c>
      <c r="Q704" s="96">
        <v>7.867</v>
      </c>
    </row>
    <row r="705" spans="1:17" ht="14.25" customHeight="1" x14ac:dyDescent="0.35">
      <c r="A705" s="1">
        <v>2023</v>
      </c>
      <c r="B705" s="1" t="s">
        <v>34</v>
      </c>
      <c r="C705" s="1">
        <v>4</v>
      </c>
      <c r="D705" s="92">
        <v>157.34399999999999</v>
      </c>
      <c r="E705" s="12">
        <f t="shared" si="5"/>
        <v>196.68</v>
      </c>
      <c r="F705" s="50">
        <v>147.99799999999999</v>
      </c>
      <c r="G705" s="93">
        <v>77.930000000000007</v>
      </c>
      <c r="H705" s="93">
        <v>2258.8449999999998</v>
      </c>
      <c r="I705" s="93">
        <v>6.8979999999999997</v>
      </c>
      <c r="J705" s="93">
        <v>2.9000000000000001E-2</v>
      </c>
      <c r="K705" s="94">
        <v>6.8319999999999999</v>
      </c>
      <c r="L705" s="93">
        <v>53.258000000000003</v>
      </c>
      <c r="M705" s="93">
        <v>4.843</v>
      </c>
      <c r="N705" s="93">
        <v>1.4999999999999999E-2</v>
      </c>
      <c r="O705" s="94">
        <v>283.10700000000003</v>
      </c>
      <c r="P705" s="95">
        <v>4.3999999999999997E-2</v>
      </c>
      <c r="Q705" s="96">
        <v>5.8419999999999996</v>
      </c>
    </row>
    <row r="706" spans="1:17" ht="14.25" customHeight="1" x14ac:dyDescent="0.35">
      <c r="A706" s="1">
        <v>2023</v>
      </c>
      <c r="B706" s="1" t="s">
        <v>34</v>
      </c>
      <c r="C706" s="1">
        <v>5</v>
      </c>
      <c r="D706" s="92">
        <v>158.75</v>
      </c>
      <c r="E706" s="12">
        <f t="shared" si="5"/>
        <v>198.4375</v>
      </c>
      <c r="F706" s="50">
        <v>148.959</v>
      </c>
      <c r="G706" s="93">
        <v>78.182000000000002</v>
      </c>
      <c r="H706" s="93">
        <v>2302.8380000000002</v>
      </c>
      <c r="I706" s="93">
        <v>6.8979999999999997</v>
      </c>
      <c r="J706" s="93">
        <v>2.9000000000000001E-2</v>
      </c>
      <c r="K706" s="94">
        <v>7.0049999999999999</v>
      </c>
      <c r="L706" s="93">
        <v>54.332000000000001</v>
      </c>
      <c r="M706" s="93">
        <v>4.8410000000000002</v>
      </c>
      <c r="N706" s="93">
        <v>1.4999999999999999E-2</v>
      </c>
      <c r="O706" s="94">
        <v>283.90300000000002</v>
      </c>
      <c r="P706" s="95">
        <v>0.05</v>
      </c>
      <c r="Q706" s="96">
        <v>4.7290000000000001</v>
      </c>
    </row>
    <row r="707" spans="1:17" ht="14.25" customHeight="1" x14ac:dyDescent="0.35">
      <c r="A707" s="1">
        <v>2023</v>
      </c>
      <c r="B707" s="1" t="s">
        <v>34</v>
      </c>
      <c r="C707" s="1">
        <v>6</v>
      </c>
      <c r="D707" s="92">
        <v>159.03100000000001</v>
      </c>
      <c r="E707" s="12">
        <f t="shared" si="5"/>
        <v>198.78874999999999</v>
      </c>
      <c r="F707" s="50">
        <v>149.74</v>
      </c>
      <c r="G707" s="93">
        <v>78.16</v>
      </c>
      <c r="H707" s="93">
        <v>2387.3319999999999</v>
      </c>
      <c r="I707" s="93">
        <v>6.8979999999999997</v>
      </c>
      <c r="J707" s="93">
        <v>2.9000000000000001E-2</v>
      </c>
      <c r="K707" s="94">
        <v>6.8029999999999999</v>
      </c>
      <c r="L707" s="93">
        <v>53.642000000000003</v>
      </c>
      <c r="M707" s="93">
        <v>4.8159999999999998</v>
      </c>
      <c r="N707" s="93">
        <v>1.4999999999999999E-2</v>
      </c>
      <c r="O707" s="94">
        <v>300.61</v>
      </c>
      <c r="P707" s="95">
        <v>4.7E-2</v>
      </c>
      <c r="Q707" s="96">
        <v>4.4640000000000004</v>
      </c>
    </row>
    <row r="708" spans="1:17" ht="14.25" customHeight="1" x14ac:dyDescent="0.35">
      <c r="A708" s="1">
        <v>2023</v>
      </c>
      <c r="B708" s="1" t="s">
        <v>34</v>
      </c>
      <c r="C708" s="1">
        <v>7</v>
      </c>
      <c r="D708" s="92">
        <v>160.625</v>
      </c>
      <c r="E708" s="12">
        <f t="shared" si="5"/>
        <v>200.78125</v>
      </c>
      <c r="F708" s="50">
        <v>150.96799999999999</v>
      </c>
      <c r="G708" s="93">
        <v>77.753</v>
      </c>
      <c r="H708" s="93">
        <v>2404.9780000000001</v>
      </c>
      <c r="I708" s="93">
        <v>6.8979999999999997</v>
      </c>
      <c r="J708" s="93">
        <v>2.9000000000000001E-2</v>
      </c>
      <c r="K708" s="94">
        <v>6.9980000000000002</v>
      </c>
      <c r="L708" s="93">
        <v>54.007100000000001</v>
      </c>
      <c r="M708" s="93">
        <v>4.8602999999999996</v>
      </c>
      <c r="N708" s="93">
        <v>1.4999999999999999E-2</v>
      </c>
      <c r="O708" s="94">
        <v>271.90980000000002</v>
      </c>
      <c r="P708" s="95">
        <v>4.8099999999999997E-2</v>
      </c>
      <c r="Q708" s="96">
        <v>3.5609999999999999</v>
      </c>
    </row>
    <row r="709" spans="1:17" ht="14.25" customHeight="1" x14ac:dyDescent="0.35">
      <c r="A709" s="1">
        <v>2023</v>
      </c>
      <c r="B709" s="1" t="s">
        <v>34</v>
      </c>
      <c r="C709" s="1">
        <v>8</v>
      </c>
      <c r="D709" s="92">
        <v>160.125</v>
      </c>
      <c r="E709" s="12">
        <f t="shared" si="5"/>
        <v>200.15625</v>
      </c>
      <c r="F709" s="50">
        <v>150.35900000000001</v>
      </c>
      <c r="G709" s="93">
        <v>77.597999999999999</v>
      </c>
      <c r="H709" s="93">
        <v>2458.047</v>
      </c>
      <c r="I709" s="93">
        <v>6.8979999999999997</v>
      </c>
      <c r="J709" s="93">
        <v>2.9000000000000001E-2</v>
      </c>
      <c r="K709" s="94">
        <v>6.8929999999999998</v>
      </c>
      <c r="L709" s="93">
        <v>55.085000000000001</v>
      </c>
      <c r="M709" s="93">
        <v>4.9029999999999996</v>
      </c>
      <c r="N709" s="93">
        <v>1.4E-2</v>
      </c>
      <c r="O709" s="94">
        <v>245.96199999999999</v>
      </c>
      <c r="P709" s="95">
        <v>4.5999999999999999E-2</v>
      </c>
      <c r="Q709" s="96">
        <v>5.78</v>
      </c>
    </row>
    <row r="710" spans="1:17" ht="14.25" customHeight="1" x14ac:dyDescent="0.35">
      <c r="A710" s="1">
        <v>2023</v>
      </c>
      <c r="B710" s="1" t="s">
        <v>34</v>
      </c>
      <c r="C710" s="1">
        <v>9</v>
      </c>
      <c r="D710" s="92">
        <v>158.53100000000001</v>
      </c>
      <c r="E710" s="12">
        <f t="shared" si="5"/>
        <v>198.16374999999999</v>
      </c>
      <c r="F710" s="50">
        <v>148.89699999999999</v>
      </c>
      <c r="G710" s="93">
        <v>77.506</v>
      </c>
      <c r="H710" s="93">
        <v>2450.4830000000002</v>
      </c>
      <c r="I710" s="93">
        <v>6.8979999999999997</v>
      </c>
      <c r="J710" s="93">
        <v>2.9000000000000001E-2</v>
      </c>
      <c r="K710" s="94">
        <v>6.8179999999999996</v>
      </c>
      <c r="L710" s="93">
        <v>54.780999999999999</v>
      </c>
      <c r="M710" s="93">
        <v>4.8789999999999996</v>
      </c>
      <c r="N710" s="93">
        <v>1.4999999999999999E-2</v>
      </c>
      <c r="O710" s="94">
        <v>260.77699999999999</v>
      </c>
      <c r="P710" s="95">
        <v>4.3999999999999997E-2</v>
      </c>
      <c r="Q710" s="96">
        <v>5.7389999999999999</v>
      </c>
    </row>
    <row r="711" spans="1:17" ht="14.25" customHeight="1" x14ac:dyDescent="0.35">
      <c r="A711" s="1">
        <v>2023</v>
      </c>
      <c r="B711" s="1" t="s">
        <v>34</v>
      </c>
      <c r="C711" s="1">
        <v>10</v>
      </c>
      <c r="D711" s="92">
        <v>156.65600000000001</v>
      </c>
      <c r="E711" s="12">
        <f t="shared" si="5"/>
        <v>195.82</v>
      </c>
      <c r="F711" s="50">
        <v>147.34399999999999</v>
      </c>
      <c r="G711" s="93">
        <v>77.239999999999995</v>
      </c>
      <c r="H711" s="93">
        <v>2282.1840000000002</v>
      </c>
      <c r="I711" s="93">
        <v>6.8979999999999997</v>
      </c>
      <c r="J711" s="93">
        <v>2.8000000000000001E-2</v>
      </c>
      <c r="K711" s="94">
        <v>7.0170000000000003</v>
      </c>
      <c r="L711" s="93">
        <v>49.27</v>
      </c>
      <c r="M711" s="93">
        <v>4.8470000000000004</v>
      </c>
      <c r="N711" s="93">
        <v>1.4999999999999999E-2</v>
      </c>
      <c r="O711" s="94">
        <v>280.95499999999998</v>
      </c>
      <c r="P711" s="95">
        <v>4.2000000000000003E-2</v>
      </c>
      <c r="Q711" s="96">
        <v>5.383</v>
      </c>
    </row>
    <row r="712" spans="1:17" ht="14.25" customHeight="1" x14ac:dyDescent="0.35">
      <c r="A712" s="1">
        <v>2023</v>
      </c>
      <c r="B712" s="1" t="s">
        <v>34</v>
      </c>
      <c r="C712" s="1">
        <v>11</v>
      </c>
      <c r="D712" s="92">
        <v>160.43799999999999</v>
      </c>
      <c r="E712" s="12">
        <f t="shared" si="5"/>
        <v>200.54749999999999</v>
      </c>
      <c r="F712" s="50">
        <v>150.95400000000001</v>
      </c>
      <c r="G712" s="93">
        <v>77.106999999999999</v>
      </c>
      <c r="H712" s="93">
        <v>2324.9699999999998</v>
      </c>
      <c r="I712" s="93">
        <v>6.8979999999999997</v>
      </c>
      <c r="J712" s="93">
        <v>2.9000000000000001E-2</v>
      </c>
      <c r="K712" s="94">
        <v>7.0529999999999999</v>
      </c>
      <c r="L712" s="93">
        <v>49.625999999999998</v>
      </c>
      <c r="M712" s="93">
        <v>4.87</v>
      </c>
      <c r="N712" s="93">
        <v>1.4999999999999999E-2</v>
      </c>
      <c r="O712" s="94">
        <v>265.93</v>
      </c>
      <c r="P712" s="95">
        <v>4.2000000000000003E-2</v>
      </c>
      <c r="Q712" s="96">
        <v>6.0049999999999999</v>
      </c>
    </row>
    <row r="713" spans="1:17" ht="14.25" customHeight="1" x14ac:dyDescent="0.35">
      <c r="A713" s="1">
        <v>2023</v>
      </c>
      <c r="B713" s="1" t="s">
        <v>34</v>
      </c>
      <c r="C713" s="1">
        <v>12</v>
      </c>
      <c r="D713" s="92">
        <v>160.93799999999999</v>
      </c>
      <c r="E713" s="12">
        <f t="shared" si="5"/>
        <v>201.17249999999999</v>
      </c>
      <c r="F713" s="50">
        <v>151.364</v>
      </c>
      <c r="G713" s="93">
        <v>76.930000000000007</v>
      </c>
      <c r="H713" s="93">
        <v>2426.8879999999999</v>
      </c>
      <c r="I713" s="93">
        <v>6.8979999999999997</v>
      </c>
      <c r="J713" s="93">
        <v>2.9000000000000001E-2</v>
      </c>
      <c r="K713" s="94">
        <v>6.9660000000000002</v>
      </c>
      <c r="L713" s="93">
        <v>51.570999999999998</v>
      </c>
      <c r="M713" s="93">
        <v>4.883</v>
      </c>
      <c r="N713" s="93">
        <v>1.4999999999999999E-2</v>
      </c>
      <c r="O713" s="94">
        <v>257</v>
      </c>
      <c r="P713" s="95">
        <v>4.2999999999999997E-2</v>
      </c>
      <c r="Q713" s="96">
        <v>5.71</v>
      </c>
    </row>
    <row r="714" spans="1:17" ht="14.25" customHeight="1" x14ac:dyDescent="0.35">
      <c r="A714" s="1">
        <v>2023</v>
      </c>
      <c r="B714" s="1" t="s">
        <v>34</v>
      </c>
      <c r="C714" s="1">
        <v>13</v>
      </c>
      <c r="D714" s="92">
        <v>161.46899999999999</v>
      </c>
      <c r="E714" s="12">
        <f t="shared" si="5"/>
        <v>201.83625000000001</v>
      </c>
      <c r="F714" s="50">
        <v>151.57</v>
      </c>
      <c r="G714" s="93">
        <v>76.954999999999998</v>
      </c>
      <c r="H714" s="93">
        <v>2482.2890000000002</v>
      </c>
      <c r="I714" s="93">
        <v>6.8979999999999997</v>
      </c>
      <c r="J714" s="93">
        <v>2.9000000000000001E-2</v>
      </c>
      <c r="K714" s="94">
        <v>6.7919999999999998</v>
      </c>
      <c r="L714" s="93">
        <v>54.152000000000001</v>
      </c>
      <c r="M714" s="93">
        <v>4.8890000000000002</v>
      </c>
      <c r="N714" s="93">
        <v>1.4999999999999999E-2</v>
      </c>
      <c r="O714" s="94">
        <v>253.91800000000001</v>
      </c>
      <c r="P714" s="95">
        <v>4.3999999999999997E-2</v>
      </c>
      <c r="Q714" s="96">
        <v>4.3319999999999999</v>
      </c>
    </row>
    <row r="715" spans="1:17" ht="14.25" customHeight="1" x14ac:dyDescent="0.35">
      <c r="A715" s="1">
        <v>2023</v>
      </c>
      <c r="B715" s="1" t="s">
        <v>34</v>
      </c>
      <c r="C715" s="1">
        <v>14</v>
      </c>
      <c r="D715" s="92">
        <v>157.75</v>
      </c>
      <c r="E715" s="12">
        <f t="shared" si="5"/>
        <v>197.1875</v>
      </c>
      <c r="F715" s="50">
        <v>147.89500000000001</v>
      </c>
      <c r="G715" s="93">
        <v>77.27</v>
      </c>
      <c r="H715" s="93">
        <v>2511.44</v>
      </c>
      <c r="I715" s="93">
        <v>6.8979999999999997</v>
      </c>
      <c r="J715" s="93">
        <v>0.03</v>
      </c>
      <c r="K715" s="94">
        <v>6.7389999999999999</v>
      </c>
      <c r="L715" s="93">
        <v>53.652000000000001</v>
      </c>
      <c r="M715" s="93">
        <v>4.8479999999999999</v>
      </c>
      <c r="N715" s="93">
        <v>1.4999999999999999E-2</v>
      </c>
      <c r="O715" s="94">
        <v>280.78399999999999</v>
      </c>
      <c r="P715" s="95">
        <v>4.7E-2</v>
      </c>
      <c r="Q715" s="96">
        <v>5.2460000000000004</v>
      </c>
    </row>
    <row r="716" spans="1:17" ht="14.25" customHeight="1" x14ac:dyDescent="0.35">
      <c r="A716" s="1">
        <v>2023</v>
      </c>
      <c r="B716" s="1" t="s">
        <v>34</v>
      </c>
      <c r="C716" s="1">
        <v>15</v>
      </c>
      <c r="D716" s="92">
        <v>155.21899999999999</v>
      </c>
      <c r="E716" s="12">
        <f t="shared" si="5"/>
        <v>194.02375000000001</v>
      </c>
      <c r="F716" s="50">
        <v>145.47499999999999</v>
      </c>
      <c r="G716" s="93">
        <v>77.27</v>
      </c>
      <c r="H716" s="93">
        <v>2510.5680000000002</v>
      </c>
      <c r="I716" s="93">
        <v>6.8979999999999997</v>
      </c>
      <c r="J716" s="93">
        <v>2.9000000000000001E-2</v>
      </c>
      <c r="K716" s="94">
        <v>6.569</v>
      </c>
      <c r="L716" s="93">
        <v>52.524999999999999</v>
      </c>
      <c r="M716" s="93">
        <v>4.9690000000000003</v>
      </c>
      <c r="N716" s="93">
        <v>1.7000000000000001E-2</v>
      </c>
      <c r="O716" s="94">
        <v>220.90799999999999</v>
      </c>
      <c r="P716" s="95">
        <v>4.3999999999999997E-2</v>
      </c>
      <c r="Q716" s="96">
        <v>8.9949999999999992</v>
      </c>
    </row>
    <row r="717" spans="1:17" ht="14.25" customHeight="1" x14ac:dyDescent="0.35">
      <c r="A717" s="1">
        <v>2023</v>
      </c>
      <c r="B717" s="1" t="s">
        <v>34</v>
      </c>
      <c r="C717" s="1">
        <v>16</v>
      </c>
      <c r="D717" s="92">
        <v>152.93799999999999</v>
      </c>
      <c r="E717" s="12">
        <f t="shared" si="5"/>
        <v>191.17249999999999</v>
      </c>
      <c r="F717" s="50">
        <v>143.04300000000001</v>
      </c>
      <c r="G717" s="93">
        <v>77.278000000000006</v>
      </c>
      <c r="H717" s="93">
        <v>2479.7289999999998</v>
      </c>
      <c r="I717" s="93">
        <v>6.8979999999999997</v>
      </c>
      <c r="J717" s="93">
        <v>2.9000000000000001E-2</v>
      </c>
      <c r="K717" s="94">
        <v>6.6769999999999996</v>
      </c>
      <c r="L717" s="93">
        <v>49.558999999999997</v>
      </c>
      <c r="M717" s="93">
        <v>5.0170000000000003</v>
      </c>
      <c r="N717" s="93">
        <v>1.7999999999999999E-2</v>
      </c>
      <c r="O717" s="94">
        <v>190.042</v>
      </c>
      <c r="P717" s="95">
        <v>4.4999999999999998E-2</v>
      </c>
      <c r="Q717" s="96">
        <v>12.118</v>
      </c>
    </row>
    <row r="718" spans="1:17" ht="14.25" customHeight="1" x14ac:dyDescent="0.35">
      <c r="A718" s="1">
        <v>2023</v>
      </c>
      <c r="B718" s="1" t="s">
        <v>34</v>
      </c>
      <c r="C718" s="1">
        <v>17</v>
      </c>
      <c r="D718" s="92">
        <v>155.21899999999999</v>
      </c>
      <c r="E718" s="12">
        <f t="shared" si="5"/>
        <v>194.02375000000001</v>
      </c>
      <c r="F718" s="50">
        <v>145.352</v>
      </c>
      <c r="G718" s="93">
        <v>77.135999999999996</v>
      </c>
      <c r="H718" s="93">
        <v>2319.386</v>
      </c>
      <c r="I718" s="93">
        <v>6.8979999999999997</v>
      </c>
      <c r="J718" s="93">
        <v>2.9000000000000001E-2</v>
      </c>
      <c r="K718" s="94">
        <v>6.7889999999999997</v>
      </c>
      <c r="L718" s="93">
        <v>45.426000000000002</v>
      </c>
      <c r="M718" s="93">
        <v>5.05</v>
      </c>
      <c r="N718" s="93">
        <v>1.7999999999999999E-2</v>
      </c>
      <c r="O718" s="94">
        <v>175.57499999999999</v>
      </c>
      <c r="P718" s="95">
        <v>0.04</v>
      </c>
      <c r="Q718" s="96">
        <v>11.576000000000001</v>
      </c>
    </row>
    <row r="719" spans="1:17" ht="14.25" customHeight="1" x14ac:dyDescent="0.35">
      <c r="A719" s="1">
        <v>2023</v>
      </c>
      <c r="B719" s="1" t="s">
        <v>34</v>
      </c>
      <c r="C719" s="1">
        <v>18</v>
      </c>
      <c r="D719" s="92">
        <v>155.43799999999999</v>
      </c>
      <c r="E719" s="12">
        <f t="shared" si="5"/>
        <v>194.29749999999999</v>
      </c>
      <c r="F719" s="50">
        <v>145.423</v>
      </c>
      <c r="G719" s="93">
        <v>77.388000000000005</v>
      </c>
      <c r="H719" s="93">
        <v>2308.3240000000001</v>
      </c>
      <c r="I719" s="93">
        <v>6.8979999999999997</v>
      </c>
      <c r="J719" s="93">
        <v>2.9000000000000001E-2</v>
      </c>
      <c r="K719" s="94">
        <v>6.9109999999999996</v>
      </c>
      <c r="L719" s="93">
        <v>46.789000000000001</v>
      </c>
      <c r="M719" s="93">
        <v>5.0869999999999997</v>
      </c>
      <c r="N719" s="93">
        <v>1.7999999999999999E-2</v>
      </c>
      <c r="O719" s="94">
        <v>161.02099999999999</v>
      </c>
      <c r="P719" s="95">
        <v>0.04</v>
      </c>
      <c r="Q719" s="96">
        <v>10.108000000000001</v>
      </c>
    </row>
    <row r="720" spans="1:17" ht="14.25" customHeight="1" x14ac:dyDescent="0.35">
      <c r="A720" s="1">
        <v>2023</v>
      </c>
      <c r="B720" s="1" t="s">
        <v>34</v>
      </c>
      <c r="C720" s="1">
        <v>19</v>
      </c>
      <c r="D720" s="92">
        <v>155.25</v>
      </c>
      <c r="E720" s="12">
        <f t="shared" si="5"/>
        <v>194.0625</v>
      </c>
      <c r="F720" s="50">
        <v>145.328</v>
      </c>
      <c r="G720" s="93">
        <v>77.242999999999995</v>
      </c>
      <c r="H720" s="93">
        <v>2318.3879999999999</v>
      </c>
      <c r="I720" s="93">
        <v>6.8979999999999997</v>
      </c>
      <c r="J720" s="93">
        <v>2.9000000000000001E-2</v>
      </c>
      <c r="K720" s="94">
        <v>7.0650000000000004</v>
      </c>
      <c r="L720" s="93">
        <v>48.853999999999999</v>
      </c>
      <c r="M720" s="93">
        <v>5.093</v>
      </c>
      <c r="N720" s="93">
        <v>1.7999999999999999E-2</v>
      </c>
      <c r="O720" s="94">
        <v>158.303</v>
      </c>
      <c r="P720" s="95">
        <v>4.3999999999999997E-2</v>
      </c>
      <c r="Q720" s="96">
        <v>8.8659999999999997</v>
      </c>
    </row>
    <row r="721" spans="1:17" ht="14.25" customHeight="1" x14ac:dyDescent="0.35">
      <c r="A721" s="1">
        <v>2023</v>
      </c>
      <c r="B721" s="1" t="s">
        <v>34</v>
      </c>
      <c r="C721" s="1">
        <v>20</v>
      </c>
      <c r="D721" s="92">
        <v>137</v>
      </c>
      <c r="E721" s="12">
        <f t="shared" si="5"/>
        <v>171.25</v>
      </c>
      <c r="F721" s="50">
        <v>128.05000000000001</v>
      </c>
      <c r="G721" s="93">
        <v>77.531999999999996</v>
      </c>
      <c r="H721" s="93">
        <v>2309.4349999999999</v>
      </c>
      <c r="I721" s="93">
        <v>6.8979999999999997</v>
      </c>
      <c r="J721" s="93">
        <v>0.03</v>
      </c>
      <c r="K721" s="94">
        <v>7.1130000000000004</v>
      </c>
      <c r="L721" s="93">
        <v>47.259</v>
      </c>
      <c r="M721" s="93">
        <v>5.0890000000000004</v>
      </c>
      <c r="N721" s="93">
        <v>1.7999999999999999E-2</v>
      </c>
      <c r="O721" s="94">
        <v>160.715</v>
      </c>
      <c r="P721" s="95">
        <v>4.7E-2</v>
      </c>
      <c r="Q721" s="96">
        <v>4.2729999999999997</v>
      </c>
    </row>
    <row r="722" spans="1:17" ht="14.25" customHeight="1" x14ac:dyDescent="0.35">
      <c r="A722" s="1">
        <v>2023</v>
      </c>
      <c r="B722" s="1" t="s">
        <v>34</v>
      </c>
      <c r="C722" s="1">
        <v>21</v>
      </c>
      <c r="D722" s="92">
        <v>153.78100000000001</v>
      </c>
      <c r="E722" s="12">
        <f t="shared" si="5"/>
        <v>192.22624999999999</v>
      </c>
      <c r="F722" s="50">
        <v>144.12700000000001</v>
      </c>
      <c r="G722" s="93">
        <v>77.036000000000001</v>
      </c>
      <c r="H722" s="93">
        <v>2140.2269999999999</v>
      </c>
      <c r="I722" s="93">
        <v>6.8979999999999997</v>
      </c>
      <c r="J722" s="93">
        <v>2.9000000000000001E-2</v>
      </c>
      <c r="K722" s="94">
        <v>7.3810000000000002</v>
      </c>
      <c r="L722" s="93">
        <v>43.844999999999999</v>
      </c>
      <c r="M722" s="93">
        <v>5.0949999999999998</v>
      </c>
      <c r="N722" s="93">
        <v>1.7999999999999999E-2</v>
      </c>
      <c r="O722" s="94">
        <v>158.02799999999999</v>
      </c>
      <c r="P722" s="95">
        <v>5.0999999999999997E-2</v>
      </c>
      <c r="Q722" s="96">
        <v>3.7709999999999999</v>
      </c>
    </row>
    <row r="723" spans="1:17" ht="14.25" customHeight="1" x14ac:dyDescent="0.35">
      <c r="A723" s="1">
        <v>2023</v>
      </c>
      <c r="B723" s="1" t="s">
        <v>34</v>
      </c>
      <c r="C723" s="1">
        <v>22</v>
      </c>
      <c r="D723" s="92">
        <v>154.125</v>
      </c>
      <c r="E723" s="12">
        <f t="shared" si="5"/>
        <v>192.65625</v>
      </c>
      <c r="F723" s="50">
        <v>144.29599999999999</v>
      </c>
      <c r="G723" s="93">
        <v>76.632999999999996</v>
      </c>
      <c r="H723" s="93">
        <v>2196.4540000000002</v>
      </c>
      <c r="I723" s="93">
        <v>6.8979999999999997</v>
      </c>
      <c r="J723" s="93">
        <v>2.9000000000000001E-2</v>
      </c>
      <c r="K723" s="94">
        <v>7.1340000000000003</v>
      </c>
      <c r="L723" s="93">
        <v>43.615000000000002</v>
      </c>
      <c r="M723" s="93">
        <v>5.1310000000000002</v>
      </c>
      <c r="N723" s="93">
        <v>1.6E-2</v>
      </c>
      <c r="O723" s="94">
        <v>145.69</v>
      </c>
      <c r="P723" s="95">
        <v>5.5E-2</v>
      </c>
      <c r="Q723" s="96">
        <v>3.7</v>
      </c>
    </row>
    <row r="724" spans="1:17" ht="14.25" customHeight="1" x14ac:dyDescent="0.35">
      <c r="A724" s="1">
        <v>2023</v>
      </c>
      <c r="B724" s="1" t="s">
        <v>34</v>
      </c>
      <c r="C724" s="1">
        <v>23</v>
      </c>
      <c r="D724" s="92">
        <v>155.46899999999999</v>
      </c>
      <c r="E724" s="12">
        <f t="shared" si="5"/>
        <v>194.33625000000001</v>
      </c>
      <c r="F724" s="50">
        <v>145.98400000000001</v>
      </c>
      <c r="G724" s="93">
        <v>76.757000000000005</v>
      </c>
      <c r="H724" s="93">
        <v>2196.3270000000002</v>
      </c>
      <c r="I724" s="93">
        <v>6.8979999999999997</v>
      </c>
      <c r="J724" s="93">
        <v>2.9000000000000001E-2</v>
      </c>
      <c r="K724" s="94">
        <v>7.1689999999999996</v>
      </c>
      <c r="L724" s="93">
        <v>42.768000000000001</v>
      </c>
      <c r="M724" s="93">
        <v>5.1779999999999999</v>
      </c>
      <c r="N724" s="93">
        <v>1.4999999999999999E-2</v>
      </c>
      <c r="O724" s="94">
        <v>130.608</v>
      </c>
      <c r="P724" s="95">
        <v>4.5999999999999999E-2</v>
      </c>
      <c r="Q724" s="96">
        <v>1.7330000000000001</v>
      </c>
    </row>
    <row r="725" spans="1:17" ht="14.25" customHeight="1" x14ac:dyDescent="0.35">
      <c r="A725" s="1">
        <v>2023</v>
      </c>
      <c r="B725" s="1" t="s">
        <v>34</v>
      </c>
      <c r="C725" s="1">
        <v>24</v>
      </c>
      <c r="D725" s="92">
        <v>155.875</v>
      </c>
      <c r="E725" s="32">
        <v>194.23</v>
      </c>
      <c r="F725" s="50">
        <v>146.136</v>
      </c>
      <c r="G725" s="93">
        <v>76.873999999999995</v>
      </c>
      <c r="H725" s="93">
        <v>2234.4929999999999</v>
      </c>
      <c r="I725" s="93">
        <v>6.8979999999999997</v>
      </c>
      <c r="J725" s="93">
        <v>2.9000000000000001E-2</v>
      </c>
      <c r="K725" s="94">
        <v>7.1710000000000003</v>
      </c>
      <c r="L725" s="93">
        <v>44.337000000000003</v>
      </c>
      <c r="M725" s="93">
        <v>5.1660000000000004</v>
      </c>
      <c r="N725" s="93">
        <v>1.4999999999999999E-2</v>
      </c>
      <c r="O725" s="94">
        <v>134.458</v>
      </c>
      <c r="P725" s="95">
        <v>3.5999999999999997E-2</v>
      </c>
      <c r="Q725" s="96">
        <v>2.6739999999999999</v>
      </c>
    </row>
    <row r="726" spans="1:17" ht="14.25" customHeight="1" x14ac:dyDescent="0.35">
      <c r="A726" s="1">
        <v>2023</v>
      </c>
      <c r="B726" s="1" t="s">
        <v>34</v>
      </c>
      <c r="C726" s="1">
        <v>25</v>
      </c>
      <c r="D726" s="92">
        <v>153.34399999999999</v>
      </c>
      <c r="E726" s="12">
        <f t="shared" ref="E726:E729" si="6">D726*1.25</f>
        <v>191.68</v>
      </c>
      <c r="F726" s="50">
        <v>143.791</v>
      </c>
      <c r="G726" s="93">
        <v>76.671000000000006</v>
      </c>
      <c r="H726" s="93">
        <v>2279.636</v>
      </c>
      <c r="I726" s="93">
        <v>6.8970000000000002</v>
      </c>
      <c r="J726" s="93">
        <v>2.9000000000000001E-2</v>
      </c>
      <c r="K726" s="94">
        <v>6.6449999999999996</v>
      </c>
      <c r="L726" s="93">
        <v>48.970999999999997</v>
      </c>
      <c r="M726" s="93">
        <v>5.16</v>
      </c>
      <c r="N726" s="93">
        <v>1.5599999999999999E-2</v>
      </c>
      <c r="O726" s="94">
        <v>136.55600000000001</v>
      </c>
      <c r="P726" s="95">
        <v>3.3000000000000002E-2</v>
      </c>
      <c r="Q726" s="96">
        <v>3.5680000000000001</v>
      </c>
    </row>
    <row r="727" spans="1:17" ht="14.25" customHeight="1" x14ac:dyDescent="0.35">
      <c r="A727" s="1">
        <v>2023</v>
      </c>
      <c r="B727" s="1" t="s">
        <v>34</v>
      </c>
      <c r="C727" s="1">
        <v>26</v>
      </c>
      <c r="D727" s="92">
        <v>148.53100000000001</v>
      </c>
      <c r="E727" s="12">
        <f t="shared" si="6"/>
        <v>185.66374999999999</v>
      </c>
      <c r="F727" s="50">
        <v>138.66200000000001</v>
      </c>
      <c r="G727" s="93">
        <v>76.415999999999997</v>
      </c>
      <c r="H727" s="93">
        <v>2387.3380000000002</v>
      </c>
      <c r="I727" s="93">
        <v>6.8979999999999997</v>
      </c>
      <c r="J727" s="93">
        <v>0.03</v>
      </c>
      <c r="K727" s="94">
        <v>6.71</v>
      </c>
      <c r="L727" s="93">
        <v>51.710999999999999</v>
      </c>
      <c r="M727" s="93">
        <v>5.202</v>
      </c>
      <c r="N727" s="93">
        <v>1.4999999999999999E-2</v>
      </c>
      <c r="O727" s="94">
        <v>123.455</v>
      </c>
      <c r="P727" s="95">
        <v>3.4000000000000002E-2</v>
      </c>
      <c r="Q727" s="96">
        <v>2.7559999999999998</v>
      </c>
    </row>
    <row r="728" spans="1:17" ht="14.25" customHeight="1" x14ac:dyDescent="0.35">
      <c r="A728" s="1">
        <v>2023</v>
      </c>
      <c r="B728" s="1" t="s">
        <v>34</v>
      </c>
      <c r="C728" s="1">
        <v>27</v>
      </c>
      <c r="D728" s="97">
        <v>155</v>
      </c>
      <c r="E728" s="12">
        <f t="shared" si="6"/>
        <v>193.75</v>
      </c>
      <c r="F728" s="13">
        <v>145.09399999999999</v>
      </c>
      <c r="G728" s="93">
        <v>76.504999999999995</v>
      </c>
      <c r="H728" s="93">
        <v>2356.759</v>
      </c>
      <c r="I728" s="93">
        <v>6.8979999999999997</v>
      </c>
      <c r="J728" s="93">
        <v>0.03</v>
      </c>
      <c r="K728" s="94">
        <v>7.1660000000000004</v>
      </c>
      <c r="L728" s="93">
        <v>49.22</v>
      </c>
      <c r="M728" s="93">
        <v>5.1970000000000001</v>
      </c>
      <c r="N728" s="93">
        <v>1.4999999999999999E-2</v>
      </c>
      <c r="O728" s="94">
        <v>124.82899999999999</v>
      </c>
      <c r="P728" s="95">
        <v>3.6999999999999998E-2</v>
      </c>
      <c r="Q728" s="96">
        <v>2.5550000000000002</v>
      </c>
    </row>
    <row r="729" spans="1:17" ht="14.25" customHeight="1" x14ac:dyDescent="0.35">
      <c r="A729" s="1">
        <v>2023</v>
      </c>
      <c r="B729" s="1" t="s">
        <v>34</v>
      </c>
      <c r="C729" s="1">
        <v>28</v>
      </c>
      <c r="D729" s="97">
        <v>154.84399999999999</v>
      </c>
      <c r="E729" s="12">
        <f t="shared" si="6"/>
        <v>193.55500000000001</v>
      </c>
      <c r="F729" s="13">
        <v>145.36199999999999</v>
      </c>
      <c r="G729" s="93">
        <v>76.727000000000004</v>
      </c>
      <c r="H729" s="93">
        <v>2351.1889999999999</v>
      </c>
      <c r="I729" s="93">
        <v>6.8979999999999997</v>
      </c>
      <c r="J729" s="93">
        <v>3.2000000000000001E-2</v>
      </c>
      <c r="K729" s="94">
        <v>7.2460000000000004</v>
      </c>
      <c r="L729" s="93">
        <v>47.774999999999999</v>
      </c>
      <c r="M729" s="93">
        <v>5.2</v>
      </c>
      <c r="N729" s="93">
        <v>1.4999999999999999E-2</v>
      </c>
      <c r="O729" s="94">
        <v>124.22199999999999</v>
      </c>
      <c r="P729" s="95">
        <v>3.9E-2</v>
      </c>
      <c r="Q729" s="96">
        <v>3.92</v>
      </c>
    </row>
    <row r="730" spans="1:17" ht="14.25" customHeight="1" x14ac:dyDescent="0.35">
      <c r="A730" s="1">
        <v>2023</v>
      </c>
      <c r="B730" s="1" t="s">
        <v>34</v>
      </c>
      <c r="C730" s="1">
        <v>29</v>
      </c>
      <c r="D730" s="97">
        <v>99.781000000000006</v>
      </c>
      <c r="E730" s="32">
        <v>124.44</v>
      </c>
      <c r="F730" s="13">
        <v>93.885000000000005</v>
      </c>
      <c r="G730" s="93">
        <v>76.372</v>
      </c>
      <c r="H730" s="93">
        <v>2398.9349999999999</v>
      </c>
      <c r="I730" s="93">
        <v>6.78</v>
      </c>
      <c r="J730" s="93">
        <v>5.8000000000000003E-2</v>
      </c>
      <c r="K730" s="94">
        <v>7.1319999999999997</v>
      </c>
      <c r="L730" s="93">
        <v>55.8</v>
      </c>
      <c r="M730" s="93">
        <v>5.18</v>
      </c>
      <c r="N730" s="93">
        <v>1.6E-2</v>
      </c>
      <c r="O730" s="94">
        <v>649.17100000000005</v>
      </c>
      <c r="P730" s="95">
        <v>6.4000000000000001E-2</v>
      </c>
      <c r="Q730" s="96">
        <v>5.5030000000000001</v>
      </c>
    </row>
    <row r="731" spans="1:17" ht="14.25" customHeight="1" x14ac:dyDescent="0.35">
      <c r="A731" s="1">
        <v>2023</v>
      </c>
      <c r="B731" s="1" t="s">
        <v>34</v>
      </c>
      <c r="C731" s="1">
        <v>30</v>
      </c>
      <c r="D731" s="97">
        <v>141.03100000000001</v>
      </c>
      <c r="E731" s="12">
        <f t="shared" ref="E731:E742" si="7">D731*1.25</f>
        <v>176.28874999999999</v>
      </c>
      <c r="F731" s="13">
        <v>132.06899999999999</v>
      </c>
      <c r="G731" s="93">
        <v>76.355999999999995</v>
      </c>
      <c r="H731" s="93">
        <v>2298.6280000000002</v>
      </c>
      <c r="I731" s="93">
        <v>6.9</v>
      </c>
      <c r="J731" s="93">
        <v>0.03</v>
      </c>
      <c r="K731" s="94">
        <v>7.26</v>
      </c>
      <c r="L731" s="93">
        <v>47.088999999999999</v>
      </c>
      <c r="M731" s="93">
        <v>5.1890000000000001</v>
      </c>
      <c r="N731" s="93">
        <v>1.6E-2</v>
      </c>
      <c r="O731" s="94">
        <v>126.979</v>
      </c>
      <c r="P731" s="95">
        <v>5.6000000000000001E-2</v>
      </c>
      <c r="Q731" s="96">
        <v>4.9640000000000004</v>
      </c>
    </row>
    <row r="732" spans="1:17" ht="14.25" customHeight="1" x14ac:dyDescent="0.35">
      <c r="A732" s="1">
        <v>2023</v>
      </c>
      <c r="B732" s="1" t="s">
        <v>34</v>
      </c>
      <c r="C732" s="1">
        <v>31</v>
      </c>
      <c r="D732" s="98">
        <v>148.59399999999999</v>
      </c>
      <c r="E732" s="12">
        <f t="shared" si="7"/>
        <v>185.74250000000001</v>
      </c>
      <c r="F732" s="86">
        <v>139.238</v>
      </c>
      <c r="G732" s="93">
        <v>75.774000000000001</v>
      </c>
      <c r="H732" s="93">
        <v>2231.9140000000002</v>
      </c>
      <c r="I732" s="93">
        <v>6.9</v>
      </c>
      <c r="J732" s="93">
        <v>3.1E-2</v>
      </c>
      <c r="K732" s="94">
        <v>7.3659999999999997</v>
      </c>
      <c r="L732" s="93">
        <v>46.427999999999997</v>
      </c>
      <c r="M732" s="93">
        <v>5.1959999999999997</v>
      </c>
      <c r="N732" s="93">
        <v>1.6E-2</v>
      </c>
      <c r="O732" s="94">
        <v>125.25</v>
      </c>
      <c r="P732" s="95">
        <v>5.3999999999999999E-2</v>
      </c>
      <c r="Q732" s="96">
        <v>4.7009999999999996</v>
      </c>
    </row>
    <row r="733" spans="1:17" ht="14.25" customHeight="1" x14ac:dyDescent="0.35">
      <c r="A733" s="1">
        <v>2022</v>
      </c>
      <c r="B733" s="1" t="s">
        <v>22</v>
      </c>
      <c r="C733" s="1">
        <v>1</v>
      </c>
      <c r="D733" s="49">
        <v>101.15600000000001</v>
      </c>
      <c r="E733" s="12">
        <f t="shared" si="7"/>
        <v>126.44500000000001</v>
      </c>
      <c r="F733" s="50">
        <v>86.188000000000002</v>
      </c>
      <c r="G733" s="51">
        <v>74.358999999999995</v>
      </c>
      <c r="H733" s="52">
        <v>1558.066</v>
      </c>
      <c r="I733" s="53">
        <v>6.9</v>
      </c>
      <c r="J733" s="54">
        <v>2.3E-2</v>
      </c>
      <c r="K733" s="59">
        <v>8.0630000000000006</v>
      </c>
      <c r="L733" s="52">
        <v>30.64</v>
      </c>
      <c r="M733" s="55">
        <v>5.2370000000000001</v>
      </c>
      <c r="N733" s="56">
        <v>1.4E-2</v>
      </c>
      <c r="O733" s="57">
        <v>114.598</v>
      </c>
      <c r="P733" s="58">
        <v>4.7E-2</v>
      </c>
      <c r="Q733" s="96"/>
    </row>
    <row r="734" spans="1:17" ht="14.25" customHeight="1" x14ac:dyDescent="0.35">
      <c r="A734" s="1">
        <v>2022</v>
      </c>
      <c r="B734" s="1" t="s">
        <v>22</v>
      </c>
      <c r="C734" s="1">
        <v>2</v>
      </c>
      <c r="D734" s="49">
        <v>95.375</v>
      </c>
      <c r="E734" s="12">
        <f t="shared" si="7"/>
        <v>119.21875</v>
      </c>
      <c r="F734" s="50">
        <v>81.313000000000002</v>
      </c>
      <c r="G734" s="60">
        <v>74.082999999999998</v>
      </c>
      <c r="H734" s="61">
        <v>1545.2190000000001</v>
      </c>
      <c r="I734" s="62">
        <v>6.9</v>
      </c>
      <c r="J734" s="63">
        <v>2.4E-2</v>
      </c>
      <c r="K734" s="68">
        <v>8.0969999999999995</v>
      </c>
      <c r="L734" s="65">
        <v>32.577100000000002</v>
      </c>
      <c r="M734" s="50">
        <v>5.2614000000000001</v>
      </c>
      <c r="N734" s="66">
        <v>1.4E-2</v>
      </c>
      <c r="O734" s="57">
        <v>108.2728</v>
      </c>
      <c r="P734" s="67">
        <v>4.4400000000000002E-2</v>
      </c>
      <c r="Q734" s="96"/>
    </row>
    <row r="735" spans="1:17" ht="14.25" customHeight="1" x14ac:dyDescent="0.35">
      <c r="A735" s="1">
        <v>2022</v>
      </c>
      <c r="B735" s="1" t="s">
        <v>22</v>
      </c>
      <c r="C735" s="1">
        <v>3</v>
      </c>
      <c r="D735" s="49">
        <v>93.703000000000003</v>
      </c>
      <c r="E735" s="12">
        <f t="shared" si="7"/>
        <v>117.12875</v>
      </c>
      <c r="F735" s="50">
        <v>80</v>
      </c>
      <c r="G735" s="60">
        <v>74.078000000000003</v>
      </c>
      <c r="H735" s="61">
        <v>1535.7860000000001</v>
      </c>
      <c r="I735" s="62">
        <v>6.9</v>
      </c>
      <c r="J735" s="63">
        <v>2.5999999999999999E-2</v>
      </c>
      <c r="K735" s="68">
        <v>8.5709999999999997</v>
      </c>
      <c r="L735" s="65">
        <v>31.813400000000001</v>
      </c>
      <c r="M735" s="50">
        <v>5.2601000000000004</v>
      </c>
      <c r="N735" s="66">
        <v>1.4E-2</v>
      </c>
      <c r="O735" s="57">
        <v>108.3817</v>
      </c>
      <c r="P735" s="67">
        <v>4.6399999999999997E-2</v>
      </c>
      <c r="Q735" s="96"/>
    </row>
    <row r="736" spans="1:17" ht="14.25" customHeight="1" x14ac:dyDescent="0.35">
      <c r="A736" s="1">
        <v>2022</v>
      </c>
      <c r="B736" s="1" t="s">
        <v>22</v>
      </c>
      <c r="C736" s="1">
        <v>4</v>
      </c>
      <c r="D736" s="49">
        <v>93.796999999999997</v>
      </c>
      <c r="E736" s="12">
        <f t="shared" si="7"/>
        <v>117.24625</v>
      </c>
      <c r="F736" s="50">
        <v>79.968999999999994</v>
      </c>
      <c r="G736" s="60">
        <v>74.191999999999993</v>
      </c>
      <c r="H736" s="61">
        <v>1628.1679999999999</v>
      </c>
      <c r="I736" s="62">
        <v>6.9</v>
      </c>
      <c r="J736" s="63">
        <v>2.5000000000000001E-2</v>
      </c>
      <c r="K736" s="68">
        <v>8.7629999999999999</v>
      </c>
      <c r="L736" s="65">
        <v>32.116</v>
      </c>
      <c r="M736" s="50">
        <v>5.2539999999999996</v>
      </c>
      <c r="N736" s="66">
        <v>1.4E-2</v>
      </c>
      <c r="O736" s="57">
        <v>109.764</v>
      </c>
      <c r="P736" s="67">
        <v>4.8500000000000001E-2</v>
      </c>
      <c r="Q736" s="96"/>
    </row>
    <row r="737" spans="1:17" ht="14.25" customHeight="1" x14ac:dyDescent="0.35">
      <c r="A737" s="1">
        <v>2022</v>
      </c>
      <c r="B737" s="1" t="s">
        <v>22</v>
      </c>
      <c r="C737" s="1">
        <v>5</v>
      </c>
      <c r="D737" s="49">
        <v>101.188</v>
      </c>
      <c r="E737" s="12">
        <f t="shared" si="7"/>
        <v>126.485</v>
      </c>
      <c r="F737" s="50">
        <v>86.188000000000002</v>
      </c>
      <c r="G737" s="60">
        <v>74.632000000000005</v>
      </c>
      <c r="H737" s="61">
        <v>1696.463</v>
      </c>
      <c r="I737" s="62">
        <v>6.9</v>
      </c>
      <c r="J737" s="63">
        <v>2.5999999999999999E-2</v>
      </c>
      <c r="K737" s="68">
        <v>8.7789999999999999</v>
      </c>
      <c r="L737" s="65">
        <v>34.182000000000002</v>
      </c>
      <c r="M737" s="50">
        <v>5.2519999999999998</v>
      </c>
      <c r="N737" s="66">
        <v>1.4E-2</v>
      </c>
      <c r="O737" s="57">
        <v>110.961</v>
      </c>
      <c r="P737" s="67">
        <v>5.0999999999999997E-2</v>
      </c>
      <c r="Q737" s="96"/>
    </row>
    <row r="738" spans="1:17" ht="14.25" customHeight="1" x14ac:dyDescent="0.35">
      <c r="A738" s="1">
        <v>2022</v>
      </c>
      <c r="B738" s="1" t="s">
        <v>22</v>
      </c>
      <c r="C738" s="1">
        <v>6</v>
      </c>
      <c r="D738" s="49">
        <v>106.23399999999999</v>
      </c>
      <c r="E738" s="12">
        <f t="shared" si="7"/>
        <v>132.79249999999999</v>
      </c>
      <c r="F738" s="50">
        <v>90.563000000000002</v>
      </c>
      <c r="G738" s="60">
        <v>74.855999999999995</v>
      </c>
      <c r="H738" s="61">
        <v>1720.2550000000001</v>
      </c>
      <c r="I738" s="62">
        <v>6.9</v>
      </c>
      <c r="J738" s="63">
        <v>2.7E-2</v>
      </c>
      <c r="K738" s="68">
        <v>8.8339999999999996</v>
      </c>
      <c r="L738" s="65">
        <v>36.646999999999998</v>
      </c>
      <c r="M738" s="50">
        <v>5.2590000000000003</v>
      </c>
      <c r="N738" s="66">
        <v>1.4E-2</v>
      </c>
      <c r="O738" s="57">
        <v>108.27500000000001</v>
      </c>
      <c r="P738" s="67">
        <v>5.0999999999999997E-2</v>
      </c>
      <c r="Q738" s="96"/>
    </row>
    <row r="739" spans="1:17" ht="14.25" customHeight="1" x14ac:dyDescent="0.35">
      <c r="A739" s="1">
        <v>2022</v>
      </c>
      <c r="B739" s="1" t="s">
        <v>22</v>
      </c>
      <c r="C739" s="1">
        <v>7</v>
      </c>
      <c r="D739" s="49">
        <v>107.85899999999999</v>
      </c>
      <c r="E739" s="12">
        <f t="shared" si="7"/>
        <v>134.82374999999999</v>
      </c>
      <c r="F739" s="50">
        <v>91.875</v>
      </c>
      <c r="G739" s="60">
        <v>74.468999999999994</v>
      </c>
      <c r="H739" s="61">
        <v>1718.1479999999999</v>
      </c>
      <c r="I739" s="62">
        <v>6.9</v>
      </c>
      <c r="J739" s="63">
        <v>0.03</v>
      </c>
      <c r="K739" s="68">
        <v>8.4640000000000004</v>
      </c>
      <c r="L739" s="65">
        <v>36.186999999999998</v>
      </c>
      <c r="M739" s="50">
        <v>5.3029999999999999</v>
      </c>
      <c r="N739" s="66">
        <v>1.4999999999999999E-2</v>
      </c>
      <c r="O739" s="57">
        <v>100.047</v>
      </c>
      <c r="P739" s="67">
        <v>4.9000000000000002E-2</v>
      </c>
      <c r="Q739" s="96"/>
    </row>
    <row r="740" spans="1:17" ht="14.25" customHeight="1" x14ac:dyDescent="0.35">
      <c r="A740" s="1">
        <v>2022</v>
      </c>
      <c r="B740" s="1" t="s">
        <v>22</v>
      </c>
      <c r="C740" s="1">
        <v>8</v>
      </c>
      <c r="D740" s="49">
        <v>108.73399999999999</v>
      </c>
      <c r="E740" s="12">
        <f t="shared" si="7"/>
        <v>135.91749999999999</v>
      </c>
      <c r="F740" s="50">
        <v>92.188000000000002</v>
      </c>
      <c r="G740" s="60">
        <v>74.796999999999997</v>
      </c>
      <c r="H740" s="69">
        <v>1704.172</v>
      </c>
      <c r="I740" s="62">
        <v>6.9</v>
      </c>
      <c r="J740" s="63">
        <v>3.1E-2</v>
      </c>
      <c r="K740" s="71">
        <v>8.3699999999999992</v>
      </c>
      <c r="L740" s="65">
        <v>34.618000000000002</v>
      </c>
      <c r="M740" s="50">
        <v>5.3449999999999998</v>
      </c>
      <c r="N740" s="66">
        <v>1.7999999999999999E-2</v>
      </c>
      <c r="O740" s="57">
        <v>88.747</v>
      </c>
      <c r="P740" s="67">
        <v>4.9000000000000002E-2</v>
      </c>
      <c r="Q740" s="96"/>
    </row>
    <row r="741" spans="1:17" ht="14.25" customHeight="1" x14ac:dyDescent="0.35">
      <c r="A741" s="1">
        <v>2022</v>
      </c>
      <c r="B741" s="1" t="s">
        <v>22</v>
      </c>
      <c r="C741" s="1">
        <v>9</v>
      </c>
      <c r="D741" s="49">
        <v>105.78100000000001</v>
      </c>
      <c r="E741" s="12">
        <f t="shared" si="7"/>
        <v>132.22624999999999</v>
      </c>
      <c r="F741" s="50">
        <v>89.813000000000002</v>
      </c>
      <c r="G741" s="60">
        <v>74.894999999999996</v>
      </c>
      <c r="H741" s="61">
        <v>1609.9369999999999</v>
      </c>
      <c r="I741" s="62">
        <v>6.9</v>
      </c>
      <c r="J741" s="63">
        <v>3.3000000000000002E-2</v>
      </c>
      <c r="K741" s="68">
        <v>8.3130000000000006</v>
      </c>
      <c r="L741" s="65">
        <v>32.545999999999999</v>
      </c>
      <c r="M741" s="50">
        <v>5.3390000000000004</v>
      </c>
      <c r="N741" s="66">
        <v>1.7999999999999999E-2</v>
      </c>
      <c r="O741" s="57">
        <v>90.393000000000001</v>
      </c>
      <c r="P741" s="67">
        <v>4.4999999999999998E-2</v>
      </c>
      <c r="Q741" s="96"/>
    </row>
    <row r="742" spans="1:17" ht="14.25" customHeight="1" x14ac:dyDescent="0.35">
      <c r="A742" s="1">
        <v>2022</v>
      </c>
      <c r="B742" s="1" t="s">
        <v>22</v>
      </c>
      <c r="C742" s="1">
        <v>10</v>
      </c>
      <c r="D742" s="49">
        <v>106.10899999999999</v>
      </c>
      <c r="E742" s="12">
        <f t="shared" si="7"/>
        <v>132.63624999999999</v>
      </c>
      <c r="F742" s="50">
        <v>90</v>
      </c>
      <c r="G742" s="72">
        <v>75.004999999999995</v>
      </c>
      <c r="H742" s="61">
        <v>1554.847</v>
      </c>
      <c r="I742" s="62">
        <v>6.9</v>
      </c>
      <c r="J742" s="63">
        <v>0.03</v>
      </c>
      <c r="K742" s="76">
        <v>8.5719999999999992</v>
      </c>
      <c r="L742" s="65">
        <v>30.805</v>
      </c>
      <c r="M742" s="50">
        <v>5.3540000000000001</v>
      </c>
      <c r="N742" s="74">
        <v>1.7999999999999999E-2</v>
      </c>
      <c r="O742" s="57">
        <v>87.058999999999997</v>
      </c>
      <c r="P742" s="75">
        <v>5.5E-2</v>
      </c>
      <c r="Q742" s="96"/>
    </row>
    <row r="743" spans="1:17" ht="14.25" customHeight="1" x14ac:dyDescent="0.35">
      <c r="A743" s="1">
        <v>2022</v>
      </c>
      <c r="B743" s="1" t="s">
        <v>22</v>
      </c>
      <c r="C743" s="1">
        <v>11</v>
      </c>
      <c r="D743" s="49">
        <v>106.26600000000001</v>
      </c>
      <c r="E743" s="32">
        <v>132.54</v>
      </c>
      <c r="F743" s="50">
        <v>89.968999999999994</v>
      </c>
      <c r="G743" s="72">
        <v>75.218999999999994</v>
      </c>
      <c r="H743" s="61">
        <v>1652.318</v>
      </c>
      <c r="I743" s="62">
        <v>6.9</v>
      </c>
      <c r="J743" s="63">
        <v>2.9000000000000001E-2</v>
      </c>
      <c r="K743" s="76">
        <v>8.4879999999999995</v>
      </c>
      <c r="L743" s="65">
        <v>34.15</v>
      </c>
      <c r="M743" s="50">
        <v>5.35</v>
      </c>
      <c r="N743" s="74">
        <v>0.02</v>
      </c>
      <c r="O743" s="57">
        <v>87.816999999999993</v>
      </c>
      <c r="P743" s="75">
        <v>6.2E-2</v>
      </c>
      <c r="Q743" s="96"/>
    </row>
    <row r="744" spans="1:17" ht="14.25" customHeight="1" x14ac:dyDescent="0.35">
      <c r="A744" s="1">
        <v>2022</v>
      </c>
      <c r="B744" s="1" t="s">
        <v>22</v>
      </c>
      <c r="C744" s="1">
        <v>12</v>
      </c>
      <c r="D744" s="49">
        <v>106.26600000000001</v>
      </c>
      <c r="E744" s="12">
        <f t="shared" ref="E744:E764" si="8">D744*1.25</f>
        <v>132.83250000000001</v>
      </c>
      <c r="F744" s="50">
        <v>89.656000000000006</v>
      </c>
      <c r="G744" s="72">
        <v>75.225999999999999</v>
      </c>
      <c r="H744" s="61">
        <v>1687.6990000000001</v>
      </c>
      <c r="I744" s="62">
        <v>6.9</v>
      </c>
      <c r="J744" s="63">
        <v>2.8000000000000001E-2</v>
      </c>
      <c r="K744" s="76">
        <v>8.6609999999999996</v>
      </c>
      <c r="L744" s="65">
        <v>34.764000000000003</v>
      </c>
      <c r="M744" s="50">
        <v>5.3540000000000001</v>
      </c>
      <c r="N744" s="74">
        <v>1.7999999999999999E-2</v>
      </c>
      <c r="O744" s="57">
        <v>87.218999999999994</v>
      </c>
      <c r="P744" s="75">
        <v>5.5E-2</v>
      </c>
      <c r="Q744" s="96"/>
    </row>
    <row r="745" spans="1:17" ht="14.25" customHeight="1" x14ac:dyDescent="0.35">
      <c r="A745" s="1">
        <v>2022</v>
      </c>
      <c r="B745" s="1" t="s">
        <v>22</v>
      </c>
      <c r="C745" s="1">
        <v>13</v>
      </c>
      <c r="D745" s="99">
        <v>109.7</v>
      </c>
      <c r="E745" s="12">
        <f t="shared" si="8"/>
        <v>137.125</v>
      </c>
      <c r="F745" s="50">
        <v>92.843999999999994</v>
      </c>
      <c r="G745" s="78">
        <v>75.459999999999994</v>
      </c>
      <c r="H745" s="61">
        <v>1710.299</v>
      </c>
      <c r="I745" s="62">
        <v>6.9</v>
      </c>
      <c r="J745" s="63">
        <v>2.7E-2</v>
      </c>
      <c r="K745" s="81">
        <v>8.9280000000000008</v>
      </c>
      <c r="L745" s="65">
        <v>35.618000000000002</v>
      </c>
      <c r="M745" s="50">
        <v>5.3360000000000003</v>
      </c>
      <c r="N745" s="66">
        <v>1.7999999999999999E-2</v>
      </c>
      <c r="O745" s="57">
        <v>91.001999999999995</v>
      </c>
      <c r="P745" s="80">
        <v>6.4000000000000001E-2</v>
      </c>
      <c r="Q745" s="96"/>
    </row>
    <row r="746" spans="1:17" ht="14.25" customHeight="1" x14ac:dyDescent="0.35">
      <c r="A746" s="1">
        <v>2022</v>
      </c>
      <c r="B746" s="1" t="s">
        <v>22</v>
      </c>
      <c r="C746" s="1">
        <v>14</v>
      </c>
      <c r="D746" s="49">
        <v>112.01600000000001</v>
      </c>
      <c r="E746" s="12">
        <f t="shared" si="8"/>
        <v>140.02000000000001</v>
      </c>
      <c r="F746" s="50">
        <v>95</v>
      </c>
      <c r="G746" s="60">
        <v>75.569999999999993</v>
      </c>
      <c r="H746" s="61">
        <v>1703.731</v>
      </c>
      <c r="I746" s="62">
        <v>6.9</v>
      </c>
      <c r="J746" s="63">
        <v>2.4E-2</v>
      </c>
      <c r="K746" s="81">
        <v>8.5259999999999998</v>
      </c>
      <c r="L746" s="82">
        <v>36.823</v>
      </c>
      <c r="M746" s="50">
        <v>5.2549999999999999</v>
      </c>
      <c r="N746" s="66">
        <v>1.6E-2</v>
      </c>
      <c r="O746" s="57">
        <v>110.169</v>
      </c>
      <c r="P746" s="80">
        <v>5.2999999999999999E-2</v>
      </c>
      <c r="Q746" s="96"/>
    </row>
    <row r="747" spans="1:17" ht="14.25" customHeight="1" x14ac:dyDescent="0.35">
      <c r="A747" s="1">
        <v>2022</v>
      </c>
      <c r="B747" s="1" t="s">
        <v>22</v>
      </c>
      <c r="C747" s="1">
        <v>15</v>
      </c>
      <c r="D747" s="49">
        <v>108.828</v>
      </c>
      <c r="E747" s="12">
        <f t="shared" si="8"/>
        <v>136.035</v>
      </c>
      <c r="F747" s="50">
        <v>92.375</v>
      </c>
      <c r="G747" s="60">
        <v>75.313999999999993</v>
      </c>
      <c r="H747" s="61">
        <v>1676.4010000000001</v>
      </c>
      <c r="I747" s="62">
        <v>6.9</v>
      </c>
      <c r="J747" s="63">
        <v>2.5000000000000001E-2</v>
      </c>
      <c r="K747" s="76">
        <v>8.6210000000000004</v>
      </c>
      <c r="L747" s="65">
        <v>35.594000000000001</v>
      </c>
      <c r="M747" s="50">
        <v>5.2329999999999997</v>
      </c>
      <c r="N747" s="66">
        <v>1.4E-2</v>
      </c>
      <c r="O747" s="57">
        <v>115.03400000000001</v>
      </c>
      <c r="P747" s="75">
        <v>4.8000000000000001E-2</v>
      </c>
      <c r="Q747" s="96"/>
    </row>
    <row r="748" spans="1:17" ht="14.25" customHeight="1" x14ac:dyDescent="0.35">
      <c r="A748" s="1">
        <v>2022</v>
      </c>
      <c r="B748" s="1" t="s">
        <v>22</v>
      </c>
      <c r="C748" s="1">
        <v>16</v>
      </c>
      <c r="D748" s="49">
        <v>105.953</v>
      </c>
      <c r="E748" s="12">
        <f t="shared" si="8"/>
        <v>132.44125</v>
      </c>
      <c r="F748" s="50">
        <v>89.968999999999994</v>
      </c>
      <c r="G748" s="60">
        <v>75.763000000000005</v>
      </c>
      <c r="H748" s="61">
        <v>1613.7670000000001</v>
      </c>
      <c r="I748" s="62">
        <v>6.9</v>
      </c>
      <c r="J748" s="63">
        <v>2.4E-2</v>
      </c>
      <c r="K748" s="81">
        <v>8.67</v>
      </c>
      <c r="L748" s="61">
        <v>33.603999999999999</v>
      </c>
      <c r="M748" s="62">
        <v>5.2080000000000002</v>
      </c>
      <c r="N748" s="66">
        <v>1.4E-2</v>
      </c>
      <c r="O748" s="57">
        <v>122.137</v>
      </c>
      <c r="P748" s="80">
        <v>4.4999999999999998E-2</v>
      </c>
      <c r="Q748" s="96"/>
    </row>
    <row r="749" spans="1:17" ht="14.25" customHeight="1" x14ac:dyDescent="0.35">
      <c r="A749" s="1">
        <v>2022</v>
      </c>
      <c r="B749" s="1" t="s">
        <v>22</v>
      </c>
      <c r="C749" s="1">
        <v>17</v>
      </c>
      <c r="D749" s="49">
        <v>105.96899999999999</v>
      </c>
      <c r="E749" s="12">
        <f t="shared" si="8"/>
        <v>132.46125000000001</v>
      </c>
      <c r="F749" s="50">
        <v>89.968999999999994</v>
      </c>
      <c r="G749" s="60">
        <v>75.453999999999994</v>
      </c>
      <c r="H749" s="61">
        <v>1566.383</v>
      </c>
      <c r="I749" s="62">
        <v>6.9</v>
      </c>
      <c r="J749" s="63">
        <v>2.5000000000000001E-2</v>
      </c>
      <c r="K749" s="68">
        <v>8.8000000000000007</v>
      </c>
      <c r="L749" s="65">
        <v>33.125</v>
      </c>
      <c r="M749" s="50">
        <v>5.2350000000000003</v>
      </c>
      <c r="N749" s="66">
        <v>1.4E-2</v>
      </c>
      <c r="O749" s="57">
        <v>114.54600000000001</v>
      </c>
      <c r="P749" s="67">
        <v>4.7E-2</v>
      </c>
      <c r="Q749" s="96"/>
    </row>
    <row r="750" spans="1:17" ht="14.25" customHeight="1" x14ac:dyDescent="0.35">
      <c r="A750" s="1">
        <v>2022</v>
      </c>
      <c r="B750" s="1" t="s">
        <v>22</v>
      </c>
      <c r="C750" s="1">
        <v>18</v>
      </c>
      <c r="D750" s="49">
        <v>106.063</v>
      </c>
      <c r="E750" s="12">
        <f t="shared" si="8"/>
        <v>132.57875000000001</v>
      </c>
      <c r="F750" s="50">
        <v>90</v>
      </c>
      <c r="G750" s="60">
        <v>75.759</v>
      </c>
      <c r="H750" s="61">
        <v>1625.4359999999999</v>
      </c>
      <c r="I750" s="62">
        <v>6.9</v>
      </c>
      <c r="J750" s="63">
        <v>2.4E-2</v>
      </c>
      <c r="K750" s="68">
        <v>9.0329999999999995</v>
      </c>
      <c r="L750" s="61">
        <v>33.697000000000003</v>
      </c>
      <c r="M750" s="62">
        <v>5.2220000000000004</v>
      </c>
      <c r="N750" s="66">
        <v>1.4E-2</v>
      </c>
      <c r="O750" s="57">
        <v>118.101</v>
      </c>
      <c r="P750" s="67">
        <v>5.3999999999999999E-2</v>
      </c>
      <c r="Q750" s="96"/>
    </row>
    <row r="751" spans="1:17" ht="14.25" customHeight="1" x14ac:dyDescent="0.35">
      <c r="A751" s="1">
        <v>2022</v>
      </c>
      <c r="B751" s="1" t="s">
        <v>22</v>
      </c>
      <c r="C751" s="1">
        <v>19</v>
      </c>
      <c r="D751" s="49">
        <v>108.84399999999999</v>
      </c>
      <c r="E751" s="12">
        <f t="shared" si="8"/>
        <v>136.05500000000001</v>
      </c>
      <c r="F751" s="50">
        <v>92.093999999999994</v>
      </c>
      <c r="G751" s="60">
        <v>75.680999999999997</v>
      </c>
      <c r="H751" s="61">
        <v>1682.855</v>
      </c>
      <c r="I751" s="62">
        <v>6.9</v>
      </c>
      <c r="J751" s="63">
        <v>2.4E-2</v>
      </c>
      <c r="K751" s="68">
        <v>8.7129999999999992</v>
      </c>
      <c r="L751" s="65">
        <v>36.279000000000003</v>
      </c>
      <c r="M751" s="50">
        <v>5.218</v>
      </c>
      <c r="N751" s="66">
        <v>1.4E-2</v>
      </c>
      <c r="O751" s="57">
        <v>119.069</v>
      </c>
      <c r="P751" s="67">
        <v>5.2999999999999999E-2</v>
      </c>
      <c r="Q751" s="96"/>
    </row>
    <row r="752" spans="1:17" ht="14.25" customHeight="1" x14ac:dyDescent="0.35">
      <c r="A752" s="1">
        <v>2022</v>
      </c>
      <c r="B752" s="1" t="s">
        <v>22</v>
      </c>
      <c r="C752" s="1">
        <v>20</v>
      </c>
      <c r="D752" s="49">
        <v>110.90600000000001</v>
      </c>
      <c r="E752" s="12">
        <f t="shared" si="8"/>
        <v>138.63249999999999</v>
      </c>
      <c r="F752" s="50">
        <v>94.031000000000006</v>
      </c>
      <c r="G752" s="60">
        <v>75.688999999999993</v>
      </c>
      <c r="H752" s="61">
        <v>1733.979</v>
      </c>
      <c r="I752" s="62">
        <v>6.9</v>
      </c>
      <c r="J752" s="63">
        <v>2.4E-2</v>
      </c>
      <c r="K752" s="68">
        <v>8.4939999999999998</v>
      </c>
      <c r="L752" s="61">
        <v>36.527999999999999</v>
      </c>
      <c r="M752" s="62">
        <v>5.1929999999999996</v>
      </c>
      <c r="N752" s="66">
        <v>1.4E-2</v>
      </c>
      <c r="O752" s="57">
        <v>126.036</v>
      </c>
      <c r="P752" s="67">
        <v>5.0999999999999997E-2</v>
      </c>
      <c r="Q752" s="96"/>
    </row>
    <row r="753" spans="1:17" ht="14.25" customHeight="1" x14ac:dyDescent="0.35">
      <c r="A753" s="1">
        <v>2022</v>
      </c>
      <c r="B753" s="1" t="s">
        <v>22</v>
      </c>
      <c r="C753" s="1">
        <v>21</v>
      </c>
      <c r="D753" s="49">
        <v>111.938</v>
      </c>
      <c r="E753" s="12">
        <f t="shared" si="8"/>
        <v>139.92250000000001</v>
      </c>
      <c r="F753" s="50">
        <v>94.938000000000002</v>
      </c>
      <c r="G753" s="60">
        <v>75.415000000000006</v>
      </c>
      <c r="H753" s="61">
        <v>1697.56</v>
      </c>
      <c r="I753" s="62">
        <v>6.9</v>
      </c>
      <c r="J753" s="63">
        <v>2.3E-2</v>
      </c>
      <c r="K753" s="68">
        <v>8.4149999999999991</v>
      </c>
      <c r="L753" s="65">
        <v>35.963000000000001</v>
      </c>
      <c r="M753" s="50">
        <v>5.1230000000000002</v>
      </c>
      <c r="N753" s="66">
        <v>1.7999999999999999E-2</v>
      </c>
      <c r="O753" s="57">
        <v>149.108</v>
      </c>
      <c r="P753" s="67">
        <v>5.0999999999999997E-2</v>
      </c>
      <c r="Q753" s="96"/>
    </row>
    <row r="754" spans="1:17" ht="14.25" customHeight="1" x14ac:dyDescent="0.35">
      <c r="A754" s="1">
        <v>2022</v>
      </c>
      <c r="B754" s="1" t="s">
        <v>22</v>
      </c>
      <c r="C754" s="1">
        <v>22</v>
      </c>
      <c r="D754" s="49">
        <v>110.51600000000001</v>
      </c>
      <c r="E754" s="12">
        <f t="shared" si="8"/>
        <v>138.14500000000001</v>
      </c>
      <c r="F754" s="49">
        <v>93.813000000000002</v>
      </c>
      <c r="G754" s="60">
        <v>74.936000000000007</v>
      </c>
      <c r="H754" s="65">
        <v>1670.558</v>
      </c>
      <c r="I754" s="49">
        <v>6.9</v>
      </c>
      <c r="J754" s="100">
        <v>2.4E-2</v>
      </c>
      <c r="K754" s="101">
        <v>8.4420000000000002</v>
      </c>
      <c r="L754" s="102">
        <v>33.786999999999999</v>
      </c>
      <c r="M754" s="49">
        <v>5.0549999999999997</v>
      </c>
      <c r="N754" s="100">
        <v>0.02</v>
      </c>
      <c r="O754" s="65">
        <v>173.45400000000001</v>
      </c>
      <c r="P754" s="103">
        <v>4.8000000000000001E-2</v>
      </c>
      <c r="Q754" s="96"/>
    </row>
    <row r="755" spans="1:17" ht="14.25" customHeight="1" x14ac:dyDescent="0.35">
      <c r="A755" s="1">
        <v>2022</v>
      </c>
      <c r="B755" s="1" t="s">
        <v>22</v>
      </c>
      <c r="C755" s="1">
        <v>23</v>
      </c>
      <c r="D755" s="49">
        <v>107.65600000000001</v>
      </c>
      <c r="E755" s="12">
        <f t="shared" si="8"/>
        <v>134.57</v>
      </c>
      <c r="F755" s="50">
        <v>91.406000000000006</v>
      </c>
      <c r="G755" s="51">
        <v>74.796999999999997</v>
      </c>
      <c r="H755" s="52">
        <v>1664.7470000000001</v>
      </c>
      <c r="I755" s="53">
        <v>6.9</v>
      </c>
      <c r="J755" s="54">
        <v>2.5000000000000001E-2</v>
      </c>
      <c r="K755" s="59">
        <v>9.14</v>
      </c>
      <c r="L755" s="52">
        <v>35.229999999999997</v>
      </c>
      <c r="M755" s="55">
        <v>5.0979999999999999</v>
      </c>
      <c r="N755" s="56">
        <v>0.02</v>
      </c>
      <c r="O755" s="57">
        <v>157.55699999999999</v>
      </c>
      <c r="P755" s="58">
        <v>5.7000000000000002E-2</v>
      </c>
      <c r="Q755" s="96"/>
    </row>
    <row r="756" spans="1:17" ht="14.25" customHeight="1" x14ac:dyDescent="0.35">
      <c r="A756" s="1">
        <v>2022</v>
      </c>
      <c r="B756" s="1" t="s">
        <v>22</v>
      </c>
      <c r="C756" s="1">
        <v>24</v>
      </c>
      <c r="D756" s="49">
        <v>111.203</v>
      </c>
      <c r="E756" s="12">
        <f t="shared" si="8"/>
        <v>139.00375</v>
      </c>
      <c r="F756" s="50">
        <v>94.218999999999994</v>
      </c>
      <c r="G756" s="60">
        <v>74.664000000000001</v>
      </c>
      <c r="H756" s="61">
        <v>1743.5039999999999</v>
      </c>
      <c r="I756" s="62">
        <v>6.9</v>
      </c>
      <c r="J756" s="63">
        <v>2.5000000000000001E-2</v>
      </c>
      <c r="K756" s="68">
        <v>8.7720000000000002</v>
      </c>
      <c r="L756" s="65">
        <v>36.014000000000003</v>
      </c>
      <c r="M756" s="50">
        <v>5.048</v>
      </c>
      <c r="N756" s="66">
        <v>0.02</v>
      </c>
      <c r="O756" s="57">
        <v>176.37899999999999</v>
      </c>
      <c r="P756" s="67">
        <v>5.7000000000000002E-2</v>
      </c>
      <c r="Q756" s="96"/>
    </row>
    <row r="757" spans="1:17" ht="14.25" customHeight="1" x14ac:dyDescent="0.35">
      <c r="A757" s="1">
        <v>2022</v>
      </c>
      <c r="B757" s="1" t="s">
        <v>22</v>
      </c>
      <c r="C757" s="1">
        <v>25</v>
      </c>
      <c r="D757" s="49">
        <v>106.125</v>
      </c>
      <c r="E757" s="12">
        <f t="shared" si="8"/>
        <v>132.65625</v>
      </c>
      <c r="F757" s="50">
        <v>89.938000000000002</v>
      </c>
      <c r="G757" s="60">
        <v>74.474000000000004</v>
      </c>
      <c r="H757" s="61">
        <v>1725.471</v>
      </c>
      <c r="I757" s="62">
        <v>6.9</v>
      </c>
      <c r="J757" s="63">
        <v>2.5000000000000001E-2</v>
      </c>
      <c r="K757" s="68">
        <v>8.4540000000000006</v>
      </c>
      <c r="L757" s="65">
        <v>34.526000000000003</v>
      </c>
      <c r="M757" s="50">
        <v>5.0460000000000003</v>
      </c>
      <c r="N757" s="66">
        <v>1.9E-2</v>
      </c>
      <c r="O757" s="57">
        <v>177.279</v>
      </c>
      <c r="P757" s="67">
        <v>5.2999999999999999E-2</v>
      </c>
      <c r="Q757" s="96"/>
    </row>
    <row r="758" spans="1:17" ht="14.25" customHeight="1" x14ac:dyDescent="0.35">
      <c r="A758" s="1">
        <v>2022</v>
      </c>
      <c r="B758" s="1" t="s">
        <v>22</v>
      </c>
      <c r="C758" s="1">
        <v>26</v>
      </c>
      <c r="D758" s="49">
        <v>107.28100000000001</v>
      </c>
      <c r="E758" s="12">
        <f t="shared" si="8"/>
        <v>134.10124999999999</v>
      </c>
      <c r="F758" s="50">
        <v>91</v>
      </c>
      <c r="G758" s="60">
        <v>74.617999999999995</v>
      </c>
      <c r="H758" s="61">
        <v>1723.991</v>
      </c>
      <c r="I758" s="62">
        <v>6.9</v>
      </c>
      <c r="J758" s="63">
        <v>2.5000000000000001E-2</v>
      </c>
      <c r="K758" s="68">
        <v>8.4990000000000006</v>
      </c>
      <c r="L758" s="65">
        <v>33.667000000000002</v>
      </c>
      <c r="M758" s="50">
        <v>5.1280000000000001</v>
      </c>
      <c r="N758" s="66">
        <v>0.02</v>
      </c>
      <c r="O758" s="57">
        <v>148.62899999999999</v>
      </c>
      <c r="P758" s="67">
        <v>5.5E-2</v>
      </c>
      <c r="Q758" s="96"/>
    </row>
    <row r="759" spans="1:17" ht="14.25" customHeight="1" x14ac:dyDescent="0.35">
      <c r="A759" s="1">
        <v>2022</v>
      </c>
      <c r="B759" s="1" t="s">
        <v>22</v>
      </c>
      <c r="C759" s="1">
        <v>27</v>
      </c>
      <c r="D759" s="49">
        <v>110.203</v>
      </c>
      <c r="E759" s="12">
        <f t="shared" si="8"/>
        <v>137.75375</v>
      </c>
      <c r="F759" s="50">
        <v>93.5</v>
      </c>
      <c r="G759" s="60">
        <v>74.680000000000007</v>
      </c>
      <c r="H759" s="61">
        <v>1730.1489999999999</v>
      </c>
      <c r="I759" s="62">
        <v>6.9</v>
      </c>
      <c r="J759" s="63">
        <v>2.5000000000000001E-2</v>
      </c>
      <c r="K759" s="68">
        <v>8.6489999999999991</v>
      </c>
      <c r="L759" s="65">
        <v>33.972000000000001</v>
      </c>
      <c r="M759" s="50">
        <v>5.165</v>
      </c>
      <c r="N759" s="66">
        <v>0.02</v>
      </c>
      <c r="O759" s="57">
        <v>135.00700000000001</v>
      </c>
      <c r="P759" s="67">
        <v>5.3999999999999999E-2</v>
      </c>
      <c r="Q759" s="96"/>
    </row>
    <row r="760" spans="1:17" ht="14.25" customHeight="1" x14ac:dyDescent="0.35">
      <c r="A760" s="1">
        <v>2022</v>
      </c>
      <c r="B760" s="1" t="s">
        <v>22</v>
      </c>
      <c r="C760" s="1">
        <v>28</v>
      </c>
      <c r="D760" s="49">
        <v>102.063</v>
      </c>
      <c r="E760" s="12">
        <f t="shared" si="8"/>
        <v>127.57875</v>
      </c>
      <c r="F760" s="50">
        <v>86.593999999999994</v>
      </c>
      <c r="G760" s="60">
        <v>74.906000000000006</v>
      </c>
      <c r="H760" s="61">
        <v>1644.28</v>
      </c>
      <c r="I760" s="62">
        <v>6.9</v>
      </c>
      <c r="J760" s="63">
        <v>2.4E-2</v>
      </c>
      <c r="K760" s="68">
        <v>8.5</v>
      </c>
      <c r="L760" s="65">
        <v>32.28</v>
      </c>
      <c r="M760" s="50">
        <v>5.1749999999999998</v>
      </c>
      <c r="N760" s="66">
        <v>1.9E-2</v>
      </c>
      <c r="O760" s="57">
        <v>131.82</v>
      </c>
      <c r="P760" s="67">
        <v>4.9000000000000002E-2</v>
      </c>
      <c r="Q760" s="96"/>
    </row>
    <row r="761" spans="1:17" ht="14.25" customHeight="1" x14ac:dyDescent="0.35">
      <c r="A761" s="1">
        <v>2022</v>
      </c>
      <c r="B761" s="1" t="s">
        <v>22</v>
      </c>
      <c r="C761" s="1">
        <v>29</v>
      </c>
      <c r="D761" s="49">
        <v>105.51600000000001</v>
      </c>
      <c r="E761" s="12">
        <f t="shared" si="8"/>
        <v>131.89500000000001</v>
      </c>
      <c r="F761" s="50">
        <v>89.406000000000006</v>
      </c>
      <c r="G761" s="60">
        <v>75.150000000000006</v>
      </c>
      <c r="H761" s="61">
        <v>1565.837</v>
      </c>
      <c r="I761" s="62">
        <v>6.9</v>
      </c>
      <c r="J761" s="63">
        <v>2.5000000000000001E-2</v>
      </c>
      <c r="K761" s="68">
        <v>8.8710000000000004</v>
      </c>
      <c r="L761" s="65">
        <v>30.853999999999999</v>
      </c>
      <c r="M761" s="50">
        <v>5.1820000000000004</v>
      </c>
      <c r="N761" s="66">
        <v>1.9E-2</v>
      </c>
      <c r="O761" s="57">
        <v>129.608</v>
      </c>
      <c r="P761" s="67">
        <v>0.05</v>
      </c>
      <c r="Q761" s="96"/>
    </row>
    <row r="762" spans="1:17" ht="14.25" customHeight="1" x14ac:dyDescent="0.35">
      <c r="A762" s="1">
        <v>2022</v>
      </c>
      <c r="B762" s="1" t="s">
        <v>22</v>
      </c>
      <c r="C762" s="1">
        <v>30</v>
      </c>
      <c r="D762" s="49">
        <v>105.89100000000001</v>
      </c>
      <c r="E762" s="12">
        <f t="shared" si="8"/>
        <v>132.36375000000001</v>
      </c>
      <c r="F762" s="50">
        <v>89.781000000000006</v>
      </c>
      <c r="G762" s="60">
        <v>75.387</v>
      </c>
      <c r="H762" s="69">
        <v>1690.623</v>
      </c>
      <c r="I762" s="62">
        <v>6.9</v>
      </c>
      <c r="J762" s="63">
        <v>2.5999999999999999E-2</v>
      </c>
      <c r="K762" s="71">
        <v>9.0190000000000001</v>
      </c>
      <c r="L762" s="65">
        <v>35.090000000000003</v>
      </c>
      <c r="M762" s="50">
        <v>5.1829999999999998</v>
      </c>
      <c r="N762" s="66">
        <v>1.9E-2</v>
      </c>
      <c r="O762" s="57">
        <v>128.86600000000001</v>
      </c>
      <c r="P762" s="67">
        <v>5.7000000000000002E-2</v>
      </c>
      <c r="Q762" s="96"/>
    </row>
    <row r="763" spans="1:17" ht="14.25" customHeight="1" x14ac:dyDescent="0.35">
      <c r="A763" s="1">
        <v>2022</v>
      </c>
      <c r="B763" s="1" t="s">
        <v>22</v>
      </c>
      <c r="C763" s="1">
        <v>31</v>
      </c>
      <c r="D763" s="104">
        <v>100.73399999999999</v>
      </c>
      <c r="E763" s="12">
        <f t="shared" si="8"/>
        <v>125.91749999999999</v>
      </c>
      <c r="F763" s="105">
        <v>85.406000000000006</v>
      </c>
      <c r="G763" s="60">
        <v>75.959999999999994</v>
      </c>
      <c r="H763" s="61">
        <v>1755.595</v>
      </c>
      <c r="I763" s="62">
        <v>6.9</v>
      </c>
      <c r="J763" s="63">
        <v>2.5999999999999999E-2</v>
      </c>
      <c r="K763" s="68">
        <v>8.7050000000000001</v>
      </c>
      <c r="L763" s="65">
        <v>36.143000000000001</v>
      </c>
      <c r="M763" s="50">
        <v>5.1680000000000001</v>
      </c>
      <c r="N763" s="66">
        <v>1.9E-2</v>
      </c>
      <c r="O763" s="57">
        <v>134.13300000000001</v>
      </c>
      <c r="P763" s="67">
        <v>5.6000000000000001E-2</v>
      </c>
      <c r="Q763" s="96"/>
    </row>
    <row r="764" spans="1:17" ht="14.25" customHeight="1" x14ac:dyDescent="0.35">
      <c r="A764" s="1">
        <v>2022</v>
      </c>
      <c r="B764" s="1" t="s">
        <v>23</v>
      </c>
      <c r="C764" s="1">
        <v>1</v>
      </c>
      <c r="D764" s="12">
        <v>106.125</v>
      </c>
      <c r="E764" s="12">
        <f t="shared" si="8"/>
        <v>132.65625</v>
      </c>
      <c r="F764" s="13">
        <v>89.843999999999994</v>
      </c>
      <c r="G764" s="51">
        <v>74.796999999999997</v>
      </c>
      <c r="H764" s="52">
        <v>1664.7470000000001</v>
      </c>
      <c r="I764" s="53">
        <v>6.9</v>
      </c>
      <c r="J764" s="54">
        <v>2.5000000000000001E-2</v>
      </c>
      <c r="K764" s="59">
        <v>9.14</v>
      </c>
      <c r="L764" s="52">
        <v>35.229999999999997</v>
      </c>
      <c r="M764" s="55">
        <v>5.0979999999999999</v>
      </c>
      <c r="N764" s="56">
        <v>0.02</v>
      </c>
      <c r="O764" s="57">
        <v>157.55699999999999</v>
      </c>
      <c r="P764" s="58">
        <v>5.7000000000000002E-2</v>
      </c>
      <c r="Q764" s="96"/>
    </row>
    <row r="765" spans="1:17" ht="14.25" customHeight="1" x14ac:dyDescent="0.35">
      <c r="A765" s="1">
        <v>2022</v>
      </c>
      <c r="B765" s="1" t="s">
        <v>24</v>
      </c>
      <c r="C765" s="1">
        <v>2</v>
      </c>
      <c r="D765" s="49">
        <v>107.5</v>
      </c>
      <c r="E765" s="32">
        <v>132.44999999999999</v>
      </c>
      <c r="F765" s="50">
        <v>91.188000000000002</v>
      </c>
      <c r="G765" s="60">
        <v>74.664000000000001</v>
      </c>
      <c r="H765" s="61">
        <v>1743.5039999999999</v>
      </c>
      <c r="I765" s="62">
        <v>6.9</v>
      </c>
      <c r="J765" s="63">
        <v>2.5000000000000001E-2</v>
      </c>
      <c r="K765" s="68">
        <v>8.7720000000000002</v>
      </c>
      <c r="L765" s="65">
        <v>36.014000000000003</v>
      </c>
      <c r="M765" s="50">
        <v>5.048</v>
      </c>
      <c r="N765" s="66">
        <v>0.02</v>
      </c>
      <c r="O765" s="57">
        <v>176.37899999999999</v>
      </c>
      <c r="P765" s="67">
        <v>5.7000000000000002E-2</v>
      </c>
      <c r="Q765" s="96"/>
    </row>
    <row r="766" spans="1:17" ht="14.25" customHeight="1" x14ac:dyDescent="0.35">
      <c r="A766" s="1">
        <v>2022</v>
      </c>
      <c r="B766" s="1" t="s">
        <v>23</v>
      </c>
      <c r="C766" s="1">
        <v>3</v>
      </c>
      <c r="D766" s="49">
        <v>107.51600000000001</v>
      </c>
      <c r="E766" s="12">
        <f t="shared" ref="E766:E797" si="9">D766*1.25</f>
        <v>134.39500000000001</v>
      </c>
      <c r="F766" s="50">
        <v>91.281000000000006</v>
      </c>
      <c r="G766" s="60">
        <v>74.474000000000004</v>
      </c>
      <c r="H766" s="61">
        <v>1725.471</v>
      </c>
      <c r="I766" s="62">
        <v>6.9</v>
      </c>
      <c r="J766" s="63">
        <v>2.5000000000000001E-2</v>
      </c>
      <c r="K766" s="68">
        <v>8.4540000000000006</v>
      </c>
      <c r="L766" s="65">
        <v>34.526000000000003</v>
      </c>
      <c r="M766" s="50">
        <v>5.0460000000000003</v>
      </c>
      <c r="N766" s="66">
        <v>1.9E-2</v>
      </c>
      <c r="O766" s="57">
        <v>177.279</v>
      </c>
      <c r="P766" s="67">
        <v>5.2999999999999999E-2</v>
      </c>
      <c r="Q766" s="96"/>
    </row>
    <row r="767" spans="1:17" ht="14.25" customHeight="1" x14ac:dyDescent="0.35">
      <c r="A767" s="1">
        <v>2022</v>
      </c>
      <c r="B767" s="1" t="s">
        <v>23</v>
      </c>
      <c r="C767" s="1">
        <v>4</v>
      </c>
      <c r="D767" s="49">
        <v>111.90600000000001</v>
      </c>
      <c r="E767" s="12">
        <f t="shared" si="9"/>
        <v>139.88249999999999</v>
      </c>
      <c r="F767" s="50">
        <v>95</v>
      </c>
      <c r="G767" s="60">
        <v>74.617999999999995</v>
      </c>
      <c r="H767" s="61">
        <v>1723.991</v>
      </c>
      <c r="I767" s="62">
        <v>6.9</v>
      </c>
      <c r="J767" s="63">
        <v>2.5000000000000001E-2</v>
      </c>
      <c r="K767" s="68">
        <v>8.4990000000000006</v>
      </c>
      <c r="L767" s="65">
        <v>33.667000000000002</v>
      </c>
      <c r="M767" s="50">
        <v>5.1280000000000001</v>
      </c>
      <c r="N767" s="66">
        <v>0.02</v>
      </c>
      <c r="O767" s="57">
        <v>148.62899999999999</v>
      </c>
      <c r="P767" s="67">
        <v>5.5E-2</v>
      </c>
      <c r="Q767" s="96"/>
    </row>
    <row r="768" spans="1:17" ht="14.25" customHeight="1" x14ac:dyDescent="0.35">
      <c r="A768" s="1">
        <v>2022</v>
      </c>
      <c r="B768" s="1" t="s">
        <v>23</v>
      </c>
      <c r="C768" s="1">
        <v>5</v>
      </c>
      <c r="D768" s="49">
        <v>107.563</v>
      </c>
      <c r="E768" s="12">
        <f t="shared" si="9"/>
        <v>134.45375000000001</v>
      </c>
      <c r="F768" s="50">
        <v>91.375</v>
      </c>
      <c r="G768" s="60">
        <v>74.680000000000007</v>
      </c>
      <c r="H768" s="61">
        <v>1730.1489999999999</v>
      </c>
      <c r="I768" s="62">
        <v>6.9</v>
      </c>
      <c r="J768" s="63">
        <v>2.5000000000000001E-2</v>
      </c>
      <c r="K768" s="68">
        <v>8.6489999999999991</v>
      </c>
      <c r="L768" s="65">
        <v>33.972000000000001</v>
      </c>
      <c r="M768" s="50">
        <v>5.165</v>
      </c>
      <c r="N768" s="66">
        <v>0.02</v>
      </c>
      <c r="O768" s="57">
        <v>135.00700000000001</v>
      </c>
      <c r="P768" s="67">
        <v>5.3999999999999999E-2</v>
      </c>
      <c r="Q768" s="96"/>
    </row>
    <row r="769" spans="1:17" ht="14.25" customHeight="1" x14ac:dyDescent="0.35">
      <c r="A769" s="1">
        <v>2022</v>
      </c>
      <c r="B769" s="1" t="s">
        <v>23</v>
      </c>
      <c r="C769" s="1">
        <v>6</v>
      </c>
      <c r="D769" s="49">
        <v>105.01600000000001</v>
      </c>
      <c r="E769" s="12">
        <f t="shared" si="9"/>
        <v>131.27000000000001</v>
      </c>
      <c r="F769" s="50">
        <v>89.125</v>
      </c>
      <c r="G769" s="60">
        <v>74.906000000000006</v>
      </c>
      <c r="H769" s="61">
        <v>1644.28</v>
      </c>
      <c r="I769" s="62">
        <v>6.9</v>
      </c>
      <c r="J769" s="63">
        <v>2.4E-2</v>
      </c>
      <c r="K769" s="68">
        <v>8.5</v>
      </c>
      <c r="L769" s="65">
        <v>32.28</v>
      </c>
      <c r="M769" s="50">
        <v>5.1749999999999998</v>
      </c>
      <c r="N769" s="66">
        <v>1.9E-2</v>
      </c>
      <c r="O769" s="57">
        <v>131.82</v>
      </c>
      <c r="P769" s="67">
        <v>4.9000000000000002E-2</v>
      </c>
      <c r="Q769" s="96"/>
    </row>
    <row r="770" spans="1:17" ht="14.25" customHeight="1" x14ac:dyDescent="0.35">
      <c r="A770" s="1">
        <v>2022</v>
      </c>
      <c r="B770" s="1" t="s">
        <v>23</v>
      </c>
      <c r="C770" s="1">
        <v>7</v>
      </c>
      <c r="D770" s="49">
        <v>107.48399999999999</v>
      </c>
      <c r="E770" s="12">
        <f t="shared" si="9"/>
        <v>134.35499999999999</v>
      </c>
      <c r="F770" s="50">
        <v>91.156000000000006</v>
      </c>
      <c r="G770" s="60">
        <v>75.150000000000006</v>
      </c>
      <c r="H770" s="61">
        <v>1565.837</v>
      </c>
      <c r="I770" s="62">
        <v>6.9</v>
      </c>
      <c r="J770" s="63">
        <v>2.5000000000000001E-2</v>
      </c>
      <c r="K770" s="68">
        <v>8.8710000000000004</v>
      </c>
      <c r="L770" s="65">
        <v>30.853999999999999</v>
      </c>
      <c r="M770" s="50">
        <v>5.1820000000000004</v>
      </c>
      <c r="N770" s="66">
        <v>1.9E-2</v>
      </c>
      <c r="O770" s="57">
        <v>129.608</v>
      </c>
      <c r="P770" s="67">
        <v>0.05</v>
      </c>
      <c r="Q770" s="96"/>
    </row>
    <row r="771" spans="1:17" ht="14.25" customHeight="1" x14ac:dyDescent="0.35">
      <c r="A771" s="1">
        <v>2022</v>
      </c>
      <c r="B771" s="1" t="s">
        <v>23</v>
      </c>
      <c r="C771" s="1">
        <v>8</v>
      </c>
      <c r="D771" s="49">
        <v>108.90600000000001</v>
      </c>
      <c r="E771" s="12">
        <f t="shared" si="9"/>
        <v>136.13249999999999</v>
      </c>
      <c r="F771" s="50">
        <v>92.281000000000006</v>
      </c>
      <c r="G771" s="60">
        <v>75.387</v>
      </c>
      <c r="H771" s="69">
        <v>1690.623</v>
      </c>
      <c r="I771" s="62">
        <v>6.9</v>
      </c>
      <c r="J771" s="63">
        <v>2.5999999999999999E-2</v>
      </c>
      <c r="K771" s="71">
        <v>9.0190000000000001</v>
      </c>
      <c r="L771" s="65">
        <v>35.090000000000003</v>
      </c>
      <c r="M771" s="50">
        <v>5.1829999999999998</v>
      </c>
      <c r="N771" s="66">
        <v>1.9E-2</v>
      </c>
      <c r="O771" s="57">
        <v>128.86600000000001</v>
      </c>
      <c r="P771" s="67">
        <v>5.7000000000000002E-2</v>
      </c>
      <c r="Q771" s="96"/>
    </row>
    <row r="772" spans="1:17" ht="14.25" customHeight="1" x14ac:dyDescent="0.35">
      <c r="A772" s="1">
        <v>2022</v>
      </c>
      <c r="B772" s="1" t="s">
        <v>23</v>
      </c>
      <c r="C772" s="1">
        <v>9</v>
      </c>
      <c r="D772" s="49">
        <v>103.375</v>
      </c>
      <c r="E772" s="12">
        <f t="shared" si="9"/>
        <v>129.21875</v>
      </c>
      <c r="F772" s="50">
        <v>87.593999999999994</v>
      </c>
      <c r="G772" s="60">
        <v>75.959999999999994</v>
      </c>
      <c r="H772" s="61">
        <v>1755.595</v>
      </c>
      <c r="I772" s="62">
        <v>6.9</v>
      </c>
      <c r="J772" s="63">
        <v>2.5999999999999999E-2</v>
      </c>
      <c r="K772" s="68">
        <v>8.7050000000000001</v>
      </c>
      <c r="L772" s="65">
        <v>36.143000000000001</v>
      </c>
      <c r="M772" s="50">
        <v>5.1680000000000001</v>
      </c>
      <c r="N772" s="66">
        <v>1.9E-2</v>
      </c>
      <c r="O772" s="57">
        <v>134.13300000000001</v>
      </c>
      <c r="P772" s="67">
        <v>5.6000000000000001E-2</v>
      </c>
      <c r="Q772" s="96"/>
    </row>
    <row r="773" spans="1:17" ht="14.25" customHeight="1" x14ac:dyDescent="0.35">
      <c r="A773" s="1">
        <v>2022</v>
      </c>
      <c r="B773" s="1" t="s">
        <v>23</v>
      </c>
      <c r="C773" s="1">
        <v>10</v>
      </c>
      <c r="D773" s="49">
        <v>107.89100000000001</v>
      </c>
      <c r="E773" s="12">
        <f t="shared" si="9"/>
        <v>134.86375000000001</v>
      </c>
      <c r="F773" s="50">
        <v>91.406000000000006</v>
      </c>
      <c r="G773" s="72">
        <v>76.275999999999996</v>
      </c>
      <c r="H773" s="61">
        <v>1779.39</v>
      </c>
      <c r="I773" s="62">
        <v>6.9</v>
      </c>
      <c r="J773" s="63">
        <v>2.5999999999999999E-2</v>
      </c>
      <c r="K773" s="76">
        <v>8.7629999999999999</v>
      </c>
      <c r="L773" s="65">
        <v>36.723999999999997</v>
      </c>
      <c r="M773" s="50">
        <v>5.0220000000000002</v>
      </c>
      <c r="N773" s="74">
        <v>0.02</v>
      </c>
      <c r="O773" s="57">
        <v>203.78700000000001</v>
      </c>
      <c r="P773" s="75">
        <v>5.8000000000000003E-2</v>
      </c>
      <c r="Q773" s="96"/>
    </row>
    <row r="774" spans="1:17" ht="14.25" customHeight="1" x14ac:dyDescent="0.35">
      <c r="A774" s="1">
        <v>2022</v>
      </c>
      <c r="B774" s="1" t="s">
        <v>23</v>
      </c>
      <c r="C774" s="1">
        <v>11</v>
      </c>
      <c r="D774" s="49">
        <v>108.688</v>
      </c>
      <c r="E774" s="12">
        <f t="shared" si="9"/>
        <v>135.86000000000001</v>
      </c>
      <c r="F774" s="50">
        <v>92.218999999999994</v>
      </c>
      <c r="G774" s="72">
        <v>76.430999999999997</v>
      </c>
      <c r="H774" s="61">
        <v>1796.671</v>
      </c>
      <c r="I774" s="62">
        <v>6.9</v>
      </c>
      <c r="J774" s="63">
        <v>2.5999999999999999E-2</v>
      </c>
      <c r="K774" s="76">
        <v>8.6120000000000001</v>
      </c>
      <c r="L774" s="65">
        <v>36.999000000000002</v>
      </c>
      <c r="M774" s="50">
        <v>4.7729999999999997</v>
      </c>
      <c r="N774" s="74">
        <v>0.02</v>
      </c>
      <c r="O774" s="57">
        <v>332.31200000000001</v>
      </c>
      <c r="P774" s="75">
        <v>5.7000000000000002E-2</v>
      </c>
      <c r="Q774" s="96"/>
    </row>
    <row r="775" spans="1:17" ht="14.25" customHeight="1" x14ac:dyDescent="0.35">
      <c r="A775" s="1">
        <v>2022</v>
      </c>
      <c r="B775" s="1" t="s">
        <v>23</v>
      </c>
      <c r="C775" s="1">
        <v>12</v>
      </c>
      <c r="D775" s="49">
        <v>107.53100000000001</v>
      </c>
      <c r="E775" s="12">
        <f t="shared" si="9"/>
        <v>134.41374999999999</v>
      </c>
      <c r="F775" s="50">
        <v>91.25</v>
      </c>
      <c r="G775" s="72">
        <v>76.613</v>
      </c>
      <c r="H775" s="61">
        <v>1744.261</v>
      </c>
      <c r="I775" s="62">
        <v>6.9</v>
      </c>
      <c r="J775" s="63">
        <v>2.5999999999999999E-2</v>
      </c>
      <c r="K775" s="76">
        <v>8.7010000000000005</v>
      </c>
      <c r="L775" s="65">
        <v>36.609000000000002</v>
      </c>
      <c r="M775" s="50">
        <v>4.7729999999999997</v>
      </c>
      <c r="N775" s="74">
        <v>0.02</v>
      </c>
      <c r="O775" s="57">
        <v>331.346</v>
      </c>
      <c r="P775" s="75">
        <v>5.5E-2</v>
      </c>
      <c r="Q775" s="96"/>
    </row>
    <row r="776" spans="1:17" ht="14.25" customHeight="1" x14ac:dyDescent="0.35">
      <c r="A776" s="1">
        <v>2022</v>
      </c>
      <c r="B776" s="1" t="s">
        <v>23</v>
      </c>
      <c r="C776" s="1">
        <v>13</v>
      </c>
      <c r="D776" s="49">
        <v>110.78100000000001</v>
      </c>
      <c r="E776" s="12">
        <f t="shared" si="9"/>
        <v>138.47624999999999</v>
      </c>
      <c r="F776" s="50">
        <v>94</v>
      </c>
      <c r="G776" s="78">
        <v>76.597999999999999</v>
      </c>
      <c r="H776" s="61">
        <v>1676.557</v>
      </c>
      <c r="I776" s="62">
        <v>6.9</v>
      </c>
      <c r="J776" s="63">
        <v>2.5999999999999999E-2</v>
      </c>
      <c r="K776" s="81">
        <v>8.7360000000000007</v>
      </c>
      <c r="L776" s="65">
        <v>34.478999999999999</v>
      </c>
      <c r="M776" s="50">
        <v>4.7720000000000002</v>
      </c>
      <c r="N776" s="66">
        <v>0.02</v>
      </c>
      <c r="O776" s="57">
        <v>332.33800000000002</v>
      </c>
      <c r="P776" s="80">
        <v>0.05</v>
      </c>
      <c r="Q776" s="96"/>
    </row>
    <row r="777" spans="1:17" ht="14.25" customHeight="1" x14ac:dyDescent="0.35">
      <c r="A777" s="1">
        <v>2022</v>
      </c>
      <c r="B777" s="1" t="s">
        <v>23</v>
      </c>
      <c r="C777" s="1">
        <v>14</v>
      </c>
      <c r="D777" s="49">
        <v>108.75</v>
      </c>
      <c r="E777" s="12">
        <f t="shared" si="9"/>
        <v>135.9375</v>
      </c>
      <c r="F777" s="50">
        <v>92.125</v>
      </c>
      <c r="G777" s="60">
        <v>76.191000000000003</v>
      </c>
      <c r="H777" s="61">
        <v>1647.0039999999999</v>
      </c>
      <c r="I777" s="62">
        <v>6.9</v>
      </c>
      <c r="J777" s="63">
        <v>2.5999999999999999E-2</v>
      </c>
      <c r="K777" s="81">
        <v>8.9120000000000008</v>
      </c>
      <c r="L777" s="82">
        <v>33.868000000000002</v>
      </c>
      <c r="M777" s="50">
        <v>4.7880000000000003</v>
      </c>
      <c r="N777" s="66">
        <v>0.02</v>
      </c>
      <c r="O777" s="57">
        <v>321.83499999999998</v>
      </c>
      <c r="P777" s="80">
        <v>5.3999999999999999E-2</v>
      </c>
      <c r="Q777" s="96"/>
    </row>
    <row r="778" spans="1:17" ht="14.25" customHeight="1" x14ac:dyDescent="0.35">
      <c r="A778" s="1">
        <v>2022</v>
      </c>
      <c r="B778" s="1" t="s">
        <v>23</v>
      </c>
      <c r="C778" s="1">
        <v>15</v>
      </c>
      <c r="D778" s="49">
        <v>106.5</v>
      </c>
      <c r="E778" s="12">
        <f t="shared" si="9"/>
        <v>133.125</v>
      </c>
      <c r="F778" s="50">
        <v>90.343999999999994</v>
      </c>
      <c r="G778" s="60">
        <v>75.369</v>
      </c>
      <c r="H778" s="61">
        <v>1744.4659999999999</v>
      </c>
      <c r="I778" s="62">
        <v>6.9</v>
      </c>
      <c r="J778" s="63">
        <v>2.5999999999999999E-2</v>
      </c>
      <c r="K778" s="76">
        <v>9.1560000000000006</v>
      </c>
      <c r="L778" s="65">
        <v>34.777999999999999</v>
      </c>
      <c r="M778" s="50">
        <v>4.806</v>
      </c>
      <c r="N778" s="66">
        <v>0.02</v>
      </c>
      <c r="O778" s="57">
        <v>307.28699999999998</v>
      </c>
      <c r="P778" s="75">
        <v>5.8000000000000003E-2</v>
      </c>
      <c r="Q778" s="96"/>
    </row>
    <row r="779" spans="1:17" ht="14.25" customHeight="1" x14ac:dyDescent="0.35">
      <c r="A779" s="1">
        <v>2022</v>
      </c>
      <c r="B779" s="1" t="s">
        <v>23</v>
      </c>
      <c r="C779" s="1">
        <v>16</v>
      </c>
      <c r="D779" s="49">
        <v>107.047</v>
      </c>
      <c r="E779" s="12">
        <f t="shared" si="9"/>
        <v>133.80875</v>
      </c>
      <c r="F779" s="50">
        <v>90.938000000000002</v>
      </c>
      <c r="G779" s="60">
        <v>75.3</v>
      </c>
      <c r="H779" s="61">
        <v>1775.28</v>
      </c>
      <c r="I779" s="62">
        <v>6.9</v>
      </c>
      <c r="J779" s="63">
        <v>2.5999999999999999E-2</v>
      </c>
      <c r="K779" s="81">
        <v>9.3689999999999998</v>
      </c>
      <c r="L779" s="61">
        <v>35.146999999999998</v>
      </c>
      <c r="M779" s="62">
        <v>4.7969999999999997</v>
      </c>
      <c r="N779" s="66">
        <v>0.02</v>
      </c>
      <c r="O779" s="57">
        <v>314.88099999999997</v>
      </c>
      <c r="P779" s="75">
        <v>5.5E-2</v>
      </c>
      <c r="Q779" s="96"/>
    </row>
    <row r="780" spans="1:17" ht="14.25" customHeight="1" x14ac:dyDescent="0.35">
      <c r="A780" s="1">
        <v>2022</v>
      </c>
      <c r="B780" s="1" t="s">
        <v>23</v>
      </c>
      <c r="C780" s="1">
        <v>17</v>
      </c>
      <c r="D780" s="49">
        <v>104.98399999999999</v>
      </c>
      <c r="E780" s="12">
        <f t="shared" si="9"/>
        <v>131.22999999999999</v>
      </c>
      <c r="F780" s="50">
        <v>89.156000000000006</v>
      </c>
      <c r="G780" s="60">
        <v>75.459999999999994</v>
      </c>
      <c r="H780" s="61">
        <v>1762.268</v>
      </c>
      <c r="I780" s="62">
        <v>6.9</v>
      </c>
      <c r="J780" s="63">
        <v>2.8000000000000001E-2</v>
      </c>
      <c r="K780" s="68">
        <v>9.2149999999999999</v>
      </c>
      <c r="L780" s="65">
        <v>34.14</v>
      </c>
      <c r="M780" s="50">
        <v>4.7759999999999998</v>
      </c>
      <c r="N780" s="66">
        <v>0.02</v>
      </c>
      <c r="O780" s="57">
        <v>329.40800000000002</v>
      </c>
      <c r="P780" s="67">
        <v>5.6000000000000001E-2</v>
      </c>
      <c r="Q780" s="96"/>
    </row>
    <row r="781" spans="1:17" ht="14.25" customHeight="1" x14ac:dyDescent="0.35">
      <c r="A781" s="1">
        <v>2022</v>
      </c>
      <c r="B781" s="1" t="s">
        <v>23</v>
      </c>
      <c r="C781" s="1">
        <v>18</v>
      </c>
      <c r="D781" s="49">
        <v>104.34399999999999</v>
      </c>
      <c r="E781" s="12">
        <f t="shared" si="9"/>
        <v>130.43</v>
      </c>
      <c r="F781" s="50">
        <v>88.593999999999994</v>
      </c>
      <c r="G781" s="60">
        <v>75.584999999999994</v>
      </c>
      <c r="H781" s="61">
        <v>1778.11</v>
      </c>
      <c r="I781" s="62">
        <v>6.9</v>
      </c>
      <c r="J781" s="63">
        <v>3.1E-2</v>
      </c>
      <c r="K781" s="68">
        <v>9.2189999999999994</v>
      </c>
      <c r="L781" s="61">
        <v>34.284999999999997</v>
      </c>
      <c r="M781" s="62">
        <v>4.9560000000000004</v>
      </c>
      <c r="N781" s="66">
        <v>0.02</v>
      </c>
      <c r="O781" s="57">
        <v>236.22300000000001</v>
      </c>
      <c r="P781" s="67">
        <v>5.8000000000000003E-2</v>
      </c>
      <c r="Q781" s="96"/>
    </row>
    <row r="782" spans="1:17" ht="14.25" customHeight="1" x14ac:dyDescent="0.35">
      <c r="A782" s="1">
        <v>2022</v>
      </c>
      <c r="B782" s="1" t="s">
        <v>23</v>
      </c>
      <c r="C782" s="1">
        <v>19</v>
      </c>
      <c r="D782" s="49">
        <v>110.438</v>
      </c>
      <c r="E782" s="12">
        <f t="shared" si="9"/>
        <v>138.04750000000001</v>
      </c>
      <c r="F782" s="50">
        <v>93.625</v>
      </c>
      <c r="G782" s="60">
        <v>75.754999999999995</v>
      </c>
      <c r="H782" s="61">
        <v>1742.117</v>
      </c>
      <c r="I782" s="62">
        <v>6.9</v>
      </c>
      <c r="J782" s="63">
        <v>3.1E-2</v>
      </c>
      <c r="K782" s="68">
        <v>9.3249999999999993</v>
      </c>
      <c r="L782" s="65">
        <v>34.033999999999999</v>
      </c>
      <c r="M782" s="50">
        <v>5.0860000000000003</v>
      </c>
      <c r="N782" s="66">
        <v>0.02</v>
      </c>
      <c r="O782" s="57">
        <v>161.26499999999999</v>
      </c>
      <c r="P782" s="67">
        <v>5.8000000000000003E-2</v>
      </c>
      <c r="Q782" s="96"/>
    </row>
    <row r="783" spans="1:17" ht="14.25" customHeight="1" x14ac:dyDescent="0.35">
      <c r="A783" s="1">
        <v>2022</v>
      </c>
      <c r="B783" s="1" t="s">
        <v>23</v>
      </c>
      <c r="C783" s="1">
        <v>20</v>
      </c>
      <c r="D783" s="49">
        <v>109.51600000000001</v>
      </c>
      <c r="E783" s="12">
        <f t="shared" si="9"/>
        <v>136.89500000000001</v>
      </c>
      <c r="F783" s="50">
        <v>92.781000000000006</v>
      </c>
      <c r="G783" s="60">
        <v>75.840999999999994</v>
      </c>
      <c r="H783" s="61">
        <v>1703.2560000000001</v>
      </c>
      <c r="I783" s="62">
        <v>6.9</v>
      </c>
      <c r="J783" s="63">
        <v>2.9000000000000001E-2</v>
      </c>
      <c r="K783" s="68">
        <v>9.1850000000000005</v>
      </c>
      <c r="L783" s="61">
        <v>33.911000000000001</v>
      </c>
      <c r="M783" s="62">
        <v>5.0919999999999996</v>
      </c>
      <c r="N783" s="66">
        <v>0.02</v>
      </c>
      <c r="O783" s="57">
        <v>159.25399999999999</v>
      </c>
      <c r="P783" s="67">
        <v>5.2999999999999999E-2</v>
      </c>
      <c r="Q783" s="96"/>
    </row>
    <row r="784" spans="1:17" ht="14.25" customHeight="1" x14ac:dyDescent="0.35">
      <c r="A784" s="1">
        <v>2022</v>
      </c>
      <c r="B784" s="1" t="s">
        <v>23</v>
      </c>
      <c r="C784" s="1">
        <v>21</v>
      </c>
      <c r="D784" s="49">
        <v>108.10899999999999</v>
      </c>
      <c r="E784" s="12">
        <f t="shared" si="9"/>
        <v>135.13624999999999</v>
      </c>
      <c r="F784" s="50">
        <v>91.531000000000006</v>
      </c>
      <c r="G784" s="60">
        <v>75.194000000000003</v>
      </c>
      <c r="H784" s="61">
        <v>1647.1289999999999</v>
      </c>
      <c r="I784" s="62">
        <v>6.9</v>
      </c>
      <c r="J784" s="63">
        <v>2.5999999999999999E-2</v>
      </c>
      <c r="K784" s="68">
        <v>9.0079999999999991</v>
      </c>
      <c r="L784" s="65">
        <v>33.01</v>
      </c>
      <c r="M784" s="50">
        <v>5.0999999999999996</v>
      </c>
      <c r="N784" s="66">
        <v>0.02</v>
      </c>
      <c r="O784" s="57">
        <v>156.18899999999999</v>
      </c>
      <c r="P784" s="67">
        <v>5.1999999999999998E-2</v>
      </c>
      <c r="Q784" s="96"/>
    </row>
    <row r="785" spans="1:17" ht="14.25" customHeight="1" x14ac:dyDescent="0.35">
      <c r="A785" s="1">
        <v>2022</v>
      </c>
      <c r="B785" s="1" t="s">
        <v>23</v>
      </c>
      <c r="C785" s="1">
        <v>22</v>
      </c>
      <c r="D785" s="49">
        <v>105.98399999999999</v>
      </c>
      <c r="E785" s="12">
        <f t="shared" si="9"/>
        <v>132.47999999999999</v>
      </c>
      <c r="F785" s="50">
        <v>89.906000000000006</v>
      </c>
      <c r="G785" s="60">
        <v>74.909000000000006</v>
      </c>
      <c r="H785" s="61">
        <v>1697.8520000000001</v>
      </c>
      <c r="I785" s="62">
        <v>6.9</v>
      </c>
      <c r="J785" s="63">
        <v>2.7E-2</v>
      </c>
      <c r="K785" s="68">
        <v>9.3529999999999998</v>
      </c>
      <c r="L785" s="61">
        <v>33.134</v>
      </c>
      <c r="M785" s="62">
        <v>5.0990000000000002</v>
      </c>
      <c r="N785" s="66">
        <v>0.02</v>
      </c>
      <c r="O785" s="57">
        <v>156.499</v>
      </c>
      <c r="P785" s="67">
        <v>5.7000000000000002E-2</v>
      </c>
      <c r="Q785" s="96"/>
    </row>
    <row r="786" spans="1:17" ht="14.25" customHeight="1" x14ac:dyDescent="0.35">
      <c r="A786" s="1">
        <v>2022</v>
      </c>
      <c r="B786" s="1" t="s">
        <v>23</v>
      </c>
      <c r="C786" s="1">
        <v>23</v>
      </c>
      <c r="D786" s="49">
        <v>102.21899999999999</v>
      </c>
      <c r="E786" s="12">
        <f t="shared" si="9"/>
        <v>127.77374999999999</v>
      </c>
      <c r="F786" s="50">
        <v>86.875</v>
      </c>
      <c r="G786" s="60">
        <v>74.435000000000002</v>
      </c>
      <c r="H786" s="61">
        <v>1726.91</v>
      </c>
      <c r="I786" s="62">
        <v>6.9</v>
      </c>
      <c r="J786" s="63">
        <v>2.5000000000000001E-2</v>
      </c>
      <c r="K786" s="68">
        <v>9.032</v>
      </c>
      <c r="L786" s="65">
        <v>33.576999999999998</v>
      </c>
      <c r="M786" s="50">
        <v>5.0923999999999996</v>
      </c>
      <c r="N786" s="66">
        <v>1.9800000000000002E-2</v>
      </c>
      <c r="O786" s="57">
        <v>159.4066</v>
      </c>
      <c r="P786" s="67">
        <v>5.2600000000000001E-2</v>
      </c>
      <c r="Q786" s="96"/>
    </row>
    <row r="787" spans="1:17" ht="14.25" customHeight="1" x14ac:dyDescent="0.35">
      <c r="A787" s="1">
        <v>2022</v>
      </c>
      <c r="B787" s="1" t="s">
        <v>23</v>
      </c>
      <c r="C787" s="1">
        <v>24</v>
      </c>
      <c r="D787" s="49">
        <v>103.203</v>
      </c>
      <c r="E787" s="12">
        <f t="shared" si="9"/>
        <v>129.00375</v>
      </c>
      <c r="F787" s="50">
        <v>87.656000000000006</v>
      </c>
      <c r="G787" s="60">
        <v>74.515000000000001</v>
      </c>
      <c r="H787" s="61">
        <v>1726.7339999999999</v>
      </c>
      <c r="I787" s="62">
        <v>6.9</v>
      </c>
      <c r="J787" s="63">
        <v>2.5000000000000001E-2</v>
      </c>
      <c r="K787" s="68">
        <v>9.0860000000000003</v>
      </c>
      <c r="L787" s="61">
        <v>33.933</v>
      </c>
      <c r="M787" s="62">
        <v>5.0910000000000002</v>
      </c>
      <c r="N787" s="66">
        <v>0.02</v>
      </c>
      <c r="O787" s="57">
        <v>159.441</v>
      </c>
      <c r="P787" s="67">
        <v>6.3E-2</v>
      </c>
      <c r="Q787" s="96"/>
    </row>
    <row r="788" spans="1:17" ht="14.25" customHeight="1" x14ac:dyDescent="0.35">
      <c r="A788" s="1">
        <v>2022</v>
      </c>
      <c r="B788" s="1" t="s">
        <v>23</v>
      </c>
      <c r="C788" s="1">
        <v>25</v>
      </c>
      <c r="D788" s="49">
        <v>105.90600000000001</v>
      </c>
      <c r="E788" s="12">
        <f t="shared" si="9"/>
        <v>132.38249999999999</v>
      </c>
      <c r="F788" s="50">
        <v>89.875</v>
      </c>
      <c r="G788" s="60">
        <v>74.706000000000003</v>
      </c>
      <c r="H788" s="61">
        <v>1730.3050000000001</v>
      </c>
      <c r="I788" s="62">
        <v>6.9</v>
      </c>
      <c r="J788" s="63">
        <v>2.5000000000000001E-2</v>
      </c>
      <c r="K788" s="68">
        <v>9.0269999999999992</v>
      </c>
      <c r="L788" s="65">
        <v>33.713999999999999</v>
      </c>
      <c r="M788" s="50">
        <v>4.9039999999999999</v>
      </c>
      <c r="N788" s="66">
        <v>0.02</v>
      </c>
      <c r="O788" s="57">
        <v>261.69600000000003</v>
      </c>
      <c r="P788" s="67">
        <v>6.7000000000000004E-2</v>
      </c>
      <c r="Q788" s="96"/>
    </row>
    <row r="789" spans="1:17" ht="14.25" customHeight="1" x14ac:dyDescent="0.35">
      <c r="A789" s="1">
        <v>2022</v>
      </c>
      <c r="B789" s="1" t="s">
        <v>23</v>
      </c>
      <c r="C789" s="1">
        <v>26</v>
      </c>
      <c r="D789" s="49">
        <v>108.578</v>
      </c>
      <c r="E789" s="12">
        <f t="shared" si="9"/>
        <v>135.7225</v>
      </c>
      <c r="F789" s="50">
        <v>92.156000000000006</v>
      </c>
      <c r="G789" s="60">
        <v>75.075999999999993</v>
      </c>
      <c r="H789" s="61">
        <v>1722.6210000000001</v>
      </c>
      <c r="I789" s="62">
        <v>6.9</v>
      </c>
      <c r="J789" s="63">
        <v>2.4E-2</v>
      </c>
      <c r="K789" s="68">
        <v>8.8919999999999995</v>
      </c>
      <c r="L789" s="61">
        <v>33.040999999999997</v>
      </c>
      <c r="M789" s="62">
        <v>4.9290000000000003</v>
      </c>
      <c r="N789" s="66">
        <v>0.02</v>
      </c>
      <c r="O789" s="57">
        <v>259.66000000000003</v>
      </c>
      <c r="P789" s="67">
        <v>6.2E-2</v>
      </c>
      <c r="Q789" s="96"/>
    </row>
    <row r="790" spans="1:17" ht="14.25" customHeight="1" x14ac:dyDescent="0.35">
      <c r="A790" s="1">
        <v>2022</v>
      </c>
      <c r="B790" s="1" t="s">
        <v>23</v>
      </c>
      <c r="C790" s="1">
        <v>27</v>
      </c>
      <c r="D790" s="49">
        <v>105.938</v>
      </c>
      <c r="E790" s="12">
        <f t="shared" si="9"/>
        <v>132.42250000000001</v>
      </c>
      <c r="F790" s="50">
        <v>90.031000000000006</v>
      </c>
      <c r="G790" s="60">
        <v>75.350999999999999</v>
      </c>
      <c r="H790" s="61">
        <v>1682.5350000000001</v>
      </c>
      <c r="I790" s="62">
        <v>6.9</v>
      </c>
      <c r="J790" s="63">
        <v>2.4E-2</v>
      </c>
      <c r="K790" s="68">
        <v>8.7520000000000007</v>
      </c>
      <c r="L790" s="65">
        <v>31.783000000000001</v>
      </c>
      <c r="M790" s="50">
        <v>5.1189999999999998</v>
      </c>
      <c r="N790" s="66">
        <v>0.02</v>
      </c>
      <c r="O790" s="57">
        <v>149.88499999999999</v>
      </c>
      <c r="P790" s="67">
        <v>0.05</v>
      </c>
      <c r="Q790" s="96"/>
    </row>
    <row r="791" spans="1:17" ht="14.25" customHeight="1" x14ac:dyDescent="0.35">
      <c r="A791" s="1">
        <v>2022</v>
      </c>
      <c r="B791" s="1" t="s">
        <v>23</v>
      </c>
      <c r="C791" s="1">
        <v>28</v>
      </c>
      <c r="D791" s="106">
        <v>106.01600000000001</v>
      </c>
      <c r="E791" s="12">
        <f t="shared" si="9"/>
        <v>132.52000000000001</v>
      </c>
      <c r="F791" s="107">
        <v>89.968999999999994</v>
      </c>
      <c r="G791" s="60">
        <v>75.671999999999997</v>
      </c>
      <c r="H791" s="61">
        <v>1623.1179999999999</v>
      </c>
      <c r="I791" s="62">
        <v>6.9</v>
      </c>
      <c r="J791" s="63">
        <v>2.4E-2</v>
      </c>
      <c r="K791" s="68">
        <v>9.0250000000000004</v>
      </c>
      <c r="L791" s="61">
        <v>31.802</v>
      </c>
      <c r="M791" s="62">
        <v>5.1289999999999996</v>
      </c>
      <c r="N791" s="66">
        <v>0.02</v>
      </c>
      <c r="O791" s="57">
        <v>146.27500000000001</v>
      </c>
      <c r="P791" s="67">
        <v>5.1999999999999998E-2</v>
      </c>
      <c r="Q791" s="96"/>
    </row>
    <row r="792" spans="1:17" ht="14.25" customHeight="1" x14ac:dyDescent="0.35">
      <c r="A792" s="1">
        <v>2022</v>
      </c>
      <c r="B792" s="1" t="s">
        <v>25</v>
      </c>
      <c r="C792" s="1">
        <v>1</v>
      </c>
      <c r="D792" s="49">
        <v>105.85899999999999</v>
      </c>
      <c r="E792" s="12">
        <f t="shared" si="9"/>
        <v>132.32374999999999</v>
      </c>
      <c r="F792" s="50">
        <v>89.843999999999994</v>
      </c>
      <c r="G792" s="51">
        <v>76.085999999999999</v>
      </c>
      <c r="H792" s="52">
        <v>1707</v>
      </c>
      <c r="I792" s="53">
        <v>6.9</v>
      </c>
      <c r="J792" s="54">
        <v>2.4E-2</v>
      </c>
      <c r="K792" s="59">
        <v>9.2899999999999991</v>
      </c>
      <c r="L792" s="52">
        <v>34.003999999999998</v>
      </c>
      <c r="M792" s="55">
        <v>5.1360000000000001</v>
      </c>
      <c r="N792" s="56">
        <v>0.02</v>
      </c>
      <c r="O792" s="57">
        <v>143.92599999999999</v>
      </c>
      <c r="P792" s="58">
        <v>5.8999999999999997E-2</v>
      </c>
      <c r="Q792" s="96"/>
    </row>
    <row r="793" spans="1:17" ht="14.25" customHeight="1" x14ac:dyDescent="0.35">
      <c r="A793" s="1">
        <v>2022</v>
      </c>
      <c r="B793" s="1" t="s">
        <v>25</v>
      </c>
      <c r="C793" s="1">
        <v>2</v>
      </c>
      <c r="D793" s="49">
        <v>105.578</v>
      </c>
      <c r="E793" s="12">
        <f t="shared" si="9"/>
        <v>131.9725</v>
      </c>
      <c r="F793" s="50">
        <v>89.718999999999994</v>
      </c>
      <c r="G793" s="60">
        <v>76.468999999999994</v>
      </c>
      <c r="H793" s="61">
        <v>1764.702</v>
      </c>
      <c r="I793" s="62">
        <v>6.9</v>
      </c>
      <c r="J793" s="63">
        <v>2.4E-2</v>
      </c>
      <c r="K793" s="68">
        <v>9.3119999999999994</v>
      </c>
      <c r="L793" s="65">
        <v>34.688000000000002</v>
      </c>
      <c r="M793" s="50">
        <v>5.12</v>
      </c>
      <c r="N793" s="66">
        <v>0.02</v>
      </c>
      <c r="O793" s="57">
        <v>149.12100000000001</v>
      </c>
      <c r="P793" s="67">
        <v>6.0999999999999999E-2</v>
      </c>
      <c r="Q793" s="96"/>
    </row>
    <row r="794" spans="1:17" ht="14.25" customHeight="1" x14ac:dyDescent="0.35">
      <c r="A794" s="1">
        <v>2022</v>
      </c>
      <c r="B794" s="1" t="s">
        <v>25</v>
      </c>
      <c r="C794" s="1">
        <v>3</v>
      </c>
      <c r="D794" s="49">
        <v>108.563</v>
      </c>
      <c r="E794" s="12">
        <f t="shared" si="9"/>
        <v>135.70375000000001</v>
      </c>
      <c r="F794" s="50">
        <v>92.25</v>
      </c>
      <c r="G794" s="60">
        <v>76.076999999999998</v>
      </c>
      <c r="H794" s="61">
        <v>1747.7529999999999</v>
      </c>
      <c r="I794" s="62">
        <v>6.9</v>
      </c>
      <c r="J794" s="63">
        <v>2.4E-2</v>
      </c>
      <c r="K794" s="68">
        <v>9.4320000000000004</v>
      </c>
      <c r="L794" s="65">
        <v>34.515000000000001</v>
      </c>
      <c r="M794" s="50">
        <v>5.1509999999999998</v>
      </c>
      <c r="N794" s="66">
        <v>0.02</v>
      </c>
      <c r="O794" s="57">
        <v>139.285</v>
      </c>
      <c r="P794" s="67">
        <v>6.3E-2</v>
      </c>
      <c r="Q794" s="96"/>
    </row>
    <row r="795" spans="1:17" ht="14.25" customHeight="1" x14ac:dyDescent="0.35">
      <c r="A795" s="1">
        <v>2022</v>
      </c>
      <c r="B795" s="1" t="s">
        <v>25</v>
      </c>
      <c r="C795" s="1">
        <v>4</v>
      </c>
      <c r="D795" s="49">
        <v>109.047</v>
      </c>
      <c r="E795" s="12">
        <f t="shared" si="9"/>
        <v>136.30875</v>
      </c>
      <c r="F795" s="50">
        <v>92.593999999999994</v>
      </c>
      <c r="G795" s="60">
        <v>75.786000000000001</v>
      </c>
      <c r="H795" s="61">
        <v>1730.3879999999999</v>
      </c>
      <c r="I795" s="62">
        <v>6.9</v>
      </c>
      <c r="J795" s="63">
        <v>2.3E-2</v>
      </c>
      <c r="K795" s="68">
        <v>9.1769999999999996</v>
      </c>
      <c r="L795" s="65">
        <v>34.78</v>
      </c>
      <c r="M795" s="50">
        <v>5.1459999999999999</v>
      </c>
      <c r="N795" s="66">
        <v>1.7999999999999999E-2</v>
      </c>
      <c r="O795" s="57">
        <v>141.05799999999999</v>
      </c>
      <c r="P795" s="67">
        <v>5.6000000000000001E-2</v>
      </c>
      <c r="Q795" s="96"/>
    </row>
    <row r="796" spans="1:17" ht="14.25" customHeight="1" x14ac:dyDescent="0.35">
      <c r="A796" s="1">
        <v>2022</v>
      </c>
      <c r="B796" s="1" t="s">
        <v>25</v>
      </c>
      <c r="C796" s="1">
        <v>5</v>
      </c>
      <c r="D796" s="49">
        <v>105.14100000000001</v>
      </c>
      <c r="E796" s="12">
        <f t="shared" si="9"/>
        <v>131.42625000000001</v>
      </c>
      <c r="F796" s="50">
        <v>89.375</v>
      </c>
      <c r="G796" s="108">
        <v>75.001999999999995</v>
      </c>
      <c r="H796" s="109">
        <v>1720.537</v>
      </c>
      <c r="I796" s="73">
        <v>6.9</v>
      </c>
      <c r="J796" s="110">
        <v>2.3E-2</v>
      </c>
      <c r="K796" s="111">
        <v>9.2159999999999993</v>
      </c>
      <c r="L796" s="112">
        <v>32.844999999999999</v>
      </c>
      <c r="M796" s="73">
        <v>5.13</v>
      </c>
      <c r="N796" s="110">
        <v>1.7000000000000001E-2</v>
      </c>
      <c r="O796" s="109">
        <v>145.68899999999999</v>
      </c>
      <c r="P796" s="113">
        <v>5.6000000000000001E-2</v>
      </c>
      <c r="Q796" s="96"/>
    </row>
    <row r="797" spans="1:17" ht="14.25" customHeight="1" x14ac:dyDescent="0.35">
      <c r="A797" s="1">
        <v>2022</v>
      </c>
      <c r="B797" s="1" t="s">
        <v>25</v>
      </c>
      <c r="C797" s="1">
        <v>6</v>
      </c>
      <c r="D797" s="49">
        <v>105.922</v>
      </c>
      <c r="E797" s="12">
        <f t="shared" si="9"/>
        <v>132.4025</v>
      </c>
      <c r="F797" s="50">
        <v>89.968999999999994</v>
      </c>
      <c r="G797" s="72">
        <v>75.010000000000005</v>
      </c>
      <c r="H797" s="114">
        <v>1637.0809999999999</v>
      </c>
      <c r="I797" s="115">
        <v>6.9</v>
      </c>
      <c r="J797" s="110">
        <v>2.3E-2</v>
      </c>
      <c r="K797" s="76">
        <v>9.0649999999999995</v>
      </c>
      <c r="L797" s="116">
        <v>32.185000000000002</v>
      </c>
      <c r="M797" s="77">
        <v>5.1379999999999999</v>
      </c>
      <c r="N797" s="74">
        <v>1.7000000000000001E-2</v>
      </c>
      <c r="O797" s="109">
        <v>143.36699999999999</v>
      </c>
      <c r="P797" s="75">
        <v>5.0999999999999997E-2</v>
      </c>
      <c r="Q797" s="96"/>
    </row>
    <row r="798" spans="1:17" ht="14.25" customHeight="1" x14ac:dyDescent="0.35">
      <c r="A798" s="1">
        <v>2022</v>
      </c>
      <c r="B798" s="1" t="s">
        <v>25</v>
      </c>
      <c r="C798" s="1">
        <v>7</v>
      </c>
      <c r="D798" s="49">
        <v>105.953</v>
      </c>
      <c r="E798" s="32">
        <v>132.34</v>
      </c>
      <c r="F798" s="50">
        <v>90</v>
      </c>
      <c r="G798" s="72">
        <v>75.14</v>
      </c>
      <c r="H798" s="114">
        <v>1581.732</v>
      </c>
      <c r="I798" s="115">
        <v>6.9</v>
      </c>
      <c r="J798" s="110">
        <v>2.3E-2</v>
      </c>
      <c r="K798" s="76">
        <v>9.1029999999999998</v>
      </c>
      <c r="L798" s="116">
        <v>31.605</v>
      </c>
      <c r="M798" s="77">
        <v>5.1189999999999998</v>
      </c>
      <c r="N798" s="74">
        <v>1.7000000000000001E-2</v>
      </c>
      <c r="O798" s="109">
        <v>149.339</v>
      </c>
      <c r="P798" s="75">
        <v>5.0999999999999997E-2</v>
      </c>
      <c r="Q798" s="96"/>
    </row>
    <row r="799" spans="1:17" ht="14.25" customHeight="1" x14ac:dyDescent="0.35">
      <c r="A799" s="1">
        <v>2022</v>
      </c>
      <c r="B799" s="1" t="s">
        <v>25</v>
      </c>
      <c r="C799" s="1">
        <v>8</v>
      </c>
      <c r="D799" s="49">
        <v>105.90600000000001</v>
      </c>
      <c r="E799" s="12">
        <f t="shared" ref="E799:E820" si="10">D799*1.25</f>
        <v>132.38249999999999</v>
      </c>
      <c r="F799" s="50">
        <v>89.906000000000006</v>
      </c>
      <c r="G799" s="60">
        <v>75.462999999999994</v>
      </c>
      <c r="H799" s="69">
        <v>1701.7349999999999</v>
      </c>
      <c r="I799" s="62">
        <v>6.9</v>
      </c>
      <c r="J799" s="63">
        <v>2.4E-2</v>
      </c>
      <c r="K799" s="71">
        <v>9.4190000000000005</v>
      </c>
      <c r="L799" s="65">
        <v>33.375999999999998</v>
      </c>
      <c r="M799" s="50">
        <v>5.101</v>
      </c>
      <c r="N799" s="66">
        <v>1.7000000000000001E-2</v>
      </c>
      <c r="O799" s="57">
        <v>155.99100000000001</v>
      </c>
      <c r="P799" s="67">
        <v>6.0999999999999999E-2</v>
      </c>
      <c r="Q799" s="96"/>
    </row>
    <row r="800" spans="1:17" ht="14.25" customHeight="1" x14ac:dyDescent="0.35">
      <c r="A800" s="1">
        <v>2022</v>
      </c>
      <c r="B800" s="1" t="s">
        <v>25</v>
      </c>
      <c r="C800" s="1">
        <v>9</v>
      </c>
      <c r="D800" s="49">
        <v>105.14100000000001</v>
      </c>
      <c r="E800" s="12">
        <f t="shared" si="10"/>
        <v>131.42625000000001</v>
      </c>
      <c r="F800" s="50">
        <v>89.281000000000006</v>
      </c>
      <c r="G800" s="60">
        <v>75.688000000000002</v>
      </c>
      <c r="H800" s="69">
        <v>1764.4780000000001</v>
      </c>
      <c r="I800" s="62">
        <v>6.9</v>
      </c>
      <c r="J800" s="63">
        <v>2.4E-2</v>
      </c>
      <c r="K800" s="71">
        <v>9.3789999999999996</v>
      </c>
      <c r="L800" s="65">
        <v>34.578000000000003</v>
      </c>
      <c r="M800" s="50">
        <v>5.1289999999999996</v>
      </c>
      <c r="N800" s="66">
        <v>1.7000000000000001E-2</v>
      </c>
      <c r="O800" s="57">
        <v>146.33500000000001</v>
      </c>
      <c r="P800" s="67">
        <v>0.06</v>
      </c>
      <c r="Q800" s="96"/>
    </row>
    <row r="801" spans="1:17" ht="14.25" customHeight="1" x14ac:dyDescent="0.35">
      <c r="A801" s="1">
        <v>2022</v>
      </c>
      <c r="B801" s="1" t="s">
        <v>25</v>
      </c>
      <c r="C801" s="1">
        <v>10</v>
      </c>
      <c r="D801" s="49">
        <v>108.422</v>
      </c>
      <c r="E801" s="12">
        <f t="shared" si="10"/>
        <v>135.5275</v>
      </c>
      <c r="F801" s="50">
        <v>92.125</v>
      </c>
      <c r="G801" s="72">
        <v>75.921999999999997</v>
      </c>
      <c r="H801" s="61">
        <v>1749.549</v>
      </c>
      <c r="I801" s="62">
        <v>6.9</v>
      </c>
      <c r="J801" s="63">
        <v>2.5000000000000001E-2</v>
      </c>
      <c r="K801" s="76">
        <v>9.6159999999999997</v>
      </c>
      <c r="L801" s="65">
        <v>35.338999999999999</v>
      </c>
      <c r="M801" s="50">
        <v>5.1429999999999998</v>
      </c>
      <c r="N801" s="74">
        <v>1.7000000000000001E-2</v>
      </c>
      <c r="O801" s="57">
        <v>141.499</v>
      </c>
      <c r="P801" s="75">
        <v>6.3E-2</v>
      </c>
      <c r="Q801" s="96"/>
    </row>
    <row r="802" spans="1:17" ht="14.25" customHeight="1" x14ac:dyDescent="0.35">
      <c r="A802" s="1">
        <v>2022</v>
      </c>
      <c r="B802" s="1" t="s">
        <v>25</v>
      </c>
      <c r="C802" s="1">
        <v>11</v>
      </c>
      <c r="D802" s="49">
        <v>108.46899999999999</v>
      </c>
      <c r="E802" s="12">
        <f t="shared" si="10"/>
        <v>135.58625000000001</v>
      </c>
      <c r="F802" s="50">
        <v>92.093999999999994</v>
      </c>
      <c r="G802" s="72">
        <v>76.045000000000002</v>
      </c>
      <c r="H802" s="61">
        <v>1746.223</v>
      </c>
      <c r="I802" s="62">
        <v>6.9</v>
      </c>
      <c r="J802" s="63">
        <v>2.4E-2</v>
      </c>
      <c r="K802" s="76">
        <v>9.4849999999999994</v>
      </c>
      <c r="L802" s="65">
        <v>35.042000000000002</v>
      </c>
      <c r="M802" s="50">
        <v>5.1479999999999997</v>
      </c>
      <c r="N802" s="74">
        <v>1.7000000000000001E-2</v>
      </c>
      <c r="O802" s="57">
        <v>139.857</v>
      </c>
      <c r="P802" s="75">
        <v>6.2E-2</v>
      </c>
      <c r="Q802" s="96"/>
    </row>
    <row r="803" spans="1:17" ht="14.25" customHeight="1" x14ac:dyDescent="0.35">
      <c r="A803" s="1">
        <v>2022</v>
      </c>
      <c r="B803" s="1" t="s">
        <v>25</v>
      </c>
      <c r="C803" s="1">
        <v>12</v>
      </c>
      <c r="D803" s="49">
        <v>108.85899999999999</v>
      </c>
      <c r="E803" s="12">
        <f t="shared" si="10"/>
        <v>136.07374999999999</v>
      </c>
      <c r="F803" s="50">
        <v>92.375</v>
      </c>
      <c r="G803" s="72">
        <v>76.015000000000001</v>
      </c>
      <c r="H803" s="61">
        <v>1736.229</v>
      </c>
      <c r="I803" s="62">
        <v>6.9</v>
      </c>
      <c r="J803" s="63">
        <v>2.3E-2</v>
      </c>
      <c r="K803" s="76">
        <v>9.2680000000000007</v>
      </c>
      <c r="L803" s="65">
        <v>35.54</v>
      </c>
      <c r="M803" s="50">
        <v>5.16</v>
      </c>
      <c r="N803" s="74">
        <v>1.7000000000000001E-2</v>
      </c>
      <c r="O803" s="57">
        <v>136.113</v>
      </c>
      <c r="P803" s="67">
        <v>5.8999999999999997E-2</v>
      </c>
      <c r="Q803" s="96"/>
    </row>
    <row r="804" spans="1:17" ht="14.25" customHeight="1" x14ac:dyDescent="0.35">
      <c r="A804" s="1">
        <v>2022</v>
      </c>
      <c r="B804" s="1" t="s">
        <v>25</v>
      </c>
      <c r="C804" s="1">
        <v>13</v>
      </c>
      <c r="D804" s="49">
        <v>102.797</v>
      </c>
      <c r="E804" s="12">
        <f t="shared" si="10"/>
        <v>128.49625</v>
      </c>
      <c r="F804" s="50">
        <v>87.218999999999994</v>
      </c>
      <c r="G804" s="78">
        <v>76.266999999999996</v>
      </c>
      <c r="H804" s="61">
        <v>1663.482</v>
      </c>
      <c r="I804" s="62">
        <v>6.9</v>
      </c>
      <c r="J804" s="63">
        <v>2.3E-2</v>
      </c>
      <c r="K804" s="81">
        <v>9.2799999999999994</v>
      </c>
      <c r="L804" s="65">
        <v>34.145000000000003</v>
      </c>
      <c r="M804" s="50">
        <v>5.16</v>
      </c>
      <c r="N804" s="66">
        <v>1.7000000000000001E-2</v>
      </c>
      <c r="O804" s="57">
        <v>136.27000000000001</v>
      </c>
      <c r="P804" s="80">
        <v>5.6000000000000001E-2</v>
      </c>
      <c r="Q804" s="96"/>
    </row>
    <row r="805" spans="1:17" ht="14.25" customHeight="1" x14ac:dyDescent="0.35">
      <c r="A805" s="1">
        <v>2022</v>
      </c>
      <c r="B805" s="1" t="s">
        <v>25</v>
      </c>
      <c r="C805" s="1">
        <v>14</v>
      </c>
      <c r="D805" s="49">
        <v>106.10899999999999</v>
      </c>
      <c r="E805" s="12">
        <f t="shared" si="10"/>
        <v>132.63624999999999</v>
      </c>
      <c r="F805" s="50">
        <v>89.968999999999994</v>
      </c>
      <c r="G805" s="60">
        <v>76.260000000000005</v>
      </c>
      <c r="H805" s="61">
        <v>1637.29</v>
      </c>
      <c r="I805" s="62">
        <v>6.9</v>
      </c>
      <c r="J805" s="63">
        <v>2.4E-2</v>
      </c>
      <c r="K805" s="81">
        <v>9.4309999999999992</v>
      </c>
      <c r="L805" s="82">
        <v>34.229999999999997</v>
      </c>
      <c r="M805" s="50">
        <v>5.1740000000000004</v>
      </c>
      <c r="N805" s="66">
        <v>1.7000000000000001E-2</v>
      </c>
      <c r="O805" s="57">
        <v>131.66399999999999</v>
      </c>
      <c r="P805" s="80">
        <v>0.06</v>
      </c>
      <c r="Q805" s="96"/>
    </row>
    <row r="806" spans="1:17" ht="14.25" customHeight="1" x14ac:dyDescent="0.35">
      <c r="A806" s="1">
        <v>2022</v>
      </c>
      <c r="B806" s="1" t="s">
        <v>25</v>
      </c>
      <c r="C806" s="1">
        <v>15</v>
      </c>
      <c r="D806" s="49">
        <v>106.10899999999999</v>
      </c>
      <c r="E806" s="12">
        <f t="shared" si="10"/>
        <v>132.63624999999999</v>
      </c>
      <c r="F806" s="50">
        <v>90</v>
      </c>
      <c r="G806" s="60">
        <v>76.606999999999999</v>
      </c>
      <c r="H806" s="61">
        <v>1694.6110000000001</v>
      </c>
      <c r="I806" s="62">
        <v>6.9</v>
      </c>
      <c r="J806" s="63">
        <v>2.3E-2</v>
      </c>
      <c r="K806" s="76">
        <v>9.4600000000000009</v>
      </c>
      <c r="L806" s="65">
        <v>35.792200000000001</v>
      </c>
      <c r="M806" s="50">
        <v>5.1639999999999997</v>
      </c>
      <c r="N806" s="66">
        <v>1.7100000000000001E-2</v>
      </c>
      <c r="O806" s="57">
        <v>134.874</v>
      </c>
      <c r="P806" s="75">
        <v>6.3E-2</v>
      </c>
      <c r="Q806" s="96"/>
    </row>
    <row r="807" spans="1:17" ht="14.25" customHeight="1" x14ac:dyDescent="0.35">
      <c r="A807" s="1">
        <v>2022</v>
      </c>
      <c r="B807" s="1" t="s">
        <v>25</v>
      </c>
      <c r="C807" s="1">
        <v>16</v>
      </c>
      <c r="D807" s="49">
        <v>106.063</v>
      </c>
      <c r="E807" s="12">
        <f t="shared" si="10"/>
        <v>132.57875000000001</v>
      </c>
      <c r="F807" s="50">
        <v>90.031000000000006</v>
      </c>
      <c r="G807" s="60">
        <v>76.95</v>
      </c>
      <c r="H807" s="61">
        <v>1742.5540000000001</v>
      </c>
      <c r="I807" s="62">
        <v>6.9</v>
      </c>
      <c r="J807" s="63">
        <v>2.4E-2</v>
      </c>
      <c r="K807" s="81">
        <v>9.1820000000000004</v>
      </c>
      <c r="L807" s="61">
        <v>37.301000000000002</v>
      </c>
      <c r="M807" s="62">
        <v>5.1710000000000003</v>
      </c>
      <c r="N807" s="66">
        <v>1.7000000000000001E-2</v>
      </c>
      <c r="O807" s="57">
        <v>132.643</v>
      </c>
      <c r="P807" s="80">
        <v>0.06</v>
      </c>
      <c r="Q807" s="96"/>
    </row>
    <row r="808" spans="1:17" ht="14.25" customHeight="1" x14ac:dyDescent="0.35">
      <c r="A808" s="1">
        <v>2022</v>
      </c>
      <c r="B808" s="1" t="s">
        <v>25</v>
      </c>
      <c r="C808" s="1">
        <v>17</v>
      </c>
      <c r="D808" s="49">
        <v>105.438</v>
      </c>
      <c r="E808" s="12">
        <f t="shared" si="10"/>
        <v>131.79750000000001</v>
      </c>
      <c r="F808" s="50">
        <v>89.375</v>
      </c>
      <c r="G808" s="60">
        <v>77.290999999999997</v>
      </c>
      <c r="H808" s="61">
        <v>1741.5229999999999</v>
      </c>
      <c r="I808" s="62">
        <v>6.9</v>
      </c>
      <c r="J808" s="63">
        <v>2.3E-2</v>
      </c>
      <c r="K808" s="68">
        <v>9.0129999999999999</v>
      </c>
      <c r="L808" s="65">
        <v>37.216999999999999</v>
      </c>
      <c r="M808" s="50">
        <v>5.1429999999999998</v>
      </c>
      <c r="N808" s="66">
        <v>1.7000000000000001E-2</v>
      </c>
      <c r="O808" s="57">
        <v>141.91</v>
      </c>
      <c r="P808" s="67">
        <v>5.8000000000000003E-2</v>
      </c>
      <c r="Q808" s="96"/>
    </row>
    <row r="809" spans="1:17" ht="14.25" customHeight="1" x14ac:dyDescent="0.35">
      <c r="A809" s="1">
        <v>2022</v>
      </c>
      <c r="B809" s="1" t="s">
        <v>25</v>
      </c>
      <c r="C809" s="1">
        <v>18</v>
      </c>
      <c r="D809" s="49">
        <v>104.10899999999999</v>
      </c>
      <c r="E809" s="12">
        <f t="shared" si="10"/>
        <v>130.13624999999999</v>
      </c>
      <c r="F809" s="50">
        <v>88.343999999999994</v>
      </c>
      <c r="G809" s="60">
        <v>77.262</v>
      </c>
      <c r="H809" s="61">
        <v>1734.7159999999999</v>
      </c>
      <c r="I809" s="62">
        <v>6.9</v>
      </c>
      <c r="J809" s="63">
        <v>2.4E-2</v>
      </c>
      <c r="K809" s="68">
        <v>8.9749999999999996</v>
      </c>
      <c r="L809" s="61">
        <v>36.692</v>
      </c>
      <c r="M809" s="62">
        <v>5.1459999999999999</v>
      </c>
      <c r="N809" s="66">
        <v>1.4999999999999999E-2</v>
      </c>
      <c r="O809" s="57">
        <v>140.85</v>
      </c>
      <c r="P809" s="67">
        <v>5.8999999999999997E-2</v>
      </c>
      <c r="Q809" s="96"/>
    </row>
    <row r="810" spans="1:17" ht="14.25" customHeight="1" x14ac:dyDescent="0.35">
      <c r="A810" s="1">
        <v>2022</v>
      </c>
      <c r="B810" s="1" t="s">
        <v>25</v>
      </c>
      <c r="C810" s="1">
        <v>19</v>
      </c>
      <c r="D810" s="49">
        <v>106.078</v>
      </c>
      <c r="E810" s="12">
        <f t="shared" si="10"/>
        <v>132.5975</v>
      </c>
      <c r="F810" s="50">
        <v>90.031000000000006</v>
      </c>
      <c r="G810" s="60">
        <v>77.046000000000006</v>
      </c>
      <c r="H810" s="61">
        <v>1716.4190000000001</v>
      </c>
      <c r="I810" s="62">
        <v>6.9</v>
      </c>
      <c r="J810" s="63">
        <v>2.4E-2</v>
      </c>
      <c r="K810" s="68">
        <v>8.9830000000000005</v>
      </c>
      <c r="L810" s="65">
        <v>36.281999999999996</v>
      </c>
      <c r="M810" s="50">
        <v>5.1340000000000003</v>
      </c>
      <c r="N810" s="66">
        <v>1.4E-2</v>
      </c>
      <c r="O810" s="57">
        <v>144.80250000000001</v>
      </c>
      <c r="P810" s="67">
        <v>5.6000000000000001E-2</v>
      </c>
      <c r="Q810" s="96"/>
    </row>
    <row r="811" spans="1:17" ht="14.25" customHeight="1" x14ac:dyDescent="0.35">
      <c r="A811" s="1">
        <v>2022</v>
      </c>
      <c r="B811" s="1" t="s">
        <v>25</v>
      </c>
      <c r="C811" s="1">
        <v>20</v>
      </c>
      <c r="D811" s="49">
        <v>106.125</v>
      </c>
      <c r="E811" s="12">
        <f t="shared" si="10"/>
        <v>132.65625</v>
      </c>
      <c r="F811" s="50">
        <v>89.968999999999994</v>
      </c>
      <c r="G811" s="60">
        <v>76.817999999999998</v>
      </c>
      <c r="H811" s="61">
        <v>1646.0250000000001</v>
      </c>
      <c r="I811" s="62">
        <v>6.9</v>
      </c>
      <c r="J811" s="63">
        <v>2.4E-2</v>
      </c>
      <c r="K811" s="68">
        <v>8.9619999999999997</v>
      </c>
      <c r="L811" s="65">
        <v>34.667999999999999</v>
      </c>
      <c r="M811" s="50">
        <v>5.1130000000000004</v>
      </c>
      <c r="N811" s="66">
        <v>1.4E-2</v>
      </c>
      <c r="O811" s="57">
        <v>151.59800000000001</v>
      </c>
      <c r="P811" s="67">
        <v>5.1999999999999998E-2</v>
      </c>
      <c r="Q811" s="96"/>
    </row>
    <row r="812" spans="1:17" ht="14.25" customHeight="1" x14ac:dyDescent="0.35">
      <c r="A812" s="1">
        <v>2022</v>
      </c>
      <c r="B812" s="1" t="s">
        <v>25</v>
      </c>
      <c r="C812" s="1">
        <v>21</v>
      </c>
      <c r="D812" s="49">
        <v>106.09399999999999</v>
      </c>
      <c r="E812" s="12">
        <f t="shared" si="10"/>
        <v>132.61750000000001</v>
      </c>
      <c r="F812" s="50">
        <v>90.031000000000006</v>
      </c>
      <c r="G812" s="60">
        <v>76.94</v>
      </c>
      <c r="H812" s="61">
        <v>1614.2190000000001</v>
      </c>
      <c r="I812" s="62">
        <v>6.9</v>
      </c>
      <c r="J812" s="63">
        <v>2.4E-2</v>
      </c>
      <c r="K812" s="68">
        <v>9.1419999999999995</v>
      </c>
      <c r="L812" s="65">
        <v>34.473999999999997</v>
      </c>
      <c r="M812" s="50">
        <v>5.1269999999999998</v>
      </c>
      <c r="N812" s="66">
        <v>1.4E-2</v>
      </c>
      <c r="O812" s="57">
        <v>146.78800000000001</v>
      </c>
      <c r="P812" s="67">
        <v>5.2999999999999999E-2</v>
      </c>
      <c r="Q812" s="96"/>
    </row>
    <row r="813" spans="1:17" ht="14.25" customHeight="1" x14ac:dyDescent="0.35">
      <c r="A813" s="1">
        <v>2022</v>
      </c>
      <c r="B813" s="1" t="s">
        <v>25</v>
      </c>
      <c r="C813" s="1">
        <v>22</v>
      </c>
      <c r="D813" s="49">
        <v>106.03100000000001</v>
      </c>
      <c r="E813" s="12">
        <f t="shared" si="10"/>
        <v>132.53874999999999</v>
      </c>
      <c r="F813" s="50">
        <v>89.906000000000006</v>
      </c>
      <c r="G813" s="60">
        <v>77.432000000000002</v>
      </c>
      <c r="H813" s="61">
        <v>1698.3920000000001</v>
      </c>
      <c r="I813" s="62">
        <v>6.9</v>
      </c>
      <c r="J813" s="63">
        <v>2.4E-2</v>
      </c>
      <c r="K813" s="68">
        <v>9.2639999999999993</v>
      </c>
      <c r="L813" s="61">
        <v>36.374000000000002</v>
      </c>
      <c r="M813" s="62">
        <v>5.1230000000000002</v>
      </c>
      <c r="N813" s="66">
        <v>1.4E-2</v>
      </c>
      <c r="O813" s="57">
        <v>148.10599999999999</v>
      </c>
      <c r="P813" s="67">
        <v>6.5000000000000002E-2</v>
      </c>
      <c r="Q813" s="96"/>
    </row>
    <row r="814" spans="1:17" ht="14.25" customHeight="1" x14ac:dyDescent="0.35">
      <c r="A814" s="1">
        <v>2022</v>
      </c>
      <c r="B814" s="1" t="s">
        <v>25</v>
      </c>
      <c r="C814" s="1">
        <v>23</v>
      </c>
      <c r="D814" s="49">
        <v>100.96899999999999</v>
      </c>
      <c r="E814" s="12">
        <f t="shared" si="10"/>
        <v>126.21124999999999</v>
      </c>
      <c r="F814" s="50">
        <v>85.531000000000006</v>
      </c>
      <c r="G814" s="60">
        <v>78.090999999999994</v>
      </c>
      <c r="H814" s="61">
        <v>1740.3910000000001</v>
      </c>
      <c r="I814" s="62">
        <v>6.9</v>
      </c>
      <c r="J814" s="63">
        <v>2.4E-2</v>
      </c>
      <c r="K814" s="68">
        <v>9.1199999999999992</v>
      </c>
      <c r="L814" s="65">
        <v>37.189</v>
      </c>
      <c r="M814" s="50">
        <v>5.0919999999999996</v>
      </c>
      <c r="N814" s="66">
        <v>1.4E-2</v>
      </c>
      <c r="O814" s="57">
        <v>159.761</v>
      </c>
      <c r="P814" s="67">
        <v>6.5000000000000002E-2</v>
      </c>
      <c r="Q814" s="96"/>
    </row>
    <row r="815" spans="1:17" ht="14.25" customHeight="1" x14ac:dyDescent="0.35">
      <c r="A815" s="1">
        <v>2022</v>
      </c>
      <c r="B815" s="1" t="s">
        <v>25</v>
      </c>
      <c r="C815" s="1">
        <v>24</v>
      </c>
      <c r="D815" s="49">
        <v>94.813000000000002</v>
      </c>
      <c r="E815" s="12">
        <f t="shared" si="10"/>
        <v>118.51625</v>
      </c>
      <c r="F815" s="50">
        <v>80.343999999999994</v>
      </c>
      <c r="G815" s="60">
        <v>78.043999999999997</v>
      </c>
      <c r="H815" s="61">
        <v>1802.491</v>
      </c>
      <c r="I815" s="62">
        <v>6.9</v>
      </c>
      <c r="J815" s="63">
        <v>2.5000000000000001E-2</v>
      </c>
      <c r="K815" s="68">
        <v>9.0289999999999999</v>
      </c>
      <c r="L815" s="61">
        <v>38.027999999999999</v>
      </c>
      <c r="M815" s="62">
        <v>5.0750000000000002</v>
      </c>
      <c r="N815" s="66">
        <v>1.4E-2</v>
      </c>
      <c r="O815" s="57">
        <v>166.625</v>
      </c>
      <c r="P815" s="67">
        <v>6.7000000000000004E-2</v>
      </c>
      <c r="Q815" s="96"/>
    </row>
    <row r="816" spans="1:17" ht="14.25" customHeight="1" x14ac:dyDescent="0.35">
      <c r="A816" s="1">
        <v>2022</v>
      </c>
      <c r="B816" s="1" t="s">
        <v>25</v>
      </c>
      <c r="C816" s="1">
        <v>25</v>
      </c>
      <c r="D816" s="49">
        <v>108.125</v>
      </c>
      <c r="E816" s="12">
        <f t="shared" si="10"/>
        <v>135.15625</v>
      </c>
      <c r="F816" s="50">
        <v>91.656000000000006</v>
      </c>
      <c r="G816" s="60">
        <v>77.716999999999999</v>
      </c>
      <c r="H816" s="61">
        <v>1774.124</v>
      </c>
      <c r="I816" s="62">
        <v>6.9009999999999998</v>
      </c>
      <c r="J816" s="63">
        <v>2.4E-2</v>
      </c>
      <c r="K816" s="68">
        <v>8.9589999999999996</v>
      </c>
      <c r="L816" s="65">
        <v>37.225000000000001</v>
      </c>
      <c r="M816" s="50">
        <v>5.0609999999999999</v>
      </c>
      <c r="N816" s="66">
        <v>1.4999999999999999E-2</v>
      </c>
      <c r="O816" s="57">
        <v>171.971</v>
      </c>
      <c r="P816" s="67">
        <v>6.9000000000000006E-2</v>
      </c>
      <c r="Q816" s="96"/>
    </row>
    <row r="817" spans="1:17" ht="14.25" customHeight="1" x14ac:dyDescent="0.35">
      <c r="A817" s="1">
        <v>2022</v>
      </c>
      <c r="B817" s="1" t="s">
        <v>25</v>
      </c>
      <c r="C817" s="1">
        <v>26</v>
      </c>
      <c r="D817" s="49">
        <v>111.547</v>
      </c>
      <c r="E817" s="12">
        <f t="shared" si="10"/>
        <v>139.43375</v>
      </c>
      <c r="F817" s="50">
        <v>94.531000000000006</v>
      </c>
      <c r="G817" s="60">
        <v>77.566000000000003</v>
      </c>
      <c r="H817" s="61">
        <v>1760.5160000000001</v>
      </c>
      <c r="I817" s="62">
        <v>6.9</v>
      </c>
      <c r="J817" s="63">
        <v>2.4E-2</v>
      </c>
      <c r="K817" s="68">
        <v>8.9730000000000008</v>
      </c>
      <c r="L817" s="61">
        <v>36.853999999999999</v>
      </c>
      <c r="M817" s="62">
        <v>5.008</v>
      </c>
      <c r="N817" s="66">
        <v>1.4E-2</v>
      </c>
      <c r="O817" s="57">
        <v>193.08</v>
      </c>
      <c r="P817" s="67">
        <v>6.4000000000000001E-2</v>
      </c>
      <c r="Q817" s="96"/>
    </row>
    <row r="818" spans="1:17" ht="14.25" customHeight="1" x14ac:dyDescent="0.35">
      <c r="A818" s="1">
        <v>2022</v>
      </c>
      <c r="B818" s="1" t="s">
        <v>25</v>
      </c>
      <c r="C818" s="1">
        <v>27</v>
      </c>
      <c r="D818" s="49">
        <v>108.75</v>
      </c>
      <c r="E818" s="12">
        <f t="shared" si="10"/>
        <v>135.9375</v>
      </c>
      <c r="F818" s="50">
        <v>92.313000000000002</v>
      </c>
      <c r="G818" s="60">
        <v>77.284000000000006</v>
      </c>
      <c r="H818" s="61">
        <v>1699.5889999999999</v>
      </c>
      <c r="I818" s="62">
        <v>6.9</v>
      </c>
      <c r="J818" s="63">
        <v>2.4E-2</v>
      </c>
      <c r="K818" s="68">
        <v>9.0790000000000006</v>
      </c>
      <c r="L818" s="65">
        <v>35.258000000000003</v>
      </c>
      <c r="M818" s="50">
        <v>5.0149999999999997</v>
      </c>
      <c r="N818" s="66">
        <v>1.4E-2</v>
      </c>
      <c r="O818" s="57">
        <v>190.39599999999999</v>
      </c>
      <c r="P818" s="67">
        <v>5.8000000000000003E-2</v>
      </c>
      <c r="Q818" s="96"/>
    </row>
    <row r="819" spans="1:17" ht="14.25" customHeight="1" x14ac:dyDescent="0.35">
      <c r="A819" s="1">
        <v>2022</v>
      </c>
      <c r="B819" s="1" t="s">
        <v>25</v>
      </c>
      <c r="C819" s="1">
        <v>28</v>
      </c>
      <c r="D819" s="49">
        <v>105.422</v>
      </c>
      <c r="E819" s="12">
        <f t="shared" si="10"/>
        <v>131.7775</v>
      </c>
      <c r="F819" s="50">
        <v>89.531000000000006</v>
      </c>
      <c r="G819" s="60">
        <v>76.591999999999999</v>
      </c>
      <c r="H819" s="61">
        <v>1619.4929999999999</v>
      </c>
      <c r="I819" s="62">
        <v>6.9</v>
      </c>
      <c r="J819" s="63">
        <v>2.5000000000000001E-2</v>
      </c>
      <c r="K819" s="76">
        <v>9.0850000000000009</v>
      </c>
      <c r="L819" s="61">
        <v>33.226999999999997</v>
      </c>
      <c r="M819" s="62">
        <v>5.0209999999999999</v>
      </c>
      <c r="N819" s="66">
        <v>1.4E-2</v>
      </c>
      <c r="O819" s="57">
        <v>188.24299999999999</v>
      </c>
      <c r="P819" s="67">
        <v>5.1999999999999998E-2</v>
      </c>
      <c r="Q819" s="96"/>
    </row>
    <row r="820" spans="1:17" ht="14.25" customHeight="1" x14ac:dyDescent="0.35">
      <c r="A820" s="1">
        <v>2022</v>
      </c>
      <c r="B820" s="1" t="s">
        <v>25</v>
      </c>
      <c r="C820" s="1">
        <v>29</v>
      </c>
      <c r="D820" s="49">
        <v>105.75</v>
      </c>
      <c r="E820" s="12">
        <f t="shared" si="10"/>
        <v>132.1875</v>
      </c>
      <c r="F820" s="50">
        <v>89.906000000000006</v>
      </c>
      <c r="G820" s="83">
        <v>76.682000000000002</v>
      </c>
      <c r="H820" s="69">
        <v>1658.415</v>
      </c>
      <c r="I820" s="50">
        <v>6.9</v>
      </c>
      <c r="J820" s="66">
        <v>2.5999999999999999E-2</v>
      </c>
      <c r="K820" s="117">
        <v>9.202</v>
      </c>
      <c r="L820" s="61">
        <v>34</v>
      </c>
      <c r="M820" s="62">
        <v>5.0199999999999996</v>
      </c>
      <c r="N820" s="66">
        <v>1.4E-2</v>
      </c>
      <c r="O820" s="57">
        <v>187.95699999999999</v>
      </c>
      <c r="P820" s="67">
        <v>5.3999999999999999E-2</v>
      </c>
      <c r="Q820" s="96"/>
    </row>
    <row r="821" spans="1:17" ht="14.25" customHeight="1" x14ac:dyDescent="0.35">
      <c r="A821" s="1">
        <v>2022</v>
      </c>
      <c r="B821" s="1" t="s">
        <v>25</v>
      </c>
      <c r="C821" s="1">
        <v>30</v>
      </c>
      <c r="D821" s="49">
        <v>108.90600000000001</v>
      </c>
      <c r="E821" s="32">
        <v>132.11000000000001</v>
      </c>
      <c r="F821" s="50">
        <v>92.593999999999994</v>
      </c>
      <c r="G821" s="83">
        <v>77.143000000000001</v>
      </c>
      <c r="H821" s="69">
        <v>1748.77</v>
      </c>
      <c r="I821" s="50">
        <v>6.9</v>
      </c>
      <c r="J821" s="66">
        <v>2.5000000000000001E-2</v>
      </c>
      <c r="K821" s="117">
        <v>9.2080000000000002</v>
      </c>
      <c r="L821" s="61">
        <v>35.578000000000003</v>
      </c>
      <c r="M821" s="62">
        <v>4.9960000000000004</v>
      </c>
      <c r="N821" s="66">
        <v>1.4E-2</v>
      </c>
      <c r="O821" s="57">
        <v>198.477</v>
      </c>
      <c r="P821" s="67">
        <v>5.8000000000000003E-2</v>
      </c>
      <c r="Q821" s="96"/>
    </row>
    <row r="822" spans="1:17" ht="14.25" customHeight="1" x14ac:dyDescent="0.35">
      <c r="A822" s="1">
        <v>2022</v>
      </c>
      <c r="B822" s="1" t="s">
        <v>25</v>
      </c>
      <c r="C822" s="1">
        <v>31</v>
      </c>
      <c r="D822" s="104">
        <v>108.71899999999999</v>
      </c>
      <c r="E822" s="12">
        <f t="shared" ref="E822:E846" si="11">D822*1.25</f>
        <v>135.89875000000001</v>
      </c>
      <c r="F822" s="105">
        <v>92.375</v>
      </c>
      <c r="G822" s="118">
        <v>77.103999999999999</v>
      </c>
      <c r="H822" s="119">
        <v>1796.384</v>
      </c>
      <c r="I822" s="120">
        <v>6.9</v>
      </c>
      <c r="J822" s="121">
        <v>2.5999999999999999E-2</v>
      </c>
      <c r="K822" s="122">
        <v>9.3149999999999995</v>
      </c>
      <c r="L822" s="65">
        <v>37.085999999999999</v>
      </c>
      <c r="M822" s="50">
        <v>5.0119999999999996</v>
      </c>
      <c r="N822" s="66">
        <v>1.4E-2</v>
      </c>
      <c r="O822" s="57">
        <v>192.16300000000001</v>
      </c>
      <c r="P822" s="67">
        <v>0.06</v>
      </c>
      <c r="Q822" s="96"/>
    </row>
    <row r="823" spans="1:17" ht="14.25" customHeight="1" x14ac:dyDescent="0.35">
      <c r="A823" s="1">
        <v>2022</v>
      </c>
      <c r="B823" s="1" t="s">
        <v>26</v>
      </c>
      <c r="C823" s="1">
        <v>1</v>
      </c>
      <c r="D823" s="49">
        <v>108.98399999999999</v>
      </c>
      <c r="E823" s="12">
        <f t="shared" si="11"/>
        <v>136.22999999999999</v>
      </c>
      <c r="F823" s="50">
        <v>92.593999999999994</v>
      </c>
      <c r="G823" s="51">
        <v>77.67</v>
      </c>
      <c r="H823" s="52">
        <v>1777.172</v>
      </c>
      <c r="I823" s="53">
        <v>6.9</v>
      </c>
      <c r="J823" s="54">
        <v>2.5000000000000001E-2</v>
      </c>
      <c r="K823" s="59">
        <v>9.0540000000000003</v>
      </c>
      <c r="L823" s="52">
        <v>37.704000000000001</v>
      </c>
      <c r="M823" s="55">
        <v>5.0490000000000004</v>
      </c>
      <c r="N823" s="56">
        <v>1.4E-2</v>
      </c>
      <c r="O823" s="57">
        <v>176.63399999999999</v>
      </c>
      <c r="P823" s="58">
        <v>6.6000000000000003E-2</v>
      </c>
      <c r="Q823" s="96"/>
    </row>
    <row r="824" spans="1:17" ht="14.25" customHeight="1" x14ac:dyDescent="0.35">
      <c r="A824" s="1">
        <v>2022</v>
      </c>
      <c r="B824" s="1" t="s">
        <v>26</v>
      </c>
      <c r="C824" s="1">
        <v>2</v>
      </c>
      <c r="D824" s="49">
        <v>105.78100000000001</v>
      </c>
      <c r="E824" s="12">
        <f t="shared" si="11"/>
        <v>132.22624999999999</v>
      </c>
      <c r="F824" s="50">
        <v>90.031000000000006</v>
      </c>
      <c r="G824" s="60">
        <v>77.34</v>
      </c>
      <c r="H824" s="61">
        <v>1749.585</v>
      </c>
      <c r="I824" s="62">
        <v>6.9</v>
      </c>
      <c r="J824" s="63">
        <v>2.5999999999999999E-2</v>
      </c>
      <c r="K824" s="68">
        <v>9.0670000000000002</v>
      </c>
      <c r="L824" s="65">
        <v>36.536999999999999</v>
      </c>
      <c r="M824" s="50">
        <v>5.0519999999999996</v>
      </c>
      <c r="N824" s="66">
        <v>1.4E-2</v>
      </c>
      <c r="O824" s="57">
        <v>174.69399999999999</v>
      </c>
      <c r="P824" s="67">
        <v>6.7000000000000004E-2</v>
      </c>
      <c r="Q824" s="96"/>
    </row>
    <row r="825" spans="1:17" ht="14.25" customHeight="1" x14ac:dyDescent="0.35">
      <c r="A825" s="1">
        <v>2022</v>
      </c>
      <c r="B825" s="1" t="s">
        <v>26</v>
      </c>
      <c r="C825" s="1">
        <v>3</v>
      </c>
      <c r="D825" s="49">
        <v>105.75</v>
      </c>
      <c r="E825" s="12">
        <f t="shared" si="11"/>
        <v>132.1875</v>
      </c>
      <c r="F825" s="50">
        <v>89.875</v>
      </c>
      <c r="G825" s="60">
        <v>77.331999999999994</v>
      </c>
      <c r="H825" s="61">
        <v>1668.9739999999999</v>
      </c>
      <c r="I825" s="62">
        <v>6.9</v>
      </c>
      <c r="J825" s="63">
        <v>2.8000000000000001E-2</v>
      </c>
      <c r="K825" s="68">
        <v>8.81</v>
      </c>
      <c r="L825" s="65">
        <v>34.418999999999997</v>
      </c>
      <c r="M825" s="50">
        <v>5.0510000000000002</v>
      </c>
      <c r="N825" s="66">
        <v>1.4E-2</v>
      </c>
      <c r="O825" s="57">
        <v>175.24799999999999</v>
      </c>
      <c r="P825" s="67">
        <v>5.6000000000000001E-2</v>
      </c>
      <c r="Q825" s="96"/>
    </row>
    <row r="826" spans="1:17" ht="14.25" customHeight="1" x14ac:dyDescent="0.35">
      <c r="A826" s="1">
        <v>2022</v>
      </c>
      <c r="B826" s="1" t="s">
        <v>26</v>
      </c>
      <c r="C826" s="1">
        <v>4</v>
      </c>
      <c r="D826" s="49">
        <v>105.84399999999999</v>
      </c>
      <c r="E826" s="12">
        <f t="shared" si="11"/>
        <v>132.30500000000001</v>
      </c>
      <c r="F826" s="50">
        <v>89.968999999999994</v>
      </c>
      <c r="G826" s="60">
        <v>77.400000000000006</v>
      </c>
      <c r="H826" s="61">
        <v>1608.8889999999999</v>
      </c>
      <c r="I826" s="62">
        <v>6.9</v>
      </c>
      <c r="J826" s="63">
        <v>3.2000000000000001E-2</v>
      </c>
      <c r="K826" s="68">
        <v>8.9559999999999995</v>
      </c>
      <c r="L826" s="65">
        <v>33.189</v>
      </c>
      <c r="M826" s="50">
        <v>5.0609999999999999</v>
      </c>
      <c r="N826" s="66">
        <v>1.4E-2</v>
      </c>
      <c r="O826" s="57">
        <v>170.84700000000001</v>
      </c>
      <c r="P826" s="67">
        <v>5.8000000000000003E-2</v>
      </c>
      <c r="Q826" s="96"/>
    </row>
    <row r="827" spans="1:17" ht="14.25" customHeight="1" x14ac:dyDescent="0.35">
      <c r="A827" s="1">
        <v>2022</v>
      </c>
      <c r="B827" s="1" t="s">
        <v>26</v>
      </c>
      <c r="C827" s="1">
        <v>5</v>
      </c>
      <c r="D827" s="49">
        <v>105.828</v>
      </c>
      <c r="E827" s="12">
        <f t="shared" si="11"/>
        <v>132.285</v>
      </c>
      <c r="F827" s="50">
        <v>90.031000000000006</v>
      </c>
      <c r="G827" s="60">
        <v>77.97</v>
      </c>
      <c r="H827" s="61">
        <v>1720.6089999999999</v>
      </c>
      <c r="I827" s="62">
        <v>6.9</v>
      </c>
      <c r="J827" s="63">
        <v>3.1E-2</v>
      </c>
      <c r="K827" s="68">
        <v>9.0839999999999996</v>
      </c>
      <c r="L827" s="65">
        <v>34.804000000000002</v>
      </c>
      <c r="M827" s="50">
        <v>5.0540000000000003</v>
      </c>
      <c r="N827" s="66">
        <v>1.4E-2</v>
      </c>
      <c r="O827" s="57">
        <v>173.55500000000001</v>
      </c>
      <c r="P827" s="67">
        <v>6.5000000000000002E-2</v>
      </c>
      <c r="Q827" s="96"/>
    </row>
    <row r="828" spans="1:17" ht="14.25" customHeight="1" x14ac:dyDescent="0.35">
      <c r="A828" s="1">
        <v>2022</v>
      </c>
      <c r="B828" s="1" t="s">
        <v>26</v>
      </c>
      <c r="C828" s="1">
        <v>6</v>
      </c>
      <c r="D828" s="49">
        <v>105.84399999999999</v>
      </c>
      <c r="E828" s="12">
        <f t="shared" si="11"/>
        <v>132.30500000000001</v>
      </c>
      <c r="F828" s="50">
        <v>90</v>
      </c>
      <c r="G828" s="60">
        <v>78.545000000000002</v>
      </c>
      <c r="H828" s="61">
        <v>1761.069</v>
      </c>
      <c r="I828" s="62">
        <v>6.9009999999999998</v>
      </c>
      <c r="J828" s="63">
        <v>2.5999999999999999E-2</v>
      </c>
      <c r="K828" s="68">
        <v>8.827</v>
      </c>
      <c r="L828" s="65">
        <v>36.279000000000003</v>
      </c>
      <c r="M828" s="50">
        <v>5.0460000000000003</v>
      </c>
      <c r="N828" s="66">
        <v>1.4E-2</v>
      </c>
      <c r="O828" s="57">
        <v>177.154</v>
      </c>
      <c r="P828" s="67">
        <v>5.8000000000000003E-2</v>
      </c>
      <c r="Q828" s="96"/>
    </row>
    <row r="829" spans="1:17" ht="14.25" customHeight="1" x14ac:dyDescent="0.35">
      <c r="A829" s="1">
        <v>2022</v>
      </c>
      <c r="B829" s="1" t="s">
        <v>26</v>
      </c>
      <c r="C829" s="1">
        <v>7</v>
      </c>
      <c r="D829" s="49">
        <v>98.108999999999995</v>
      </c>
      <c r="E829" s="12">
        <f t="shared" si="11"/>
        <v>122.63624999999999</v>
      </c>
      <c r="F829" s="50">
        <v>83.343999999999994</v>
      </c>
      <c r="G829" s="60">
        <v>79.204999999999998</v>
      </c>
      <c r="H829" s="61">
        <v>1779.2929999999999</v>
      </c>
      <c r="I829" s="62">
        <v>6.9</v>
      </c>
      <c r="J829" s="63">
        <v>2.5999999999999999E-2</v>
      </c>
      <c r="K829" s="68">
        <v>9.2490000000000006</v>
      </c>
      <c r="L829" s="65">
        <v>38.276000000000003</v>
      </c>
      <c r="M829" s="50">
        <v>4.952</v>
      </c>
      <c r="N829" s="66">
        <v>1.4E-2</v>
      </c>
      <c r="O829" s="57">
        <v>227.71299999999999</v>
      </c>
      <c r="P829" s="67">
        <v>5.7000000000000002E-2</v>
      </c>
      <c r="Q829" s="96"/>
    </row>
    <row r="830" spans="1:17" ht="14.25" customHeight="1" x14ac:dyDescent="0.35">
      <c r="A830" s="1">
        <v>2022</v>
      </c>
      <c r="B830" s="1" t="s">
        <v>26</v>
      </c>
      <c r="C830" s="1">
        <v>8</v>
      </c>
      <c r="D830" s="49">
        <v>111.76600000000001</v>
      </c>
      <c r="E830" s="12">
        <f t="shared" si="11"/>
        <v>139.70750000000001</v>
      </c>
      <c r="F830" s="50">
        <v>94.968999999999994</v>
      </c>
      <c r="G830" s="60">
        <v>79.591999999999999</v>
      </c>
      <c r="H830" s="69">
        <v>1769.229</v>
      </c>
      <c r="I830" s="62">
        <v>6.9</v>
      </c>
      <c r="J830" s="63">
        <v>2.5000000000000001E-2</v>
      </c>
      <c r="K830" s="71">
        <v>9.0340000000000007</v>
      </c>
      <c r="L830" s="65">
        <v>37.976999999999997</v>
      </c>
      <c r="M830" s="50">
        <v>4.8529999999999998</v>
      </c>
      <c r="N830" s="66">
        <v>1.4E-2</v>
      </c>
      <c r="O830" s="57">
        <v>276.41399999999999</v>
      </c>
      <c r="P830" s="70">
        <v>7.8E-2</v>
      </c>
      <c r="Q830" s="96"/>
    </row>
    <row r="831" spans="1:17" ht="14.25" customHeight="1" x14ac:dyDescent="0.35">
      <c r="A831" s="1">
        <v>2022</v>
      </c>
      <c r="B831" s="1" t="s">
        <v>26</v>
      </c>
      <c r="C831" s="1">
        <v>9</v>
      </c>
      <c r="D831" s="49">
        <v>110.46899999999999</v>
      </c>
      <c r="E831" s="12">
        <f t="shared" si="11"/>
        <v>138.08625000000001</v>
      </c>
      <c r="F831" s="50">
        <v>93.906000000000006</v>
      </c>
      <c r="G831" s="60">
        <v>79.093999999999994</v>
      </c>
      <c r="H831" s="61">
        <v>1764.19</v>
      </c>
      <c r="I831" s="62">
        <v>6.9</v>
      </c>
      <c r="J831" s="63">
        <v>2.4E-2</v>
      </c>
      <c r="K831" s="68">
        <v>9.1479999999999997</v>
      </c>
      <c r="L831" s="65">
        <v>36.991999999999997</v>
      </c>
      <c r="M831" s="50">
        <v>4.8780000000000001</v>
      </c>
      <c r="N831" s="66">
        <v>1.4E-2</v>
      </c>
      <c r="O831" s="57">
        <v>261.14699999999999</v>
      </c>
      <c r="P831" s="67">
        <v>6.9000000000000006E-2</v>
      </c>
      <c r="Q831" s="96"/>
    </row>
    <row r="832" spans="1:17" ht="14.25" customHeight="1" x14ac:dyDescent="0.35">
      <c r="A832" s="1">
        <v>2022</v>
      </c>
      <c r="B832" s="1" t="s">
        <v>26</v>
      </c>
      <c r="C832" s="1">
        <v>10</v>
      </c>
      <c r="D832" s="49">
        <v>103.53100000000001</v>
      </c>
      <c r="E832" s="12">
        <f t="shared" si="11"/>
        <v>129.41374999999999</v>
      </c>
      <c r="F832" s="50">
        <v>87.813000000000002</v>
      </c>
      <c r="G832" s="72">
        <v>78.337000000000003</v>
      </c>
      <c r="H832" s="61">
        <v>1684.9059999999999</v>
      </c>
      <c r="I832" s="62">
        <v>6.9</v>
      </c>
      <c r="J832" s="63">
        <v>2.3E-2</v>
      </c>
      <c r="K832" s="76">
        <v>8.86</v>
      </c>
      <c r="L832" s="65">
        <v>36.024999999999999</v>
      </c>
      <c r="M832" s="50">
        <v>4.9000000000000004</v>
      </c>
      <c r="N832" s="74">
        <v>1.4E-2</v>
      </c>
      <c r="O832" s="57">
        <v>248.53200000000001</v>
      </c>
      <c r="P832" s="75">
        <v>5.6000000000000001E-2</v>
      </c>
      <c r="Q832" s="96"/>
    </row>
    <row r="833" spans="1:17" ht="14.25" customHeight="1" x14ac:dyDescent="0.35">
      <c r="A833" s="1">
        <v>2022</v>
      </c>
      <c r="B833" s="1" t="s">
        <v>26</v>
      </c>
      <c r="C833" s="1">
        <v>11</v>
      </c>
      <c r="D833" s="49">
        <v>100.25</v>
      </c>
      <c r="E833" s="12">
        <f t="shared" si="11"/>
        <v>125.3125</v>
      </c>
      <c r="F833" s="50">
        <v>85</v>
      </c>
      <c r="G833" s="72">
        <v>77.98</v>
      </c>
      <c r="H833" s="61">
        <v>1640.7180000000001</v>
      </c>
      <c r="I833" s="62">
        <v>6.9</v>
      </c>
      <c r="J833" s="63">
        <v>2.3E-2</v>
      </c>
      <c r="K833" s="76">
        <v>8.86</v>
      </c>
      <c r="L833" s="65">
        <v>35.591000000000001</v>
      </c>
      <c r="M833" s="50">
        <v>4.9180000000000001</v>
      </c>
      <c r="N833" s="74">
        <v>1.4E-2</v>
      </c>
      <c r="O833" s="57">
        <v>237.94499999999999</v>
      </c>
      <c r="P833" s="75">
        <v>4.8000000000000001E-2</v>
      </c>
      <c r="Q833" s="96"/>
    </row>
    <row r="834" spans="1:17" ht="14.25" customHeight="1" x14ac:dyDescent="0.35">
      <c r="A834" s="1">
        <v>2022</v>
      </c>
      <c r="B834" s="1" t="s">
        <v>26</v>
      </c>
      <c r="C834" s="1">
        <v>12</v>
      </c>
      <c r="D834" s="49">
        <v>100.23399999999999</v>
      </c>
      <c r="E834" s="12">
        <f t="shared" si="11"/>
        <v>125.29249999999999</v>
      </c>
      <c r="F834" s="50">
        <v>85</v>
      </c>
      <c r="G834" s="72">
        <v>77.450999999999993</v>
      </c>
      <c r="H834" s="61">
        <v>1741.788</v>
      </c>
      <c r="I834" s="62">
        <v>6.9</v>
      </c>
      <c r="J834" s="63">
        <v>2.4E-2</v>
      </c>
      <c r="K834" s="76">
        <v>8.8620000000000001</v>
      </c>
      <c r="L834" s="65">
        <v>37.121000000000002</v>
      </c>
      <c r="M834" s="50">
        <v>4.9000000000000004</v>
      </c>
      <c r="N834" s="74">
        <v>1.4E-2</v>
      </c>
      <c r="O834" s="57">
        <v>247.41300000000001</v>
      </c>
      <c r="P834" s="75">
        <v>5.2999999999999999E-2</v>
      </c>
      <c r="Q834" s="96"/>
    </row>
    <row r="835" spans="1:17" ht="14.25" customHeight="1" x14ac:dyDescent="0.35">
      <c r="A835" s="1">
        <v>2022</v>
      </c>
      <c r="B835" s="1" t="s">
        <v>26</v>
      </c>
      <c r="C835" s="1">
        <v>13</v>
      </c>
      <c r="D835" s="49">
        <v>97.75</v>
      </c>
      <c r="E835" s="12">
        <f t="shared" si="11"/>
        <v>122.1875</v>
      </c>
      <c r="F835" s="50">
        <v>82.75</v>
      </c>
      <c r="G835" s="78">
        <v>77.540999999999997</v>
      </c>
      <c r="H835" s="61">
        <v>1782.6669999999999</v>
      </c>
      <c r="I835" s="62">
        <v>6.9</v>
      </c>
      <c r="J835" s="63">
        <v>2.4E-2</v>
      </c>
      <c r="K835" s="81">
        <v>8.6959999999999997</v>
      </c>
      <c r="L835" s="65">
        <v>38.463999999999999</v>
      </c>
      <c r="M835" s="50">
        <v>4.9210000000000003</v>
      </c>
      <c r="N835" s="66">
        <v>1.4E-2</v>
      </c>
      <c r="O835" s="57">
        <v>236.322</v>
      </c>
      <c r="P835" s="80">
        <v>5.8999999999999997E-2</v>
      </c>
      <c r="Q835" s="96"/>
    </row>
    <row r="836" spans="1:17" ht="14.25" customHeight="1" x14ac:dyDescent="0.35">
      <c r="A836" s="1">
        <v>2022</v>
      </c>
      <c r="B836" s="1" t="s">
        <v>26</v>
      </c>
      <c r="C836" s="1">
        <v>14</v>
      </c>
      <c r="D836" s="49">
        <v>104.828</v>
      </c>
      <c r="E836" s="12">
        <f t="shared" si="11"/>
        <v>131.035</v>
      </c>
      <c r="F836" s="50">
        <v>88.968999999999994</v>
      </c>
      <c r="G836" s="60">
        <v>77.936000000000007</v>
      </c>
      <c r="H836" s="61">
        <v>1800.7429999999999</v>
      </c>
      <c r="I836" s="62">
        <v>6.9</v>
      </c>
      <c r="J836" s="63">
        <v>2.4E-2</v>
      </c>
      <c r="K836" s="81">
        <v>8.6590000000000007</v>
      </c>
      <c r="L836" s="82">
        <v>39.529000000000003</v>
      </c>
      <c r="M836" s="50">
        <v>4.9109999999999996</v>
      </c>
      <c r="N836" s="66">
        <v>1.4E-2</v>
      </c>
      <c r="O836" s="57">
        <v>241.61199999999999</v>
      </c>
      <c r="P836" s="80">
        <v>6.2E-2</v>
      </c>
      <c r="Q836" s="96"/>
    </row>
    <row r="837" spans="1:17" ht="14.25" customHeight="1" x14ac:dyDescent="0.35">
      <c r="A837" s="1">
        <v>2022</v>
      </c>
      <c r="B837" s="1" t="s">
        <v>26</v>
      </c>
      <c r="C837" s="1">
        <v>15</v>
      </c>
      <c r="D837" s="49">
        <v>104.172</v>
      </c>
      <c r="E837" s="12">
        <f t="shared" si="11"/>
        <v>130.215</v>
      </c>
      <c r="F837" s="50">
        <v>88.468999999999994</v>
      </c>
      <c r="G837" s="60">
        <v>78.221000000000004</v>
      </c>
      <c r="H837" s="61">
        <v>1798.5930000000001</v>
      </c>
      <c r="I837" s="62">
        <v>6.9</v>
      </c>
      <c r="J837" s="63">
        <v>2.3E-2</v>
      </c>
      <c r="K837" s="76">
        <v>8.8089999999999993</v>
      </c>
      <c r="L837" s="65">
        <v>39.518999999999998</v>
      </c>
      <c r="M837" s="50">
        <v>5.0629999999999997</v>
      </c>
      <c r="N837" s="66">
        <v>1.4E-2</v>
      </c>
      <c r="O837" s="57">
        <v>177.01499999999999</v>
      </c>
      <c r="P837" s="75">
        <v>6.5000000000000002E-2</v>
      </c>
      <c r="Q837" s="96"/>
    </row>
    <row r="838" spans="1:17" ht="14.25" customHeight="1" x14ac:dyDescent="0.35">
      <c r="A838" s="1">
        <v>2022</v>
      </c>
      <c r="B838" s="1" t="s">
        <v>26</v>
      </c>
      <c r="C838" s="1">
        <v>16</v>
      </c>
      <c r="D838" s="49">
        <v>82.375</v>
      </c>
      <c r="E838" s="12">
        <f t="shared" si="11"/>
        <v>102.96875</v>
      </c>
      <c r="F838" s="50">
        <v>69.813000000000002</v>
      </c>
      <c r="G838" s="60">
        <v>78.093999999999994</v>
      </c>
      <c r="H838" s="61">
        <v>1776.2239999999999</v>
      </c>
      <c r="I838" s="62">
        <v>6.9</v>
      </c>
      <c r="J838" s="63">
        <v>2.5000000000000001E-2</v>
      </c>
      <c r="K838" s="81">
        <v>8.7159999999999993</v>
      </c>
      <c r="L838" s="61">
        <v>38.866999999999997</v>
      </c>
      <c r="M838" s="62">
        <v>5.1310000000000002</v>
      </c>
      <c r="N838" s="66">
        <v>1.4E-2</v>
      </c>
      <c r="O838" s="57">
        <v>145.49</v>
      </c>
      <c r="P838" s="80">
        <v>4.8000000000000001E-2</v>
      </c>
      <c r="Q838" s="96"/>
    </row>
    <row r="839" spans="1:17" ht="14.25" customHeight="1" x14ac:dyDescent="0.35">
      <c r="A839" s="1">
        <v>2022</v>
      </c>
      <c r="B839" s="1" t="s">
        <v>26</v>
      </c>
      <c r="C839" s="1">
        <v>17</v>
      </c>
      <c r="D839" s="49">
        <v>10.968999999999999</v>
      </c>
      <c r="E839" s="12">
        <f t="shared" si="11"/>
        <v>13.71125</v>
      </c>
      <c r="F839" s="50">
        <v>9.1560000000000006</v>
      </c>
      <c r="G839" s="60">
        <v>78.400000000000006</v>
      </c>
      <c r="H839" s="61">
        <v>1710</v>
      </c>
      <c r="I839" s="62">
        <v>6.9</v>
      </c>
      <c r="J839" s="63">
        <v>0.03</v>
      </c>
      <c r="K839" s="68">
        <v>9.15</v>
      </c>
      <c r="L839" s="65">
        <v>45</v>
      </c>
      <c r="M839" s="50">
        <v>5.15</v>
      </c>
      <c r="N839" s="66">
        <v>1.9E-2</v>
      </c>
      <c r="O839" s="57">
        <v>140</v>
      </c>
      <c r="P839" s="67">
        <v>5.6000000000000001E-2</v>
      </c>
      <c r="Q839" s="96"/>
    </row>
    <row r="840" spans="1:17" ht="14.25" customHeight="1" x14ac:dyDescent="0.35">
      <c r="A840" s="1">
        <v>2022</v>
      </c>
      <c r="B840" s="1" t="s">
        <v>26</v>
      </c>
      <c r="C840" s="1">
        <v>18</v>
      </c>
      <c r="D840" s="49">
        <v>0</v>
      </c>
      <c r="E840" s="12">
        <f t="shared" si="11"/>
        <v>0</v>
      </c>
      <c r="F840" s="50">
        <v>0</v>
      </c>
      <c r="G840" s="123"/>
      <c r="H840" s="124"/>
      <c r="I840" s="125"/>
      <c r="J840" s="126"/>
      <c r="K840" s="127"/>
      <c r="L840" s="124"/>
      <c r="M840" s="125"/>
      <c r="N840" s="128"/>
      <c r="O840" s="129"/>
      <c r="P840" s="130"/>
      <c r="Q840" s="96"/>
    </row>
    <row r="841" spans="1:17" ht="14.25" customHeight="1" x14ac:dyDescent="0.35">
      <c r="A841" s="1">
        <v>2022</v>
      </c>
      <c r="B841" s="1" t="s">
        <v>26</v>
      </c>
      <c r="C841" s="1">
        <v>19</v>
      </c>
      <c r="D841" s="49">
        <v>0</v>
      </c>
      <c r="E841" s="12">
        <f t="shared" si="11"/>
        <v>0</v>
      </c>
      <c r="F841" s="50">
        <v>0</v>
      </c>
      <c r="G841" s="123"/>
      <c r="H841" s="124"/>
      <c r="I841" s="125"/>
      <c r="J841" s="126"/>
      <c r="K841" s="127"/>
      <c r="L841" s="124"/>
      <c r="M841" s="125"/>
      <c r="N841" s="128"/>
      <c r="O841" s="129"/>
      <c r="P841" s="130"/>
      <c r="Q841" s="96"/>
    </row>
    <row r="842" spans="1:17" ht="14.25" customHeight="1" x14ac:dyDescent="0.35">
      <c r="A842" s="1">
        <v>2022</v>
      </c>
      <c r="B842" s="1" t="s">
        <v>26</v>
      </c>
      <c r="C842" s="1">
        <v>20</v>
      </c>
      <c r="D842" s="49">
        <v>0</v>
      </c>
      <c r="E842" s="12">
        <f t="shared" si="11"/>
        <v>0</v>
      </c>
      <c r="F842" s="50">
        <v>0</v>
      </c>
      <c r="G842" s="123"/>
      <c r="H842" s="124"/>
      <c r="I842" s="125"/>
      <c r="J842" s="126"/>
      <c r="K842" s="127"/>
      <c r="L842" s="124"/>
      <c r="M842" s="125"/>
      <c r="N842" s="128"/>
      <c r="O842" s="129"/>
      <c r="P842" s="130"/>
      <c r="Q842" s="96"/>
    </row>
    <row r="843" spans="1:17" ht="14.25" customHeight="1" x14ac:dyDescent="0.35">
      <c r="A843" s="1">
        <v>2022</v>
      </c>
      <c r="B843" s="1" t="s">
        <v>26</v>
      </c>
      <c r="C843" s="1">
        <v>21</v>
      </c>
      <c r="D843" s="49">
        <v>0</v>
      </c>
      <c r="E843" s="12">
        <f t="shared" si="11"/>
        <v>0</v>
      </c>
      <c r="F843" s="50">
        <v>0</v>
      </c>
      <c r="G843" s="123"/>
      <c r="H843" s="124"/>
      <c r="I843" s="125"/>
      <c r="J843" s="126"/>
      <c r="K843" s="127"/>
      <c r="L843" s="124"/>
      <c r="M843" s="125"/>
      <c r="N843" s="128"/>
      <c r="O843" s="129"/>
      <c r="P843" s="130"/>
      <c r="Q843" s="96"/>
    </row>
    <row r="844" spans="1:17" ht="14.25" customHeight="1" x14ac:dyDescent="0.35">
      <c r="A844" s="1">
        <v>2022</v>
      </c>
      <c r="B844" s="1" t="s">
        <v>26</v>
      </c>
      <c r="C844" s="1">
        <v>22</v>
      </c>
      <c r="D844" s="49">
        <v>8.734</v>
      </c>
      <c r="E844" s="12">
        <f t="shared" si="11"/>
        <v>10.9175</v>
      </c>
      <c r="F844" s="50">
        <v>7.1879999999999997</v>
      </c>
      <c r="G844" s="123"/>
      <c r="H844" s="124"/>
      <c r="I844" s="125"/>
      <c r="J844" s="126"/>
      <c r="K844" s="127"/>
      <c r="L844" s="124"/>
      <c r="M844" s="125"/>
      <c r="N844" s="128"/>
      <c r="O844" s="129"/>
      <c r="P844" s="130"/>
      <c r="Q844" s="96"/>
    </row>
    <row r="845" spans="1:17" ht="14.25" customHeight="1" x14ac:dyDescent="0.35">
      <c r="A845" s="1">
        <v>2022</v>
      </c>
      <c r="B845" s="1" t="s">
        <v>26</v>
      </c>
      <c r="C845" s="1">
        <v>23</v>
      </c>
      <c r="D845" s="49">
        <v>73.858999999999995</v>
      </c>
      <c r="E845" s="12">
        <f t="shared" si="11"/>
        <v>92.32374999999999</v>
      </c>
      <c r="F845" s="50">
        <v>62.813000000000002</v>
      </c>
      <c r="G845" s="60">
        <v>78.126999999999995</v>
      </c>
      <c r="H845" s="61">
        <v>1732.9459999999999</v>
      </c>
      <c r="I845" s="62">
        <v>6.9</v>
      </c>
      <c r="J845" s="63">
        <v>2.9000000000000001E-2</v>
      </c>
      <c r="K845" s="68">
        <v>9.3849999999999998</v>
      </c>
      <c r="L845" s="65">
        <v>39.058999999999997</v>
      </c>
      <c r="M845" s="50">
        <v>5.1509999999999998</v>
      </c>
      <c r="N845" s="66">
        <v>1.4E-2</v>
      </c>
      <c r="O845" s="57">
        <v>139.22399999999999</v>
      </c>
      <c r="P845" s="67">
        <v>6.2E-2</v>
      </c>
      <c r="Q845" s="96"/>
    </row>
    <row r="846" spans="1:17" ht="14.25" customHeight="1" x14ac:dyDescent="0.35">
      <c r="A846" s="1">
        <v>2022</v>
      </c>
      <c r="B846" s="1" t="s">
        <v>26</v>
      </c>
      <c r="C846" s="1">
        <v>24</v>
      </c>
      <c r="D846" s="49">
        <v>101.188</v>
      </c>
      <c r="E846" s="12">
        <f t="shared" si="11"/>
        <v>126.485</v>
      </c>
      <c r="F846" s="50">
        <v>85.906000000000006</v>
      </c>
      <c r="G846" s="60">
        <v>78.947000000000003</v>
      </c>
      <c r="H846" s="61">
        <v>1704.7860000000001</v>
      </c>
      <c r="I846" s="62">
        <v>6.9</v>
      </c>
      <c r="J846" s="63">
        <v>2.3E-2</v>
      </c>
      <c r="K846" s="68">
        <v>9.4719999999999995</v>
      </c>
      <c r="L846" s="61">
        <v>38.378</v>
      </c>
      <c r="M846" s="62">
        <v>5.09</v>
      </c>
      <c r="N846" s="66">
        <v>1.4E-2</v>
      </c>
      <c r="O846" s="57">
        <v>160.226</v>
      </c>
      <c r="P846" s="67">
        <v>5.8999999999999997E-2</v>
      </c>
      <c r="Q846" s="96"/>
    </row>
    <row r="847" spans="1:17" ht="14.25" customHeight="1" x14ac:dyDescent="0.35">
      <c r="A847" s="1">
        <v>2022</v>
      </c>
      <c r="B847" s="1" t="s">
        <v>26</v>
      </c>
      <c r="C847" s="1">
        <v>25</v>
      </c>
      <c r="D847" s="49">
        <v>96.546999999999997</v>
      </c>
      <c r="E847" s="32">
        <v>126.66</v>
      </c>
      <c r="F847" s="50">
        <v>81.938000000000002</v>
      </c>
      <c r="G847" s="60">
        <v>79.16</v>
      </c>
      <c r="H847" s="61">
        <v>1653.7190000000001</v>
      </c>
      <c r="I847" s="62">
        <v>6.9</v>
      </c>
      <c r="J847" s="63">
        <v>2.3E-2</v>
      </c>
      <c r="K847" s="68">
        <v>9.3770000000000007</v>
      </c>
      <c r="L847" s="65">
        <v>36.295000000000002</v>
      </c>
      <c r="M847" s="50">
        <v>5.0599999999999996</v>
      </c>
      <c r="N847" s="66">
        <v>1.4E-2</v>
      </c>
      <c r="O847" s="57">
        <v>171.667</v>
      </c>
      <c r="P847" s="67">
        <v>0.06</v>
      </c>
      <c r="Q847" s="96"/>
    </row>
    <row r="848" spans="1:17" ht="14.25" customHeight="1" x14ac:dyDescent="0.35">
      <c r="A848" s="1">
        <v>2022</v>
      </c>
      <c r="B848" s="1" t="s">
        <v>26</v>
      </c>
      <c r="C848" s="1">
        <v>26</v>
      </c>
      <c r="D848" s="49">
        <v>98.046999999999997</v>
      </c>
      <c r="E848" s="12">
        <f t="shared" ref="E848:E868" si="12">D848*1.25</f>
        <v>122.55875</v>
      </c>
      <c r="F848" s="50">
        <v>83.188000000000002</v>
      </c>
      <c r="G848" s="60">
        <v>79.102000000000004</v>
      </c>
      <c r="H848" s="61">
        <v>1749.0039999999999</v>
      </c>
      <c r="I848" s="62">
        <v>6.9</v>
      </c>
      <c r="J848" s="63">
        <v>2.3E-2</v>
      </c>
      <c r="K848" s="68">
        <v>9.5649999999999995</v>
      </c>
      <c r="L848" s="61">
        <v>37.738999999999997</v>
      </c>
      <c r="M848" s="62">
        <v>5.0670000000000002</v>
      </c>
      <c r="N848" s="66">
        <v>1.4E-2</v>
      </c>
      <c r="O848" s="57">
        <v>168.75299999999999</v>
      </c>
      <c r="P848" s="67">
        <v>6.5000000000000002E-2</v>
      </c>
      <c r="Q848" s="96"/>
    </row>
    <row r="849" spans="1:17" ht="14.25" customHeight="1" x14ac:dyDescent="0.35">
      <c r="A849" s="1">
        <v>2022</v>
      </c>
      <c r="B849" s="1" t="s">
        <v>26</v>
      </c>
      <c r="C849" s="1">
        <v>27</v>
      </c>
      <c r="D849" s="49">
        <v>107.797</v>
      </c>
      <c r="E849" s="12">
        <f t="shared" si="12"/>
        <v>134.74625</v>
      </c>
      <c r="F849" s="50">
        <v>91.593999999999994</v>
      </c>
      <c r="G849" s="60">
        <v>79</v>
      </c>
      <c r="H849" s="61">
        <v>1770.7339999999999</v>
      </c>
      <c r="I849" s="62">
        <v>6.9</v>
      </c>
      <c r="J849" s="63">
        <v>2.3E-2</v>
      </c>
      <c r="K849" s="68">
        <v>9.2309999999999999</v>
      </c>
      <c r="L849" s="65">
        <v>38.28</v>
      </c>
      <c r="M849" s="50">
        <v>5.0759999999999996</v>
      </c>
      <c r="N849" s="66">
        <v>1.4E-2</v>
      </c>
      <c r="O849" s="57">
        <v>165.81299999999999</v>
      </c>
      <c r="P849" s="67">
        <v>5.8000000000000003E-2</v>
      </c>
      <c r="Q849" s="96"/>
    </row>
    <row r="850" spans="1:17" ht="14.25" customHeight="1" x14ac:dyDescent="0.35">
      <c r="A850" s="1">
        <v>2022</v>
      </c>
      <c r="B850" s="1" t="s">
        <v>26</v>
      </c>
      <c r="C850" s="1">
        <v>28</v>
      </c>
      <c r="D850" s="49">
        <v>104</v>
      </c>
      <c r="E850" s="12">
        <f t="shared" si="12"/>
        <v>130</v>
      </c>
      <c r="F850" s="50">
        <v>88.563000000000002</v>
      </c>
      <c r="G850" s="60">
        <v>78.846999999999994</v>
      </c>
      <c r="H850" s="61">
        <v>1762.8630000000001</v>
      </c>
      <c r="I850" s="62">
        <v>6.9</v>
      </c>
      <c r="J850" s="63">
        <v>2.3E-2</v>
      </c>
      <c r="K850" s="68">
        <v>9.1669999999999998</v>
      </c>
      <c r="L850" s="61">
        <v>38.697000000000003</v>
      </c>
      <c r="M850" s="62">
        <v>5.09</v>
      </c>
      <c r="N850" s="66">
        <v>1.4E-2</v>
      </c>
      <c r="O850" s="57">
        <v>160.124</v>
      </c>
      <c r="P850" s="67">
        <v>5.3999999999999999E-2</v>
      </c>
      <c r="Q850" s="96"/>
    </row>
    <row r="851" spans="1:17" ht="14.25" customHeight="1" x14ac:dyDescent="0.35">
      <c r="A851" s="1">
        <v>2022</v>
      </c>
      <c r="B851" s="1" t="s">
        <v>26</v>
      </c>
      <c r="C851" s="1">
        <v>29</v>
      </c>
      <c r="D851" s="49">
        <v>109.75</v>
      </c>
      <c r="E851" s="12">
        <f t="shared" si="12"/>
        <v>137.1875</v>
      </c>
      <c r="F851" s="50">
        <v>93.593999999999994</v>
      </c>
      <c r="G851" s="83">
        <v>79.094999999999999</v>
      </c>
      <c r="H851" s="69">
        <v>1782.806</v>
      </c>
      <c r="I851" s="50">
        <v>6.9</v>
      </c>
      <c r="J851" s="66">
        <v>2.1999999999999999E-2</v>
      </c>
      <c r="K851" s="117">
        <v>9.2569999999999997</v>
      </c>
      <c r="L851" s="61">
        <v>39.128999999999998</v>
      </c>
      <c r="M851" s="62">
        <v>5.1449999999999996</v>
      </c>
      <c r="N851" s="66">
        <v>1.4E-2</v>
      </c>
      <c r="O851" s="57">
        <v>141.273</v>
      </c>
      <c r="P851" s="84">
        <v>5.8999999999999997E-2</v>
      </c>
      <c r="Q851" s="96"/>
    </row>
    <row r="852" spans="1:17" ht="14.25" customHeight="1" x14ac:dyDescent="0.35">
      <c r="A852" s="1">
        <v>2022</v>
      </c>
      <c r="B852" s="1" t="s">
        <v>26</v>
      </c>
      <c r="C852" s="1">
        <v>30</v>
      </c>
      <c r="D852" s="104">
        <v>108.813</v>
      </c>
      <c r="E852" s="12">
        <f t="shared" si="12"/>
        <v>136.01625000000001</v>
      </c>
      <c r="F852" s="105">
        <v>92.781000000000006</v>
      </c>
      <c r="G852" s="83">
        <v>79.283000000000001</v>
      </c>
      <c r="H852" s="69">
        <v>1749.047</v>
      </c>
      <c r="I852" s="50">
        <v>6.9</v>
      </c>
      <c r="J852" s="66">
        <v>2.1999999999999999E-2</v>
      </c>
      <c r="K852" s="117">
        <v>9.3989999999999991</v>
      </c>
      <c r="L852" s="61">
        <v>37.356999999999999</v>
      </c>
      <c r="M852" s="62">
        <v>5.1529999999999996</v>
      </c>
      <c r="N852" s="66">
        <v>1.4E-2</v>
      </c>
      <c r="O852" s="57">
        <v>138.64400000000001</v>
      </c>
      <c r="P852" s="84">
        <v>6.5000000000000002E-2</v>
      </c>
      <c r="Q852" s="96"/>
    </row>
    <row r="853" spans="1:17" ht="14.25" customHeight="1" x14ac:dyDescent="0.35">
      <c r="A853" s="1">
        <v>2022</v>
      </c>
      <c r="B853" s="1" t="s">
        <v>27</v>
      </c>
      <c r="C853" s="1">
        <v>1</v>
      </c>
      <c r="D853" s="49">
        <v>105.51600000000001</v>
      </c>
      <c r="E853" s="12">
        <f t="shared" si="12"/>
        <v>131.89500000000001</v>
      </c>
      <c r="F853" s="50">
        <v>89.968999999999994</v>
      </c>
      <c r="G853" s="51">
        <v>79.152000000000001</v>
      </c>
      <c r="H853" s="52">
        <v>1673.816</v>
      </c>
      <c r="I853" s="53">
        <v>6.9</v>
      </c>
      <c r="J853" s="54">
        <v>2.1999999999999999E-2</v>
      </c>
      <c r="K853" s="59">
        <v>9.5419999999999998</v>
      </c>
      <c r="L853" s="52">
        <v>36.225000000000001</v>
      </c>
      <c r="M853" s="55">
        <v>5.1680000000000001</v>
      </c>
      <c r="N853" s="56">
        <v>1.4E-2</v>
      </c>
      <c r="O853" s="57">
        <v>134.02000000000001</v>
      </c>
      <c r="P853" s="58">
        <v>6.2E-2</v>
      </c>
      <c r="Q853" s="96"/>
    </row>
    <row r="854" spans="1:17" ht="14.25" customHeight="1" x14ac:dyDescent="0.35">
      <c r="A854" s="1">
        <v>2022</v>
      </c>
      <c r="B854" s="1" t="s">
        <v>27</v>
      </c>
      <c r="C854" s="1">
        <v>2</v>
      </c>
      <c r="D854" s="49">
        <v>105.125</v>
      </c>
      <c r="E854" s="12">
        <f t="shared" si="12"/>
        <v>131.40625</v>
      </c>
      <c r="F854" s="50">
        <v>89.406000000000006</v>
      </c>
      <c r="G854" s="60">
        <v>78.981999999999999</v>
      </c>
      <c r="H854" s="61">
        <v>1630.318</v>
      </c>
      <c r="I854" s="62">
        <v>6.9</v>
      </c>
      <c r="J854" s="63">
        <v>2.1999999999999999E-2</v>
      </c>
      <c r="K854" s="68">
        <v>9.68</v>
      </c>
      <c r="L854" s="65">
        <v>34.478999999999999</v>
      </c>
      <c r="M854" s="50">
        <v>5.1680000000000001</v>
      </c>
      <c r="N854" s="66">
        <v>1.4E-2</v>
      </c>
      <c r="O854" s="57">
        <v>133.90299999999999</v>
      </c>
      <c r="P854" s="67">
        <v>6.3E-2</v>
      </c>
      <c r="Q854" s="96"/>
    </row>
    <row r="855" spans="1:17" ht="14.25" customHeight="1" x14ac:dyDescent="0.35">
      <c r="A855" s="1">
        <v>2022</v>
      </c>
      <c r="B855" s="1" t="s">
        <v>27</v>
      </c>
      <c r="C855" s="1">
        <v>3</v>
      </c>
      <c r="D855" s="49">
        <v>106.98399999999999</v>
      </c>
      <c r="E855" s="12">
        <f t="shared" si="12"/>
        <v>133.72999999999999</v>
      </c>
      <c r="F855" s="50">
        <v>90.875</v>
      </c>
      <c r="G855" s="60">
        <v>79.147999999999996</v>
      </c>
      <c r="H855" s="61">
        <v>1726.729</v>
      </c>
      <c r="I855" s="62">
        <v>6.9</v>
      </c>
      <c r="J855" s="63">
        <v>2.1999999999999999E-2</v>
      </c>
      <c r="K855" s="68">
        <v>9.6240000000000006</v>
      </c>
      <c r="L855" s="65">
        <v>36.472999999999999</v>
      </c>
      <c r="M855" s="50">
        <v>5.1589999999999998</v>
      </c>
      <c r="N855" s="66">
        <v>1.4E-2</v>
      </c>
      <c r="O855" s="57">
        <v>136.672</v>
      </c>
      <c r="P855" s="67">
        <v>7.1999999999999995E-2</v>
      </c>
      <c r="Q855" s="96"/>
    </row>
    <row r="856" spans="1:17" ht="14.25" customHeight="1" x14ac:dyDescent="0.35">
      <c r="A856" s="1">
        <v>2022</v>
      </c>
      <c r="B856" s="1" t="s">
        <v>27</v>
      </c>
      <c r="C856" s="1">
        <v>4</v>
      </c>
      <c r="D856" s="49">
        <v>106.09399999999999</v>
      </c>
      <c r="E856" s="12">
        <f t="shared" si="12"/>
        <v>132.61750000000001</v>
      </c>
      <c r="F856" s="50">
        <v>90</v>
      </c>
      <c r="G856" s="60">
        <v>79.608999999999995</v>
      </c>
      <c r="H856" s="61">
        <v>1772.384</v>
      </c>
      <c r="I856" s="62">
        <v>6.9</v>
      </c>
      <c r="J856" s="63">
        <v>2.1999999999999999E-2</v>
      </c>
      <c r="K856" s="68">
        <v>9.2409999999999997</v>
      </c>
      <c r="L856" s="65">
        <v>38.286999999999999</v>
      </c>
      <c r="M856" s="50">
        <v>5.1539999999999999</v>
      </c>
      <c r="N856" s="66">
        <v>1.4E-2</v>
      </c>
      <c r="O856" s="57">
        <v>138.18100000000001</v>
      </c>
      <c r="P856" s="67">
        <v>6.5000000000000002E-2</v>
      </c>
      <c r="Q856" s="96"/>
    </row>
    <row r="857" spans="1:17" ht="14.25" customHeight="1" x14ac:dyDescent="0.35">
      <c r="A857" s="1">
        <v>2022</v>
      </c>
      <c r="B857" s="1" t="s">
        <v>27</v>
      </c>
      <c r="C857" s="1">
        <v>5</v>
      </c>
      <c r="D857" s="49">
        <v>105.047</v>
      </c>
      <c r="E857" s="12">
        <f t="shared" si="12"/>
        <v>131.30875</v>
      </c>
      <c r="F857" s="50">
        <v>89</v>
      </c>
      <c r="G857" s="60">
        <v>79.894000000000005</v>
      </c>
      <c r="H857" s="61">
        <v>1755.7059999999999</v>
      </c>
      <c r="I857" s="62">
        <v>6.9</v>
      </c>
      <c r="J857" s="63">
        <v>2.1999999999999999E-2</v>
      </c>
      <c r="K857" s="68">
        <v>9.1679999999999993</v>
      </c>
      <c r="L857" s="65">
        <v>38.186</v>
      </c>
      <c r="M857" s="50">
        <v>5.149</v>
      </c>
      <c r="N857" s="66">
        <v>1.4E-2</v>
      </c>
      <c r="O857" s="57">
        <v>139.476</v>
      </c>
      <c r="P857" s="67">
        <v>5.8999999999999997E-2</v>
      </c>
      <c r="Q857" s="96"/>
    </row>
    <row r="858" spans="1:17" ht="14.25" customHeight="1" x14ac:dyDescent="0.35">
      <c r="A858" s="1">
        <v>2022</v>
      </c>
      <c r="B858" s="1" t="s">
        <v>27</v>
      </c>
      <c r="C858" s="1">
        <v>6</v>
      </c>
      <c r="D858" s="49">
        <v>107.89100000000001</v>
      </c>
      <c r="E858" s="12">
        <f t="shared" si="12"/>
        <v>134.86375000000001</v>
      </c>
      <c r="F858" s="50">
        <v>91.438000000000002</v>
      </c>
      <c r="G858" s="60">
        <v>79.751000000000005</v>
      </c>
      <c r="H858" s="61">
        <v>1739.6289999999999</v>
      </c>
      <c r="I858" s="62">
        <v>6.9</v>
      </c>
      <c r="J858" s="63">
        <v>3.7999999999999999E-2</v>
      </c>
      <c r="K858" s="68">
        <v>8.8810000000000002</v>
      </c>
      <c r="L858" s="65">
        <v>37.494</v>
      </c>
      <c r="M858" s="50">
        <v>5.13</v>
      </c>
      <c r="N858" s="66">
        <v>1.4E-2</v>
      </c>
      <c r="O858" s="57">
        <v>146</v>
      </c>
      <c r="P858" s="67">
        <v>5.2999999999999999E-2</v>
      </c>
      <c r="Q858" s="96"/>
    </row>
    <row r="859" spans="1:17" ht="14.25" customHeight="1" x14ac:dyDescent="0.35">
      <c r="A859" s="1">
        <v>2022</v>
      </c>
      <c r="B859" s="1" t="s">
        <v>27</v>
      </c>
      <c r="C859" s="1">
        <v>7</v>
      </c>
      <c r="D859" s="49">
        <v>108.71899999999999</v>
      </c>
      <c r="E859" s="12">
        <f t="shared" si="12"/>
        <v>135.89875000000001</v>
      </c>
      <c r="F859" s="50">
        <v>92.188000000000002</v>
      </c>
      <c r="G859" s="60">
        <v>79.789000000000001</v>
      </c>
      <c r="H859" s="61">
        <v>1750.58</v>
      </c>
      <c r="I859" s="62">
        <v>6.9</v>
      </c>
      <c r="J859" s="63">
        <v>5.2999999999999999E-2</v>
      </c>
      <c r="K859" s="68">
        <v>8.9779999999999998</v>
      </c>
      <c r="L859" s="65">
        <v>37.6</v>
      </c>
      <c r="M859" s="50">
        <v>5.1239999999999997</v>
      </c>
      <c r="N859" s="66">
        <v>1.4E-2</v>
      </c>
      <c r="O859" s="57">
        <v>148.536</v>
      </c>
      <c r="P859" s="67">
        <v>5.3999999999999999E-2</v>
      </c>
      <c r="Q859" s="96"/>
    </row>
    <row r="860" spans="1:17" ht="14.25" customHeight="1" x14ac:dyDescent="0.35">
      <c r="A860" s="1">
        <v>2022</v>
      </c>
      <c r="B860" s="1" t="s">
        <v>27</v>
      </c>
      <c r="C860" s="1">
        <v>8</v>
      </c>
      <c r="D860" s="49">
        <v>106.188</v>
      </c>
      <c r="E860" s="12">
        <f t="shared" si="12"/>
        <v>132.73500000000001</v>
      </c>
      <c r="F860" s="50">
        <v>89.968999999999994</v>
      </c>
      <c r="G860" s="60">
        <v>79.445999999999998</v>
      </c>
      <c r="H860" s="69">
        <v>1666.748</v>
      </c>
      <c r="I860" s="62">
        <v>6.9</v>
      </c>
      <c r="J860" s="63">
        <v>5.1999999999999998E-2</v>
      </c>
      <c r="K860" s="71">
        <v>8.8460000000000001</v>
      </c>
      <c r="L860" s="65">
        <v>35.194000000000003</v>
      </c>
      <c r="M860" s="50">
        <v>5.1159999999999997</v>
      </c>
      <c r="N860" s="66">
        <v>1.4E-2</v>
      </c>
      <c r="O860" s="57">
        <v>151.137</v>
      </c>
      <c r="P860" s="70">
        <v>4.9000000000000002E-2</v>
      </c>
      <c r="Q860" s="96"/>
    </row>
    <row r="861" spans="1:17" ht="14.25" customHeight="1" x14ac:dyDescent="0.35">
      <c r="A861" s="1">
        <v>2022</v>
      </c>
      <c r="B861" s="1" t="s">
        <v>27</v>
      </c>
      <c r="C861" s="1">
        <v>9</v>
      </c>
      <c r="D861" s="49">
        <v>105.5</v>
      </c>
      <c r="E861" s="12">
        <f t="shared" si="12"/>
        <v>131.875</v>
      </c>
      <c r="F861" s="50">
        <v>89.531000000000006</v>
      </c>
      <c r="G861" s="60">
        <v>78.924000000000007</v>
      </c>
      <c r="H861" s="61">
        <v>1638.2190000000001</v>
      </c>
      <c r="I861" s="62">
        <v>6.9</v>
      </c>
      <c r="J861" s="63">
        <v>5.2999999999999999E-2</v>
      </c>
      <c r="K861" s="68">
        <v>9.1240000000000006</v>
      </c>
      <c r="L861" s="65">
        <v>35.933</v>
      </c>
      <c r="M861" s="50">
        <v>5.13</v>
      </c>
      <c r="N861" s="66">
        <v>1.4E-2</v>
      </c>
      <c r="O861" s="57">
        <v>146.42400000000001</v>
      </c>
      <c r="P861" s="67">
        <v>4.9000000000000002E-2</v>
      </c>
      <c r="Q861" s="96"/>
    </row>
    <row r="862" spans="1:17" ht="14.25" customHeight="1" x14ac:dyDescent="0.35">
      <c r="A862" s="1">
        <v>2022</v>
      </c>
      <c r="B862" s="1" t="s">
        <v>27</v>
      </c>
      <c r="C862" s="1">
        <v>10</v>
      </c>
      <c r="D862" s="49">
        <v>105.703</v>
      </c>
      <c r="E862" s="12">
        <f t="shared" si="12"/>
        <v>132.12875</v>
      </c>
      <c r="F862" s="50">
        <v>89.688000000000002</v>
      </c>
      <c r="G862" s="72">
        <v>78.944999999999993</v>
      </c>
      <c r="H862" s="61">
        <v>1758.404</v>
      </c>
      <c r="I862" s="62">
        <v>6.9</v>
      </c>
      <c r="J862" s="63">
        <v>5.2999999999999999E-2</v>
      </c>
      <c r="K862" s="76">
        <v>9.5410000000000004</v>
      </c>
      <c r="L862" s="65">
        <v>37.561999999999998</v>
      </c>
      <c r="M862" s="50">
        <v>5.13</v>
      </c>
      <c r="N862" s="74">
        <v>1.4E-2</v>
      </c>
      <c r="O862" s="57">
        <v>146.20099999999999</v>
      </c>
      <c r="P862" s="75">
        <v>5.8999999999999997E-2</v>
      </c>
      <c r="Q862" s="96"/>
    </row>
    <row r="863" spans="1:17" ht="14.25" customHeight="1" x14ac:dyDescent="0.35">
      <c r="A863" s="1">
        <v>2022</v>
      </c>
      <c r="B863" s="1" t="s">
        <v>27</v>
      </c>
      <c r="C863" s="1">
        <v>11</v>
      </c>
      <c r="D863" s="49">
        <v>106.03100000000001</v>
      </c>
      <c r="E863" s="12">
        <f t="shared" si="12"/>
        <v>132.53874999999999</v>
      </c>
      <c r="F863" s="50">
        <v>90.031000000000006</v>
      </c>
      <c r="G863" s="72">
        <v>78.941000000000003</v>
      </c>
      <c r="H863" s="61">
        <v>1801.1949999999999</v>
      </c>
      <c r="I863" s="62">
        <v>6.9</v>
      </c>
      <c r="J863" s="63">
        <v>5.3999999999999999E-2</v>
      </c>
      <c r="K863" s="76">
        <v>9.1880000000000006</v>
      </c>
      <c r="L863" s="65">
        <v>37.521000000000001</v>
      </c>
      <c r="M863" s="50">
        <v>5.1120000000000001</v>
      </c>
      <c r="N863" s="74">
        <v>1.4E-2</v>
      </c>
      <c r="O863" s="57">
        <v>152.464</v>
      </c>
      <c r="P863" s="75">
        <v>5.7000000000000002E-2</v>
      </c>
      <c r="Q863" s="96"/>
    </row>
    <row r="864" spans="1:17" ht="14.25" customHeight="1" x14ac:dyDescent="0.35">
      <c r="A864" s="1">
        <v>2022</v>
      </c>
      <c r="B864" s="1" t="s">
        <v>27</v>
      </c>
      <c r="C864" s="1">
        <v>12</v>
      </c>
      <c r="D864" s="49">
        <v>102.797</v>
      </c>
      <c r="E864" s="12">
        <f t="shared" si="12"/>
        <v>128.49625</v>
      </c>
      <c r="F864" s="50">
        <v>87.25</v>
      </c>
      <c r="G864" s="72">
        <v>79.492000000000004</v>
      </c>
      <c r="H864" s="61">
        <v>1786.7739999999999</v>
      </c>
      <c r="I864" s="62">
        <v>6.9</v>
      </c>
      <c r="J864" s="63">
        <v>5.2999999999999999E-2</v>
      </c>
      <c r="K864" s="76">
        <v>9.2110000000000003</v>
      </c>
      <c r="L864" s="65">
        <v>36.972999999999999</v>
      </c>
      <c r="M864" s="50">
        <v>5.0979999999999999</v>
      </c>
      <c r="N864" s="74">
        <v>1.4E-2</v>
      </c>
      <c r="O864" s="57">
        <v>157.55000000000001</v>
      </c>
      <c r="P864" s="75">
        <v>5.6000000000000001E-2</v>
      </c>
      <c r="Q864" s="96"/>
    </row>
    <row r="865" spans="1:17" ht="14.25" customHeight="1" x14ac:dyDescent="0.35">
      <c r="A865" s="1">
        <v>2022</v>
      </c>
      <c r="B865" s="1" t="s">
        <v>27</v>
      </c>
      <c r="C865" s="1">
        <v>13</v>
      </c>
      <c r="D865" s="49">
        <v>111.063</v>
      </c>
      <c r="E865" s="12">
        <f t="shared" si="12"/>
        <v>138.82875000000001</v>
      </c>
      <c r="F865" s="50">
        <v>94.406000000000006</v>
      </c>
      <c r="G865" s="78">
        <v>80.076999999999998</v>
      </c>
      <c r="H865" s="61">
        <v>1790.7070000000001</v>
      </c>
      <c r="I865" s="62">
        <v>6.9</v>
      </c>
      <c r="J865" s="63">
        <v>3.3000000000000002E-2</v>
      </c>
      <c r="K865" s="81">
        <v>8.8829999999999991</v>
      </c>
      <c r="L865" s="65">
        <v>38.593000000000004</v>
      </c>
      <c r="M865" s="50">
        <v>5.0880000000000001</v>
      </c>
      <c r="N865" s="66">
        <v>1.2999999999999999E-2</v>
      </c>
      <c r="O865" s="57">
        <v>162.00200000000001</v>
      </c>
      <c r="P865" s="80">
        <v>5.3999999999999999E-2</v>
      </c>
      <c r="Q865" s="96"/>
    </row>
    <row r="866" spans="1:17" ht="14.25" customHeight="1" x14ac:dyDescent="0.35">
      <c r="A866" s="1">
        <v>2022</v>
      </c>
      <c r="B866" s="1" t="s">
        <v>27</v>
      </c>
      <c r="C866" s="1">
        <v>14</v>
      </c>
      <c r="D866" s="49">
        <v>103.328</v>
      </c>
      <c r="E866" s="12">
        <f t="shared" si="12"/>
        <v>129.16</v>
      </c>
      <c r="F866" s="50">
        <v>87.843999999999994</v>
      </c>
      <c r="G866" s="60">
        <v>80.515000000000001</v>
      </c>
      <c r="H866" s="61">
        <v>1785.5740000000001</v>
      </c>
      <c r="I866" s="62">
        <v>6.9</v>
      </c>
      <c r="J866" s="63">
        <v>2.4E-2</v>
      </c>
      <c r="K866" s="81">
        <v>9.15</v>
      </c>
      <c r="L866" s="82">
        <v>37.759</v>
      </c>
      <c r="M866" s="50">
        <v>5.1159999999999997</v>
      </c>
      <c r="N866" s="66">
        <v>1.4E-2</v>
      </c>
      <c r="O866" s="57">
        <v>150.84399999999999</v>
      </c>
      <c r="P866" s="80">
        <v>5.6000000000000001E-2</v>
      </c>
      <c r="Q866" s="96"/>
    </row>
    <row r="867" spans="1:17" ht="14.25" customHeight="1" x14ac:dyDescent="0.35">
      <c r="A867" s="1">
        <v>2022</v>
      </c>
      <c r="B867" s="1" t="s">
        <v>27</v>
      </c>
      <c r="C867" s="1">
        <v>15</v>
      </c>
      <c r="D867" s="49">
        <v>106</v>
      </c>
      <c r="E867" s="12">
        <f t="shared" si="12"/>
        <v>132.5</v>
      </c>
      <c r="F867" s="50">
        <v>90</v>
      </c>
      <c r="G867" s="60">
        <v>80.367000000000004</v>
      </c>
      <c r="H867" s="61">
        <v>1732.913</v>
      </c>
      <c r="I867" s="62">
        <v>6.9</v>
      </c>
      <c r="J867" s="63">
        <v>2.4E-2</v>
      </c>
      <c r="K867" s="76">
        <v>9.3179999999999996</v>
      </c>
      <c r="L867" s="65">
        <v>37.863999999999997</v>
      </c>
      <c r="M867" s="50">
        <v>5.1280000000000001</v>
      </c>
      <c r="N867" s="66">
        <v>1.4E-2</v>
      </c>
      <c r="O867" s="57">
        <v>146.666</v>
      </c>
      <c r="P867" s="75">
        <v>5.6000000000000001E-2</v>
      </c>
      <c r="Q867" s="96"/>
    </row>
    <row r="868" spans="1:17" ht="14.25" customHeight="1" x14ac:dyDescent="0.35">
      <c r="A868" s="1">
        <v>2022</v>
      </c>
      <c r="B868" s="1" t="s">
        <v>27</v>
      </c>
      <c r="C868" s="1">
        <v>16</v>
      </c>
      <c r="D868" s="49">
        <v>105.797</v>
      </c>
      <c r="E868" s="12">
        <f t="shared" si="12"/>
        <v>132.24625</v>
      </c>
      <c r="F868" s="50">
        <v>90</v>
      </c>
      <c r="G868" s="60">
        <v>80.096000000000004</v>
      </c>
      <c r="H868" s="61">
        <v>1676.9359999999999</v>
      </c>
      <c r="I868" s="62">
        <v>6.9</v>
      </c>
      <c r="J868" s="63">
        <v>2.4E-2</v>
      </c>
      <c r="K868" s="81">
        <v>9.4280000000000008</v>
      </c>
      <c r="L868" s="61">
        <v>37.417999999999999</v>
      </c>
      <c r="M868" s="62">
        <v>5.1429999999999998</v>
      </c>
      <c r="N868" s="66">
        <v>1.4E-2</v>
      </c>
      <c r="O868" s="57">
        <v>142.15100000000001</v>
      </c>
      <c r="P868" s="80">
        <v>5.6000000000000001E-2</v>
      </c>
      <c r="Q868" s="96"/>
    </row>
    <row r="869" spans="1:17" ht="14.25" customHeight="1" x14ac:dyDescent="0.35">
      <c r="A869" s="1">
        <v>2022</v>
      </c>
      <c r="B869" s="1" t="s">
        <v>27</v>
      </c>
      <c r="C869" s="1">
        <v>17</v>
      </c>
      <c r="D869" s="49">
        <v>105.938</v>
      </c>
      <c r="E869" s="32">
        <v>122.11</v>
      </c>
      <c r="F869" s="50">
        <v>89.968999999999994</v>
      </c>
      <c r="G869" s="60">
        <v>80.049000000000007</v>
      </c>
      <c r="H869" s="61">
        <v>1742.2619999999999</v>
      </c>
      <c r="I869" s="62">
        <v>6.9</v>
      </c>
      <c r="J869" s="63">
        <v>2.4E-2</v>
      </c>
      <c r="K869" s="68">
        <v>9.3889999999999993</v>
      </c>
      <c r="L869" s="65">
        <v>37.902000000000001</v>
      </c>
      <c r="M869" s="50">
        <v>5.141</v>
      </c>
      <c r="N869" s="66">
        <v>1.4E-2</v>
      </c>
      <c r="O869" s="57">
        <v>142.87700000000001</v>
      </c>
      <c r="P869" s="67">
        <v>5.8000000000000003E-2</v>
      </c>
      <c r="Q869" s="96"/>
    </row>
    <row r="870" spans="1:17" ht="14.25" customHeight="1" x14ac:dyDescent="0.35">
      <c r="A870" s="1">
        <v>2022</v>
      </c>
      <c r="B870" s="1" t="s">
        <v>27</v>
      </c>
      <c r="C870" s="1">
        <v>18</v>
      </c>
      <c r="D870" s="49">
        <v>105.953</v>
      </c>
      <c r="E870" s="32">
        <v>132.11000000000001</v>
      </c>
      <c r="F870" s="50">
        <v>89.968999999999994</v>
      </c>
      <c r="G870" s="60">
        <v>80.135000000000005</v>
      </c>
      <c r="H870" s="61">
        <v>1791.7629999999999</v>
      </c>
      <c r="I870" s="62">
        <v>6.9</v>
      </c>
      <c r="J870" s="63">
        <v>2.5000000000000001E-2</v>
      </c>
      <c r="K870" s="68">
        <v>9.1859999999999999</v>
      </c>
      <c r="L870" s="61">
        <v>38.017000000000003</v>
      </c>
      <c r="M870" s="62">
        <v>5.12</v>
      </c>
      <c r="N870" s="66">
        <v>1.4E-2</v>
      </c>
      <c r="O870" s="57">
        <v>149.958</v>
      </c>
      <c r="P870" s="67">
        <v>5.6000000000000001E-2</v>
      </c>
      <c r="Q870" s="96"/>
    </row>
    <row r="871" spans="1:17" ht="14.25" customHeight="1" x14ac:dyDescent="0.35">
      <c r="A871" s="1">
        <v>2022</v>
      </c>
      <c r="B871" s="1" t="s">
        <v>27</v>
      </c>
      <c r="C871" s="1">
        <v>19</v>
      </c>
      <c r="D871" s="49">
        <v>103.938</v>
      </c>
      <c r="E871" s="12">
        <f t="shared" ref="E871:E959" si="13">D871*1.25</f>
        <v>129.92250000000001</v>
      </c>
      <c r="F871" s="50">
        <v>88.218999999999994</v>
      </c>
      <c r="G871" s="60">
        <v>80.090999999999994</v>
      </c>
      <c r="H871" s="61">
        <v>1768.1469999999999</v>
      </c>
      <c r="I871" s="62">
        <v>6.9</v>
      </c>
      <c r="J871" s="63">
        <v>2.5000000000000001E-2</v>
      </c>
      <c r="K871" s="68">
        <v>9.1210000000000004</v>
      </c>
      <c r="L871" s="65">
        <v>37.274000000000001</v>
      </c>
      <c r="M871" s="50">
        <v>5.1100000000000003</v>
      </c>
      <c r="N871" s="66">
        <v>1.4E-2</v>
      </c>
      <c r="O871" s="57">
        <v>152.75899999999999</v>
      </c>
      <c r="P871" s="67">
        <v>5.3999999999999999E-2</v>
      </c>
      <c r="Q871" s="96"/>
    </row>
    <row r="872" spans="1:17" ht="14.25" customHeight="1" x14ac:dyDescent="0.35">
      <c r="A872" s="1">
        <v>2022</v>
      </c>
      <c r="B872" s="1" t="s">
        <v>27</v>
      </c>
      <c r="C872" s="1">
        <v>20</v>
      </c>
      <c r="D872" s="49">
        <v>106.313</v>
      </c>
      <c r="E872" s="12">
        <f t="shared" si="13"/>
        <v>132.89125000000001</v>
      </c>
      <c r="F872" s="50">
        <v>90.281000000000006</v>
      </c>
      <c r="G872" s="60">
        <v>79.775000000000006</v>
      </c>
      <c r="H872" s="61">
        <v>1811.694</v>
      </c>
      <c r="I872" s="62">
        <v>6.9</v>
      </c>
      <c r="J872" s="63">
        <v>2.4E-2</v>
      </c>
      <c r="K872" s="68">
        <v>9.0609999999999999</v>
      </c>
      <c r="L872" s="61">
        <v>36.500999999999998</v>
      </c>
      <c r="M872" s="62">
        <v>5.1120000000000001</v>
      </c>
      <c r="N872" s="66">
        <v>1.4E-2</v>
      </c>
      <c r="O872" s="57">
        <v>153.41</v>
      </c>
      <c r="P872" s="67">
        <v>5.3999999999999999E-2</v>
      </c>
      <c r="Q872" s="96"/>
    </row>
    <row r="873" spans="1:17" ht="14.25" customHeight="1" x14ac:dyDescent="0.35">
      <c r="A873" s="1">
        <v>2022</v>
      </c>
      <c r="B873" s="1" t="s">
        <v>27</v>
      </c>
      <c r="C873" s="1">
        <v>21</v>
      </c>
      <c r="D873" s="49">
        <v>108.25</v>
      </c>
      <c r="E873" s="12">
        <f t="shared" si="13"/>
        <v>135.3125</v>
      </c>
      <c r="F873" s="50">
        <v>91.906000000000006</v>
      </c>
      <c r="G873" s="60">
        <v>80.087000000000003</v>
      </c>
      <c r="H873" s="61">
        <v>1816.894</v>
      </c>
      <c r="I873" s="62">
        <v>6.9009999999999998</v>
      </c>
      <c r="J873" s="63">
        <v>2.4E-2</v>
      </c>
      <c r="K873" s="68">
        <v>8.9939999999999998</v>
      </c>
      <c r="L873" s="65">
        <v>38.241</v>
      </c>
      <c r="M873" s="50">
        <v>5.0999999999999996</v>
      </c>
      <c r="N873" s="66">
        <v>1.4E-2</v>
      </c>
      <c r="O873" s="57">
        <v>156.398</v>
      </c>
      <c r="P873" s="67">
        <v>5.2999999999999999E-2</v>
      </c>
      <c r="Q873" s="96"/>
    </row>
    <row r="874" spans="1:17" ht="14.25" customHeight="1" x14ac:dyDescent="0.35">
      <c r="A874" s="1">
        <v>2022</v>
      </c>
      <c r="B874" s="1" t="s">
        <v>27</v>
      </c>
      <c r="C874" s="1">
        <v>22</v>
      </c>
      <c r="D874" s="49">
        <v>107.203</v>
      </c>
      <c r="E874" s="12">
        <f t="shared" si="13"/>
        <v>134.00375</v>
      </c>
      <c r="F874" s="50">
        <v>90.938000000000002</v>
      </c>
      <c r="G874" s="60">
        <v>80.113</v>
      </c>
      <c r="H874" s="61">
        <v>1742.2829999999999</v>
      </c>
      <c r="I874" s="62">
        <v>6.899</v>
      </c>
      <c r="J874" s="63">
        <v>2.3E-2</v>
      </c>
      <c r="K874" s="68">
        <v>8.8019999999999996</v>
      </c>
      <c r="L874" s="61">
        <v>37.720999999999997</v>
      </c>
      <c r="M874" s="62">
        <v>5.0679999999999996</v>
      </c>
      <c r="N874" s="66">
        <v>1.4E-2</v>
      </c>
      <c r="O874" s="57">
        <v>168.48</v>
      </c>
      <c r="P874" s="67">
        <v>4.9000000000000002E-2</v>
      </c>
      <c r="Q874" s="96"/>
    </row>
    <row r="875" spans="1:17" ht="14.25" customHeight="1" x14ac:dyDescent="0.35">
      <c r="A875" s="1">
        <v>2022</v>
      </c>
      <c r="B875" s="1" t="s">
        <v>27</v>
      </c>
      <c r="C875" s="1">
        <v>23</v>
      </c>
      <c r="D875" s="49">
        <v>103.563</v>
      </c>
      <c r="E875" s="12">
        <f t="shared" si="13"/>
        <v>129.45375000000001</v>
      </c>
      <c r="F875" s="50">
        <v>87.906000000000006</v>
      </c>
      <c r="G875" s="60">
        <v>79.751999999999995</v>
      </c>
      <c r="H875" s="61">
        <v>1683.6859999999999</v>
      </c>
      <c r="I875" s="62">
        <v>6.9</v>
      </c>
      <c r="J875" s="63">
        <v>2.4E-2</v>
      </c>
      <c r="K875" s="68">
        <v>9.0660000000000007</v>
      </c>
      <c r="L875" s="65">
        <v>35.926000000000002</v>
      </c>
      <c r="M875" s="50">
        <v>5.0670000000000002</v>
      </c>
      <c r="N875" s="66">
        <v>1.4E-2</v>
      </c>
      <c r="O875" s="57">
        <v>169.191</v>
      </c>
      <c r="P875" s="67">
        <v>0.05</v>
      </c>
      <c r="Q875" s="96"/>
    </row>
    <row r="876" spans="1:17" ht="14.25" customHeight="1" x14ac:dyDescent="0.35">
      <c r="A876" s="1">
        <v>2022</v>
      </c>
      <c r="B876" s="1" t="s">
        <v>27</v>
      </c>
      <c r="C876" s="1">
        <v>24</v>
      </c>
      <c r="D876" s="49">
        <v>104.688</v>
      </c>
      <c r="E876" s="12">
        <f t="shared" si="13"/>
        <v>130.86000000000001</v>
      </c>
      <c r="F876" s="50">
        <v>88.843999999999994</v>
      </c>
      <c r="G876" s="60">
        <v>80.075999999999993</v>
      </c>
      <c r="H876" s="61">
        <v>1787.0219999999999</v>
      </c>
      <c r="I876" s="62">
        <v>6.9</v>
      </c>
      <c r="J876" s="63">
        <v>2.4E-2</v>
      </c>
      <c r="K876" s="68">
        <v>9.3810000000000002</v>
      </c>
      <c r="L876" s="61">
        <v>37.686</v>
      </c>
      <c r="M876" s="62">
        <v>5.0679999999999996</v>
      </c>
      <c r="N876" s="66">
        <v>1.4E-2</v>
      </c>
      <c r="O876" s="57">
        <v>168.417</v>
      </c>
      <c r="P876" s="67">
        <v>5.8999999999999997E-2</v>
      </c>
      <c r="Q876" s="96"/>
    </row>
    <row r="877" spans="1:17" ht="14.25" customHeight="1" x14ac:dyDescent="0.35">
      <c r="A877" s="1">
        <v>2022</v>
      </c>
      <c r="B877" s="1" t="s">
        <v>27</v>
      </c>
      <c r="C877" s="1">
        <v>25</v>
      </c>
      <c r="D877" s="49">
        <v>106.98399999999999</v>
      </c>
      <c r="E877" s="12">
        <f t="shared" si="13"/>
        <v>133.72999999999999</v>
      </c>
      <c r="F877" s="50">
        <v>91</v>
      </c>
      <c r="G877" s="60">
        <v>80.319999999999993</v>
      </c>
      <c r="H877" s="61">
        <v>1812.9559999999999</v>
      </c>
      <c r="I877" s="62">
        <v>6.9</v>
      </c>
      <c r="J877" s="63">
        <v>2.4E-2</v>
      </c>
      <c r="K877" s="68">
        <v>9.1</v>
      </c>
      <c r="L877" s="65">
        <v>37.119</v>
      </c>
      <c r="M877" s="50">
        <v>5.101</v>
      </c>
      <c r="N877" s="66">
        <v>1.4E-2</v>
      </c>
      <c r="O877" s="57">
        <v>158.429</v>
      </c>
      <c r="P877" s="67">
        <v>0.06</v>
      </c>
      <c r="Q877" s="96"/>
    </row>
    <row r="878" spans="1:17" ht="14.25" customHeight="1" x14ac:dyDescent="0.35">
      <c r="A878" s="1">
        <v>2022</v>
      </c>
      <c r="B878" s="1" t="s">
        <v>27</v>
      </c>
      <c r="C878" s="1">
        <v>26</v>
      </c>
      <c r="D878" s="49">
        <v>110.422</v>
      </c>
      <c r="E878" s="12">
        <f t="shared" si="13"/>
        <v>138.0275</v>
      </c>
      <c r="F878" s="50">
        <v>93.968999999999994</v>
      </c>
      <c r="G878" s="60">
        <v>80.495999999999995</v>
      </c>
      <c r="H878" s="61">
        <v>1800.1869999999999</v>
      </c>
      <c r="I878" s="62">
        <v>6.9</v>
      </c>
      <c r="J878" s="63">
        <v>2.5000000000000001E-2</v>
      </c>
      <c r="K878" s="68">
        <v>8.8689999999999998</v>
      </c>
      <c r="L878" s="61">
        <v>36.182000000000002</v>
      </c>
      <c r="M878" s="62">
        <v>5.1420000000000003</v>
      </c>
      <c r="N878" s="66">
        <v>1.4E-2</v>
      </c>
      <c r="O878" s="57">
        <v>142.852</v>
      </c>
      <c r="P878" s="67">
        <v>5.8999999999999997E-2</v>
      </c>
      <c r="Q878" s="96"/>
    </row>
    <row r="879" spans="1:17" ht="14.25" customHeight="1" x14ac:dyDescent="0.35">
      <c r="A879" s="1">
        <v>2022</v>
      </c>
      <c r="B879" s="1" t="s">
        <v>27</v>
      </c>
      <c r="C879" s="1">
        <v>27</v>
      </c>
      <c r="D879" s="49">
        <v>110.40600000000001</v>
      </c>
      <c r="E879" s="12">
        <f t="shared" si="13"/>
        <v>138.00749999999999</v>
      </c>
      <c r="F879" s="50">
        <v>93.968999999999994</v>
      </c>
      <c r="G879" s="60">
        <v>80.373000000000005</v>
      </c>
      <c r="H879" s="61">
        <v>1765.4860000000001</v>
      </c>
      <c r="I879" s="62">
        <v>6.9</v>
      </c>
      <c r="J879" s="63">
        <v>2.4E-2</v>
      </c>
      <c r="K879" s="68">
        <v>8.91</v>
      </c>
      <c r="L879" s="65">
        <v>35.485999999999997</v>
      </c>
      <c r="M879" s="50">
        <v>5.1520000000000001</v>
      </c>
      <c r="N879" s="66">
        <v>1.4999999999999999E-2</v>
      </c>
      <c r="O879" s="57">
        <v>139.15899999999999</v>
      </c>
      <c r="P879" s="67">
        <v>6.4000000000000001E-2</v>
      </c>
      <c r="Q879" s="96"/>
    </row>
    <row r="880" spans="1:17" ht="14.25" customHeight="1" x14ac:dyDescent="0.35">
      <c r="A880" s="1">
        <v>2022</v>
      </c>
      <c r="B880" s="1" t="s">
        <v>27</v>
      </c>
      <c r="C880" s="1">
        <v>28</v>
      </c>
      <c r="D880" s="49">
        <v>109.60899999999999</v>
      </c>
      <c r="E880" s="12">
        <f t="shared" si="13"/>
        <v>137.01124999999999</v>
      </c>
      <c r="F880" s="50">
        <v>93.343999999999994</v>
      </c>
      <c r="G880" s="60">
        <v>80.066999999999993</v>
      </c>
      <c r="H880" s="61">
        <v>1698.5989999999999</v>
      </c>
      <c r="I880" s="62">
        <v>6.9</v>
      </c>
      <c r="J880" s="63">
        <v>2.4E-2</v>
      </c>
      <c r="K880" s="68">
        <v>8.9860000000000007</v>
      </c>
      <c r="L880" s="61">
        <v>34.509</v>
      </c>
      <c r="M880" s="62">
        <v>5.1479999999999997</v>
      </c>
      <c r="N880" s="66">
        <v>1.6E-2</v>
      </c>
      <c r="O880" s="57">
        <v>140.61699999999999</v>
      </c>
      <c r="P880" s="67">
        <v>5.8999999999999997E-2</v>
      </c>
      <c r="Q880" s="96"/>
    </row>
    <row r="881" spans="1:17" ht="14.25" customHeight="1" x14ac:dyDescent="0.35">
      <c r="A881" s="1">
        <v>2022</v>
      </c>
      <c r="B881" s="1" t="s">
        <v>27</v>
      </c>
      <c r="C881" s="1">
        <v>29</v>
      </c>
      <c r="D881" s="49">
        <v>106.10899999999999</v>
      </c>
      <c r="E881" s="12">
        <f t="shared" si="13"/>
        <v>132.63624999999999</v>
      </c>
      <c r="F881" s="50">
        <v>90.281000000000006</v>
      </c>
      <c r="G881" s="83">
        <v>80.335999999999999</v>
      </c>
      <c r="H881" s="69">
        <v>1649.6610000000001</v>
      </c>
      <c r="I881" s="50">
        <v>6.9</v>
      </c>
      <c r="J881" s="66">
        <v>2.5000000000000001E-2</v>
      </c>
      <c r="K881" s="117">
        <v>8.859</v>
      </c>
      <c r="L881" s="61">
        <v>35.292999999999999</v>
      </c>
      <c r="M881" s="62">
        <v>5.1619999999999999</v>
      </c>
      <c r="N881" s="66">
        <v>1.6E-2</v>
      </c>
      <c r="O881" s="57">
        <v>136.422</v>
      </c>
      <c r="P881" s="84">
        <v>5.3999999999999999E-2</v>
      </c>
      <c r="Q881" s="96"/>
    </row>
    <row r="882" spans="1:17" ht="14.25" customHeight="1" x14ac:dyDescent="0.35">
      <c r="A882" s="1">
        <v>2022</v>
      </c>
      <c r="B882" s="1" t="s">
        <v>27</v>
      </c>
      <c r="C882" s="1">
        <v>30</v>
      </c>
      <c r="D882" s="49">
        <v>105.90600000000001</v>
      </c>
      <c r="E882" s="12">
        <f t="shared" si="13"/>
        <v>132.38249999999999</v>
      </c>
      <c r="F882" s="50">
        <v>89.968999999999994</v>
      </c>
      <c r="G882" s="83">
        <v>80.284999999999997</v>
      </c>
      <c r="H882" s="69">
        <v>1569.5350000000001</v>
      </c>
      <c r="I882" s="50">
        <v>6.9</v>
      </c>
      <c r="J882" s="66">
        <v>2.5000000000000001E-2</v>
      </c>
      <c r="K882" s="117">
        <v>8.7219999999999995</v>
      </c>
      <c r="L882" s="61">
        <v>33.985999999999997</v>
      </c>
      <c r="M882" s="62">
        <v>5.1619999999999999</v>
      </c>
      <c r="N882" s="66">
        <v>1.6E-2</v>
      </c>
      <c r="O882" s="57">
        <v>135.94900000000001</v>
      </c>
      <c r="P882" s="84">
        <v>5.0999999999999997E-2</v>
      </c>
      <c r="Q882" s="96"/>
    </row>
    <row r="883" spans="1:17" ht="14.25" customHeight="1" x14ac:dyDescent="0.35">
      <c r="A883" s="1">
        <v>2022</v>
      </c>
      <c r="B883" s="1" t="s">
        <v>27</v>
      </c>
      <c r="C883" s="1">
        <v>31</v>
      </c>
      <c r="D883" s="104">
        <v>106.46899999999999</v>
      </c>
      <c r="E883" s="12">
        <f t="shared" si="13"/>
        <v>133.08625000000001</v>
      </c>
      <c r="F883" s="105">
        <v>88.781000000000006</v>
      </c>
      <c r="G883" s="87">
        <v>80.319000000000003</v>
      </c>
      <c r="H883" s="88">
        <v>1526.9770000000001</v>
      </c>
      <c r="I883" s="89">
        <v>6.9</v>
      </c>
      <c r="J883" s="90">
        <v>2.5000000000000001E-2</v>
      </c>
      <c r="K883" s="131">
        <v>8.8610000000000007</v>
      </c>
      <c r="L883" s="61">
        <v>32.084000000000003</v>
      </c>
      <c r="M883" s="64">
        <v>5.1749999999999998</v>
      </c>
      <c r="N883" s="66">
        <v>1.6E-2</v>
      </c>
      <c r="O883" s="57">
        <v>132.17599999999999</v>
      </c>
      <c r="P883" s="66">
        <v>5.1999999999999998E-2</v>
      </c>
      <c r="Q883" s="96"/>
    </row>
    <row r="884" spans="1:17" ht="14.25" customHeight="1" x14ac:dyDescent="0.35">
      <c r="A884" s="1">
        <v>2022</v>
      </c>
      <c r="B884" s="1" t="s">
        <v>28</v>
      </c>
      <c r="C884" s="1">
        <v>1</v>
      </c>
      <c r="D884" s="49">
        <v>108.23399999999999</v>
      </c>
      <c r="E884" s="12">
        <f t="shared" si="13"/>
        <v>135.29249999999999</v>
      </c>
      <c r="F884" s="50">
        <v>90.125</v>
      </c>
      <c r="G884" s="51">
        <v>80.759</v>
      </c>
      <c r="H884" s="52">
        <v>1652.8979999999999</v>
      </c>
      <c r="I884" s="53">
        <v>6.9</v>
      </c>
      <c r="J884" s="54">
        <v>2.5999999999999999E-2</v>
      </c>
      <c r="K884" s="59">
        <v>8.9619999999999997</v>
      </c>
      <c r="L884" s="52">
        <v>34.366999999999997</v>
      </c>
      <c r="M884" s="55">
        <v>5.16</v>
      </c>
      <c r="N884" s="56">
        <v>1.6E-2</v>
      </c>
      <c r="O884" s="57">
        <v>136.33099999999999</v>
      </c>
      <c r="P884" s="58">
        <v>6.6000000000000003E-2</v>
      </c>
      <c r="Q884" s="96"/>
    </row>
    <row r="885" spans="1:17" ht="14.25" customHeight="1" x14ac:dyDescent="0.35">
      <c r="A885" s="1">
        <v>2022</v>
      </c>
      <c r="B885" s="1" t="s">
        <v>28</v>
      </c>
      <c r="C885" s="1">
        <v>2</v>
      </c>
      <c r="D885" s="49">
        <v>108.34399999999999</v>
      </c>
      <c r="E885" s="12">
        <f t="shared" si="13"/>
        <v>135.43</v>
      </c>
      <c r="F885" s="50">
        <v>91.313000000000002</v>
      </c>
      <c r="G885" s="60">
        <v>80.742000000000004</v>
      </c>
      <c r="H885" s="61">
        <v>1680.816</v>
      </c>
      <c r="I885" s="62">
        <v>6.9</v>
      </c>
      <c r="J885" s="63">
        <v>2.7E-2</v>
      </c>
      <c r="K885" s="68">
        <v>9</v>
      </c>
      <c r="L885" s="65">
        <v>35.100999999999999</v>
      </c>
      <c r="M885" s="50">
        <v>5.1509999999999998</v>
      </c>
      <c r="N885" s="66">
        <v>1.6E-2</v>
      </c>
      <c r="O885" s="57">
        <v>139.27799999999999</v>
      </c>
      <c r="P885" s="67">
        <v>6.7000000000000004E-2</v>
      </c>
      <c r="Q885" s="96"/>
    </row>
    <row r="886" spans="1:17" ht="14.25" customHeight="1" x14ac:dyDescent="0.35">
      <c r="A886" s="1">
        <v>2022</v>
      </c>
      <c r="B886" s="1" t="s">
        <v>28</v>
      </c>
      <c r="C886" s="1">
        <v>3</v>
      </c>
      <c r="D886" s="49">
        <v>110.40600000000001</v>
      </c>
      <c r="E886" s="12">
        <f t="shared" si="13"/>
        <v>138.00749999999999</v>
      </c>
      <c r="F886" s="50">
        <v>93.813000000000002</v>
      </c>
      <c r="G886" s="60">
        <v>80.691000000000003</v>
      </c>
      <c r="H886" s="61">
        <v>1686</v>
      </c>
      <c r="I886" s="62">
        <v>6.9</v>
      </c>
      <c r="J886" s="63">
        <v>2.9000000000000001E-2</v>
      </c>
      <c r="K886" s="68">
        <v>8.7829999999999995</v>
      </c>
      <c r="L886" s="65">
        <v>32.566000000000003</v>
      </c>
      <c r="M886" s="50">
        <v>5.1050000000000004</v>
      </c>
      <c r="N886" s="66">
        <v>1.4999999999999999E-2</v>
      </c>
      <c r="O886" s="57">
        <v>154.30500000000001</v>
      </c>
      <c r="P886" s="67">
        <v>6.0999999999999999E-2</v>
      </c>
      <c r="Q886" s="96"/>
    </row>
    <row r="887" spans="1:17" ht="14.25" customHeight="1" x14ac:dyDescent="0.35">
      <c r="A887" s="1">
        <v>2022</v>
      </c>
      <c r="B887" s="1" t="s">
        <v>28</v>
      </c>
      <c r="C887" s="1">
        <v>4</v>
      </c>
      <c r="D887" s="49">
        <v>109.90600000000001</v>
      </c>
      <c r="E887" s="12">
        <f t="shared" si="13"/>
        <v>137.38249999999999</v>
      </c>
      <c r="F887" s="50">
        <v>93.375</v>
      </c>
      <c r="G887" s="60">
        <v>80.858000000000004</v>
      </c>
      <c r="H887" s="61">
        <v>1674.43</v>
      </c>
      <c r="I887" s="62">
        <v>6.9</v>
      </c>
      <c r="J887" s="63">
        <v>2.5999999999999999E-2</v>
      </c>
      <c r="K887" s="68">
        <v>8.6760000000000002</v>
      </c>
      <c r="L887" s="65">
        <v>33.368000000000002</v>
      </c>
      <c r="M887" s="50">
        <v>5.1479999999999997</v>
      </c>
      <c r="N887" s="66">
        <v>1.4999999999999999E-2</v>
      </c>
      <c r="O887" s="57">
        <v>140.88800000000001</v>
      </c>
      <c r="P887" s="67">
        <v>5.7000000000000002E-2</v>
      </c>
      <c r="Q887" s="96"/>
    </row>
    <row r="888" spans="1:17" ht="14.25" customHeight="1" x14ac:dyDescent="0.35">
      <c r="A888" s="1">
        <v>2022</v>
      </c>
      <c r="B888" s="1" t="s">
        <v>28</v>
      </c>
      <c r="C888" s="1">
        <v>5</v>
      </c>
      <c r="D888" s="49">
        <v>107.563</v>
      </c>
      <c r="E888" s="12">
        <f t="shared" si="13"/>
        <v>134.45375000000001</v>
      </c>
      <c r="F888" s="50">
        <v>91.343999999999994</v>
      </c>
      <c r="G888" s="60">
        <v>81.040000000000006</v>
      </c>
      <c r="H888" s="61">
        <v>1602.825</v>
      </c>
      <c r="I888" s="62">
        <v>6.9</v>
      </c>
      <c r="J888" s="63">
        <v>2.4E-2</v>
      </c>
      <c r="K888" s="68">
        <v>8.76</v>
      </c>
      <c r="L888" s="65">
        <v>32.027000000000001</v>
      </c>
      <c r="M888" s="50">
        <v>5.18</v>
      </c>
      <c r="N888" s="66">
        <v>1.6E-2</v>
      </c>
      <c r="O888" s="57">
        <v>130.48599999999999</v>
      </c>
      <c r="P888" s="67">
        <v>5.1999999999999998E-2</v>
      </c>
      <c r="Q888" s="96"/>
    </row>
    <row r="889" spans="1:17" ht="14.25" customHeight="1" x14ac:dyDescent="0.35">
      <c r="A889" s="1">
        <v>2022</v>
      </c>
      <c r="B889" s="1" t="s">
        <v>28</v>
      </c>
      <c r="C889" s="1">
        <v>6</v>
      </c>
      <c r="D889" s="49">
        <v>106.03100000000001</v>
      </c>
      <c r="E889" s="12">
        <f t="shared" si="13"/>
        <v>132.53874999999999</v>
      </c>
      <c r="F889" s="50">
        <v>89.968999999999994</v>
      </c>
      <c r="G889" s="60">
        <v>81.171000000000006</v>
      </c>
      <c r="H889" s="61">
        <v>1547.8430000000001</v>
      </c>
      <c r="I889" s="62">
        <v>6.9</v>
      </c>
      <c r="J889" s="63">
        <v>2.5000000000000001E-2</v>
      </c>
      <c r="K889" s="68">
        <v>8.8160000000000007</v>
      </c>
      <c r="L889" s="65">
        <v>31.954999999999998</v>
      </c>
      <c r="M889" s="50">
        <v>5.1920000000000002</v>
      </c>
      <c r="N889" s="66">
        <v>1.6E-2</v>
      </c>
      <c r="O889" s="57">
        <v>127.051</v>
      </c>
      <c r="P889" s="67">
        <v>5.5E-2</v>
      </c>
      <c r="Q889" s="96"/>
    </row>
    <row r="890" spans="1:17" ht="14.25" customHeight="1" x14ac:dyDescent="0.35">
      <c r="A890" s="1">
        <v>2022</v>
      </c>
      <c r="B890" s="1" t="s">
        <v>28</v>
      </c>
      <c r="C890" s="1">
        <v>7</v>
      </c>
      <c r="D890" s="49">
        <v>105.938</v>
      </c>
      <c r="E890" s="12">
        <f t="shared" si="13"/>
        <v>132.42250000000001</v>
      </c>
      <c r="F890" s="50">
        <v>90</v>
      </c>
      <c r="G890" s="60">
        <v>81.429000000000002</v>
      </c>
      <c r="H890" s="61">
        <v>1623.002</v>
      </c>
      <c r="I890" s="62">
        <v>6.9</v>
      </c>
      <c r="J890" s="63">
        <v>2.4E-2</v>
      </c>
      <c r="K890" s="68">
        <v>9.1010000000000009</v>
      </c>
      <c r="L890" s="65">
        <v>33.564</v>
      </c>
      <c r="M890" s="50">
        <v>5.1950000000000003</v>
      </c>
      <c r="N890" s="66">
        <v>1.6E-2</v>
      </c>
      <c r="O890" s="57">
        <v>125.983</v>
      </c>
      <c r="P890" s="67">
        <v>6.4000000000000001E-2</v>
      </c>
      <c r="Q890" s="96"/>
    </row>
    <row r="891" spans="1:17" ht="14.25" customHeight="1" x14ac:dyDescent="0.35">
      <c r="A891" s="1">
        <v>2022</v>
      </c>
      <c r="B891" s="1" t="s">
        <v>28</v>
      </c>
      <c r="C891" s="1">
        <v>8</v>
      </c>
      <c r="D891" s="49">
        <v>38.484000000000002</v>
      </c>
      <c r="E891" s="12">
        <f t="shared" si="13"/>
        <v>48.105000000000004</v>
      </c>
      <c r="F891" s="50">
        <v>32.719000000000001</v>
      </c>
      <c r="G891" s="60">
        <v>80.730999999999995</v>
      </c>
      <c r="H891" s="69">
        <v>1686.546</v>
      </c>
      <c r="I891" s="62">
        <v>6.9390000000000001</v>
      </c>
      <c r="J891" s="63">
        <v>2.8000000000000001E-2</v>
      </c>
      <c r="K891" s="71">
        <v>9.02</v>
      </c>
      <c r="L891" s="65">
        <v>40.216999999999999</v>
      </c>
      <c r="M891" s="50">
        <v>5.3479999999999999</v>
      </c>
      <c r="N891" s="66">
        <v>1.9E-2</v>
      </c>
      <c r="O891" s="57">
        <v>98.76</v>
      </c>
      <c r="P891" s="70">
        <v>7.4999999999999997E-2</v>
      </c>
      <c r="Q891" s="96"/>
    </row>
    <row r="892" spans="1:17" ht="14.25" customHeight="1" x14ac:dyDescent="0.35">
      <c r="A892" s="1">
        <v>2022</v>
      </c>
      <c r="B892" s="1" t="s">
        <v>28</v>
      </c>
      <c r="C892" s="1">
        <v>9</v>
      </c>
      <c r="D892" s="49">
        <v>99.016000000000005</v>
      </c>
      <c r="E892" s="12">
        <f t="shared" si="13"/>
        <v>123.77000000000001</v>
      </c>
      <c r="F892" s="50">
        <v>84.438000000000002</v>
      </c>
      <c r="G892" s="60">
        <v>81.706999999999994</v>
      </c>
      <c r="H892" s="61">
        <v>1676.577</v>
      </c>
      <c r="I892" s="62">
        <v>6.9</v>
      </c>
      <c r="J892" s="63">
        <v>2.4E-2</v>
      </c>
      <c r="K892" s="68">
        <v>8.8379999999999992</v>
      </c>
      <c r="L892" s="65">
        <v>32.319000000000003</v>
      </c>
      <c r="M892" s="50">
        <v>5.1820000000000004</v>
      </c>
      <c r="N892" s="66">
        <v>1.6E-2</v>
      </c>
      <c r="O892" s="57">
        <v>129.88800000000001</v>
      </c>
      <c r="P892" s="67">
        <v>6.5000000000000002E-2</v>
      </c>
      <c r="Q892" s="96"/>
    </row>
    <row r="893" spans="1:17" ht="14.25" customHeight="1" x14ac:dyDescent="0.35">
      <c r="A893" s="1">
        <v>2022</v>
      </c>
      <c r="B893" s="1" t="s">
        <v>28</v>
      </c>
      <c r="C893" s="1">
        <v>10</v>
      </c>
      <c r="D893" s="49">
        <v>111.15600000000001</v>
      </c>
      <c r="E893" s="12">
        <f t="shared" si="13"/>
        <v>138.94499999999999</v>
      </c>
      <c r="F893" s="50">
        <v>94.563000000000002</v>
      </c>
      <c r="G893" s="72">
        <v>81.655000000000001</v>
      </c>
      <c r="H893" s="61">
        <v>1657.2360000000001</v>
      </c>
      <c r="I893" s="62">
        <v>6.9</v>
      </c>
      <c r="J893" s="63">
        <v>2.3E-2</v>
      </c>
      <c r="K893" s="76">
        <v>8.6150000000000002</v>
      </c>
      <c r="L893" s="65">
        <v>34.798999999999999</v>
      </c>
      <c r="M893" s="50">
        <v>5.3129999999999997</v>
      </c>
      <c r="N893" s="74">
        <v>1.6E-2</v>
      </c>
      <c r="O893" s="57">
        <v>100.253</v>
      </c>
      <c r="P893" s="75">
        <v>6.0999999999999999E-2</v>
      </c>
      <c r="Q893" s="96"/>
    </row>
    <row r="894" spans="1:17" ht="14.25" customHeight="1" x14ac:dyDescent="0.35">
      <c r="A894" s="1">
        <v>2022</v>
      </c>
      <c r="B894" s="1" t="s">
        <v>28</v>
      </c>
      <c r="C894" s="1">
        <v>11</v>
      </c>
      <c r="D894" s="49">
        <v>110.28100000000001</v>
      </c>
      <c r="E894" s="12">
        <f t="shared" si="13"/>
        <v>137.85124999999999</v>
      </c>
      <c r="F894" s="50">
        <v>93.875</v>
      </c>
      <c r="G894" s="72">
        <v>81.811000000000007</v>
      </c>
      <c r="H894" s="61">
        <v>1636.65</v>
      </c>
      <c r="I894" s="62">
        <v>6.9</v>
      </c>
      <c r="J894" s="63">
        <v>2.3E-2</v>
      </c>
      <c r="K894" s="76">
        <v>8.5589999999999993</v>
      </c>
      <c r="L894" s="65">
        <v>33.768000000000001</v>
      </c>
      <c r="M894" s="50">
        <v>5.391</v>
      </c>
      <c r="N894" s="74">
        <v>1.6E-2</v>
      </c>
      <c r="O894" s="57">
        <v>80.290000000000006</v>
      </c>
      <c r="P894" s="75">
        <v>5.8000000000000003E-2</v>
      </c>
      <c r="Q894" s="96"/>
    </row>
    <row r="895" spans="1:17" ht="14.25" customHeight="1" x14ac:dyDescent="0.35">
      <c r="A895" s="1">
        <v>2022</v>
      </c>
      <c r="B895" s="1" t="s">
        <v>28</v>
      </c>
      <c r="C895" s="1">
        <v>12</v>
      </c>
      <c r="D895" s="49">
        <v>105.813</v>
      </c>
      <c r="E895" s="12">
        <f t="shared" si="13"/>
        <v>132.26625000000001</v>
      </c>
      <c r="F895" s="50">
        <v>89.968999999999994</v>
      </c>
      <c r="G895" s="72">
        <v>81.762</v>
      </c>
      <c r="H895" s="61">
        <v>1589.1980000000001</v>
      </c>
      <c r="I895" s="62">
        <v>6.9</v>
      </c>
      <c r="J895" s="63">
        <v>2.3E-2</v>
      </c>
      <c r="K895" s="76">
        <v>8.5020000000000007</v>
      </c>
      <c r="L895" s="65">
        <v>33.487000000000002</v>
      </c>
      <c r="M895" s="50">
        <v>5.3949999999999996</v>
      </c>
      <c r="N895" s="74">
        <v>1.6E-2</v>
      </c>
      <c r="O895" s="57">
        <v>79.61</v>
      </c>
      <c r="P895" s="75">
        <v>5.5E-2</v>
      </c>
      <c r="Q895" s="96"/>
    </row>
    <row r="896" spans="1:17" ht="14.25" customHeight="1" x14ac:dyDescent="0.35">
      <c r="A896" s="1">
        <v>2022</v>
      </c>
      <c r="B896" s="1" t="s">
        <v>28</v>
      </c>
      <c r="C896" s="1">
        <v>13</v>
      </c>
      <c r="D896" s="49">
        <v>105.828</v>
      </c>
      <c r="E896" s="12">
        <f t="shared" si="13"/>
        <v>132.285</v>
      </c>
      <c r="F896" s="50">
        <v>90</v>
      </c>
      <c r="G896" s="78">
        <v>81.555999999999997</v>
      </c>
      <c r="H896" s="61">
        <v>1563.4749999999999</v>
      </c>
      <c r="I896" s="62">
        <v>6.9</v>
      </c>
      <c r="J896" s="63">
        <v>2.4E-2</v>
      </c>
      <c r="K896" s="81">
        <v>8.6440000000000001</v>
      </c>
      <c r="L896" s="65">
        <v>33.725999999999999</v>
      </c>
      <c r="M896" s="50">
        <v>5.415</v>
      </c>
      <c r="N896" s="66">
        <v>1.6E-2</v>
      </c>
      <c r="O896" s="57">
        <v>76.102999999999994</v>
      </c>
      <c r="P896" s="80">
        <v>5.5E-2</v>
      </c>
      <c r="Q896" s="96"/>
    </row>
    <row r="897" spans="1:17" ht="14.25" customHeight="1" x14ac:dyDescent="0.35">
      <c r="A897" s="1">
        <v>2022</v>
      </c>
      <c r="B897" s="1" t="s">
        <v>28</v>
      </c>
      <c r="C897" s="1">
        <v>14</v>
      </c>
      <c r="D897" s="49">
        <v>105.85899999999999</v>
      </c>
      <c r="E897" s="12">
        <f t="shared" si="13"/>
        <v>132.32374999999999</v>
      </c>
      <c r="F897" s="50">
        <v>89.875</v>
      </c>
      <c r="G897" s="60">
        <v>81.974000000000004</v>
      </c>
      <c r="H897" s="61">
        <v>1641.0360000000001</v>
      </c>
      <c r="I897" s="62">
        <v>6.9</v>
      </c>
      <c r="J897" s="63">
        <v>2.4E-2</v>
      </c>
      <c r="K897" s="81">
        <v>8.8620000000000001</v>
      </c>
      <c r="L897" s="82">
        <v>35.475999999999999</v>
      </c>
      <c r="M897" s="50">
        <v>5.4210000000000003</v>
      </c>
      <c r="N897" s="66">
        <v>1.6E-2</v>
      </c>
      <c r="O897" s="57">
        <v>74.733000000000004</v>
      </c>
      <c r="P897" s="80">
        <v>6.3E-2</v>
      </c>
      <c r="Q897" s="96"/>
    </row>
    <row r="898" spans="1:17" ht="14.25" customHeight="1" x14ac:dyDescent="0.35">
      <c r="A898" s="1">
        <v>2022</v>
      </c>
      <c r="B898" s="1" t="s">
        <v>28</v>
      </c>
      <c r="C898" s="1">
        <v>15</v>
      </c>
      <c r="D898" s="49">
        <v>106.328</v>
      </c>
      <c r="E898" s="12">
        <f t="shared" si="13"/>
        <v>132.91</v>
      </c>
      <c r="F898" s="50">
        <v>90.313000000000002</v>
      </c>
      <c r="G898" s="60">
        <v>82.23</v>
      </c>
      <c r="H898" s="61">
        <v>1694.2180000000001</v>
      </c>
      <c r="I898" s="62">
        <v>6.9</v>
      </c>
      <c r="J898" s="63">
        <v>2.4E-2</v>
      </c>
      <c r="K898" s="76">
        <v>8.6110000000000007</v>
      </c>
      <c r="L898" s="65">
        <v>36.521000000000001</v>
      </c>
      <c r="M898" s="50">
        <v>5.4139999999999997</v>
      </c>
      <c r="N898" s="66">
        <v>1.6E-2</v>
      </c>
      <c r="O898" s="57">
        <v>76.19</v>
      </c>
      <c r="P898" s="75">
        <v>6.2E-2</v>
      </c>
      <c r="Q898" s="96"/>
    </row>
    <row r="899" spans="1:17" ht="14.25" customHeight="1" x14ac:dyDescent="0.35">
      <c r="A899" s="1">
        <v>2022</v>
      </c>
      <c r="B899" s="1" t="s">
        <v>28</v>
      </c>
      <c r="C899" s="1">
        <v>16</v>
      </c>
      <c r="D899" s="49">
        <v>112.453</v>
      </c>
      <c r="E899" s="12">
        <f t="shared" si="13"/>
        <v>140.56625</v>
      </c>
      <c r="F899" s="50">
        <v>95.593999999999994</v>
      </c>
      <c r="G899" s="60">
        <v>82.046999999999997</v>
      </c>
      <c r="H899" s="61">
        <v>1680.3820000000001</v>
      </c>
      <c r="I899" s="62">
        <v>6.9</v>
      </c>
      <c r="J899" s="63">
        <v>2.5000000000000001E-2</v>
      </c>
      <c r="K899" s="81">
        <v>9.0039999999999996</v>
      </c>
      <c r="L899" s="61">
        <v>36.018000000000001</v>
      </c>
      <c r="M899" s="62">
        <v>5.4240000000000004</v>
      </c>
      <c r="N899" s="66">
        <v>1.6E-2</v>
      </c>
      <c r="O899" s="57">
        <v>74.153999999999996</v>
      </c>
      <c r="P899" s="80">
        <v>7.0000000000000007E-2</v>
      </c>
      <c r="Q899" s="96"/>
    </row>
    <row r="900" spans="1:17" ht="14.25" customHeight="1" x14ac:dyDescent="0.35">
      <c r="A900" s="1">
        <v>2022</v>
      </c>
      <c r="B900" s="1" t="s">
        <v>28</v>
      </c>
      <c r="C900" s="1">
        <v>17</v>
      </c>
      <c r="D900" s="49">
        <v>113.5</v>
      </c>
      <c r="E900" s="12">
        <f t="shared" si="13"/>
        <v>141.875</v>
      </c>
      <c r="F900" s="50">
        <v>96.5</v>
      </c>
      <c r="G900" s="60">
        <v>82.034000000000006</v>
      </c>
      <c r="H900" s="61">
        <v>1686.498</v>
      </c>
      <c r="I900" s="62">
        <v>6.9</v>
      </c>
      <c r="J900" s="63">
        <v>2.4E-2</v>
      </c>
      <c r="K900" s="68">
        <v>8.4030000000000005</v>
      </c>
      <c r="L900" s="65">
        <v>36.972999999999999</v>
      </c>
      <c r="M900" s="50">
        <v>5.3440000000000003</v>
      </c>
      <c r="N900" s="66">
        <v>1.6E-2</v>
      </c>
      <c r="O900" s="57">
        <v>89.674000000000007</v>
      </c>
      <c r="P900" s="67">
        <v>5.8000000000000003E-2</v>
      </c>
      <c r="Q900" s="96"/>
    </row>
    <row r="901" spans="1:17" ht="14.25" customHeight="1" x14ac:dyDescent="0.35">
      <c r="A901" s="1">
        <v>2022</v>
      </c>
      <c r="B901" s="1" t="s">
        <v>28</v>
      </c>
      <c r="C901" s="1">
        <v>18</v>
      </c>
      <c r="D901" s="49">
        <v>112.5</v>
      </c>
      <c r="E901" s="12">
        <f t="shared" si="13"/>
        <v>140.625</v>
      </c>
      <c r="F901" s="50">
        <v>95.656000000000006</v>
      </c>
      <c r="G901" s="60">
        <v>82.031000000000006</v>
      </c>
      <c r="H901" s="61">
        <v>1668.8610000000001</v>
      </c>
      <c r="I901" s="62">
        <v>6.9</v>
      </c>
      <c r="J901" s="63">
        <v>2.4E-2</v>
      </c>
      <c r="K901" s="68">
        <v>8.4740000000000002</v>
      </c>
      <c r="L901" s="61">
        <v>37.287999999999997</v>
      </c>
      <c r="M901" s="62">
        <v>5.2619999999999996</v>
      </c>
      <c r="N901" s="66">
        <v>1.6E-2</v>
      </c>
      <c r="O901" s="57">
        <v>107.806</v>
      </c>
      <c r="P901" s="67">
        <v>5.8000000000000003E-2</v>
      </c>
      <c r="Q901" s="96"/>
    </row>
    <row r="902" spans="1:17" ht="14.25" customHeight="1" x14ac:dyDescent="0.35">
      <c r="A902" s="1">
        <v>2022</v>
      </c>
      <c r="B902" s="1" t="s">
        <v>28</v>
      </c>
      <c r="C902" s="1">
        <v>19</v>
      </c>
      <c r="D902" s="49">
        <v>109.828</v>
      </c>
      <c r="E902" s="12">
        <f t="shared" si="13"/>
        <v>137.285</v>
      </c>
      <c r="F902" s="50">
        <v>93.375</v>
      </c>
      <c r="G902" s="60">
        <v>81.965000000000003</v>
      </c>
      <c r="H902" s="61">
        <v>1599.1510000000001</v>
      </c>
      <c r="I902" s="62">
        <v>6.9</v>
      </c>
      <c r="J902" s="63">
        <v>2.4E-2</v>
      </c>
      <c r="K902" s="68">
        <v>8.3620000000000001</v>
      </c>
      <c r="L902" s="65">
        <v>35.979999999999997</v>
      </c>
      <c r="M902" s="50">
        <v>5.2640000000000002</v>
      </c>
      <c r="N902" s="66">
        <v>1.6E-2</v>
      </c>
      <c r="O902" s="57">
        <v>107.47199999999999</v>
      </c>
      <c r="P902" s="67">
        <v>5.2999999999999999E-2</v>
      </c>
      <c r="Q902" s="96"/>
    </row>
    <row r="903" spans="1:17" ht="14.25" customHeight="1" x14ac:dyDescent="0.35">
      <c r="A903" s="1">
        <v>2022</v>
      </c>
      <c r="B903" s="1" t="s">
        <v>28</v>
      </c>
      <c r="C903" s="1">
        <v>20</v>
      </c>
      <c r="D903" s="49">
        <v>101.58</v>
      </c>
      <c r="E903" s="12">
        <f t="shared" si="13"/>
        <v>126.97499999999999</v>
      </c>
      <c r="F903" s="50">
        <v>86.406000000000006</v>
      </c>
      <c r="G903" s="60">
        <v>82.36</v>
      </c>
      <c r="H903" s="61">
        <v>1567.807</v>
      </c>
      <c r="I903" s="62">
        <v>6.9</v>
      </c>
      <c r="J903" s="63">
        <v>2.4E-2</v>
      </c>
      <c r="K903" s="68">
        <v>8.6</v>
      </c>
      <c r="L903" s="61">
        <v>36.957000000000001</v>
      </c>
      <c r="M903" s="62">
        <v>5.2709999999999999</v>
      </c>
      <c r="N903" s="66">
        <v>1.6E-2</v>
      </c>
      <c r="O903" s="57">
        <v>106.029</v>
      </c>
      <c r="P903" s="67">
        <v>0.05</v>
      </c>
      <c r="Q903" s="96"/>
    </row>
    <row r="904" spans="1:17" ht="14.25" customHeight="1" x14ac:dyDescent="0.35">
      <c r="A904" s="1">
        <v>2022</v>
      </c>
      <c r="B904" s="1" t="s">
        <v>28</v>
      </c>
      <c r="C904" s="1">
        <v>21</v>
      </c>
      <c r="D904" s="49">
        <v>95.921999999999997</v>
      </c>
      <c r="E904" s="12">
        <f t="shared" si="13"/>
        <v>119.9025</v>
      </c>
      <c r="F904" s="50">
        <v>81.625</v>
      </c>
      <c r="G904" s="60">
        <v>82.605000000000004</v>
      </c>
      <c r="H904" s="61">
        <v>1635.7449999999999</v>
      </c>
      <c r="I904" s="62">
        <v>6.9</v>
      </c>
      <c r="J904" s="63">
        <v>2.5000000000000001E-2</v>
      </c>
      <c r="K904" s="68">
        <v>9.1470000000000002</v>
      </c>
      <c r="L904" s="65">
        <v>38.548000000000002</v>
      </c>
      <c r="M904" s="50">
        <v>5.2880000000000003</v>
      </c>
      <c r="N904" s="66">
        <v>1.6E-2</v>
      </c>
      <c r="O904" s="57">
        <v>101.44199999999999</v>
      </c>
      <c r="P904" s="67">
        <v>5.2999999999999999E-2</v>
      </c>
      <c r="Q904" s="96"/>
    </row>
    <row r="905" spans="1:17" ht="14.25" customHeight="1" x14ac:dyDescent="0.35">
      <c r="A905" s="1">
        <v>2022</v>
      </c>
      <c r="B905" s="1" t="s">
        <v>28</v>
      </c>
      <c r="C905" s="1">
        <v>22</v>
      </c>
      <c r="D905" s="49">
        <v>98.343999999999994</v>
      </c>
      <c r="E905" s="12">
        <f t="shared" si="13"/>
        <v>122.92999999999999</v>
      </c>
      <c r="F905" s="50">
        <v>83.593999999999994</v>
      </c>
      <c r="G905" s="60">
        <v>82.918999999999997</v>
      </c>
      <c r="H905" s="61">
        <v>1662.2059999999999</v>
      </c>
      <c r="I905" s="62">
        <v>6.9</v>
      </c>
      <c r="J905" s="63">
        <v>2.4E-2</v>
      </c>
      <c r="K905" s="68">
        <v>8.8480000000000008</v>
      </c>
      <c r="L905" s="61">
        <v>39.662999999999997</v>
      </c>
      <c r="M905" s="62">
        <v>5.29</v>
      </c>
      <c r="N905" s="66">
        <v>1.6E-2</v>
      </c>
      <c r="O905" s="57">
        <v>100.878</v>
      </c>
      <c r="P905" s="67">
        <v>0.05</v>
      </c>
      <c r="Q905" s="96"/>
    </row>
    <row r="906" spans="1:17" ht="14.25" customHeight="1" x14ac:dyDescent="0.35">
      <c r="A906" s="1">
        <v>2022</v>
      </c>
      <c r="B906" s="1" t="s">
        <v>28</v>
      </c>
      <c r="C906" s="1">
        <v>23</v>
      </c>
      <c r="D906" s="49">
        <v>99.483999999999995</v>
      </c>
      <c r="E906" s="12">
        <f t="shared" si="13"/>
        <v>124.35499999999999</v>
      </c>
      <c r="F906" s="50">
        <v>84.593999999999994</v>
      </c>
      <c r="G906" s="60">
        <v>83.084999999999994</v>
      </c>
      <c r="H906" s="61">
        <v>1673.6210000000001</v>
      </c>
      <c r="I906" s="62">
        <v>6.9</v>
      </c>
      <c r="J906" s="63">
        <v>2.5000000000000001E-2</v>
      </c>
      <c r="K906" s="68">
        <v>9.0519999999999996</v>
      </c>
      <c r="L906" s="65">
        <v>39.951999999999998</v>
      </c>
      <c r="M906" s="50">
        <v>5.274</v>
      </c>
      <c r="N906" s="66">
        <v>1.6E-2</v>
      </c>
      <c r="O906" s="57">
        <v>105.67400000000001</v>
      </c>
      <c r="P906" s="67">
        <v>5.8000000000000003E-2</v>
      </c>
      <c r="Q906" s="96"/>
    </row>
    <row r="907" spans="1:17" ht="14.25" customHeight="1" x14ac:dyDescent="0.35">
      <c r="A907" s="1">
        <v>2022</v>
      </c>
      <c r="B907" s="1" t="s">
        <v>28</v>
      </c>
      <c r="C907" s="1">
        <v>24</v>
      </c>
      <c r="D907" s="49">
        <v>99.828000000000003</v>
      </c>
      <c r="E907" s="12">
        <f t="shared" si="13"/>
        <v>124.785</v>
      </c>
      <c r="F907" s="50">
        <v>84.938000000000002</v>
      </c>
      <c r="G907" s="60">
        <v>82.98</v>
      </c>
      <c r="H907" s="61">
        <v>1636.963</v>
      </c>
      <c r="I907" s="62">
        <v>6.9</v>
      </c>
      <c r="J907" s="63">
        <v>2.4E-2</v>
      </c>
      <c r="K907" s="68">
        <v>8.484</v>
      </c>
      <c r="L907" s="61">
        <v>38.899000000000001</v>
      </c>
      <c r="M907" s="62">
        <v>5.2590000000000003</v>
      </c>
      <c r="N907" s="66">
        <v>1.6E-2</v>
      </c>
      <c r="O907" s="57">
        <v>108.809</v>
      </c>
      <c r="P907" s="67">
        <v>6.5000000000000002E-2</v>
      </c>
      <c r="Q907" s="96"/>
    </row>
    <row r="908" spans="1:17" ht="14.25" customHeight="1" x14ac:dyDescent="0.35">
      <c r="A908" s="1">
        <v>2022</v>
      </c>
      <c r="B908" s="1" t="s">
        <v>28</v>
      </c>
      <c r="C908" s="1">
        <v>25</v>
      </c>
      <c r="D908" s="49">
        <v>94.108999999999995</v>
      </c>
      <c r="E908" s="12">
        <f t="shared" si="13"/>
        <v>117.63624999999999</v>
      </c>
      <c r="F908" s="50">
        <v>80.031000000000006</v>
      </c>
      <c r="G908" s="60">
        <v>82.888000000000005</v>
      </c>
      <c r="H908" s="61">
        <v>1593.606</v>
      </c>
      <c r="I908" s="62">
        <v>6.9</v>
      </c>
      <c r="J908" s="63">
        <v>2.4E-2</v>
      </c>
      <c r="K908" s="68">
        <v>8.4600000000000009</v>
      </c>
      <c r="L908" s="65">
        <v>37.497999999999998</v>
      </c>
      <c r="M908" s="50">
        <v>5.2370000000000001</v>
      </c>
      <c r="N908" s="66">
        <v>1.6E-2</v>
      </c>
      <c r="O908" s="57">
        <v>114.642</v>
      </c>
      <c r="P908" s="67">
        <v>6.2E-2</v>
      </c>
      <c r="Q908" s="96"/>
    </row>
    <row r="909" spans="1:17" ht="14.25" customHeight="1" x14ac:dyDescent="0.35">
      <c r="A909" s="1">
        <v>2022</v>
      </c>
      <c r="B909" s="1" t="s">
        <v>28</v>
      </c>
      <c r="C909" s="1">
        <v>26</v>
      </c>
      <c r="D909" s="49">
        <v>94.08</v>
      </c>
      <c r="E909" s="12">
        <f t="shared" si="13"/>
        <v>117.6</v>
      </c>
      <c r="F909" s="50">
        <v>79.968999999999994</v>
      </c>
      <c r="G909" s="60">
        <v>82.908000000000001</v>
      </c>
      <c r="H909" s="61">
        <v>1544.1880000000001</v>
      </c>
      <c r="I909" s="62">
        <v>6.9</v>
      </c>
      <c r="J909" s="63">
        <v>2.4E-2</v>
      </c>
      <c r="K909" s="68">
        <v>8.3439999999999994</v>
      </c>
      <c r="L909" s="61">
        <v>36.826999999999998</v>
      </c>
      <c r="M909" s="62">
        <v>5.242</v>
      </c>
      <c r="N909" s="66">
        <v>1.6E-2</v>
      </c>
      <c r="O909" s="57">
        <v>113.381</v>
      </c>
      <c r="P909" s="67">
        <v>5.6000000000000001E-2</v>
      </c>
      <c r="Q909" s="96"/>
    </row>
    <row r="910" spans="1:17" ht="14.25" customHeight="1" x14ac:dyDescent="0.35">
      <c r="A910" s="1">
        <v>2022</v>
      </c>
      <c r="B910" s="1" t="s">
        <v>28</v>
      </c>
      <c r="C910" s="1">
        <v>27</v>
      </c>
      <c r="D910" s="49">
        <v>96.891000000000005</v>
      </c>
      <c r="E910" s="12">
        <f t="shared" si="13"/>
        <v>121.11375000000001</v>
      </c>
      <c r="F910" s="50">
        <v>82.406000000000006</v>
      </c>
      <c r="G910" s="60">
        <v>82.855999999999995</v>
      </c>
      <c r="H910" s="61">
        <v>1516.26</v>
      </c>
      <c r="I910" s="62">
        <v>6.9</v>
      </c>
      <c r="J910" s="63">
        <v>2.4E-2</v>
      </c>
      <c r="K910" s="68">
        <v>8.6679999999999993</v>
      </c>
      <c r="L910" s="65">
        <v>36.719000000000001</v>
      </c>
      <c r="M910" s="50">
        <v>5.28</v>
      </c>
      <c r="N910" s="66">
        <v>1.6E-2</v>
      </c>
      <c r="O910" s="57">
        <v>103.486</v>
      </c>
      <c r="P910" s="67">
        <v>5.8999999999999997E-2</v>
      </c>
      <c r="Q910" s="96"/>
    </row>
    <row r="911" spans="1:17" ht="14.25" customHeight="1" x14ac:dyDescent="0.35">
      <c r="A911" s="1">
        <v>2022</v>
      </c>
      <c r="B911" s="1" t="s">
        <v>28</v>
      </c>
      <c r="C911" s="1">
        <v>28</v>
      </c>
      <c r="D911" s="49">
        <v>101.797</v>
      </c>
      <c r="E911" s="12">
        <f t="shared" si="13"/>
        <v>127.24625</v>
      </c>
      <c r="F911" s="50">
        <v>86.25</v>
      </c>
      <c r="G911" s="60">
        <v>83.251999999999995</v>
      </c>
      <c r="H911" s="61">
        <v>1600.5920000000001</v>
      </c>
      <c r="I911" s="62">
        <v>6.9</v>
      </c>
      <c r="J911" s="63">
        <v>2.4E-2</v>
      </c>
      <c r="K911" s="68">
        <v>8.8160000000000007</v>
      </c>
      <c r="L911" s="61">
        <v>38.914999999999999</v>
      </c>
      <c r="M911" s="62">
        <v>5.2759999999999998</v>
      </c>
      <c r="N911" s="66">
        <v>1.6E-2</v>
      </c>
      <c r="O911" s="57">
        <v>104.259</v>
      </c>
      <c r="P911" s="67">
        <v>6.5000000000000002E-2</v>
      </c>
      <c r="Q911" s="96"/>
    </row>
    <row r="912" spans="1:17" ht="14.25" customHeight="1" x14ac:dyDescent="0.35">
      <c r="A912" s="1">
        <v>2022</v>
      </c>
      <c r="B912" s="1" t="s">
        <v>28</v>
      </c>
      <c r="C912" s="1">
        <v>29</v>
      </c>
      <c r="D912" s="49">
        <v>106.438</v>
      </c>
      <c r="E912" s="12">
        <f t="shared" si="13"/>
        <v>133.04750000000001</v>
      </c>
      <c r="F912" s="50">
        <v>89.843999999999994</v>
      </c>
      <c r="G912" s="83">
        <v>83.45</v>
      </c>
      <c r="H912" s="69">
        <v>1646.578</v>
      </c>
      <c r="I912" s="50">
        <v>6.9</v>
      </c>
      <c r="J912" s="66">
        <v>2.5000000000000001E-2</v>
      </c>
      <c r="K912" s="117">
        <v>8.6470000000000002</v>
      </c>
      <c r="L912" s="61">
        <v>39.881999999999998</v>
      </c>
      <c r="M912" s="62">
        <v>5.2880000000000003</v>
      </c>
      <c r="N912" s="66">
        <v>1.6E-2</v>
      </c>
      <c r="O912" s="57">
        <v>101.73699999999999</v>
      </c>
      <c r="P912" s="84">
        <v>6.5000000000000002E-2</v>
      </c>
      <c r="Q912" s="96"/>
    </row>
    <row r="913" spans="1:17" ht="14.25" customHeight="1" x14ac:dyDescent="0.35">
      <c r="A913" s="1">
        <v>2022</v>
      </c>
      <c r="B913" s="1" t="s">
        <v>28</v>
      </c>
      <c r="C913" s="1">
        <v>30</v>
      </c>
      <c r="D913" s="104">
        <v>105.14100000000001</v>
      </c>
      <c r="E913" s="12">
        <f t="shared" si="13"/>
        <v>131.42625000000001</v>
      </c>
      <c r="F913" s="105">
        <v>88.843999999999994</v>
      </c>
      <c r="G913" s="83">
        <v>83.489000000000004</v>
      </c>
      <c r="H913" s="69">
        <v>1650.837</v>
      </c>
      <c r="I913" s="50">
        <v>6.9</v>
      </c>
      <c r="J913" s="66">
        <v>2.5999999999999999E-2</v>
      </c>
      <c r="K913" s="117">
        <v>8.8569999999999993</v>
      </c>
      <c r="L913" s="61">
        <v>38.841999999999999</v>
      </c>
      <c r="M913" s="62">
        <v>5.2169999999999996</v>
      </c>
      <c r="N913" s="66">
        <v>1.6E-2</v>
      </c>
      <c r="O913" s="57">
        <v>121.28</v>
      </c>
      <c r="P913" s="84">
        <v>6.4000000000000001E-2</v>
      </c>
      <c r="Q913" s="96"/>
    </row>
    <row r="914" spans="1:17" ht="14.25" customHeight="1" x14ac:dyDescent="0.35">
      <c r="A914" s="1">
        <v>2022</v>
      </c>
      <c r="B914" s="1" t="s">
        <v>29</v>
      </c>
      <c r="C914" s="1">
        <v>1</v>
      </c>
      <c r="D914" s="49">
        <v>112.76600000000001</v>
      </c>
      <c r="E914" s="12">
        <f t="shared" si="13"/>
        <v>140.95750000000001</v>
      </c>
      <c r="F914" s="50">
        <v>95.313000000000002</v>
      </c>
      <c r="G914" s="51">
        <v>83.403999999999996</v>
      </c>
      <c r="H914" s="52">
        <v>1650.6610000000001</v>
      </c>
      <c r="I914" s="53">
        <v>6.9</v>
      </c>
      <c r="J914" s="54">
        <v>2.5000000000000001E-2</v>
      </c>
      <c r="K914" s="59">
        <v>8.5340000000000007</v>
      </c>
      <c r="L914" s="52">
        <v>37.253999999999998</v>
      </c>
      <c r="M914" s="55">
        <v>5.1360000000000001</v>
      </c>
      <c r="N914" s="56">
        <v>1.6E-2</v>
      </c>
      <c r="O914" s="57">
        <v>144.26599999999999</v>
      </c>
      <c r="P914" s="58">
        <v>6.2E-2</v>
      </c>
      <c r="Q914" s="96"/>
    </row>
    <row r="915" spans="1:17" ht="14.25" customHeight="1" x14ac:dyDescent="0.35">
      <c r="A915" s="1">
        <v>2022</v>
      </c>
      <c r="B915" s="1" t="s">
        <v>29</v>
      </c>
      <c r="C915" s="1">
        <v>2</v>
      </c>
      <c r="D915" s="49">
        <v>111.938</v>
      </c>
      <c r="E915" s="12">
        <f t="shared" si="13"/>
        <v>139.92250000000001</v>
      </c>
      <c r="F915" s="50">
        <v>94.718999999999994</v>
      </c>
      <c r="G915" s="60">
        <v>83.262</v>
      </c>
      <c r="H915" s="61">
        <v>1639.742</v>
      </c>
      <c r="I915" s="62">
        <v>6.9</v>
      </c>
      <c r="J915" s="63">
        <v>2.5000000000000001E-2</v>
      </c>
      <c r="K915" s="68">
        <v>8.6229999999999993</v>
      </c>
      <c r="L915" s="65">
        <v>36.161000000000001</v>
      </c>
      <c r="M915" s="50">
        <v>5.12</v>
      </c>
      <c r="N915" s="66">
        <v>1.6E-2</v>
      </c>
      <c r="O915" s="57">
        <v>149.38900000000001</v>
      </c>
      <c r="P915" s="67">
        <v>5.7000000000000002E-2</v>
      </c>
      <c r="Q915" s="96"/>
    </row>
    <row r="916" spans="1:17" ht="14.25" customHeight="1" x14ac:dyDescent="0.35">
      <c r="A916" s="1">
        <v>2022</v>
      </c>
      <c r="B916" s="1" t="s">
        <v>29</v>
      </c>
      <c r="C916" s="1">
        <v>3</v>
      </c>
      <c r="D916" s="49">
        <v>107.23399999999999</v>
      </c>
      <c r="E916" s="12">
        <f t="shared" si="13"/>
        <v>134.04249999999999</v>
      </c>
      <c r="F916" s="50">
        <v>90.688000000000002</v>
      </c>
      <c r="G916" s="60">
        <v>82.957999999999998</v>
      </c>
      <c r="H916" s="61">
        <v>1574.7</v>
      </c>
      <c r="I916" s="62">
        <v>6.9</v>
      </c>
      <c r="J916" s="63">
        <v>2.5999999999999999E-2</v>
      </c>
      <c r="K916" s="68">
        <v>8.4369999999999994</v>
      </c>
      <c r="L916" s="65">
        <v>33.75</v>
      </c>
      <c r="M916" s="50">
        <v>5.117</v>
      </c>
      <c r="N916" s="66">
        <v>1.6E-2</v>
      </c>
      <c r="O916" s="57">
        <v>150.59800000000001</v>
      </c>
      <c r="P916" s="67">
        <v>5.0999999999999997E-2</v>
      </c>
      <c r="Q916" s="96"/>
    </row>
    <row r="917" spans="1:17" ht="14.25" customHeight="1" x14ac:dyDescent="0.35">
      <c r="A917" s="1">
        <v>2022</v>
      </c>
      <c r="B917" s="1" t="s">
        <v>29</v>
      </c>
      <c r="C917" s="1">
        <v>4</v>
      </c>
      <c r="D917" s="49">
        <v>106.34399999999999</v>
      </c>
      <c r="E917" s="12">
        <f t="shared" si="13"/>
        <v>132.93</v>
      </c>
      <c r="F917" s="50">
        <v>90.031000000000006</v>
      </c>
      <c r="G917" s="60">
        <v>82.706999999999994</v>
      </c>
      <c r="H917" s="61">
        <v>1523.904</v>
      </c>
      <c r="I917" s="62">
        <v>6.9</v>
      </c>
      <c r="J917" s="63">
        <v>2.5999999999999999E-2</v>
      </c>
      <c r="K917" s="68">
        <v>8.39</v>
      </c>
      <c r="L917" s="65">
        <v>32.593000000000004</v>
      </c>
      <c r="M917" s="50">
        <v>5.1239999999999997</v>
      </c>
      <c r="N917" s="66">
        <v>1.6E-2</v>
      </c>
      <c r="O917" s="57">
        <v>147.88999999999999</v>
      </c>
      <c r="P917" s="67">
        <v>4.9000000000000002E-2</v>
      </c>
      <c r="Q917" s="96"/>
    </row>
    <row r="918" spans="1:17" ht="14.25" customHeight="1" x14ac:dyDescent="0.35">
      <c r="A918" s="1">
        <v>2022</v>
      </c>
      <c r="B918" s="1" t="s">
        <v>29</v>
      </c>
      <c r="C918" s="1">
        <v>5</v>
      </c>
      <c r="D918" s="49">
        <v>106.375</v>
      </c>
      <c r="E918" s="12">
        <f t="shared" si="13"/>
        <v>132.96875</v>
      </c>
      <c r="F918" s="50">
        <v>89.968999999999994</v>
      </c>
      <c r="G918" s="60">
        <v>82.959000000000003</v>
      </c>
      <c r="H918" s="61">
        <v>1527.173</v>
      </c>
      <c r="I918" s="62">
        <v>6.9</v>
      </c>
      <c r="J918" s="63">
        <v>2.8000000000000001E-2</v>
      </c>
      <c r="K918" s="68">
        <v>8.4459999999999997</v>
      </c>
      <c r="L918" s="65">
        <v>34.438000000000002</v>
      </c>
      <c r="M918" s="50">
        <v>5.141</v>
      </c>
      <c r="N918" s="66">
        <v>1.5800000000000002E-2</v>
      </c>
      <c r="O918" s="57">
        <v>142.81399999999999</v>
      </c>
      <c r="P918" s="67">
        <v>5.1299999999999998E-2</v>
      </c>
      <c r="Q918" s="96"/>
    </row>
    <row r="919" spans="1:17" ht="14.25" customHeight="1" x14ac:dyDescent="0.35">
      <c r="A919" s="1">
        <v>2022</v>
      </c>
      <c r="B919" s="1" t="s">
        <v>29</v>
      </c>
      <c r="C919" s="1">
        <v>6</v>
      </c>
      <c r="D919" s="49">
        <v>106.73399999999999</v>
      </c>
      <c r="E919" s="12">
        <f t="shared" si="13"/>
        <v>133.41749999999999</v>
      </c>
      <c r="F919" s="50">
        <v>90.188000000000002</v>
      </c>
      <c r="G919" s="60">
        <v>83.361999999999995</v>
      </c>
      <c r="H919" s="61">
        <v>1608.825</v>
      </c>
      <c r="I919" s="62">
        <v>6.9</v>
      </c>
      <c r="J919" s="63">
        <v>2.9000000000000001E-2</v>
      </c>
      <c r="K919" s="68">
        <v>8.9420000000000002</v>
      </c>
      <c r="L919" s="65">
        <v>36.905000000000001</v>
      </c>
      <c r="M919" s="50">
        <v>5.1369999999999996</v>
      </c>
      <c r="N919" s="66">
        <v>1.6E-2</v>
      </c>
      <c r="O919" s="57">
        <v>143.36699999999999</v>
      </c>
      <c r="P919" s="67">
        <v>5.8000000000000003E-2</v>
      </c>
      <c r="Q919" s="96"/>
    </row>
    <row r="920" spans="1:17" ht="14.25" customHeight="1" x14ac:dyDescent="0.35">
      <c r="A920" s="1">
        <v>2022</v>
      </c>
      <c r="B920" s="1" t="s">
        <v>29</v>
      </c>
      <c r="C920" s="1">
        <v>7</v>
      </c>
      <c r="D920" s="49">
        <v>103.78100000000001</v>
      </c>
      <c r="E920" s="12">
        <f t="shared" si="13"/>
        <v>129.72624999999999</v>
      </c>
      <c r="F920" s="50">
        <v>87.781000000000006</v>
      </c>
      <c r="G920" s="60">
        <v>83.537000000000006</v>
      </c>
      <c r="H920" s="61">
        <v>1644.069</v>
      </c>
      <c r="I920" s="62">
        <v>6.9</v>
      </c>
      <c r="J920" s="63">
        <v>3.1E-2</v>
      </c>
      <c r="K920" s="68">
        <v>8.8889999999999993</v>
      </c>
      <c r="L920" s="65">
        <v>35.411999999999999</v>
      </c>
      <c r="M920" s="50">
        <v>5.12</v>
      </c>
      <c r="N920" s="66">
        <v>1.6E-2</v>
      </c>
      <c r="O920" s="57">
        <v>149.53899999999999</v>
      </c>
      <c r="P920" s="67">
        <v>5.5E-2</v>
      </c>
      <c r="Q920" s="96"/>
    </row>
    <row r="921" spans="1:17" ht="14.25" customHeight="1" x14ac:dyDescent="0.35">
      <c r="A921" s="1">
        <v>2022</v>
      </c>
      <c r="B921" s="1" t="s">
        <v>29</v>
      </c>
      <c r="C921" s="1">
        <v>8</v>
      </c>
      <c r="D921" s="49">
        <v>105.03100000000001</v>
      </c>
      <c r="E921" s="12">
        <f t="shared" si="13"/>
        <v>131.28874999999999</v>
      </c>
      <c r="F921" s="50">
        <v>88.813000000000002</v>
      </c>
      <c r="G921" s="60">
        <v>83.536000000000001</v>
      </c>
      <c r="H921" s="69">
        <v>1651.501</v>
      </c>
      <c r="I921" s="62">
        <v>6.9</v>
      </c>
      <c r="J921" s="63">
        <v>0.03</v>
      </c>
      <c r="K921" s="71">
        <v>8.7829999999999995</v>
      </c>
      <c r="L921" s="65">
        <v>36.372999999999998</v>
      </c>
      <c r="M921" s="50">
        <v>5.157</v>
      </c>
      <c r="N921" s="66">
        <v>1.6E-2</v>
      </c>
      <c r="O921" s="57">
        <v>137.84399999999999</v>
      </c>
      <c r="P921" s="70">
        <v>5.2999999999999999E-2</v>
      </c>
      <c r="Q921" s="96"/>
    </row>
    <row r="922" spans="1:17" ht="14.25" customHeight="1" x14ac:dyDescent="0.35">
      <c r="A922" s="1">
        <v>2022</v>
      </c>
      <c r="B922" s="1" t="s">
        <v>29</v>
      </c>
      <c r="C922" s="1">
        <v>9</v>
      </c>
      <c r="D922" s="49">
        <v>108.188</v>
      </c>
      <c r="E922" s="12">
        <f t="shared" si="13"/>
        <v>135.23500000000001</v>
      </c>
      <c r="F922" s="50">
        <v>91.563000000000002</v>
      </c>
      <c r="G922" s="60">
        <v>83.667000000000002</v>
      </c>
      <c r="H922" s="61">
        <v>1636.1569999999999</v>
      </c>
      <c r="I922" s="62">
        <v>6.9</v>
      </c>
      <c r="J922" s="63">
        <v>2.7E-2</v>
      </c>
      <c r="K922" s="68">
        <v>8.6530000000000005</v>
      </c>
      <c r="L922" s="65">
        <v>35.326999999999998</v>
      </c>
      <c r="M922" s="50">
        <v>5.1609999999999996</v>
      </c>
      <c r="N922" s="66">
        <v>1.6E-2</v>
      </c>
      <c r="O922" s="57">
        <v>135.84200000000001</v>
      </c>
      <c r="P922" s="67">
        <v>5.0999999999999997E-2</v>
      </c>
      <c r="Q922" s="96"/>
    </row>
    <row r="923" spans="1:17" ht="14.25" customHeight="1" x14ac:dyDescent="0.35">
      <c r="A923" s="1">
        <v>2022</v>
      </c>
      <c r="B923" s="1" t="s">
        <v>29</v>
      </c>
      <c r="C923" s="1">
        <v>10</v>
      </c>
      <c r="D923" s="49">
        <v>106.328</v>
      </c>
      <c r="E923" s="12">
        <f t="shared" si="13"/>
        <v>132.91</v>
      </c>
      <c r="F923" s="50">
        <v>90</v>
      </c>
      <c r="G923" s="72">
        <v>83.697000000000003</v>
      </c>
      <c r="H923" s="61">
        <v>1581.894</v>
      </c>
      <c r="I923" s="62">
        <v>6.9</v>
      </c>
      <c r="J923" s="63">
        <v>2.5000000000000001E-2</v>
      </c>
      <c r="K923" s="76">
        <v>8.5920000000000005</v>
      </c>
      <c r="L923" s="65">
        <v>33.548999999999999</v>
      </c>
      <c r="M923" s="50">
        <v>5.1379999999999999</v>
      </c>
      <c r="N923" s="74">
        <v>1.6E-2</v>
      </c>
      <c r="O923" s="57">
        <v>143.63499999999999</v>
      </c>
      <c r="P923" s="75">
        <v>4.7E-2</v>
      </c>
      <c r="Q923" s="96"/>
    </row>
    <row r="924" spans="1:17" ht="14.25" customHeight="1" x14ac:dyDescent="0.35">
      <c r="A924" s="1">
        <v>2022</v>
      </c>
      <c r="B924" s="1" t="s">
        <v>29</v>
      </c>
      <c r="C924" s="1">
        <v>11</v>
      </c>
      <c r="D924" s="49">
        <v>100.313</v>
      </c>
      <c r="E924" s="12">
        <f t="shared" si="13"/>
        <v>125.39125</v>
      </c>
      <c r="F924" s="50">
        <v>84.781000000000006</v>
      </c>
      <c r="G924" s="72">
        <v>83.316000000000003</v>
      </c>
      <c r="H924" s="61">
        <v>1551.5540000000001</v>
      </c>
      <c r="I924" s="62">
        <v>6.9</v>
      </c>
      <c r="J924" s="63">
        <v>2.5999999999999999E-2</v>
      </c>
      <c r="K924" s="76">
        <v>8.9239999999999995</v>
      </c>
      <c r="L924" s="65">
        <v>37.954999999999998</v>
      </c>
      <c r="M924" s="50">
        <v>5.173</v>
      </c>
      <c r="N924" s="74">
        <v>1.6E-2</v>
      </c>
      <c r="O924" s="57">
        <v>132.28399999999999</v>
      </c>
      <c r="P924" s="75">
        <v>5.5E-2</v>
      </c>
      <c r="Q924" s="96"/>
    </row>
    <row r="925" spans="1:17" ht="14.25" customHeight="1" x14ac:dyDescent="0.35">
      <c r="A925" s="1">
        <v>2022</v>
      </c>
      <c r="B925" s="1" t="s">
        <v>29</v>
      </c>
      <c r="C925" s="1">
        <v>12</v>
      </c>
      <c r="D925" s="49">
        <v>72.016000000000005</v>
      </c>
      <c r="E925" s="12">
        <f t="shared" si="13"/>
        <v>90.02000000000001</v>
      </c>
      <c r="F925" s="50">
        <v>60.844000000000001</v>
      </c>
      <c r="G925" s="72">
        <v>83.378</v>
      </c>
      <c r="H925" s="61">
        <v>1618.443</v>
      </c>
      <c r="I925" s="62">
        <v>6.9</v>
      </c>
      <c r="J925" s="63">
        <v>2.5999999999999999E-2</v>
      </c>
      <c r="K925" s="76">
        <v>9.33</v>
      </c>
      <c r="L925" s="65">
        <v>41.323999999999998</v>
      </c>
      <c r="M925" s="50">
        <v>5.1980000000000004</v>
      </c>
      <c r="N925" s="74">
        <v>1.6E-2</v>
      </c>
      <c r="O925" s="57">
        <v>124.59699999999999</v>
      </c>
      <c r="P925" s="75">
        <v>6.3E-2</v>
      </c>
      <c r="Q925" s="96"/>
    </row>
    <row r="926" spans="1:17" ht="14.25" customHeight="1" x14ac:dyDescent="0.35">
      <c r="A926" s="1">
        <v>2022</v>
      </c>
      <c r="B926" s="1" t="s">
        <v>29</v>
      </c>
      <c r="C926" s="1">
        <v>13</v>
      </c>
      <c r="D926" s="49">
        <v>68.813000000000002</v>
      </c>
      <c r="E926" s="12">
        <f t="shared" si="13"/>
        <v>86.016249999999999</v>
      </c>
      <c r="F926" s="50">
        <v>58.063000000000002</v>
      </c>
      <c r="G926" s="78">
        <v>83.507000000000005</v>
      </c>
      <c r="H926" s="61">
        <v>1689.655</v>
      </c>
      <c r="I926" s="62">
        <v>6.9</v>
      </c>
      <c r="J926" s="63">
        <v>2.5000000000000001E-2</v>
      </c>
      <c r="K926" s="81">
        <v>8.9009999999999998</v>
      </c>
      <c r="L926" s="65">
        <v>40.268999999999998</v>
      </c>
      <c r="M926" s="50">
        <v>5.181</v>
      </c>
      <c r="N926" s="66">
        <v>1.6E-2</v>
      </c>
      <c r="O926" s="57">
        <v>129.964</v>
      </c>
      <c r="P926" s="80">
        <v>6.6000000000000003E-2</v>
      </c>
      <c r="Q926" s="96"/>
    </row>
    <row r="927" spans="1:17" ht="14.25" customHeight="1" x14ac:dyDescent="0.35">
      <c r="A927" s="1">
        <v>2022</v>
      </c>
      <c r="B927" s="1" t="s">
        <v>29</v>
      </c>
      <c r="C927" s="1">
        <v>14</v>
      </c>
      <c r="D927" s="49">
        <v>67.938000000000002</v>
      </c>
      <c r="E927" s="12">
        <f t="shared" si="13"/>
        <v>84.922499999999999</v>
      </c>
      <c r="F927" s="50">
        <v>57.530999999999999</v>
      </c>
      <c r="G927" s="60">
        <v>83.603999999999999</v>
      </c>
      <c r="H927" s="61">
        <v>1681.664</v>
      </c>
      <c r="I927" s="62">
        <v>6.9</v>
      </c>
      <c r="J927" s="63">
        <v>2.5000000000000001E-2</v>
      </c>
      <c r="K927" s="81">
        <v>8.73</v>
      </c>
      <c r="L927" s="82">
        <v>46.703000000000003</v>
      </c>
      <c r="M927" s="50">
        <v>5.2320000000000002</v>
      </c>
      <c r="N927" s="66">
        <v>1.9E-2</v>
      </c>
      <c r="O927" s="57">
        <v>115.497</v>
      </c>
      <c r="P927" s="80">
        <v>7.1999999999999995E-2</v>
      </c>
      <c r="Q927" s="96"/>
    </row>
    <row r="928" spans="1:17" ht="14.25" customHeight="1" x14ac:dyDescent="0.35">
      <c r="A928" s="1">
        <v>2022</v>
      </c>
      <c r="B928" s="1" t="s">
        <v>29</v>
      </c>
      <c r="C928" s="1">
        <v>15</v>
      </c>
      <c r="D928" s="49">
        <v>94.531000000000006</v>
      </c>
      <c r="E928" s="12">
        <f t="shared" si="13"/>
        <v>118.16375000000001</v>
      </c>
      <c r="F928" s="50">
        <v>80.031000000000006</v>
      </c>
      <c r="G928" s="60">
        <v>83.766999999999996</v>
      </c>
      <c r="H928" s="61">
        <v>1696.17</v>
      </c>
      <c r="I928" s="62">
        <v>6.9</v>
      </c>
      <c r="J928" s="63">
        <v>2.4E-2</v>
      </c>
      <c r="K928" s="76">
        <v>8.3559999999999999</v>
      </c>
      <c r="L928" s="65">
        <v>46.332999999999998</v>
      </c>
      <c r="M928" s="50">
        <v>5.2830000000000004</v>
      </c>
      <c r="N928" s="66">
        <v>1.6E-2</v>
      </c>
      <c r="O928" s="57">
        <v>103.151</v>
      </c>
      <c r="P928" s="75">
        <v>0.06</v>
      </c>
      <c r="Q928" s="96"/>
    </row>
    <row r="929" spans="1:17" ht="14.25" customHeight="1" x14ac:dyDescent="0.35">
      <c r="A929" s="1">
        <v>2022</v>
      </c>
      <c r="B929" s="1" t="s">
        <v>29</v>
      </c>
      <c r="C929" s="1">
        <v>16</v>
      </c>
      <c r="D929" s="49">
        <v>94.516000000000005</v>
      </c>
      <c r="E929" s="12">
        <f t="shared" si="13"/>
        <v>118.14500000000001</v>
      </c>
      <c r="F929" s="50">
        <v>79.968999999999994</v>
      </c>
      <c r="G929" s="60">
        <v>83.945999999999998</v>
      </c>
      <c r="H929" s="61">
        <v>1650.65</v>
      </c>
      <c r="I929" s="62">
        <v>6.9</v>
      </c>
      <c r="J929" s="63">
        <v>2.5000000000000001E-2</v>
      </c>
      <c r="K929" s="81">
        <v>8.3930000000000007</v>
      </c>
      <c r="L929" s="61">
        <v>45.837000000000003</v>
      </c>
      <c r="M929" s="62">
        <v>5.3150000000000004</v>
      </c>
      <c r="N929" s="66">
        <v>1.6E-2</v>
      </c>
      <c r="O929" s="57">
        <v>95.382000000000005</v>
      </c>
      <c r="P929" s="80">
        <v>5.7000000000000002E-2</v>
      </c>
      <c r="Q929" s="96"/>
    </row>
    <row r="930" spans="1:17" ht="14.25" customHeight="1" x14ac:dyDescent="0.35">
      <c r="A930" s="1">
        <v>2022</v>
      </c>
      <c r="B930" s="1" t="s">
        <v>29</v>
      </c>
      <c r="C930" s="1">
        <v>17</v>
      </c>
      <c r="D930" s="49">
        <v>99.656000000000006</v>
      </c>
      <c r="E930" s="12">
        <f t="shared" si="13"/>
        <v>124.57000000000001</v>
      </c>
      <c r="F930" s="50">
        <v>84.281000000000006</v>
      </c>
      <c r="G930" s="60">
        <v>84.004000000000005</v>
      </c>
      <c r="H930" s="61">
        <v>1571.7760000000001</v>
      </c>
      <c r="I930" s="62">
        <v>6.9</v>
      </c>
      <c r="J930" s="63">
        <v>2.4E-2</v>
      </c>
      <c r="K930" s="68">
        <v>8.2880000000000003</v>
      </c>
      <c r="L930" s="65">
        <v>45.746000000000002</v>
      </c>
      <c r="M930" s="50">
        <v>5.3140000000000001</v>
      </c>
      <c r="N930" s="66">
        <v>1.7999999999999999E-2</v>
      </c>
      <c r="O930" s="57">
        <v>95.582999999999998</v>
      </c>
      <c r="P930" s="67">
        <v>5.3999999999999999E-2</v>
      </c>
      <c r="Q930" s="96"/>
    </row>
    <row r="931" spans="1:17" ht="14.25" customHeight="1" x14ac:dyDescent="0.35">
      <c r="A931" s="1">
        <v>2022</v>
      </c>
      <c r="B931" s="1" t="s">
        <v>29</v>
      </c>
      <c r="C931" s="1">
        <v>18</v>
      </c>
      <c r="D931" s="49">
        <v>97.516000000000005</v>
      </c>
      <c r="E931" s="12">
        <f t="shared" si="13"/>
        <v>121.89500000000001</v>
      </c>
      <c r="F931" s="50">
        <v>82.438000000000002</v>
      </c>
      <c r="G931" s="60">
        <v>84.128</v>
      </c>
      <c r="H931" s="61">
        <v>1538.4290000000001</v>
      </c>
      <c r="I931" s="62">
        <v>6.9</v>
      </c>
      <c r="J931" s="63">
        <v>2.4E-2</v>
      </c>
      <c r="K931" s="68">
        <v>8.2270000000000003</v>
      </c>
      <c r="L931" s="61">
        <v>44.51</v>
      </c>
      <c r="M931" s="62">
        <v>5.3170000000000002</v>
      </c>
      <c r="N931" s="66">
        <v>1.6E-2</v>
      </c>
      <c r="O931" s="57">
        <v>95.051000000000002</v>
      </c>
      <c r="P931" s="67">
        <v>5.2999999999999999E-2</v>
      </c>
      <c r="Q931" s="96"/>
    </row>
    <row r="932" spans="1:17" ht="14.25" customHeight="1" x14ac:dyDescent="0.35">
      <c r="A932" s="1">
        <v>2022</v>
      </c>
      <c r="B932" s="1" t="s">
        <v>29</v>
      </c>
      <c r="C932" s="1">
        <v>19</v>
      </c>
      <c r="D932" s="49">
        <v>94.906000000000006</v>
      </c>
      <c r="E932" s="12">
        <f t="shared" si="13"/>
        <v>118.63250000000001</v>
      </c>
      <c r="F932" s="50">
        <v>80.313000000000002</v>
      </c>
      <c r="G932" s="60">
        <v>84.409000000000006</v>
      </c>
      <c r="H932" s="61">
        <v>1622.894</v>
      </c>
      <c r="I932" s="62">
        <v>6.9</v>
      </c>
      <c r="J932" s="63">
        <v>2.5000000000000001E-2</v>
      </c>
      <c r="K932" s="68">
        <v>8.5120000000000005</v>
      </c>
      <c r="L932" s="65">
        <v>45.594999999999999</v>
      </c>
      <c r="M932" s="50">
        <v>5.2939999999999996</v>
      </c>
      <c r="N932" s="66">
        <v>1.6E-2</v>
      </c>
      <c r="O932" s="57">
        <v>100.57</v>
      </c>
      <c r="P932" s="67">
        <v>5.7000000000000002E-2</v>
      </c>
      <c r="Q932" s="96"/>
    </row>
    <row r="933" spans="1:17" ht="14.25" customHeight="1" x14ac:dyDescent="0.35">
      <c r="A933" s="1">
        <v>2022</v>
      </c>
      <c r="B933" s="1" t="s">
        <v>29</v>
      </c>
      <c r="C933" s="1">
        <v>20</v>
      </c>
      <c r="D933" s="49">
        <v>101.5</v>
      </c>
      <c r="E933" s="12">
        <f t="shared" si="13"/>
        <v>126.875</v>
      </c>
      <c r="F933" s="50">
        <v>85.906000000000006</v>
      </c>
      <c r="G933" s="60">
        <v>84.52</v>
      </c>
      <c r="H933" s="61">
        <v>1661.79</v>
      </c>
      <c r="I933" s="62">
        <v>6.9</v>
      </c>
      <c r="J933" s="63">
        <v>2.5000000000000001E-2</v>
      </c>
      <c r="K933" s="68">
        <v>8.4550000000000001</v>
      </c>
      <c r="L933" s="61">
        <v>45.554000000000002</v>
      </c>
      <c r="M933" s="62">
        <v>5.2949999999999999</v>
      </c>
      <c r="N933" s="66">
        <v>1.6E-2</v>
      </c>
      <c r="O933" s="57">
        <v>99.774000000000001</v>
      </c>
      <c r="P933" s="67">
        <v>6.2E-2</v>
      </c>
      <c r="Q933" s="96"/>
    </row>
    <row r="934" spans="1:17" ht="14.25" customHeight="1" x14ac:dyDescent="0.35">
      <c r="A934" s="1">
        <v>2022</v>
      </c>
      <c r="B934" s="1" t="s">
        <v>29</v>
      </c>
      <c r="C934" s="1">
        <v>21</v>
      </c>
      <c r="D934" s="49">
        <v>108.65600000000001</v>
      </c>
      <c r="E934" s="12">
        <f t="shared" si="13"/>
        <v>135.82</v>
      </c>
      <c r="F934" s="50">
        <v>91.875</v>
      </c>
      <c r="G934" s="60">
        <v>84.382000000000005</v>
      </c>
      <c r="H934" s="61">
        <v>1655.547</v>
      </c>
      <c r="I934" s="62">
        <v>6.9</v>
      </c>
      <c r="J934" s="63">
        <v>2.5999999999999999E-2</v>
      </c>
      <c r="K934" s="68">
        <v>8.4060000000000006</v>
      </c>
      <c r="L934" s="65">
        <v>45.417000000000002</v>
      </c>
      <c r="M934" s="50">
        <v>5.298</v>
      </c>
      <c r="N934" s="66">
        <v>1.7000000000000001E-2</v>
      </c>
      <c r="O934" s="57">
        <v>99.343000000000004</v>
      </c>
      <c r="P934" s="67">
        <v>6.0999999999999999E-2</v>
      </c>
      <c r="Q934" s="96"/>
    </row>
    <row r="935" spans="1:17" ht="14.25" customHeight="1" x14ac:dyDescent="0.35">
      <c r="A935" s="1">
        <v>2022</v>
      </c>
      <c r="B935" s="1" t="s">
        <v>29</v>
      </c>
      <c r="C935" s="1">
        <v>22</v>
      </c>
      <c r="D935" s="49">
        <v>111.828</v>
      </c>
      <c r="E935" s="12">
        <f t="shared" si="13"/>
        <v>139.785</v>
      </c>
      <c r="F935" s="50">
        <v>94.5</v>
      </c>
      <c r="G935" s="60">
        <v>84.361999999999995</v>
      </c>
      <c r="H935" s="61">
        <v>1665.8820000000001</v>
      </c>
      <c r="I935" s="62">
        <v>6.9</v>
      </c>
      <c r="J935" s="63">
        <v>2.4E-2</v>
      </c>
      <c r="K935" s="68">
        <v>8.2550000000000008</v>
      </c>
      <c r="L935" s="61">
        <v>46.122</v>
      </c>
      <c r="M935" s="62">
        <v>5.3380000000000001</v>
      </c>
      <c r="N935" s="66">
        <v>1.4999999999999999E-2</v>
      </c>
      <c r="O935" s="57">
        <v>90.775999999999996</v>
      </c>
      <c r="P935" s="67">
        <v>5.8999999999999997E-2</v>
      </c>
      <c r="Q935" s="96"/>
    </row>
    <row r="936" spans="1:17" ht="14.25" customHeight="1" x14ac:dyDescent="0.35">
      <c r="A936" s="1">
        <v>2022</v>
      </c>
      <c r="B936" s="1" t="s">
        <v>29</v>
      </c>
      <c r="C936" s="1">
        <v>23</v>
      </c>
      <c r="D936" s="49">
        <v>112.39100000000001</v>
      </c>
      <c r="E936" s="12">
        <f t="shared" si="13"/>
        <v>140.48875000000001</v>
      </c>
      <c r="F936" s="50">
        <v>95</v>
      </c>
      <c r="G936" s="60">
        <v>84.376000000000005</v>
      </c>
      <c r="H936" s="61">
        <v>1628.79</v>
      </c>
      <c r="I936" s="62">
        <v>6.9</v>
      </c>
      <c r="J936" s="63">
        <v>2.5000000000000001E-2</v>
      </c>
      <c r="K936" s="68">
        <v>8.3580000000000005</v>
      </c>
      <c r="L936" s="65">
        <v>44.526000000000003</v>
      </c>
      <c r="M936" s="50">
        <v>5.3520000000000003</v>
      </c>
      <c r="N936" s="66">
        <v>1.4E-2</v>
      </c>
      <c r="O936" s="57">
        <v>87.271000000000001</v>
      </c>
      <c r="P936" s="67">
        <v>5.6000000000000001E-2</v>
      </c>
      <c r="Q936" s="96"/>
    </row>
    <row r="937" spans="1:17" ht="14.25" customHeight="1" x14ac:dyDescent="0.35">
      <c r="A937" s="1">
        <v>2022</v>
      </c>
      <c r="B937" s="1" t="s">
        <v>29</v>
      </c>
      <c r="C937" s="1">
        <v>24</v>
      </c>
      <c r="D937" s="49">
        <v>108.84399999999999</v>
      </c>
      <c r="E937" s="12">
        <f t="shared" si="13"/>
        <v>136.05500000000001</v>
      </c>
      <c r="F937" s="50">
        <v>91.968999999999994</v>
      </c>
      <c r="G937" s="60">
        <v>84.248999999999995</v>
      </c>
      <c r="H937" s="61">
        <v>1573.425</v>
      </c>
      <c r="I937" s="62">
        <v>6.9</v>
      </c>
      <c r="J937" s="63">
        <v>2.5000000000000001E-2</v>
      </c>
      <c r="K937" s="68">
        <v>8.4179999999999993</v>
      </c>
      <c r="L937" s="61">
        <v>44.561</v>
      </c>
      <c r="M937" s="62">
        <v>5.3689999999999998</v>
      </c>
      <c r="N937" s="66">
        <v>1.4E-2</v>
      </c>
      <c r="O937" s="57">
        <v>84.236000000000004</v>
      </c>
      <c r="P937" s="67">
        <v>5.5E-2</v>
      </c>
      <c r="Q937" s="96"/>
    </row>
    <row r="938" spans="1:17" ht="14.25" customHeight="1" x14ac:dyDescent="0.35">
      <c r="A938" s="1">
        <v>2022</v>
      </c>
      <c r="B938" s="1" t="s">
        <v>29</v>
      </c>
      <c r="C938" s="1">
        <v>25</v>
      </c>
      <c r="D938" s="49">
        <v>95.313000000000002</v>
      </c>
      <c r="E938" s="12">
        <f t="shared" si="13"/>
        <v>119.14125</v>
      </c>
      <c r="F938" s="50">
        <v>80.593999999999994</v>
      </c>
      <c r="G938" s="60">
        <v>84.19</v>
      </c>
      <c r="H938" s="61">
        <v>1513.7190000000001</v>
      </c>
      <c r="I938" s="62">
        <v>6.9</v>
      </c>
      <c r="J938" s="63">
        <v>2.5000000000000001E-2</v>
      </c>
      <c r="K938" s="68">
        <v>8.2560000000000002</v>
      </c>
      <c r="L938" s="65">
        <v>42.56</v>
      </c>
      <c r="M938" s="50">
        <v>5.38</v>
      </c>
      <c r="N938" s="66">
        <v>1.4E-2</v>
      </c>
      <c r="O938" s="57">
        <v>82.155000000000001</v>
      </c>
      <c r="P938" s="67">
        <v>5.5E-2</v>
      </c>
      <c r="Q938" s="96"/>
    </row>
    <row r="939" spans="1:17" ht="14.25" customHeight="1" x14ac:dyDescent="0.35">
      <c r="A939" s="1">
        <v>2022</v>
      </c>
      <c r="B939" s="1" t="s">
        <v>29</v>
      </c>
      <c r="C939" s="1">
        <v>26</v>
      </c>
      <c r="D939" s="49">
        <v>103.53100000000001</v>
      </c>
      <c r="E939" s="12">
        <f t="shared" si="13"/>
        <v>129.41374999999999</v>
      </c>
      <c r="F939" s="50">
        <v>87.593999999999994</v>
      </c>
      <c r="G939" s="60">
        <v>84.38</v>
      </c>
      <c r="H939" s="61">
        <v>1596.095</v>
      </c>
      <c r="I939" s="62">
        <v>6.9</v>
      </c>
      <c r="J939" s="63">
        <v>2.5999999999999999E-2</v>
      </c>
      <c r="K939" s="68">
        <v>8.1419999999999995</v>
      </c>
      <c r="L939" s="61">
        <v>43.765999999999998</v>
      </c>
      <c r="M939" s="62">
        <v>5.3449999999999998</v>
      </c>
      <c r="N939" s="66">
        <v>1.4E-2</v>
      </c>
      <c r="O939" s="57">
        <v>88.835999999999999</v>
      </c>
      <c r="P939" s="67">
        <v>6.2E-2</v>
      </c>
      <c r="Q939" s="96"/>
    </row>
    <row r="940" spans="1:17" ht="14.25" customHeight="1" x14ac:dyDescent="0.35">
      <c r="A940" s="1">
        <v>2022</v>
      </c>
      <c r="B940" s="1" t="s">
        <v>29</v>
      </c>
      <c r="C940" s="1">
        <v>27</v>
      </c>
      <c r="D940" s="49">
        <v>109.453</v>
      </c>
      <c r="E940" s="12">
        <f t="shared" si="13"/>
        <v>136.81625</v>
      </c>
      <c r="F940" s="50">
        <v>92.563000000000002</v>
      </c>
      <c r="G940" s="60">
        <v>84.438000000000002</v>
      </c>
      <c r="H940" s="61">
        <v>1642.771</v>
      </c>
      <c r="I940" s="62">
        <v>6.9</v>
      </c>
      <c r="J940" s="63">
        <v>2.5999999999999999E-2</v>
      </c>
      <c r="K940" s="68">
        <v>8.2650000000000006</v>
      </c>
      <c r="L940" s="65">
        <v>44.988</v>
      </c>
      <c r="M940" s="50">
        <v>5.33</v>
      </c>
      <c r="N940" s="66">
        <v>1.4E-2</v>
      </c>
      <c r="O940" s="57">
        <v>92.05</v>
      </c>
      <c r="P940" s="67">
        <v>5.7000000000000002E-2</v>
      </c>
      <c r="Q940" s="96"/>
    </row>
    <row r="941" spans="1:17" ht="14.25" customHeight="1" x14ac:dyDescent="0.35">
      <c r="A941" s="1">
        <v>2022</v>
      </c>
      <c r="B941" s="1" t="s">
        <v>29</v>
      </c>
      <c r="C941" s="1">
        <v>28</v>
      </c>
      <c r="D941" s="49">
        <v>112.172</v>
      </c>
      <c r="E941" s="12">
        <f t="shared" si="13"/>
        <v>140.215</v>
      </c>
      <c r="F941" s="50">
        <v>94.843999999999994</v>
      </c>
      <c r="G941" s="60">
        <v>84.641000000000005</v>
      </c>
      <c r="H941" s="61">
        <v>1665.2170000000001</v>
      </c>
      <c r="I941" s="62">
        <v>6.9</v>
      </c>
      <c r="J941" s="63">
        <v>2.5999999999999999E-2</v>
      </c>
      <c r="K941" s="68">
        <v>8.3610000000000007</v>
      </c>
      <c r="L941" s="61">
        <v>45.332000000000001</v>
      </c>
      <c r="M941" s="62">
        <v>5.4139999999999997</v>
      </c>
      <c r="N941" s="66">
        <v>1.4999999999999999E-2</v>
      </c>
      <c r="O941" s="57">
        <v>76.945999999999998</v>
      </c>
      <c r="P941" s="67">
        <v>5.7000000000000002E-2</v>
      </c>
      <c r="Q941" s="96"/>
    </row>
    <row r="942" spans="1:17" ht="14.25" customHeight="1" x14ac:dyDescent="0.35">
      <c r="A942" s="1">
        <v>2022</v>
      </c>
      <c r="B942" s="1" t="s">
        <v>29</v>
      </c>
      <c r="C942" s="1">
        <v>29</v>
      </c>
      <c r="D942" s="49">
        <v>112.188</v>
      </c>
      <c r="E942" s="12">
        <f t="shared" si="13"/>
        <v>140.23500000000001</v>
      </c>
      <c r="F942" s="50">
        <v>95</v>
      </c>
      <c r="G942" s="83">
        <v>84.491</v>
      </c>
      <c r="H942" s="69">
        <v>1651.518</v>
      </c>
      <c r="I942" s="50">
        <v>6.9</v>
      </c>
      <c r="J942" s="66">
        <v>2.5999999999999999E-2</v>
      </c>
      <c r="K942" s="117">
        <v>8.1739999999999995</v>
      </c>
      <c r="L942" s="61">
        <v>44.298000000000002</v>
      </c>
      <c r="M942" s="62">
        <v>5.4850000000000003</v>
      </c>
      <c r="N942" s="66">
        <v>1.4E-2</v>
      </c>
      <c r="O942" s="57">
        <v>64.596999999999994</v>
      </c>
      <c r="P942" s="84">
        <v>5.7000000000000002E-2</v>
      </c>
      <c r="Q942" s="96"/>
    </row>
    <row r="943" spans="1:17" ht="14.25" customHeight="1" x14ac:dyDescent="0.35">
      <c r="A943" s="1">
        <v>2022</v>
      </c>
      <c r="B943" s="1" t="s">
        <v>29</v>
      </c>
      <c r="C943" s="1">
        <v>30</v>
      </c>
      <c r="D943" s="49">
        <v>110.953</v>
      </c>
      <c r="E943" s="12">
        <f t="shared" si="13"/>
        <v>138.69125</v>
      </c>
      <c r="F943" s="50">
        <v>93.875</v>
      </c>
      <c r="G943" s="83">
        <v>84.608000000000004</v>
      </c>
      <c r="H943" s="69">
        <v>1636.385</v>
      </c>
      <c r="I943" s="50">
        <v>6.9</v>
      </c>
      <c r="J943" s="66">
        <v>2.7E-2</v>
      </c>
      <c r="K943" s="117">
        <v>8.0850000000000009</v>
      </c>
      <c r="L943" s="61">
        <v>43.89</v>
      </c>
      <c r="M943" s="62">
        <v>5.4950000000000001</v>
      </c>
      <c r="N943" s="66">
        <v>1.4E-2</v>
      </c>
      <c r="O943" s="57">
        <v>63.21</v>
      </c>
      <c r="P943" s="84">
        <v>5.5E-2</v>
      </c>
      <c r="Q943" s="96"/>
    </row>
    <row r="944" spans="1:17" ht="14.25" customHeight="1" x14ac:dyDescent="0.35">
      <c r="A944" s="1">
        <v>2022</v>
      </c>
      <c r="B944" s="1" t="s">
        <v>29</v>
      </c>
      <c r="C944" s="1">
        <v>31</v>
      </c>
      <c r="D944" s="104">
        <v>111.51600000000001</v>
      </c>
      <c r="E944" s="12">
        <f t="shared" si="13"/>
        <v>139.39500000000001</v>
      </c>
      <c r="F944" s="105">
        <v>94.313000000000002</v>
      </c>
      <c r="G944" s="87">
        <v>84.638000000000005</v>
      </c>
      <c r="H944" s="88">
        <v>1579.085</v>
      </c>
      <c r="I944" s="89">
        <v>6.9</v>
      </c>
      <c r="J944" s="90">
        <v>2.7E-2</v>
      </c>
      <c r="K944" s="131">
        <v>7.9859999999999998</v>
      </c>
      <c r="L944" s="61">
        <v>43.970999999999997</v>
      </c>
      <c r="M944" s="64">
        <v>5.5010000000000003</v>
      </c>
      <c r="N944" s="66">
        <v>1.4E-2</v>
      </c>
      <c r="O944" s="57">
        <v>62.167000000000002</v>
      </c>
      <c r="P944" s="66">
        <v>5.2999999999999999E-2</v>
      </c>
      <c r="Q944" s="96"/>
    </row>
    <row r="945" spans="1:17" ht="14.25" customHeight="1" x14ac:dyDescent="0.35">
      <c r="A945" s="1">
        <v>2022</v>
      </c>
      <c r="B945" s="1" t="s">
        <v>30</v>
      </c>
      <c r="C945" s="1">
        <v>1</v>
      </c>
      <c r="D945" s="49">
        <v>84.641000000000005</v>
      </c>
      <c r="E945" s="12">
        <f t="shared" si="13"/>
        <v>105.80125000000001</v>
      </c>
      <c r="F945" s="50">
        <v>71.313000000000002</v>
      </c>
      <c r="G945" s="51">
        <v>84.677000000000007</v>
      </c>
      <c r="H945" s="52">
        <v>1546.21</v>
      </c>
      <c r="I945" s="53">
        <v>6.891</v>
      </c>
      <c r="J945" s="54">
        <v>4.9000000000000002E-2</v>
      </c>
      <c r="K945" s="59">
        <v>8.1859999999999999</v>
      </c>
      <c r="L945" s="52">
        <v>48.33</v>
      </c>
      <c r="M945" s="55">
        <v>5.53</v>
      </c>
      <c r="N945" s="56">
        <v>1.4999999999999999E-2</v>
      </c>
      <c r="O945" s="57">
        <v>58.728000000000002</v>
      </c>
      <c r="P945" s="58">
        <v>5.8000000000000003E-2</v>
      </c>
      <c r="Q945" s="96"/>
    </row>
    <row r="946" spans="1:17" ht="14.25" customHeight="1" x14ac:dyDescent="0.35">
      <c r="A946" s="1">
        <v>2022</v>
      </c>
      <c r="B946" s="1" t="s">
        <v>30</v>
      </c>
      <c r="C946" s="1">
        <v>2</v>
      </c>
      <c r="D946" s="49">
        <v>94.671999999999997</v>
      </c>
      <c r="E946" s="12">
        <f t="shared" si="13"/>
        <v>118.34</v>
      </c>
      <c r="F946" s="50">
        <v>79.938000000000002</v>
      </c>
      <c r="G946" s="60">
        <v>84.864000000000004</v>
      </c>
      <c r="H946" s="61">
        <v>1623.48</v>
      </c>
      <c r="I946" s="62">
        <v>6.9</v>
      </c>
      <c r="J946" s="63">
        <v>3.1E-2</v>
      </c>
      <c r="K946" s="68">
        <v>8.32</v>
      </c>
      <c r="L946" s="65">
        <v>45.1</v>
      </c>
      <c r="M946" s="50">
        <v>5.5179999999999998</v>
      </c>
      <c r="N946" s="66">
        <v>1.4E-2</v>
      </c>
      <c r="O946" s="57">
        <v>59.767000000000003</v>
      </c>
      <c r="P946" s="67">
        <v>0.06</v>
      </c>
      <c r="Q946" s="96"/>
    </row>
    <row r="947" spans="1:17" ht="14.25" customHeight="1" x14ac:dyDescent="0.35">
      <c r="A947" s="1">
        <v>2022</v>
      </c>
      <c r="B947" s="1" t="s">
        <v>30</v>
      </c>
      <c r="C947" s="1">
        <v>3</v>
      </c>
      <c r="D947" s="49">
        <v>95.421999999999997</v>
      </c>
      <c r="E947" s="12">
        <f t="shared" si="13"/>
        <v>119.2775</v>
      </c>
      <c r="F947" s="50">
        <v>80.531000000000006</v>
      </c>
      <c r="G947" s="60">
        <v>84.85</v>
      </c>
      <c r="H947" s="61">
        <v>1674.7660000000001</v>
      </c>
      <c r="I947" s="62">
        <v>6.9</v>
      </c>
      <c r="J947" s="63">
        <v>2.9000000000000001E-2</v>
      </c>
      <c r="K947" s="68">
        <v>8.1709999999999994</v>
      </c>
      <c r="L947" s="65">
        <v>50.265000000000001</v>
      </c>
      <c r="M947" s="50">
        <v>5.5350000000000001</v>
      </c>
      <c r="N947" s="66">
        <v>1.4E-2</v>
      </c>
      <c r="O947" s="57">
        <v>57.412999999999997</v>
      </c>
      <c r="P947" s="67">
        <v>6.4000000000000001E-2</v>
      </c>
      <c r="Q947" s="96"/>
    </row>
    <row r="948" spans="1:17" ht="14.25" customHeight="1" x14ac:dyDescent="0.35">
      <c r="A948" s="1">
        <v>2022</v>
      </c>
      <c r="B948" s="1" t="s">
        <v>30</v>
      </c>
      <c r="C948" s="1">
        <v>4</v>
      </c>
      <c r="D948" s="49">
        <v>91.406000000000006</v>
      </c>
      <c r="E948" s="12">
        <f t="shared" si="13"/>
        <v>114.25750000000001</v>
      </c>
      <c r="F948" s="50">
        <v>77.031000000000006</v>
      </c>
      <c r="G948" s="60">
        <v>84.92</v>
      </c>
      <c r="H948" s="61">
        <v>1673.5239999999999</v>
      </c>
      <c r="I948" s="62">
        <v>6.9</v>
      </c>
      <c r="J948" s="63">
        <v>2.8000000000000001E-2</v>
      </c>
      <c r="K948" s="68">
        <v>8.3339999999999996</v>
      </c>
      <c r="L948" s="65">
        <v>49.149000000000001</v>
      </c>
      <c r="M948" s="50">
        <v>5.5389999999999997</v>
      </c>
      <c r="N948" s="66">
        <v>1.4E-2</v>
      </c>
      <c r="O948" s="57">
        <v>56.945999999999998</v>
      </c>
      <c r="P948" s="67">
        <v>6.6000000000000003E-2</v>
      </c>
      <c r="Q948" s="96"/>
    </row>
    <row r="949" spans="1:17" ht="14.25" customHeight="1" x14ac:dyDescent="0.35">
      <c r="A949" s="1">
        <v>2022</v>
      </c>
      <c r="B949" s="1" t="s">
        <v>30</v>
      </c>
      <c r="C949" s="1">
        <v>5</v>
      </c>
      <c r="D949" s="49">
        <v>94.858999999999995</v>
      </c>
      <c r="E949" s="12">
        <f t="shared" si="13"/>
        <v>118.57374999999999</v>
      </c>
      <c r="F949" s="50">
        <v>80.125</v>
      </c>
      <c r="G949" s="60">
        <v>85.206000000000003</v>
      </c>
      <c r="H949" s="61">
        <v>1670.5060000000001</v>
      </c>
      <c r="I949" s="62">
        <v>6.9</v>
      </c>
      <c r="J949" s="63">
        <v>2.5000000000000001E-2</v>
      </c>
      <c r="K949" s="68">
        <v>8.1170000000000009</v>
      </c>
      <c r="L949" s="65">
        <v>48.433</v>
      </c>
      <c r="M949" s="50">
        <v>5.4560000000000004</v>
      </c>
      <c r="N949" s="66">
        <v>1.4999999999999999E-2</v>
      </c>
      <c r="O949" s="57">
        <v>69.558000000000007</v>
      </c>
      <c r="P949" s="67">
        <v>6.0999999999999999E-2</v>
      </c>
      <c r="Q949" s="96"/>
    </row>
    <row r="950" spans="1:17" ht="14.25" customHeight="1" x14ac:dyDescent="0.35">
      <c r="A950" s="1">
        <v>2022</v>
      </c>
      <c r="B950" s="1" t="s">
        <v>30</v>
      </c>
      <c r="C950" s="1">
        <v>6</v>
      </c>
      <c r="D950" s="49">
        <v>100.688</v>
      </c>
      <c r="E950" s="12">
        <f t="shared" si="13"/>
        <v>125.86</v>
      </c>
      <c r="F950" s="50">
        <v>85</v>
      </c>
      <c r="G950" s="60">
        <v>85.015000000000001</v>
      </c>
      <c r="H950" s="61">
        <v>1649.856</v>
      </c>
      <c r="I950" s="62">
        <v>6.9</v>
      </c>
      <c r="J950" s="63">
        <v>2.7E-2</v>
      </c>
      <c r="K950" s="68">
        <v>7.9939999999999998</v>
      </c>
      <c r="L950" s="65">
        <v>49.029000000000003</v>
      </c>
      <c r="M950" s="50">
        <v>5.4189999999999996</v>
      </c>
      <c r="N950" s="66">
        <v>1.4E-2</v>
      </c>
      <c r="O950" s="57">
        <v>75.430999999999997</v>
      </c>
      <c r="P950" s="67">
        <v>5.8999999999999997E-2</v>
      </c>
      <c r="Q950" s="96"/>
    </row>
    <row r="951" spans="1:17" ht="14.25" customHeight="1" x14ac:dyDescent="0.35">
      <c r="A951" s="1">
        <v>2022</v>
      </c>
      <c r="B951" s="1" t="s">
        <v>30</v>
      </c>
      <c r="C951" s="1">
        <v>7</v>
      </c>
      <c r="D951" s="49">
        <v>100.60899999999999</v>
      </c>
      <c r="E951" s="12">
        <f t="shared" si="13"/>
        <v>125.76124999999999</v>
      </c>
      <c r="F951" s="50">
        <v>85</v>
      </c>
      <c r="G951" s="60">
        <v>84.941000000000003</v>
      </c>
      <c r="H951" s="61">
        <v>1589.8330000000001</v>
      </c>
      <c r="I951" s="62">
        <v>6.9</v>
      </c>
      <c r="J951" s="63">
        <v>2.5999999999999999E-2</v>
      </c>
      <c r="K951" s="68">
        <v>7.8289999999999997</v>
      </c>
      <c r="L951" s="65">
        <v>48.329000000000001</v>
      </c>
      <c r="M951" s="50">
        <v>5.4470000000000001</v>
      </c>
      <c r="N951" s="66">
        <v>1.4E-2</v>
      </c>
      <c r="O951" s="57">
        <v>70.218999999999994</v>
      </c>
      <c r="P951" s="67">
        <v>5.2999999999999999E-2</v>
      </c>
      <c r="Q951" s="96"/>
    </row>
    <row r="952" spans="1:17" ht="14.25" customHeight="1" x14ac:dyDescent="0.35">
      <c r="A952" s="1">
        <v>2022</v>
      </c>
      <c r="B952" s="1" t="s">
        <v>30</v>
      </c>
      <c r="C952" s="1">
        <v>8</v>
      </c>
      <c r="D952" s="49">
        <v>102.59399999999999</v>
      </c>
      <c r="E952" s="12">
        <f t="shared" si="13"/>
        <v>128.24250000000001</v>
      </c>
      <c r="F952" s="50">
        <v>86.625</v>
      </c>
      <c r="G952" s="60">
        <v>85.093000000000004</v>
      </c>
      <c r="H952" s="69">
        <v>1578.9880000000001</v>
      </c>
      <c r="I952" s="62">
        <v>6.9</v>
      </c>
      <c r="J952" s="63">
        <v>2.5000000000000001E-2</v>
      </c>
      <c r="K952" s="71">
        <v>7.8780000000000001</v>
      </c>
      <c r="L952" s="65">
        <v>47.343000000000004</v>
      </c>
      <c r="M952" s="50">
        <v>5.4539999999999997</v>
      </c>
      <c r="N952" s="66">
        <v>1.4E-2</v>
      </c>
      <c r="O952" s="57">
        <v>69.373000000000005</v>
      </c>
      <c r="P952" s="70">
        <v>5.5E-2</v>
      </c>
      <c r="Q952" s="96"/>
    </row>
    <row r="953" spans="1:17" ht="14.25" customHeight="1" x14ac:dyDescent="0.35">
      <c r="A953" s="1">
        <v>2022</v>
      </c>
      <c r="B953" s="1" t="s">
        <v>30</v>
      </c>
      <c r="C953" s="1">
        <v>9</v>
      </c>
      <c r="D953" s="49">
        <v>104.66</v>
      </c>
      <c r="E953" s="12">
        <f t="shared" si="13"/>
        <v>130.82499999999999</v>
      </c>
      <c r="F953" s="50">
        <v>88.44</v>
      </c>
      <c r="G953" s="60">
        <v>85.5</v>
      </c>
      <c r="H953" s="61">
        <v>1637</v>
      </c>
      <c r="I953" s="62">
        <v>6.9</v>
      </c>
      <c r="J953" s="63">
        <v>2.5000000000000001E-2</v>
      </c>
      <c r="K953" s="68">
        <v>8.06</v>
      </c>
      <c r="L953" s="65">
        <v>49</v>
      </c>
      <c r="M953" s="50">
        <v>5.44</v>
      </c>
      <c r="N953" s="66">
        <v>1.4E-2</v>
      </c>
      <c r="O953" s="57">
        <v>71</v>
      </c>
      <c r="P953" s="67">
        <v>6.2E-2</v>
      </c>
      <c r="Q953" s="96"/>
    </row>
    <row r="954" spans="1:17" ht="14.25" customHeight="1" x14ac:dyDescent="0.35">
      <c r="A954" s="1">
        <v>2022</v>
      </c>
      <c r="B954" s="1" t="s">
        <v>30</v>
      </c>
      <c r="C954" s="1">
        <v>10</v>
      </c>
      <c r="D954" s="49">
        <v>103.688</v>
      </c>
      <c r="E954" s="12">
        <f t="shared" si="13"/>
        <v>129.61000000000001</v>
      </c>
      <c r="F954" s="50">
        <v>87.625</v>
      </c>
      <c r="G954" s="72">
        <v>85.757999999999996</v>
      </c>
      <c r="H954" s="61">
        <v>1677.3510000000001</v>
      </c>
      <c r="I954" s="62">
        <v>6.9</v>
      </c>
      <c r="J954" s="63">
        <v>2.5999999999999999E-2</v>
      </c>
      <c r="K954" s="76">
        <v>8.25</v>
      </c>
      <c r="L954" s="65">
        <v>51.893999999999998</v>
      </c>
      <c r="M954" s="50">
        <v>5.444</v>
      </c>
      <c r="N954" s="74">
        <v>1.4E-2</v>
      </c>
      <c r="O954" s="57">
        <v>71.019000000000005</v>
      </c>
      <c r="P954" s="75">
        <v>6.2E-2</v>
      </c>
      <c r="Q954" s="96"/>
    </row>
    <row r="955" spans="1:17" ht="14.25" customHeight="1" x14ac:dyDescent="0.35">
      <c r="A955" s="1">
        <v>2022</v>
      </c>
      <c r="B955" s="1" t="s">
        <v>30</v>
      </c>
      <c r="C955" s="1">
        <v>11</v>
      </c>
      <c r="D955" s="49">
        <v>110.48399999999999</v>
      </c>
      <c r="E955" s="12">
        <f t="shared" si="13"/>
        <v>138.10499999999999</v>
      </c>
      <c r="F955" s="50">
        <v>93.563000000000002</v>
      </c>
      <c r="G955" s="72">
        <v>85.665999999999997</v>
      </c>
      <c r="H955" s="61">
        <v>1702.8630000000001</v>
      </c>
      <c r="I955" s="62">
        <v>6.9</v>
      </c>
      <c r="J955" s="63">
        <v>2.5999999999999999E-2</v>
      </c>
      <c r="K955" s="76">
        <v>8.6199999999999992</v>
      </c>
      <c r="L955" s="65">
        <v>52.63</v>
      </c>
      <c r="M955" s="50">
        <v>5.4829999999999997</v>
      </c>
      <c r="N955" s="74">
        <v>1.4999999999999999E-2</v>
      </c>
      <c r="O955" s="57">
        <v>65.347999999999999</v>
      </c>
      <c r="P955" s="75">
        <v>0.06</v>
      </c>
      <c r="Q955" s="96"/>
    </row>
    <row r="956" spans="1:17" ht="14.25" customHeight="1" x14ac:dyDescent="0.35">
      <c r="A956" s="1">
        <v>2022</v>
      </c>
      <c r="B956" s="1" t="s">
        <v>30</v>
      </c>
      <c r="C956" s="1">
        <v>12</v>
      </c>
      <c r="D956" s="49">
        <v>110.39100000000001</v>
      </c>
      <c r="E956" s="12">
        <f t="shared" si="13"/>
        <v>137.98875000000001</v>
      </c>
      <c r="F956" s="50">
        <v>93.5</v>
      </c>
      <c r="G956" s="72">
        <v>85.462000000000003</v>
      </c>
      <c r="H956" s="61">
        <v>1737.501</v>
      </c>
      <c r="I956" s="62">
        <v>6.9</v>
      </c>
      <c r="J956" s="63">
        <v>2.5000000000000001E-2</v>
      </c>
      <c r="K956" s="76">
        <v>8.3810000000000002</v>
      </c>
      <c r="L956" s="65">
        <v>54.603000000000002</v>
      </c>
      <c r="M956" s="50">
        <v>5.5119999999999996</v>
      </c>
      <c r="N956" s="74">
        <v>1.4E-2</v>
      </c>
      <c r="O956" s="57">
        <v>60.756</v>
      </c>
      <c r="P956" s="75">
        <v>5.7000000000000002E-2</v>
      </c>
      <c r="Q956" s="96"/>
    </row>
    <row r="957" spans="1:17" ht="14.25" customHeight="1" x14ac:dyDescent="0.35">
      <c r="A957" s="1">
        <v>2022</v>
      </c>
      <c r="B957" s="1" t="s">
        <v>30</v>
      </c>
      <c r="C957" s="1">
        <v>13</v>
      </c>
      <c r="D957" s="49">
        <v>106.875</v>
      </c>
      <c r="E957" s="12">
        <f t="shared" si="13"/>
        <v>133.59375</v>
      </c>
      <c r="F957" s="50">
        <v>90.531000000000006</v>
      </c>
      <c r="G957" s="78">
        <v>85.474999999999994</v>
      </c>
      <c r="H957" s="61">
        <v>1757.8109999999999</v>
      </c>
      <c r="I957" s="62">
        <v>6.9</v>
      </c>
      <c r="J957" s="63">
        <v>2.5999999999999999E-2</v>
      </c>
      <c r="K957" s="81">
        <v>8.2579999999999991</v>
      </c>
      <c r="L957" s="65">
        <v>56.04</v>
      </c>
      <c r="M957" s="50">
        <v>5.532</v>
      </c>
      <c r="N957" s="66">
        <v>1.4E-2</v>
      </c>
      <c r="O957" s="57">
        <v>57.777000000000001</v>
      </c>
      <c r="P957" s="80">
        <v>5.7000000000000002E-2</v>
      </c>
      <c r="Q957" s="96"/>
    </row>
    <row r="958" spans="1:17" ht="14.25" customHeight="1" x14ac:dyDescent="0.35">
      <c r="A958" s="1">
        <v>2022</v>
      </c>
      <c r="B958" s="1" t="s">
        <v>30</v>
      </c>
      <c r="C958" s="1">
        <v>14</v>
      </c>
      <c r="D958" s="49">
        <v>106.297</v>
      </c>
      <c r="E958" s="12">
        <f t="shared" si="13"/>
        <v>132.87125</v>
      </c>
      <c r="F958" s="50">
        <v>90</v>
      </c>
      <c r="G958" s="60">
        <v>85.566999999999993</v>
      </c>
      <c r="H958" s="61">
        <v>1687.6590000000001</v>
      </c>
      <c r="I958" s="62">
        <v>6.9</v>
      </c>
      <c r="J958" s="63">
        <v>2.8000000000000001E-2</v>
      </c>
      <c r="K958" s="81">
        <v>8.1150000000000002</v>
      </c>
      <c r="L958" s="82">
        <v>51.026000000000003</v>
      </c>
      <c r="M958" s="50">
        <v>5.5129999999999999</v>
      </c>
      <c r="N958" s="66">
        <v>1.4E-2</v>
      </c>
      <c r="O958" s="57">
        <v>60.45</v>
      </c>
      <c r="P958" s="80">
        <v>5.0999999999999997E-2</v>
      </c>
      <c r="Q958" s="96"/>
    </row>
    <row r="959" spans="1:17" ht="14.25" customHeight="1" x14ac:dyDescent="0.35">
      <c r="A959" s="1">
        <v>2022</v>
      </c>
      <c r="B959" s="1" t="s">
        <v>30</v>
      </c>
      <c r="C959" s="1">
        <v>15</v>
      </c>
      <c r="D959" s="49">
        <v>106.328</v>
      </c>
      <c r="E959" s="12">
        <f t="shared" si="13"/>
        <v>132.91</v>
      </c>
      <c r="F959" s="50">
        <v>89.938000000000002</v>
      </c>
      <c r="G959" s="60">
        <v>85.349000000000004</v>
      </c>
      <c r="H959" s="61">
        <v>1648.6369999999999</v>
      </c>
      <c r="I959" s="62">
        <v>6.9</v>
      </c>
      <c r="J959" s="63">
        <v>2.7E-2</v>
      </c>
      <c r="K959" s="76">
        <v>8.3480000000000008</v>
      </c>
      <c r="L959" s="65">
        <v>52.307000000000002</v>
      </c>
      <c r="M959" s="50">
        <v>5.53</v>
      </c>
      <c r="N959" s="66">
        <v>1.4999999999999999E-2</v>
      </c>
      <c r="O959" s="57">
        <v>58.405000000000001</v>
      </c>
      <c r="P959" s="75">
        <v>5.5E-2</v>
      </c>
      <c r="Q959" s="96"/>
    </row>
    <row r="960" spans="1:17" ht="14.25" customHeight="1" x14ac:dyDescent="0.35">
      <c r="A960" s="1">
        <v>2022</v>
      </c>
      <c r="B960" s="1" t="s">
        <v>30</v>
      </c>
      <c r="C960" s="1">
        <v>16</v>
      </c>
      <c r="D960" s="49">
        <v>106.25</v>
      </c>
      <c r="E960" s="32">
        <v>132.11000000000001</v>
      </c>
      <c r="F960" s="50">
        <v>89.781000000000006</v>
      </c>
      <c r="G960" s="60">
        <v>85.41</v>
      </c>
      <c r="H960" s="61">
        <v>1726.057</v>
      </c>
      <c r="I960" s="62">
        <v>6.9</v>
      </c>
      <c r="J960" s="63">
        <v>2.7E-2</v>
      </c>
      <c r="K960" s="81">
        <v>8.5519999999999996</v>
      </c>
      <c r="L960" s="61">
        <v>54.68</v>
      </c>
      <c r="M960" s="62">
        <v>5.5359999999999996</v>
      </c>
      <c r="N960" s="66">
        <v>1.4E-2</v>
      </c>
      <c r="O960" s="57">
        <v>57.316000000000003</v>
      </c>
      <c r="P960" s="80">
        <v>6.6000000000000003E-2</v>
      </c>
      <c r="Q960" s="96"/>
    </row>
    <row r="961" spans="1:17" ht="14.25" customHeight="1" x14ac:dyDescent="0.35">
      <c r="A961" s="1">
        <v>2022</v>
      </c>
      <c r="B961" s="1" t="s">
        <v>30</v>
      </c>
      <c r="C961" s="1">
        <v>17</v>
      </c>
      <c r="D961" s="49">
        <v>108.328</v>
      </c>
      <c r="E961" s="12">
        <f t="shared" ref="E961:E967" si="14">D961*1.25</f>
        <v>135.41</v>
      </c>
      <c r="F961" s="50">
        <v>91.688000000000002</v>
      </c>
      <c r="G961" s="60">
        <v>85.518000000000001</v>
      </c>
      <c r="H961" s="61">
        <v>1773.163</v>
      </c>
      <c r="I961" s="62">
        <v>6.9</v>
      </c>
      <c r="J961" s="63">
        <v>2.5999999999999999E-2</v>
      </c>
      <c r="K961" s="68">
        <v>8.3339999999999996</v>
      </c>
      <c r="L961" s="65">
        <v>54.838999999999999</v>
      </c>
      <c r="M961" s="50">
        <v>5.5140000000000002</v>
      </c>
      <c r="N961" s="66">
        <v>1.4E-2</v>
      </c>
      <c r="O961" s="57">
        <v>60.503</v>
      </c>
      <c r="P961" s="67">
        <v>7.2999999999999995E-2</v>
      </c>
      <c r="Q961" s="96"/>
    </row>
    <row r="962" spans="1:17" ht="14.25" customHeight="1" x14ac:dyDescent="0.35">
      <c r="A962" s="1">
        <v>2022</v>
      </c>
      <c r="B962" s="1" t="s">
        <v>30</v>
      </c>
      <c r="C962" s="1">
        <v>18</v>
      </c>
      <c r="D962" s="49">
        <v>112.01600000000001</v>
      </c>
      <c r="E962" s="12">
        <f t="shared" si="14"/>
        <v>140.02000000000001</v>
      </c>
      <c r="F962" s="50">
        <v>94.843999999999994</v>
      </c>
      <c r="G962" s="60">
        <v>85.3</v>
      </c>
      <c r="H962" s="61">
        <v>1773.2</v>
      </c>
      <c r="I962" s="62">
        <v>6.9</v>
      </c>
      <c r="J962" s="63">
        <v>2.5999999999999999E-2</v>
      </c>
      <c r="K962" s="68">
        <v>8.3480000000000008</v>
      </c>
      <c r="L962" s="61">
        <v>54.408999999999999</v>
      </c>
      <c r="M962" s="62">
        <v>5.5179999999999998</v>
      </c>
      <c r="N962" s="66">
        <v>1.4E-2</v>
      </c>
      <c r="O962" s="57">
        <v>59.6</v>
      </c>
      <c r="P962" s="67">
        <v>6.7000000000000004E-2</v>
      </c>
      <c r="Q962" s="96"/>
    </row>
    <row r="963" spans="1:17" ht="14.25" customHeight="1" x14ac:dyDescent="0.35">
      <c r="A963" s="1">
        <v>2022</v>
      </c>
      <c r="B963" s="1" t="s">
        <v>30</v>
      </c>
      <c r="C963" s="1">
        <v>19</v>
      </c>
      <c r="D963" s="49">
        <v>109.047</v>
      </c>
      <c r="E963" s="12">
        <f t="shared" si="14"/>
        <v>136.30875</v>
      </c>
      <c r="F963" s="50">
        <v>92.218999999999994</v>
      </c>
      <c r="G963" s="60">
        <v>85.197999999999993</v>
      </c>
      <c r="H963" s="61">
        <v>1764.0740000000001</v>
      </c>
      <c r="I963" s="62">
        <v>6.9</v>
      </c>
      <c r="J963" s="63">
        <v>2.5000000000000001E-2</v>
      </c>
      <c r="K963" s="68">
        <v>8.2850000000000001</v>
      </c>
      <c r="L963" s="65">
        <v>56.658000000000001</v>
      </c>
      <c r="M963" s="50">
        <v>5.5229999999999997</v>
      </c>
      <c r="N963" s="66">
        <v>1.4999999999999999E-2</v>
      </c>
      <c r="O963" s="57">
        <v>59.259</v>
      </c>
      <c r="P963" s="67">
        <v>6.6000000000000003E-2</v>
      </c>
      <c r="Q963" s="96"/>
    </row>
    <row r="964" spans="1:17" ht="14.25" customHeight="1" x14ac:dyDescent="0.35">
      <c r="A964" s="1">
        <v>2022</v>
      </c>
      <c r="B964" s="1" t="s">
        <v>30</v>
      </c>
      <c r="C964" s="1">
        <v>20</v>
      </c>
      <c r="D964" s="49">
        <v>109.078</v>
      </c>
      <c r="E964" s="12">
        <f t="shared" si="14"/>
        <v>136.3475</v>
      </c>
      <c r="F964" s="50">
        <v>92.25</v>
      </c>
      <c r="G964" s="60">
        <v>85.072000000000003</v>
      </c>
      <c r="H964" s="61">
        <v>1766.1890000000001</v>
      </c>
      <c r="I964" s="62">
        <v>6.9</v>
      </c>
      <c r="J964" s="63">
        <v>2.5000000000000001E-2</v>
      </c>
      <c r="K964" s="68">
        <v>8.2759999999999998</v>
      </c>
      <c r="L964" s="61">
        <v>55.71</v>
      </c>
      <c r="M964" s="62">
        <v>5.5380000000000003</v>
      </c>
      <c r="N964" s="66">
        <v>1.4999999999999999E-2</v>
      </c>
      <c r="O964" s="57">
        <v>57.128</v>
      </c>
      <c r="P964" s="67">
        <v>6.3E-2</v>
      </c>
      <c r="Q964" s="96"/>
    </row>
    <row r="965" spans="1:17" ht="14.25" customHeight="1" x14ac:dyDescent="0.35">
      <c r="A965" s="1">
        <v>2022</v>
      </c>
      <c r="B965" s="1" t="s">
        <v>30</v>
      </c>
      <c r="C965" s="1">
        <v>21</v>
      </c>
      <c r="D965" s="49">
        <v>106.65600000000001</v>
      </c>
      <c r="E965" s="12">
        <f t="shared" si="14"/>
        <v>133.32</v>
      </c>
      <c r="F965" s="50">
        <v>90.406000000000006</v>
      </c>
      <c r="G965" s="60">
        <v>84.850999999999999</v>
      </c>
      <c r="H965" s="61">
        <v>1692.059</v>
      </c>
      <c r="I965" s="62">
        <v>6.899</v>
      </c>
      <c r="J965" s="63">
        <v>2.5000000000000001E-2</v>
      </c>
      <c r="K965" s="68">
        <v>8.1969999999999992</v>
      </c>
      <c r="L965" s="65">
        <v>51.984999999999999</v>
      </c>
      <c r="M965" s="50">
        <v>5.5519999999999996</v>
      </c>
      <c r="N965" s="66">
        <v>1.4999999999999999E-2</v>
      </c>
      <c r="O965" s="57">
        <v>55.31</v>
      </c>
      <c r="P965" s="67">
        <v>5.8999999999999997E-2</v>
      </c>
      <c r="Q965" s="96"/>
    </row>
    <row r="966" spans="1:17" ht="14.25" customHeight="1" x14ac:dyDescent="0.35">
      <c r="A966" s="1">
        <v>2022</v>
      </c>
      <c r="B966" s="1" t="s">
        <v>30</v>
      </c>
      <c r="C966" s="1">
        <v>22</v>
      </c>
      <c r="D966" s="49">
        <v>105.625</v>
      </c>
      <c r="E966" s="12">
        <f t="shared" si="14"/>
        <v>132.03125</v>
      </c>
      <c r="F966" s="50">
        <v>89.906000000000006</v>
      </c>
      <c r="G966" s="60">
        <v>85.105999999999995</v>
      </c>
      <c r="H966" s="61">
        <v>1645.671</v>
      </c>
      <c r="I966" s="62">
        <v>6.9</v>
      </c>
      <c r="J966" s="63">
        <v>2.5000000000000001E-2</v>
      </c>
      <c r="K966" s="68">
        <v>8.3079999999999998</v>
      </c>
      <c r="L966" s="61">
        <v>52.110999999999997</v>
      </c>
      <c r="M966" s="62">
        <v>5.5570000000000004</v>
      </c>
      <c r="N966" s="66">
        <v>1.4999999999999999E-2</v>
      </c>
      <c r="O966" s="57">
        <v>54.584000000000003</v>
      </c>
      <c r="P966" s="67">
        <v>6.0999999999999999E-2</v>
      </c>
      <c r="Q966" s="96"/>
    </row>
    <row r="967" spans="1:17" ht="14.25" customHeight="1" x14ac:dyDescent="0.35">
      <c r="A967" s="1">
        <v>2022</v>
      </c>
      <c r="B967" s="1" t="s">
        <v>30</v>
      </c>
      <c r="C967" s="1">
        <v>23</v>
      </c>
      <c r="D967" s="49">
        <v>105.76600000000001</v>
      </c>
      <c r="E967" s="12">
        <f t="shared" si="14"/>
        <v>132.20750000000001</v>
      </c>
      <c r="F967" s="50">
        <v>89.968999999999994</v>
      </c>
      <c r="G967" s="60">
        <v>85.236000000000004</v>
      </c>
      <c r="H967" s="61">
        <v>1717.961</v>
      </c>
      <c r="I967" s="62">
        <v>6.9</v>
      </c>
      <c r="J967" s="63">
        <v>2.5000000000000001E-2</v>
      </c>
      <c r="K967" s="68">
        <v>8.4949999999999992</v>
      </c>
      <c r="L967" s="65">
        <v>53.927999999999997</v>
      </c>
      <c r="M967" s="50">
        <v>5.5529999999999999</v>
      </c>
      <c r="N967" s="66">
        <v>1.4999999999999999E-2</v>
      </c>
      <c r="O967" s="57">
        <v>55.133000000000003</v>
      </c>
      <c r="P967" s="67">
        <v>6.7000000000000004E-2</v>
      </c>
      <c r="Q967" s="96"/>
    </row>
    <row r="968" spans="1:17" ht="14.25" customHeight="1" x14ac:dyDescent="0.35">
      <c r="A968" s="1">
        <v>2022</v>
      </c>
      <c r="B968" s="1" t="s">
        <v>30</v>
      </c>
      <c r="C968" s="1">
        <v>24</v>
      </c>
      <c r="D968" s="49">
        <v>107.34399999999999</v>
      </c>
      <c r="E968" s="32">
        <v>134.22999999999999</v>
      </c>
      <c r="F968" s="50">
        <v>91.093999999999994</v>
      </c>
      <c r="G968" s="60">
        <v>85.5</v>
      </c>
      <c r="H968" s="61">
        <v>1769.336</v>
      </c>
      <c r="I968" s="62">
        <v>6.9</v>
      </c>
      <c r="J968" s="63">
        <v>2.5999999999999999E-2</v>
      </c>
      <c r="K968" s="68">
        <v>8.4039999999999999</v>
      </c>
      <c r="L968" s="61">
        <v>55.037999999999997</v>
      </c>
      <c r="M968" s="62">
        <v>5.5549999999999997</v>
      </c>
      <c r="N968" s="66">
        <v>1.4999999999999999E-2</v>
      </c>
      <c r="O968" s="57">
        <v>54.801000000000002</v>
      </c>
      <c r="P968" s="67">
        <v>7.0999999999999994E-2</v>
      </c>
      <c r="Q968" s="96"/>
    </row>
    <row r="969" spans="1:17" ht="14.25" customHeight="1" x14ac:dyDescent="0.35">
      <c r="A969" s="1">
        <v>2022</v>
      </c>
      <c r="B969" s="1" t="s">
        <v>30</v>
      </c>
      <c r="C969" s="1">
        <v>25</v>
      </c>
      <c r="D969" s="49">
        <v>107.89100000000001</v>
      </c>
      <c r="E969" s="12">
        <f t="shared" ref="E969:E993" si="15">D969*1.25</f>
        <v>134.86375000000001</v>
      </c>
      <c r="F969" s="50">
        <v>91.218999999999994</v>
      </c>
      <c r="G969" s="60">
        <v>85.581999999999994</v>
      </c>
      <c r="H969" s="61">
        <v>1782.0340000000001</v>
      </c>
      <c r="I969" s="62">
        <v>6.9</v>
      </c>
      <c r="J969" s="63">
        <v>2.5999999999999999E-2</v>
      </c>
      <c r="K969" s="68">
        <v>8.2759999999999998</v>
      </c>
      <c r="L969" s="65">
        <v>54.83</v>
      </c>
      <c r="M969" s="50">
        <v>5.5549999999999997</v>
      </c>
      <c r="N969" s="66">
        <v>1.4999999999999999E-2</v>
      </c>
      <c r="O969" s="57">
        <v>54.753999999999998</v>
      </c>
      <c r="P969" s="67">
        <v>6.8000000000000005E-2</v>
      </c>
      <c r="Q969" s="96"/>
    </row>
    <row r="970" spans="1:17" ht="14.25" customHeight="1" x14ac:dyDescent="0.35">
      <c r="A970" s="1">
        <v>2022</v>
      </c>
      <c r="B970" s="1" t="s">
        <v>30</v>
      </c>
      <c r="C970" s="1">
        <v>26</v>
      </c>
      <c r="D970" s="49">
        <v>108.23399999999999</v>
      </c>
      <c r="E970" s="12">
        <f t="shared" si="15"/>
        <v>135.29249999999999</v>
      </c>
      <c r="F970" s="50">
        <v>91.468999999999994</v>
      </c>
      <c r="G970" s="60">
        <v>85.676000000000002</v>
      </c>
      <c r="H970" s="61">
        <v>1779.703</v>
      </c>
      <c r="I970" s="62">
        <v>6.9</v>
      </c>
      <c r="J970" s="63">
        <v>2.5999999999999999E-2</v>
      </c>
      <c r="K970" s="68">
        <v>8.2669999999999995</v>
      </c>
      <c r="L970" s="61">
        <v>55.110999999999997</v>
      </c>
      <c r="M970" s="62">
        <v>5.4950000000000001</v>
      </c>
      <c r="N970" s="66">
        <v>1.4999999999999999E-2</v>
      </c>
      <c r="O970" s="57">
        <v>62.899000000000001</v>
      </c>
      <c r="P970" s="67">
        <v>6.6000000000000003E-2</v>
      </c>
      <c r="Q970" s="96"/>
    </row>
    <row r="971" spans="1:17" ht="14.25" customHeight="1" x14ac:dyDescent="0.35">
      <c r="A971" s="1">
        <v>2022</v>
      </c>
      <c r="B971" s="1" t="s">
        <v>30</v>
      </c>
      <c r="C971" s="1">
        <v>27</v>
      </c>
      <c r="D971" s="49">
        <v>109.23399999999999</v>
      </c>
      <c r="E971" s="12">
        <f t="shared" si="15"/>
        <v>136.54249999999999</v>
      </c>
      <c r="F971" s="50">
        <v>92.625</v>
      </c>
      <c r="G971" s="60">
        <v>85.447999999999993</v>
      </c>
      <c r="H971" s="61">
        <v>1696.4110000000001</v>
      </c>
      <c r="I971" s="62">
        <v>6.9</v>
      </c>
      <c r="J971" s="63">
        <v>2.5999999999999999E-2</v>
      </c>
      <c r="K971" s="68">
        <v>8.5920000000000005</v>
      </c>
      <c r="L971" s="65">
        <v>50.975000000000001</v>
      </c>
      <c r="M971" s="50">
        <v>5.4729999999999999</v>
      </c>
      <c r="N971" s="66">
        <v>1.4999999999999999E-2</v>
      </c>
      <c r="O971" s="57">
        <v>66.135000000000005</v>
      </c>
      <c r="P971" s="67">
        <v>6.5000000000000002E-2</v>
      </c>
      <c r="Q971" s="96"/>
    </row>
    <row r="972" spans="1:17" ht="14.25" customHeight="1" x14ac:dyDescent="0.35">
      <c r="A972" s="1">
        <v>2022</v>
      </c>
      <c r="B972" s="1" t="s">
        <v>30</v>
      </c>
      <c r="C972" s="1">
        <v>28</v>
      </c>
      <c r="D972" s="49">
        <v>108.03100000000001</v>
      </c>
      <c r="E972" s="12">
        <f t="shared" si="15"/>
        <v>135.03874999999999</v>
      </c>
      <c r="F972" s="50">
        <v>91.625</v>
      </c>
      <c r="G972" s="60">
        <v>85.257000000000005</v>
      </c>
      <c r="H972" s="61">
        <v>1612.423</v>
      </c>
      <c r="I972" s="62">
        <v>6.9</v>
      </c>
      <c r="J972" s="63">
        <v>2.7E-2</v>
      </c>
      <c r="K972" s="68">
        <v>8.3829999999999991</v>
      </c>
      <c r="L972" s="61">
        <v>48.563000000000002</v>
      </c>
      <c r="M972" s="62">
        <v>5.476</v>
      </c>
      <c r="N972" s="66">
        <v>1.4999999999999999E-2</v>
      </c>
      <c r="O972" s="57">
        <v>65.757000000000005</v>
      </c>
      <c r="P972" s="67">
        <v>5.8000000000000003E-2</v>
      </c>
      <c r="Q972" s="96"/>
    </row>
    <row r="973" spans="1:17" ht="14.25" customHeight="1" x14ac:dyDescent="0.35">
      <c r="A973" s="1">
        <v>2022</v>
      </c>
      <c r="B973" s="1" t="s">
        <v>30</v>
      </c>
      <c r="C973" s="1">
        <v>29</v>
      </c>
      <c r="D973" s="49">
        <v>109.01600000000001</v>
      </c>
      <c r="E973" s="12">
        <f t="shared" si="15"/>
        <v>136.27000000000001</v>
      </c>
      <c r="F973" s="50">
        <v>92.25</v>
      </c>
      <c r="G973" s="83">
        <v>85.173000000000002</v>
      </c>
      <c r="H973" s="69">
        <v>1603.67</v>
      </c>
      <c r="I973" s="50">
        <v>6.9</v>
      </c>
      <c r="J973" s="66">
        <v>2.5999999999999999E-2</v>
      </c>
      <c r="K973" s="117">
        <v>8.4540000000000006</v>
      </c>
      <c r="L973" s="61">
        <v>49.808999999999997</v>
      </c>
      <c r="M973" s="62">
        <v>5.4909999999999997</v>
      </c>
      <c r="N973" s="66">
        <v>1.4999999999999999E-2</v>
      </c>
      <c r="O973" s="57">
        <v>63.453000000000003</v>
      </c>
      <c r="P973" s="84">
        <v>0.06</v>
      </c>
      <c r="Q973" s="96"/>
    </row>
    <row r="974" spans="1:17" ht="14.25" customHeight="1" x14ac:dyDescent="0.35">
      <c r="A974" s="1">
        <v>2022</v>
      </c>
      <c r="B974" s="1" t="s">
        <v>30</v>
      </c>
      <c r="C974" s="1">
        <v>30</v>
      </c>
      <c r="D974" s="49">
        <v>112.14100000000001</v>
      </c>
      <c r="E974" s="12">
        <f t="shared" si="15"/>
        <v>140.17625000000001</v>
      </c>
      <c r="F974" s="50">
        <v>94.75</v>
      </c>
      <c r="G974" s="83">
        <v>85.563000000000002</v>
      </c>
      <c r="H974" s="69">
        <v>1703.627</v>
      </c>
      <c r="I974" s="50">
        <v>6.9</v>
      </c>
      <c r="J974" s="66">
        <v>2.7E-2</v>
      </c>
      <c r="K974" s="117">
        <v>8.6709999999999994</v>
      </c>
      <c r="L974" s="61">
        <v>52.972999999999999</v>
      </c>
      <c r="M974" s="62">
        <v>5.4790000000000001</v>
      </c>
      <c r="N974" s="66">
        <v>1.4999999999999999E-2</v>
      </c>
      <c r="O974" s="57">
        <v>65.474999999999994</v>
      </c>
      <c r="P974" s="84">
        <v>6.4000000000000001E-2</v>
      </c>
      <c r="Q974" s="96"/>
    </row>
    <row r="975" spans="1:17" ht="14.25" customHeight="1" x14ac:dyDescent="0.35">
      <c r="A975" s="1">
        <v>2022</v>
      </c>
      <c r="B975" s="1" t="s">
        <v>30</v>
      </c>
      <c r="C975" s="1">
        <v>31</v>
      </c>
      <c r="D975" s="104">
        <v>102.453</v>
      </c>
      <c r="E975" s="12">
        <f t="shared" si="15"/>
        <v>128.06625</v>
      </c>
      <c r="F975" s="105">
        <v>86.438000000000002</v>
      </c>
      <c r="G975" s="87">
        <v>85.831999999999994</v>
      </c>
      <c r="H975" s="88">
        <v>1772.114</v>
      </c>
      <c r="I975" s="89">
        <v>6.9</v>
      </c>
      <c r="J975" s="90">
        <v>0.03</v>
      </c>
      <c r="K975" s="131">
        <v>8.6430000000000007</v>
      </c>
      <c r="L975" s="61">
        <v>55.51</v>
      </c>
      <c r="M975" s="64">
        <v>5.4640000000000004</v>
      </c>
      <c r="N975" s="66">
        <v>1.4999999999999999E-2</v>
      </c>
      <c r="O975" s="57">
        <v>68.227000000000004</v>
      </c>
      <c r="P975" s="66">
        <v>6.7000000000000004E-2</v>
      </c>
      <c r="Q975" s="96"/>
    </row>
    <row r="976" spans="1:17" ht="14.25" customHeight="1" x14ac:dyDescent="0.35">
      <c r="A976" s="1">
        <v>2022</v>
      </c>
      <c r="B976" s="1" t="s">
        <v>31</v>
      </c>
      <c r="C976" s="1">
        <v>1</v>
      </c>
      <c r="D976" s="49">
        <v>109.60899999999999</v>
      </c>
      <c r="E976" s="12">
        <f t="shared" si="15"/>
        <v>137.01124999999999</v>
      </c>
      <c r="F976" s="50">
        <v>92.593999999999994</v>
      </c>
      <c r="G976" s="51">
        <v>85.847999999999999</v>
      </c>
      <c r="H976" s="52">
        <v>1821.3610000000001</v>
      </c>
      <c r="I976" s="53">
        <v>6.9</v>
      </c>
      <c r="J976" s="54">
        <v>3.2000000000000001E-2</v>
      </c>
      <c r="K976" s="59">
        <v>8.66</v>
      </c>
      <c r="L976" s="52">
        <v>59.77</v>
      </c>
      <c r="M976" s="55">
        <v>5.5</v>
      </c>
      <c r="N976" s="56">
        <v>1.4999999999999999E-2</v>
      </c>
      <c r="O976" s="57">
        <v>62.401000000000003</v>
      </c>
      <c r="P976" s="58">
        <v>7.0999999999999994E-2</v>
      </c>
      <c r="Q976" s="96"/>
    </row>
    <row r="977" spans="1:17" ht="14.25" customHeight="1" x14ac:dyDescent="0.35">
      <c r="A977" s="1">
        <v>2022</v>
      </c>
      <c r="B977" s="1" t="s">
        <v>31</v>
      </c>
      <c r="C977" s="1">
        <v>2</v>
      </c>
      <c r="D977" s="49">
        <v>108.09399999999999</v>
      </c>
      <c r="E977" s="12">
        <f t="shared" si="15"/>
        <v>135.11750000000001</v>
      </c>
      <c r="F977" s="50">
        <v>91.313000000000002</v>
      </c>
      <c r="G977" s="60">
        <v>86.046999999999997</v>
      </c>
      <c r="H977" s="61">
        <v>1794.8879999999999</v>
      </c>
      <c r="I977" s="62">
        <v>6.9</v>
      </c>
      <c r="J977" s="63">
        <v>3.6999999999999998E-2</v>
      </c>
      <c r="K977" s="76">
        <v>8.4220000000000006</v>
      </c>
      <c r="L977" s="65">
        <v>59.241</v>
      </c>
      <c r="M977" s="50">
        <v>5.4550000000000001</v>
      </c>
      <c r="N977" s="66">
        <v>1.4999999999999999E-2</v>
      </c>
      <c r="O977" s="57">
        <v>69.319000000000003</v>
      </c>
      <c r="P977" s="67">
        <v>7.0000000000000007E-2</v>
      </c>
      <c r="Q977" s="96"/>
    </row>
    <row r="978" spans="1:17" ht="14.25" customHeight="1" x14ac:dyDescent="0.35">
      <c r="A978" s="1">
        <v>2022</v>
      </c>
      <c r="B978" s="1" t="s">
        <v>31</v>
      </c>
      <c r="C978" s="1">
        <v>3</v>
      </c>
      <c r="D978" s="49">
        <v>105.15600000000001</v>
      </c>
      <c r="E978" s="12">
        <f t="shared" si="15"/>
        <v>131.44499999999999</v>
      </c>
      <c r="F978" s="50">
        <v>88.906000000000006</v>
      </c>
      <c r="G978" s="60">
        <v>86.224000000000004</v>
      </c>
      <c r="H978" s="61">
        <v>1723.345</v>
      </c>
      <c r="I978" s="62">
        <v>6.9</v>
      </c>
      <c r="J978" s="63">
        <v>2.5999999999999999E-2</v>
      </c>
      <c r="K978" s="76">
        <v>8.7739999999999991</v>
      </c>
      <c r="L978" s="65">
        <v>54.481999999999999</v>
      </c>
      <c r="M978" s="50">
        <v>5.44</v>
      </c>
      <c r="N978" s="66">
        <v>1.4999999999999999E-2</v>
      </c>
      <c r="O978" s="57">
        <v>71.674000000000007</v>
      </c>
      <c r="P978" s="67">
        <v>7.1999999999999995E-2</v>
      </c>
      <c r="Q978" s="96"/>
    </row>
    <row r="979" spans="1:17" ht="14.25" customHeight="1" x14ac:dyDescent="0.35">
      <c r="A979" s="1">
        <v>2022</v>
      </c>
      <c r="B979" s="1" t="s">
        <v>31</v>
      </c>
      <c r="C979" s="1">
        <v>4</v>
      </c>
      <c r="D979" s="49">
        <v>104.078</v>
      </c>
      <c r="E979" s="12">
        <f t="shared" si="15"/>
        <v>130.0975</v>
      </c>
      <c r="F979" s="50">
        <v>87.968999999999994</v>
      </c>
      <c r="G979" s="60">
        <v>86.26</v>
      </c>
      <c r="H979" s="61">
        <v>1617.01</v>
      </c>
      <c r="I979" s="62">
        <v>6.9</v>
      </c>
      <c r="J979" s="63">
        <v>2.5000000000000001E-2</v>
      </c>
      <c r="K979" s="76">
        <v>8.2420000000000009</v>
      </c>
      <c r="L979" s="65">
        <v>52.951000000000001</v>
      </c>
      <c r="M979" s="50">
        <v>5.4290000000000003</v>
      </c>
      <c r="N979" s="66">
        <v>1.4999999999999999E-2</v>
      </c>
      <c r="O979" s="57">
        <v>73.590999999999994</v>
      </c>
      <c r="P979" s="67">
        <v>6.5000000000000002E-2</v>
      </c>
      <c r="Q979" s="96"/>
    </row>
    <row r="980" spans="1:17" ht="14.25" customHeight="1" x14ac:dyDescent="0.35">
      <c r="A980" s="1">
        <v>2022</v>
      </c>
      <c r="B980" s="1" t="s">
        <v>31</v>
      </c>
      <c r="C980" s="1">
        <v>5</v>
      </c>
      <c r="D980" s="49">
        <v>87.578000000000003</v>
      </c>
      <c r="E980" s="12">
        <f t="shared" si="15"/>
        <v>109.4725</v>
      </c>
      <c r="F980" s="50">
        <v>74</v>
      </c>
      <c r="G980" s="60">
        <v>86.287999999999997</v>
      </c>
      <c r="H980" s="61">
        <v>1580.9580000000001</v>
      </c>
      <c r="I980" s="62">
        <v>6.9</v>
      </c>
      <c r="J980" s="63">
        <v>2.8000000000000001E-2</v>
      </c>
      <c r="K980" s="76">
        <v>8.0719999999999992</v>
      </c>
      <c r="L980" s="65">
        <v>53.941000000000003</v>
      </c>
      <c r="M980" s="50">
        <v>5.45</v>
      </c>
      <c r="N980" s="66">
        <v>1.6E-2</v>
      </c>
      <c r="O980" s="57">
        <v>70.081000000000003</v>
      </c>
      <c r="P980" s="67">
        <v>6.4000000000000001E-2</v>
      </c>
      <c r="Q980" s="96"/>
    </row>
    <row r="981" spans="1:17" ht="14.25" customHeight="1" x14ac:dyDescent="0.35">
      <c r="A981" s="1">
        <v>2022</v>
      </c>
      <c r="B981" s="1" t="s">
        <v>31</v>
      </c>
      <c r="C981" s="1">
        <v>6</v>
      </c>
      <c r="D981" s="49">
        <v>82.453000000000003</v>
      </c>
      <c r="E981" s="12">
        <f t="shared" si="15"/>
        <v>103.06625</v>
      </c>
      <c r="F981" s="50">
        <v>69.468999999999994</v>
      </c>
      <c r="G981" s="60">
        <v>86.037999999999997</v>
      </c>
      <c r="H981" s="61">
        <v>1567.7750000000001</v>
      </c>
      <c r="I981" s="62">
        <v>6.8879999999999999</v>
      </c>
      <c r="J981" s="63">
        <v>2.5999999999999999E-2</v>
      </c>
      <c r="K981" s="76">
        <v>8.2249999999999996</v>
      </c>
      <c r="L981" s="65">
        <v>57.534999999999997</v>
      </c>
      <c r="M981" s="50">
        <v>5.4779999999999998</v>
      </c>
      <c r="N981" s="66">
        <v>1.6E-2</v>
      </c>
      <c r="O981" s="57">
        <v>65.918999999999997</v>
      </c>
      <c r="P981" s="67">
        <v>6.9000000000000006E-2</v>
      </c>
      <c r="Q981" s="96"/>
    </row>
    <row r="982" spans="1:17" ht="14.25" customHeight="1" x14ac:dyDescent="0.35">
      <c r="A982" s="1">
        <v>2022</v>
      </c>
      <c r="B982" s="1" t="s">
        <v>31</v>
      </c>
      <c r="C982" s="1">
        <v>7</v>
      </c>
      <c r="D982" s="49">
        <v>68.016000000000005</v>
      </c>
      <c r="E982" s="12">
        <f t="shared" si="15"/>
        <v>85.02000000000001</v>
      </c>
      <c r="F982" s="50">
        <v>57.219000000000001</v>
      </c>
      <c r="G982" s="60">
        <v>86.388000000000005</v>
      </c>
      <c r="H982" s="61">
        <v>1712.674</v>
      </c>
      <c r="I982" s="62">
        <v>6.899</v>
      </c>
      <c r="J982" s="63">
        <v>2.4E-2</v>
      </c>
      <c r="K982" s="76">
        <v>8.532</v>
      </c>
      <c r="L982" s="65">
        <v>69.802999999999997</v>
      </c>
      <c r="M982" s="50">
        <v>5.52</v>
      </c>
      <c r="N982" s="66">
        <v>1.7999999999999999E-2</v>
      </c>
      <c r="O982" s="57">
        <v>60.61</v>
      </c>
      <c r="P982" s="67">
        <v>7.6999999999999999E-2</v>
      </c>
      <c r="Q982" s="96"/>
    </row>
    <row r="983" spans="1:17" ht="14.25" customHeight="1" x14ac:dyDescent="0.35">
      <c r="A983" s="1">
        <v>2022</v>
      </c>
      <c r="B983" s="1" t="s">
        <v>31</v>
      </c>
      <c r="C983" s="1">
        <v>8</v>
      </c>
      <c r="D983" s="49">
        <v>99.5</v>
      </c>
      <c r="E983" s="12">
        <f t="shared" si="15"/>
        <v>124.375</v>
      </c>
      <c r="F983" s="50">
        <v>83.968999999999994</v>
      </c>
      <c r="G983" s="60">
        <v>86.762</v>
      </c>
      <c r="H983" s="69">
        <v>1770.835</v>
      </c>
      <c r="I983" s="62">
        <v>6.9</v>
      </c>
      <c r="J983" s="63">
        <v>2.5000000000000001E-2</v>
      </c>
      <c r="K983" s="132">
        <v>8.7720000000000002</v>
      </c>
      <c r="L983" s="65">
        <v>58.621000000000002</v>
      </c>
      <c r="M983" s="50">
        <v>5.476</v>
      </c>
      <c r="N983" s="66">
        <v>1.6E-2</v>
      </c>
      <c r="O983" s="57">
        <v>66.165000000000006</v>
      </c>
      <c r="P983" s="70">
        <v>7.9000000000000001E-2</v>
      </c>
      <c r="Q983" s="96"/>
    </row>
    <row r="984" spans="1:17" ht="14.25" customHeight="1" x14ac:dyDescent="0.35">
      <c r="A984" s="1">
        <v>2022</v>
      </c>
      <c r="B984" s="1" t="s">
        <v>31</v>
      </c>
      <c r="C984" s="1">
        <v>9</v>
      </c>
      <c r="D984" s="49">
        <v>104.875</v>
      </c>
      <c r="E984" s="12">
        <f t="shared" si="15"/>
        <v>131.09375</v>
      </c>
      <c r="F984" s="50">
        <v>88.688000000000002</v>
      </c>
      <c r="G984" s="60">
        <v>86.623000000000005</v>
      </c>
      <c r="H984" s="61">
        <v>1785.7719999999999</v>
      </c>
      <c r="I984" s="62">
        <v>6.9</v>
      </c>
      <c r="J984" s="63">
        <v>2.5999999999999999E-2</v>
      </c>
      <c r="K984" s="76">
        <v>8.3140000000000001</v>
      </c>
      <c r="L984" s="65">
        <v>59.21</v>
      </c>
      <c r="M984" s="50">
        <v>5.4470000000000001</v>
      </c>
      <c r="N984" s="66">
        <v>1.4999999999999999E-2</v>
      </c>
      <c r="O984" s="57">
        <v>73.269000000000005</v>
      </c>
      <c r="P984" s="67">
        <v>7.3999999999999996E-2</v>
      </c>
      <c r="Q984" s="96"/>
    </row>
    <row r="985" spans="1:17" ht="14.25" customHeight="1" x14ac:dyDescent="0.35">
      <c r="A985" s="1">
        <v>2022</v>
      </c>
      <c r="B985" s="1" t="s">
        <v>31</v>
      </c>
      <c r="C985" s="1">
        <v>10</v>
      </c>
      <c r="D985" s="49">
        <v>106.75</v>
      </c>
      <c r="E985" s="12">
        <f t="shared" si="15"/>
        <v>133.4375</v>
      </c>
      <c r="F985" s="50">
        <v>90.25</v>
      </c>
      <c r="G985" s="72">
        <v>86.075000000000003</v>
      </c>
      <c r="H985" s="61">
        <v>1724.7070000000001</v>
      </c>
      <c r="I985" s="62">
        <v>6.9</v>
      </c>
      <c r="J985" s="63">
        <v>2.4E-2</v>
      </c>
      <c r="K985" s="76">
        <v>8.7509999999999994</v>
      </c>
      <c r="L985" s="65">
        <v>55.74</v>
      </c>
      <c r="M985" s="50">
        <v>5.5490000000000004</v>
      </c>
      <c r="N985" s="74">
        <v>1.4999999999999999E-2</v>
      </c>
      <c r="O985" s="57">
        <v>55.779000000000003</v>
      </c>
      <c r="P985" s="75">
        <v>6.9000000000000006E-2</v>
      </c>
      <c r="Q985" s="96"/>
    </row>
    <row r="986" spans="1:17" ht="14.25" customHeight="1" x14ac:dyDescent="0.35">
      <c r="A986" s="1">
        <v>2022</v>
      </c>
      <c r="B986" s="1" t="s">
        <v>31</v>
      </c>
      <c r="C986" s="1">
        <v>11</v>
      </c>
      <c r="D986" s="49">
        <v>106.40600000000001</v>
      </c>
      <c r="E986" s="12">
        <f t="shared" si="15"/>
        <v>133.00749999999999</v>
      </c>
      <c r="F986" s="50">
        <v>90.093999999999994</v>
      </c>
      <c r="G986" s="72">
        <v>86.591999999999999</v>
      </c>
      <c r="H986" s="61">
        <v>1611.0050000000001</v>
      </c>
      <c r="I986" s="62">
        <v>6.9</v>
      </c>
      <c r="J986" s="63">
        <v>2.4E-2</v>
      </c>
      <c r="K986" s="76">
        <v>8.2240000000000002</v>
      </c>
      <c r="L986" s="65">
        <v>48.712000000000003</v>
      </c>
      <c r="M986" s="50">
        <v>5.4960000000000004</v>
      </c>
      <c r="N986" s="74">
        <v>1.4999999999999999E-2</v>
      </c>
      <c r="O986" s="57">
        <v>63.338000000000001</v>
      </c>
      <c r="P986" s="75">
        <v>6.0999999999999999E-2</v>
      </c>
      <c r="Q986" s="96"/>
    </row>
    <row r="987" spans="1:17" ht="14.25" customHeight="1" x14ac:dyDescent="0.35">
      <c r="A987" s="1">
        <v>2022</v>
      </c>
      <c r="B987" s="1" t="s">
        <v>31</v>
      </c>
      <c r="C987" s="1">
        <v>12</v>
      </c>
      <c r="D987" s="49">
        <v>107.828</v>
      </c>
      <c r="E987" s="12">
        <f t="shared" si="15"/>
        <v>134.785</v>
      </c>
      <c r="F987" s="50">
        <v>91.218999999999994</v>
      </c>
      <c r="G987" s="72">
        <v>86.492999999999995</v>
      </c>
      <c r="H987" s="61">
        <v>1581.4570000000001</v>
      </c>
      <c r="I987" s="62">
        <v>6.9</v>
      </c>
      <c r="J987" s="63">
        <v>2.3E-2</v>
      </c>
      <c r="K987" s="76">
        <v>7.9630000000000001</v>
      </c>
      <c r="L987" s="65">
        <v>48.606000000000002</v>
      </c>
      <c r="M987" s="50">
        <v>5.4539999999999997</v>
      </c>
      <c r="N987" s="74">
        <v>1.4999999999999999E-2</v>
      </c>
      <c r="O987" s="57">
        <v>71.061000000000007</v>
      </c>
      <c r="P987" s="75">
        <v>0.06</v>
      </c>
      <c r="Q987" s="96"/>
    </row>
    <row r="988" spans="1:17" ht="14.25" customHeight="1" x14ac:dyDescent="0.35">
      <c r="A988" s="1">
        <v>2022</v>
      </c>
      <c r="B988" s="1" t="s">
        <v>31</v>
      </c>
      <c r="C988" s="1">
        <v>13</v>
      </c>
      <c r="D988" s="49">
        <v>108.5</v>
      </c>
      <c r="E988" s="12">
        <f t="shared" si="15"/>
        <v>135.625</v>
      </c>
      <c r="F988" s="50">
        <v>91.813000000000002</v>
      </c>
      <c r="G988" s="78">
        <v>85.956999999999994</v>
      </c>
      <c r="H988" s="61">
        <v>1687.6289999999999</v>
      </c>
      <c r="I988" s="62">
        <v>6.9</v>
      </c>
      <c r="J988" s="63">
        <v>2.3E-2</v>
      </c>
      <c r="K988" s="81">
        <v>8.1229999999999993</v>
      </c>
      <c r="L988" s="65">
        <v>52.463999999999999</v>
      </c>
      <c r="M988" s="50">
        <v>5.4790000000000001</v>
      </c>
      <c r="N988" s="66">
        <v>1.4999999999999999E-2</v>
      </c>
      <c r="O988" s="57">
        <v>66.503</v>
      </c>
      <c r="P988" s="80">
        <v>6.4000000000000001E-2</v>
      </c>
      <c r="Q988" s="96"/>
    </row>
    <row r="989" spans="1:17" ht="14.25" customHeight="1" x14ac:dyDescent="0.35">
      <c r="A989" s="1">
        <v>2022</v>
      </c>
      <c r="B989" s="1" t="s">
        <v>31</v>
      </c>
      <c r="C989" s="1">
        <v>14</v>
      </c>
      <c r="D989" s="49">
        <v>105.98399999999999</v>
      </c>
      <c r="E989" s="12">
        <f t="shared" si="15"/>
        <v>132.47999999999999</v>
      </c>
      <c r="F989" s="50">
        <v>89.718999999999994</v>
      </c>
      <c r="G989" s="60">
        <v>85.891999999999996</v>
      </c>
      <c r="H989" s="61">
        <v>1771.4960000000001</v>
      </c>
      <c r="I989" s="62">
        <v>6.9</v>
      </c>
      <c r="J989" s="63">
        <v>2.4E-2</v>
      </c>
      <c r="K989" s="81">
        <v>8.4269999999999996</v>
      </c>
      <c r="L989" s="82">
        <v>54.783999999999999</v>
      </c>
      <c r="M989" s="50">
        <v>5.5259999999999998</v>
      </c>
      <c r="N989" s="66">
        <v>1.4999999999999999E-2</v>
      </c>
      <c r="O989" s="57">
        <v>58.579000000000001</v>
      </c>
      <c r="P989" s="80">
        <v>6.9000000000000006E-2</v>
      </c>
      <c r="Q989" s="96"/>
    </row>
    <row r="990" spans="1:17" ht="14.25" customHeight="1" x14ac:dyDescent="0.35">
      <c r="A990" s="1">
        <v>2022</v>
      </c>
      <c r="B990" s="1" t="s">
        <v>31</v>
      </c>
      <c r="C990" s="1">
        <v>15</v>
      </c>
      <c r="D990" s="49">
        <v>109.39100000000001</v>
      </c>
      <c r="E990" s="12">
        <f t="shared" si="15"/>
        <v>136.73875000000001</v>
      </c>
      <c r="F990" s="50">
        <v>92.563000000000002</v>
      </c>
      <c r="G990" s="60">
        <v>85.774000000000001</v>
      </c>
      <c r="H990" s="61">
        <v>1755.973</v>
      </c>
      <c r="I990" s="62">
        <v>6.9</v>
      </c>
      <c r="J990" s="63">
        <v>2.4E-2</v>
      </c>
      <c r="K990" s="76">
        <v>8.7759999999999998</v>
      </c>
      <c r="L990" s="65">
        <v>53.585999999999999</v>
      </c>
      <c r="M990" s="50">
        <v>5.5259999999999998</v>
      </c>
      <c r="N990" s="66">
        <v>1.4999999999999999E-2</v>
      </c>
      <c r="O990" s="57">
        <v>58.505000000000003</v>
      </c>
      <c r="P990" s="75">
        <v>6.6000000000000003E-2</v>
      </c>
      <c r="Q990" s="96"/>
    </row>
    <row r="991" spans="1:17" ht="14.25" customHeight="1" x14ac:dyDescent="0.35">
      <c r="A991" s="1">
        <v>2022</v>
      </c>
      <c r="B991" s="1" t="s">
        <v>31</v>
      </c>
      <c r="C991" s="1">
        <v>16</v>
      </c>
      <c r="D991" s="49">
        <v>110.313</v>
      </c>
      <c r="E991" s="12">
        <f t="shared" si="15"/>
        <v>137.89125000000001</v>
      </c>
      <c r="F991" s="50">
        <v>93.313000000000002</v>
      </c>
      <c r="G991" s="60">
        <v>85.468999999999994</v>
      </c>
      <c r="H991" s="61">
        <v>1704.029</v>
      </c>
      <c r="I991" s="62">
        <v>6.9</v>
      </c>
      <c r="J991" s="63">
        <v>2.5000000000000001E-2</v>
      </c>
      <c r="K991" s="81">
        <v>8.4749999999999996</v>
      </c>
      <c r="L991" s="61">
        <v>53.140999999999998</v>
      </c>
      <c r="M991" s="62">
        <v>5.4939999999999998</v>
      </c>
      <c r="N991" s="66">
        <v>1.4999999999999999E-2</v>
      </c>
      <c r="O991" s="57">
        <v>63.186</v>
      </c>
      <c r="P991" s="80">
        <v>6.5000000000000002E-2</v>
      </c>
      <c r="Q991" s="96"/>
    </row>
    <row r="992" spans="1:17" ht="14.25" customHeight="1" x14ac:dyDescent="0.35">
      <c r="A992" s="1">
        <v>2022</v>
      </c>
      <c r="B992" s="1" t="s">
        <v>31</v>
      </c>
      <c r="C992" s="1">
        <v>17</v>
      </c>
      <c r="D992" s="49">
        <v>109.90600000000001</v>
      </c>
      <c r="E992" s="12">
        <f t="shared" si="15"/>
        <v>137.38249999999999</v>
      </c>
      <c r="F992" s="50">
        <v>93</v>
      </c>
      <c r="G992" s="60">
        <v>85.287000000000006</v>
      </c>
      <c r="H992" s="61">
        <v>1692.463</v>
      </c>
      <c r="I992" s="62">
        <v>6.9</v>
      </c>
      <c r="J992" s="63">
        <v>2.4E-2</v>
      </c>
      <c r="K992" s="68">
        <v>8.5239999999999991</v>
      </c>
      <c r="L992" s="65">
        <v>52.078000000000003</v>
      </c>
      <c r="M992" s="50">
        <v>5.4630000000000001</v>
      </c>
      <c r="N992" s="66">
        <v>1.4999999999999999E-2</v>
      </c>
      <c r="O992" s="57">
        <v>67.855999999999995</v>
      </c>
      <c r="P992" s="67">
        <v>6.2E-2</v>
      </c>
      <c r="Q992" s="96"/>
    </row>
    <row r="993" spans="1:17" ht="14.25" customHeight="1" x14ac:dyDescent="0.35">
      <c r="A993" s="1">
        <v>2022</v>
      </c>
      <c r="B993" s="1" t="s">
        <v>31</v>
      </c>
      <c r="C993" s="1">
        <v>18</v>
      </c>
      <c r="D993" s="49">
        <v>106.98399999999999</v>
      </c>
      <c r="E993" s="12">
        <f t="shared" si="15"/>
        <v>133.72999999999999</v>
      </c>
      <c r="F993" s="50">
        <v>90.5</v>
      </c>
      <c r="G993" s="60">
        <v>85.070999999999998</v>
      </c>
      <c r="H993" s="61">
        <v>1608.1859999999999</v>
      </c>
      <c r="I993" s="62">
        <v>6.9</v>
      </c>
      <c r="J993" s="63">
        <v>2.4E-2</v>
      </c>
      <c r="K993" s="68">
        <v>8.4060000000000006</v>
      </c>
      <c r="L993" s="61">
        <v>47.813000000000002</v>
      </c>
      <c r="M993" s="62">
        <v>5.4740000000000002</v>
      </c>
      <c r="N993" s="66">
        <v>1.4999999999999999E-2</v>
      </c>
      <c r="O993" s="57">
        <v>65.966999999999999</v>
      </c>
      <c r="P993" s="67">
        <v>5.6000000000000001E-2</v>
      </c>
      <c r="Q993" s="96"/>
    </row>
    <row r="994" spans="1:17" ht="14.25" customHeight="1" x14ac:dyDescent="0.35">
      <c r="A994" s="1">
        <v>2022</v>
      </c>
      <c r="B994" s="1" t="s">
        <v>31</v>
      </c>
      <c r="C994" s="1">
        <v>19</v>
      </c>
      <c r="D994" s="49">
        <v>100.203</v>
      </c>
      <c r="E994" s="32">
        <v>133.32</v>
      </c>
      <c r="F994" s="50">
        <v>84.531000000000006</v>
      </c>
      <c r="G994" s="60">
        <v>84.92</v>
      </c>
      <c r="H994" s="61">
        <v>1603.999</v>
      </c>
      <c r="I994" s="62">
        <v>6.9</v>
      </c>
      <c r="J994" s="63">
        <v>2.5000000000000001E-2</v>
      </c>
      <c r="K994" s="68">
        <v>8.5649999999999995</v>
      </c>
      <c r="L994" s="65">
        <v>49.502000000000002</v>
      </c>
      <c r="M994" s="50">
        <v>5.4560000000000004</v>
      </c>
      <c r="N994" s="66">
        <v>1.4999999999999999E-2</v>
      </c>
      <c r="O994" s="57">
        <v>69.406999999999996</v>
      </c>
      <c r="P994" s="67">
        <v>6.0999999999999999E-2</v>
      </c>
      <c r="Q994" s="96"/>
    </row>
    <row r="995" spans="1:17" ht="14.25" customHeight="1" x14ac:dyDescent="0.35">
      <c r="A995" s="1">
        <v>2022</v>
      </c>
      <c r="B995" s="1" t="s">
        <v>31</v>
      </c>
      <c r="C995" s="1">
        <v>20</v>
      </c>
      <c r="D995" s="49">
        <v>3.266</v>
      </c>
      <c r="E995" s="12">
        <f t="shared" ref="E995:E1030" si="16">D995*1.25</f>
        <v>4.0824999999999996</v>
      </c>
      <c r="F995" s="50">
        <v>2.6560000000000001</v>
      </c>
      <c r="G995" s="60">
        <v>79.844999999999999</v>
      </c>
      <c r="H995" s="61">
        <v>1731.972</v>
      </c>
      <c r="I995" s="62">
        <v>6.8849999999999998</v>
      </c>
      <c r="J995" s="63">
        <v>6.3E-2</v>
      </c>
      <c r="K995" s="68">
        <v>8.8000000000000007</v>
      </c>
      <c r="L995" s="61">
        <v>57.66</v>
      </c>
      <c r="M995" s="62">
        <v>5.9379999999999997</v>
      </c>
      <c r="N995" s="66">
        <v>2.5999999999999999E-2</v>
      </c>
      <c r="O995" s="57">
        <v>31.614000000000001</v>
      </c>
      <c r="P995" s="67">
        <v>0</v>
      </c>
      <c r="Q995" s="96"/>
    </row>
    <row r="996" spans="1:17" ht="14.25" customHeight="1" x14ac:dyDescent="0.35">
      <c r="A996" s="1">
        <v>2022</v>
      </c>
      <c r="B996" s="1" t="s">
        <v>31</v>
      </c>
      <c r="C996" s="1">
        <v>21</v>
      </c>
      <c r="D996" s="49">
        <v>77.858999999999995</v>
      </c>
      <c r="E996" s="12">
        <f t="shared" si="16"/>
        <v>97.32374999999999</v>
      </c>
      <c r="F996" s="50">
        <v>66</v>
      </c>
      <c r="G996" s="60">
        <v>84.989000000000004</v>
      </c>
      <c r="H996" s="61">
        <v>1726.373</v>
      </c>
      <c r="I996" s="62">
        <v>6.9</v>
      </c>
      <c r="J996" s="63">
        <v>2.5999999999999999E-2</v>
      </c>
      <c r="K996" s="68">
        <v>8.7370000000000001</v>
      </c>
      <c r="L996" s="65">
        <v>41.917000000000002</v>
      </c>
      <c r="M996" s="50">
        <v>5.43</v>
      </c>
      <c r="N996" s="66">
        <v>1.7999999999999999E-2</v>
      </c>
      <c r="O996" s="57">
        <v>73.399000000000001</v>
      </c>
      <c r="P996" s="67">
        <v>6.9000000000000006E-2</v>
      </c>
      <c r="Q996" s="96"/>
    </row>
    <row r="997" spans="1:17" ht="14.25" customHeight="1" x14ac:dyDescent="0.35">
      <c r="A997" s="1">
        <v>2022</v>
      </c>
      <c r="B997" s="1" t="s">
        <v>31</v>
      </c>
      <c r="C997" s="1">
        <v>22</v>
      </c>
      <c r="D997" s="49">
        <v>86.391000000000005</v>
      </c>
      <c r="E997" s="12">
        <f t="shared" si="16"/>
        <v>107.98875000000001</v>
      </c>
      <c r="F997" s="50">
        <v>73.063000000000002</v>
      </c>
      <c r="G997" s="60">
        <v>85.263000000000005</v>
      </c>
      <c r="H997" s="61">
        <v>1761.269</v>
      </c>
      <c r="I997" s="62">
        <v>6.9</v>
      </c>
      <c r="J997" s="63">
        <v>2.5000000000000001E-2</v>
      </c>
      <c r="K997" s="68">
        <v>9.1270000000000007</v>
      </c>
      <c r="L997" s="61">
        <v>48.073</v>
      </c>
      <c r="M997" s="62">
        <v>5.4349999999999996</v>
      </c>
      <c r="N997" s="66">
        <v>1.4999999999999999E-2</v>
      </c>
      <c r="O997" s="57">
        <v>72.591999999999999</v>
      </c>
      <c r="P997" s="67">
        <v>0.08</v>
      </c>
      <c r="Q997" s="96"/>
    </row>
    <row r="998" spans="1:17" ht="14.25" customHeight="1" x14ac:dyDescent="0.35">
      <c r="A998" s="1">
        <v>2022</v>
      </c>
      <c r="B998" s="1" t="s">
        <v>31</v>
      </c>
      <c r="C998" s="1">
        <v>23</v>
      </c>
      <c r="D998" s="49">
        <v>94.375</v>
      </c>
      <c r="E998" s="12">
        <f t="shared" si="16"/>
        <v>117.96875</v>
      </c>
      <c r="F998" s="50">
        <v>79.531000000000006</v>
      </c>
      <c r="G998" s="60">
        <v>85.382999999999996</v>
      </c>
      <c r="H998" s="61">
        <v>1779.576</v>
      </c>
      <c r="I998" s="62">
        <v>6.9</v>
      </c>
      <c r="J998" s="63">
        <v>2.5999999999999999E-2</v>
      </c>
      <c r="K998" s="68">
        <v>8.3940000000000001</v>
      </c>
      <c r="L998" s="65">
        <v>53.386000000000003</v>
      </c>
      <c r="M998" s="50">
        <v>5.367</v>
      </c>
      <c r="N998" s="66">
        <v>1.4999999999999999E-2</v>
      </c>
      <c r="O998" s="57">
        <v>84.757000000000005</v>
      </c>
      <c r="P998" s="67">
        <v>6.8000000000000005E-2</v>
      </c>
      <c r="Q998" s="96"/>
    </row>
    <row r="999" spans="1:17" ht="14.25" customHeight="1" x14ac:dyDescent="0.35">
      <c r="A999" s="1">
        <v>2022</v>
      </c>
      <c r="B999" s="1" t="s">
        <v>31</v>
      </c>
      <c r="C999" s="1">
        <v>24</v>
      </c>
      <c r="D999" s="49">
        <v>99.468999999999994</v>
      </c>
      <c r="E999" s="12">
        <f t="shared" si="16"/>
        <v>124.33624999999999</v>
      </c>
      <c r="F999" s="50">
        <v>83.875</v>
      </c>
      <c r="G999" s="60">
        <v>85.468000000000004</v>
      </c>
      <c r="H999" s="61">
        <v>1731.5129999999999</v>
      </c>
      <c r="I999" s="62">
        <v>6.9</v>
      </c>
      <c r="J999" s="63">
        <v>2.5000000000000001E-2</v>
      </c>
      <c r="K999" s="68">
        <v>8.3079999999999998</v>
      </c>
      <c r="L999" s="61">
        <v>47.923000000000002</v>
      </c>
      <c r="M999" s="62">
        <v>5.3259999999999996</v>
      </c>
      <c r="N999" s="66">
        <v>1.4999999999999999E-2</v>
      </c>
      <c r="O999" s="57">
        <v>92.891000000000005</v>
      </c>
      <c r="P999" s="67">
        <v>6.2E-2</v>
      </c>
      <c r="Q999" s="96"/>
    </row>
    <row r="1000" spans="1:17" ht="14.25" customHeight="1" x14ac:dyDescent="0.35">
      <c r="A1000" s="1">
        <v>2022</v>
      </c>
      <c r="B1000" s="1" t="s">
        <v>31</v>
      </c>
      <c r="C1000" s="1">
        <v>25</v>
      </c>
      <c r="D1000" s="49">
        <v>98.766000000000005</v>
      </c>
      <c r="E1000" s="12">
        <f t="shared" si="16"/>
        <v>123.45750000000001</v>
      </c>
      <c r="F1000" s="50">
        <v>83.25</v>
      </c>
      <c r="G1000" s="60">
        <v>85.430999999999997</v>
      </c>
      <c r="H1000" s="61">
        <v>1629.009</v>
      </c>
      <c r="I1000" s="62">
        <v>6.9</v>
      </c>
      <c r="J1000" s="63">
        <v>2.4E-2</v>
      </c>
      <c r="K1000" s="68">
        <v>8.2509999999999994</v>
      </c>
      <c r="L1000" s="65">
        <v>43.771999999999998</v>
      </c>
      <c r="M1000" s="50">
        <v>5.3040000000000003</v>
      </c>
      <c r="N1000" s="66">
        <v>1.4999999999999999E-2</v>
      </c>
      <c r="O1000" s="57">
        <v>97.629800000000003</v>
      </c>
      <c r="P1000" s="67">
        <v>5.7000000000000002E-2</v>
      </c>
      <c r="Q1000" s="96"/>
    </row>
    <row r="1001" spans="1:17" ht="14.25" customHeight="1" x14ac:dyDescent="0.35">
      <c r="A1001" s="1">
        <v>2022</v>
      </c>
      <c r="B1001" s="1" t="s">
        <v>31</v>
      </c>
      <c r="C1001" s="1">
        <v>26</v>
      </c>
      <c r="D1001" s="49">
        <v>98.203000000000003</v>
      </c>
      <c r="E1001" s="12">
        <f t="shared" si="16"/>
        <v>122.75375</v>
      </c>
      <c r="F1001" s="50">
        <v>82.531000000000006</v>
      </c>
      <c r="G1001" s="60">
        <v>85.436000000000007</v>
      </c>
      <c r="H1001" s="61">
        <v>1623.1959999999999</v>
      </c>
      <c r="I1001" s="62">
        <v>6.9</v>
      </c>
      <c r="J1001" s="63">
        <v>2.5000000000000001E-2</v>
      </c>
      <c r="K1001" s="68">
        <v>8.3940000000000001</v>
      </c>
      <c r="L1001" s="61">
        <v>43.006999999999998</v>
      </c>
      <c r="M1001" s="62">
        <v>5.3109999999999999</v>
      </c>
      <c r="N1001" s="66">
        <v>1.4999999999999999E-2</v>
      </c>
      <c r="O1001" s="57">
        <v>96.027000000000001</v>
      </c>
      <c r="P1001" s="67">
        <v>0.06</v>
      </c>
      <c r="Q1001" s="96"/>
    </row>
    <row r="1002" spans="1:17" ht="14.25" customHeight="1" x14ac:dyDescent="0.35">
      <c r="A1002" s="1">
        <v>2022</v>
      </c>
      <c r="B1002" s="1" t="s">
        <v>31</v>
      </c>
      <c r="C1002" s="1">
        <v>27</v>
      </c>
      <c r="D1002" s="49">
        <v>96.156000000000006</v>
      </c>
      <c r="E1002" s="12">
        <f t="shared" si="16"/>
        <v>120.19500000000001</v>
      </c>
      <c r="F1002" s="50">
        <v>80.625</v>
      </c>
      <c r="G1002" s="60">
        <v>85.573999999999998</v>
      </c>
      <c r="H1002" s="61">
        <v>1736.5719999999999</v>
      </c>
      <c r="I1002" s="62">
        <v>6.9</v>
      </c>
      <c r="J1002" s="63">
        <v>2.5999999999999999E-2</v>
      </c>
      <c r="K1002" s="68">
        <v>8.5519999999999996</v>
      </c>
      <c r="L1002" s="65">
        <v>43.356000000000002</v>
      </c>
      <c r="M1002" s="50">
        <v>5.2949999999999999</v>
      </c>
      <c r="N1002" s="66">
        <v>1.4999999999999999E-2</v>
      </c>
      <c r="O1002" s="57">
        <v>99.745000000000005</v>
      </c>
      <c r="P1002" s="67">
        <v>5.7000000000000002E-2</v>
      </c>
      <c r="Q1002" s="96"/>
    </row>
    <row r="1003" spans="1:17" ht="14.25" customHeight="1" x14ac:dyDescent="0.35">
      <c r="A1003" s="1">
        <v>2022</v>
      </c>
      <c r="B1003" s="1" t="s">
        <v>31</v>
      </c>
      <c r="C1003" s="1">
        <v>28</v>
      </c>
      <c r="D1003" s="49">
        <v>96.796999999999997</v>
      </c>
      <c r="E1003" s="12">
        <f t="shared" si="16"/>
        <v>120.99625</v>
      </c>
      <c r="F1003" s="50">
        <v>81.25</v>
      </c>
      <c r="G1003" s="60">
        <v>85.567999999999998</v>
      </c>
      <c r="H1003" s="61">
        <v>1784.6669999999999</v>
      </c>
      <c r="I1003" s="62">
        <v>6.9</v>
      </c>
      <c r="J1003" s="63">
        <v>2.7E-2</v>
      </c>
      <c r="K1003" s="68">
        <v>8.34</v>
      </c>
      <c r="L1003" s="61">
        <v>43.616999999999997</v>
      </c>
      <c r="M1003" s="62">
        <v>5.25</v>
      </c>
      <c r="N1003" s="66">
        <v>1.4999999999999999E-2</v>
      </c>
      <c r="O1003" s="57">
        <v>110.825</v>
      </c>
      <c r="P1003" s="67">
        <v>5.7000000000000002E-2</v>
      </c>
      <c r="Q1003" s="96"/>
    </row>
    <row r="1004" spans="1:17" ht="14.25" customHeight="1" x14ac:dyDescent="0.35">
      <c r="A1004" s="1">
        <v>2022</v>
      </c>
      <c r="B1004" s="1" t="s">
        <v>31</v>
      </c>
      <c r="C1004" s="1">
        <v>29</v>
      </c>
      <c r="D1004" s="49">
        <v>99.25</v>
      </c>
      <c r="E1004" s="12">
        <f t="shared" si="16"/>
        <v>124.0625</v>
      </c>
      <c r="F1004" s="50">
        <v>83.218999999999994</v>
      </c>
      <c r="G1004" s="83">
        <v>85.403000000000006</v>
      </c>
      <c r="H1004" s="69">
        <v>1766.3240000000001</v>
      </c>
      <c r="I1004" s="50">
        <v>6.9</v>
      </c>
      <c r="J1004" s="66">
        <v>2.7E-2</v>
      </c>
      <c r="K1004" s="117">
        <v>8.1300000000000008</v>
      </c>
      <c r="L1004" s="61">
        <v>43.942999999999998</v>
      </c>
      <c r="M1004" s="62">
        <v>5.2110000000000003</v>
      </c>
      <c r="N1004" s="66">
        <v>1.4999999999999999E-2</v>
      </c>
      <c r="O1004" s="57">
        <v>120.867</v>
      </c>
      <c r="P1004" s="84">
        <v>5.8999999999999997E-2</v>
      </c>
      <c r="Q1004" s="96"/>
    </row>
    <row r="1005" spans="1:17" ht="14.25" customHeight="1" x14ac:dyDescent="0.35">
      <c r="A1005" s="1">
        <v>2022</v>
      </c>
      <c r="B1005" s="1" t="s">
        <v>31</v>
      </c>
      <c r="C1005" s="1">
        <v>30</v>
      </c>
      <c r="D1005" s="104">
        <v>101.875</v>
      </c>
      <c r="E1005" s="12">
        <f t="shared" si="16"/>
        <v>127.34375</v>
      </c>
      <c r="F1005" s="105">
        <v>85.656000000000006</v>
      </c>
      <c r="G1005" s="83">
        <v>85.004000000000005</v>
      </c>
      <c r="H1005" s="69">
        <v>1742.3989999999999</v>
      </c>
      <c r="I1005" s="50">
        <v>6.899</v>
      </c>
      <c r="J1005" s="66">
        <v>3.1E-2</v>
      </c>
      <c r="K1005" s="117">
        <v>8.1890000000000001</v>
      </c>
      <c r="L1005" s="61">
        <v>44.390999999999998</v>
      </c>
      <c r="M1005" s="62">
        <v>5.2430000000000003</v>
      </c>
      <c r="N1005" s="66">
        <v>1.4999999999999999E-2</v>
      </c>
      <c r="O1005" s="57">
        <v>113.492</v>
      </c>
      <c r="P1005" s="84">
        <v>5.7000000000000002E-2</v>
      </c>
      <c r="Q1005" s="96"/>
    </row>
    <row r="1006" spans="1:17" ht="14.25" customHeight="1" x14ac:dyDescent="0.35">
      <c r="A1006" s="1">
        <v>2022</v>
      </c>
      <c r="B1006" s="1" t="s">
        <v>32</v>
      </c>
      <c r="C1006" s="1">
        <v>1</v>
      </c>
      <c r="D1006" s="12">
        <v>103.98399999999999</v>
      </c>
      <c r="E1006" s="12">
        <f t="shared" si="16"/>
        <v>129.97999999999999</v>
      </c>
      <c r="F1006" s="13">
        <v>87.938000000000002</v>
      </c>
      <c r="G1006" s="51">
        <v>84.724000000000004</v>
      </c>
      <c r="H1006" s="52">
        <v>1693.693</v>
      </c>
      <c r="I1006" s="53">
        <v>6.9</v>
      </c>
      <c r="J1006" s="54">
        <v>2.9000000000000001E-2</v>
      </c>
      <c r="K1006" s="59">
        <v>8.32</v>
      </c>
      <c r="L1006" s="52">
        <v>47.554000000000002</v>
      </c>
      <c r="M1006" s="55">
        <v>5.2850000000000001</v>
      </c>
      <c r="N1006" s="54">
        <v>1.4999999999999999E-2</v>
      </c>
      <c r="O1006" s="57">
        <v>102.024</v>
      </c>
      <c r="P1006" s="58">
        <v>6.0999999999999999E-2</v>
      </c>
      <c r="Q1006" s="96"/>
    </row>
    <row r="1007" spans="1:17" ht="14.25" customHeight="1" x14ac:dyDescent="0.35">
      <c r="A1007" s="1">
        <v>2022</v>
      </c>
      <c r="B1007" s="1" t="s">
        <v>32</v>
      </c>
      <c r="C1007" s="1">
        <v>2</v>
      </c>
      <c r="D1007" s="12">
        <v>106.438</v>
      </c>
      <c r="E1007" s="12">
        <f t="shared" si="16"/>
        <v>133.04750000000001</v>
      </c>
      <c r="F1007" s="13">
        <v>90</v>
      </c>
      <c r="G1007" s="60">
        <v>84.533000000000001</v>
      </c>
      <c r="H1007" s="61">
        <v>1618.433</v>
      </c>
      <c r="I1007" s="62">
        <v>6.9</v>
      </c>
      <c r="J1007" s="63">
        <v>2.7E-2</v>
      </c>
      <c r="K1007" s="68">
        <v>8.4359999999999999</v>
      </c>
      <c r="L1007" s="65">
        <v>46.052</v>
      </c>
      <c r="M1007" s="50">
        <v>5.2850000000000001</v>
      </c>
      <c r="N1007" s="63">
        <v>1.4999999999999999E-2</v>
      </c>
      <c r="O1007" s="57">
        <v>102.158</v>
      </c>
      <c r="P1007" s="67">
        <v>0.06</v>
      </c>
      <c r="Q1007" s="96"/>
    </row>
    <row r="1008" spans="1:17" ht="14.25" customHeight="1" x14ac:dyDescent="0.35">
      <c r="A1008" s="1">
        <v>2022</v>
      </c>
      <c r="B1008" s="1" t="s">
        <v>32</v>
      </c>
      <c r="C1008" s="1">
        <v>3</v>
      </c>
      <c r="D1008" s="12">
        <v>104.98399999999999</v>
      </c>
      <c r="E1008" s="12">
        <f t="shared" si="16"/>
        <v>131.22999999999999</v>
      </c>
      <c r="F1008" s="13">
        <v>88.843999999999994</v>
      </c>
      <c r="G1008" s="60">
        <v>84.551000000000002</v>
      </c>
      <c r="H1008" s="61">
        <v>1593.7650000000001</v>
      </c>
      <c r="I1008" s="62">
        <v>6.9</v>
      </c>
      <c r="J1008" s="63">
        <v>2.8000000000000001E-2</v>
      </c>
      <c r="K1008" s="68">
        <v>8.5350000000000001</v>
      </c>
      <c r="L1008" s="65">
        <v>43.432000000000002</v>
      </c>
      <c r="M1008" s="50">
        <v>5.2789999999999999</v>
      </c>
      <c r="N1008" s="63">
        <v>1.4999999999999999E-2</v>
      </c>
      <c r="O1008" s="57">
        <v>103.295</v>
      </c>
      <c r="P1008" s="67">
        <v>5.8500000000000003E-2</v>
      </c>
      <c r="Q1008" s="96"/>
    </row>
    <row r="1009" spans="1:17" ht="14.25" customHeight="1" x14ac:dyDescent="0.35">
      <c r="A1009" s="1">
        <v>2022</v>
      </c>
      <c r="B1009" s="1" t="s">
        <v>32</v>
      </c>
      <c r="C1009" s="1">
        <v>4</v>
      </c>
      <c r="D1009" s="12">
        <v>78.483999999999995</v>
      </c>
      <c r="E1009" s="12">
        <f t="shared" si="16"/>
        <v>98.10499999999999</v>
      </c>
      <c r="F1009" s="13">
        <v>66.406000000000006</v>
      </c>
      <c r="G1009" s="60">
        <v>84.796999999999997</v>
      </c>
      <c r="H1009" s="61">
        <v>1712.82</v>
      </c>
      <c r="I1009" s="62">
        <v>6.9</v>
      </c>
      <c r="J1009" s="63">
        <v>3.3000000000000002E-2</v>
      </c>
      <c r="K1009" s="68">
        <v>8.85</v>
      </c>
      <c r="L1009" s="65">
        <v>41.262</v>
      </c>
      <c r="M1009" s="50">
        <v>5.26</v>
      </c>
      <c r="N1009" s="63">
        <v>1.4999999999999999E-2</v>
      </c>
      <c r="O1009" s="57">
        <v>108.875</v>
      </c>
      <c r="P1009" s="67">
        <v>6.6000000000000003E-2</v>
      </c>
      <c r="Q1009" s="96"/>
    </row>
    <row r="1010" spans="1:17" ht="14.25" customHeight="1" x14ac:dyDescent="0.35">
      <c r="A1010" s="1">
        <v>2022</v>
      </c>
      <c r="B1010" s="1" t="s">
        <v>32</v>
      </c>
      <c r="C1010" s="1">
        <v>5</v>
      </c>
      <c r="D1010" s="12">
        <v>103.625</v>
      </c>
      <c r="E1010" s="12">
        <f t="shared" si="16"/>
        <v>129.53125</v>
      </c>
      <c r="F1010" s="13">
        <v>87.843999999999994</v>
      </c>
      <c r="G1010" s="60">
        <v>84.988</v>
      </c>
      <c r="H1010" s="61">
        <v>1741.652</v>
      </c>
      <c r="I1010" s="62">
        <v>6.9</v>
      </c>
      <c r="J1010" s="63">
        <v>2.9000000000000001E-2</v>
      </c>
      <c r="K1010" s="68">
        <v>8.6069999999999993</v>
      </c>
      <c r="L1010" s="65">
        <v>45.316000000000003</v>
      </c>
      <c r="M1010" s="50">
        <v>5.2720000000000002</v>
      </c>
      <c r="N1010" s="63">
        <v>1.4999999999999999E-2</v>
      </c>
      <c r="O1010" s="57">
        <v>105.081</v>
      </c>
      <c r="P1010" s="67">
        <v>7.1999999999999995E-2</v>
      </c>
      <c r="Q1010" s="96"/>
    </row>
    <row r="1011" spans="1:17" ht="14.25" customHeight="1" x14ac:dyDescent="0.35">
      <c r="A1011" s="1">
        <v>2022</v>
      </c>
      <c r="B1011" s="1" t="s">
        <v>32</v>
      </c>
      <c r="C1011" s="1">
        <v>6</v>
      </c>
      <c r="D1011" s="12">
        <v>104.125</v>
      </c>
      <c r="E1011" s="12">
        <f t="shared" si="16"/>
        <v>130.15625</v>
      </c>
      <c r="F1011" s="13">
        <v>87.938000000000002</v>
      </c>
      <c r="G1011" s="60">
        <v>85</v>
      </c>
      <c r="H1011" s="61">
        <v>1755.164</v>
      </c>
      <c r="I1011" s="62">
        <v>6.9</v>
      </c>
      <c r="J1011" s="63">
        <v>2.9000000000000001E-2</v>
      </c>
      <c r="K1011" s="68">
        <v>9.1790000000000003</v>
      </c>
      <c r="L1011" s="65">
        <v>44.475000000000001</v>
      </c>
      <c r="M1011" s="50">
        <v>5.2839999999999998</v>
      </c>
      <c r="N1011" s="63">
        <v>1.4999999999999999E-2</v>
      </c>
      <c r="O1011" s="57">
        <v>102.542</v>
      </c>
      <c r="P1011" s="67">
        <v>9.7000000000000003E-2</v>
      </c>
      <c r="Q1011" s="96"/>
    </row>
    <row r="1012" spans="1:17" ht="14.25" customHeight="1" x14ac:dyDescent="0.35">
      <c r="A1012" s="1">
        <v>2022</v>
      </c>
      <c r="B1012" s="1" t="s">
        <v>32</v>
      </c>
      <c r="C1012" s="1">
        <v>7</v>
      </c>
      <c r="D1012" s="12">
        <v>106.125</v>
      </c>
      <c r="E1012" s="12">
        <f t="shared" si="16"/>
        <v>132.65625</v>
      </c>
      <c r="F1012" s="13">
        <v>89.313000000000002</v>
      </c>
      <c r="G1012" s="60">
        <v>85.027000000000001</v>
      </c>
      <c r="H1012" s="61">
        <v>1728.3209999999999</v>
      </c>
      <c r="I1012" s="62">
        <v>6.8890000000000002</v>
      </c>
      <c r="J1012" s="63">
        <v>4.2000000000000003E-2</v>
      </c>
      <c r="K1012" s="68">
        <v>8.4459999999999997</v>
      </c>
      <c r="L1012" s="65">
        <v>41.756</v>
      </c>
      <c r="M1012" s="50">
        <v>5.2439999999999998</v>
      </c>
      <c r="N1012" s="63">
        <v>2.8000000000000001E-2</v>
      </c>
      <c r="O1012" s="57">
        <v>112.26900000000001</v>
      </c>
      <c r="P1012" s="67">
        <v>6.3E-2</v>
      </c>
      <c r="Q1012" s="96"/>
    </row>
    <row r="1013" spans="1:17" ht="14.25" customHeight="1" x14ac:dyDescent="0.35">
      <c r="A1013" s="1">
        <v>2022</v>
      </c>
      <c r="B1013" s="1" t="s">
        <v>32</v>
      </c>
      <c r="C1013" s="1">
        <v>8</v>
      </c>
      <c r="D1013" s="12">
        <v>106.64100000000001</v>
      </c>
      <c r="E1013" s="12">
        <f t="shared" si="16"/>
        <v>133.30125000000001</v>
      </c>
      <c r="F1013" s="13">
        <v>89.75</v>
      </c>
      <c r="G1013" s="60">
        <v>84.867000000000004</v>
      </c>
      <c r="H1013" s="69">
        <v>1677.671</v>
      </c>
      <c r="I1013" s="62">
        <v>6.9</v>
      </c>
      <c r="J1013" s="63">
        <v>2.8000000000000001E-2</v>
      </c>
      <c r="K1013" s="71">
        <v>8.827</v>
      </c>
      <c r="L1013" s="65">
        <v>37.107999999999997</v>
      </c>
      <c r="M1013" s="50">
        <v>5.2359999999999998</v>
      </c>
      <c r="N1013" s="63">
        <v>1.4999999999999999E-2</v>
      </c>
      <c r="O1013" s="57">
        <v>114.46</v>
      </c>
      <c r="P1013" s="70">
        <v>7.3999999999999996E-2</v>
      </c>
      <c r="Q1013" s="96"/>
    </row>
    <row r="1014" spans="1:17" ht="14.25" customHeight="1" x14ac:dyDescent="0.35">
      <c r="A1014" s="1">
        <v>2022</v>
      </c>
      <c r="B1014" s="1" t="s">
        <v>32</v>
      </c>
      <c r="C1014" s="1">
        <v>9</v>
      </c>
      <c r="D1014" s="12">
        <v>106.73399999999999</v>
      </c>
      <c r="E1014" s="12">
        <f t="shared" si="16"/>
        <v>133.41749999999999</v>
      </c>
      <c r="F1014" s="13">
        <v>89.906000000000006</v>
      </c>
      <c r="G1014" s="60">
        <v>84.731999999999999</v>
      </c>
      <c r="H1014" s="61">
        <v>1602.385</v>
      </c>
      <c r="I1014" s="62">
        <v>6.9</v>
      </c>
      <c r="J1014" s="63">
        <v>2.5000000000000001E-2</v>
      </c>
      <c r="K1014" s="68">
        <v>8.6460000000000008</v>
      </c>
      <c r="L1014" s="65">
        <v>36.176000000000002</v>
      </c>
      <c r="M1014" s="50">
        <v>5.2510000000000003</v>
      </c>
      <c r="N1014" s="63">
        <v>1.4999999999999999E-2</v>
      </c>
      <c r="O1014" s="57">
        <v>110.81</v>
      </c>
      <c r="P1014" s="67">
        <v>5.8000000000000003E-2</v>
      </c>
      <c r="Q1014" s="96"/>
    </row>
    <row r="1015" spans="1:17" ht="14.25" customHeight="1" x14ac:dyDescent="0.35">
      <c r="A1015" s="1">
        <v>2022</v>
      </c>
      <c r="B1015" s="1" t="s">
        <v>32</v>
      </c>
      <c r="C1015" s="1">
        <v>10</v>
      </c>
      <c r="D1015" s="12">
        <v>106.89100000000001</v>
      </c>
      <c r="E1015" s="12">
        <f t="shared" si="16"/>
        <v>133.61375000000001</v>
      </c>
      <c r="F1015" s="13">
        <v>89.813000000000002</v>
      </c>
      <c r="G1015" s="72">
        <v>84.456000000000003</v>
      </c>
      <c r="H1015" s="61">
        <v>1604.8119999999999</v>
      </c>
      <c r="I1015" s="62">
        <v>6.9</v>
      </c>
      <c r="J1015" s="63">
        <v>2.5999999999999999E-2</v>
      </c>
      <c r="K1015" s="76">
        <v>8.8759999999999994</v>
      </c>
      <c r="L1015" s="65">
        <v>41.328000000000003</v>
      </c>
      <c r="M1015" s="50">
        <v>5.2839999999999998</v>
      </c>
      <c r="N1015" s="110">
        <v>1.4999999999999999E-2</v>
      </c>
      <c r="O1015" s="57">
        <v>102.386</v>
      </c>
      <c r="P1015" s="75">
        <v>5.8000000000000003E-2</v>
      </c>
      <c r="Q1015" s="96"/>
    </row>
    <row r="1016" spans="1:17" ht="14.25" customHeight="1" x14ac:dyDescent="0.35">
      <c r="A1016" s="1">
        <v>2022</v>
      </c>
      <c r="B1016" s="1" t="s">
        <v>32</v>
      </c>
      <c r="C1016" s="1">
        <v>11</v>
      </c>
      <c r="D1016" s="12">
        <v>107.21899999999999</v>
      </c>
      <c r="E1016" s="12">
        <f t="shared" si="16"/>
        <v>134.02375000000001</v>
      </c>
      <c r="F1016" s="13">
        <v>89.968999999999994</v>
      </c>
      <c r="G1016" s="72">
        <v>84.174000000000007</v>
      </c>
      <c r="H1016" s="61">
        <v>1716.229</v>
      </c>
      <c r="I1016" s="62">
        <v>6.9</v>
      </c>
      <c r="J1016" s="63">
        <v>2.7E-2</v>
      </c>
      <c r="K1016" s="76">
        <v>9.01</v>
      </c>
      <c r="L1016" s="65">
        <v>44.825000000000003</v>
      </c>
      <c r="M1016" s="50">
        <v>5.2919999999999998</v>
      </c>
      <c r="N1016" s="110">
        <v>1.4999999999999999E-2</v>
      </c>
      <c r="O1016" s="57">
        <v>100.554</v>
      </c>
      <c r="P1016" s="75">
        <v>6.5000000000000002E-2</v>
      </c>
      <c r="Q1016" s="96"/>
    </row>
    <row r="1017" spans="1:17" ht="14.25" customHeight="1" x14ac:dyDescent="0.35">
      <c r="A1017" s="1">
        <v>2022</v>
      </c>
      <c r="B1017" s="1" t="s">
        <v>32</v>
      </c>
      <c r="C1017" s="1">
        <v>12</v>
      </c>
      <c r="D1017" s="12">
        <v>107.047</v>
      </c>
      <c r="E1017" s="12">
        <f t="shared" si="16"/>
        <v>133.80875</v>
      </c>
      <c r="F1017" s="13">
        <v>89.781000000000006</v>
      </c>
      <c r="G1017" s="72">
        <v>84.525000000000006</v>
      </c>
      <c r="H1017" s="61">
        <v>1760.3789999999999</v>
      </c>
      <c r="I1017" s="62">
        <v>6.9</v>
      </c>
      <c r="J1017" s="63">
        <v>2.8000000000000001E-2</v>
      </c>
      <c r="K1017" s="76">
        <v>9.2189999999999994</v>
      </c>
      <c r="L1017" s="65">
        <v>44.734999999999999</v>
      </c>
      <c r="M1017" s="50">
        <v>5.2750000000000004</v>
      </c>
      <c r="N1017" s="110">
        <v>1.4999999999999999E-2</v>
      </c>
      <c r="O1017" s="57">
        <v>104.645</v>
      </c>
      <c r="P1017" s="75">
        <v>6.2E-2</v>
      </c>
      <c r="Q1017" s="96"/>
    </row>
    <row r="1018" spans="1:17" ht="14.25" customHeight="1" x14ac:dyDescent="0.35">
      <c r="A1018" s="1">
        <v>2022</v>
      </c>
      <c r="B1018" s="1" t="s">
        <v>32</v>
      </c>
      <c r="C1018" s="1">
        <v>13</v>
      </c>
      <c r="D1018" s="12">
        <v>94.156000000000006</v>
      </c>
      <c r="E1018" s="12">
        <f t="shared" si="16"/>
        <v>117.69500000000001</v>
      </c>
      <c r="F1018" s="13">
        <v>78.906000000000006</v>
      </c>
      <c r="G1018" s="78">
        <v>84.078000000000003</v>
      </c>
      <c r="H1018" s="61">
        <v>1765.92</v>
      </c>
      <c r="I1018" s="62">
        <v>6.9</v>
      </c>
      <c r="J1018" s="63">
        <v>2.5999999999999999E-2</v>
      </c>
      <c r="K1018" s="81">
        <v>8.8949999999999996</v>
      </c>
      <c r="L1018" s="65">
        <v>39.871000000000002</v>
      </c>
      <c r="M1018" s="50">
        <v>5.2389999999999999</v>
      </c>
      <c r="N1018" s="63">
        <v>1.4999999999999999E-2</v>
      </c>
      <c r="O1018" s="57">
        <v>114.738</v>
      </c>
      <c r="P1018" s="80">
        <v>5.7000000000000002E-2</v>
      </c>
      <c r="Q1018" s="96"/>
    </row>
    <row r="1019" spans="1:17" ht="14.25" customHeight="1" x14ac:dyDescent="0.35">
      <c r="A1019" s="1">
        <v>2022</v>
      </c>
      <c r="B1019" s="1" t="s">
        <v>32</v>
      </c>
      <c r="C1019" s="1">
        <v>14</v>
      </c>
      <c r="D1019" s="12">
        <v>112.85899999999999</v>
      </c>
      <c r="E1019" s="12">
        <f t="shared" si="16"/>
        <v>141.07374999999999</v>
      </c>
      <c r="F1019" s="13">
        <v>95</v>
      </c>
      <c r="G1019" s="60">
        <v>83.768000000000001</v>
      </c>
      <c r="H1019" s="61">
        <v>1749.4380000000001</v>
      </c>
      <c r="I1019" s="62">
        <v>6.9</v>
      </c>
      <c r="J1019" s="63">
        <v>2.5000000000000001E-2</v>
      </c>
      <c r="K1019" s="81">
        <v>8.5540000000000003</v>
      </c>
      <c r="L1019" s="82">
        <v>38.369</v>
      </c>
      <c r="M1019" s="50">
        <v>5.2539999999999996</v>
      </c>
      <c r="N1019" s="63">
        <v>1.4999999999999999E-2</v>
      </c>
      <c r="O1019" s="57">
        <v>110.24299999999999</v>
      </c>
      <c r="P1019" s="80">
        <v>5.5E-2</v>
      </c>
      <c r="Q1019" s="96"/>
    </row>
    <row r="1020" spans="1:17" ht="14.25" customHeight="1" x14ac:dyDescent="0.35">
      <c r="A1020" s="1">
        <v>2022</v>
      </c>
      <c r="B1020" s="1" t="s">
        <v>32</v>
      </c>
      <c r="C1020" s="1">
        <v>15</v>
      </c>
      <c r="D1020" s="12">
        <v>111.40600000000001</v>
      </c>
      <c r="E1020" s="12">
        <f t="shared" si="16"/>
        <v>139.25749999999999</v>
      </c>
      <c r="F1020" s="13">
        <v>93.688000000000002</v>
      </c>
      <c r="G1020" s="60">
        <v>83.518000000000001</v>
      </c>
      <c r="H1020" s="61">
        <v>1692.9749999999999</v>
      </c>
      <c r="I1020" s="62">
        <v>6.9</v>
      </c>
      <c r="J1020" s="63">
        <v>2.3E-2</v>
      </c>
      <c r="K1020" s="76">
        <v>8.5359999999999996</v>
      </c>
      <c r="L1020" s="65">
        <v>35.658999999999999</v>
      </c>
      <c r="M1020" s="50">
        <v>5.2480000000000002</v>
      </c>
      <c r="N1020" s="63">
        <v>1.4E-2</v>
      </c>
      <c r="O1020" s="57">
        <v>111.96299999999999</v>
      </c>
      <c r="P1020" s="75">
        <v>5.3999999999999999E-2</v>
      </c>
      <c r="Q1020" s="96"/>
    </row>
    <row r="1021" spans="1:17" ht="14.25" customHeight="1" x14ac:dyDescent="0.35">
      <c r="A1021" s="1">
        <v>2022</v>
      </c>
      <c r="B1021" s="1" t="s">
        <v>32</v>
      </c>
      <c r="C1021" s="1">
        <v>16</v>
      </c>
      <c r="D1021" s="12">
        <v>109.84399999999999</v>
      </c>
      <c r="E1021" s="12">
        <f t="shared" si="16"/>
        <v>137.30500000000001</v>
      </c>
      <c r="F1021" s="13">
        <v>92.375</v>
      </c>
      <c r="G1021" s="60">
        <v>83.290999999999997</v>
      </c>
      <c r="H1021" s="61">
        <v>1584.998</v>
      </c>
      <c r="I1021" s="62">
        <v>6.9</v>
      </c>
      <c r="J1021" s="63">
        <v>2.3E-2</v>
      </c>
      <c r="K1021" s="81">
        <v>8.7390000000000008</v>
      </c>
      <c r="L1021" s="61">
        <v>32.140999999999998</v>
      </c>
      <c r="M1021" s="62">
        <v>5.2439999999999998</v>
      </c>
      <c r="N1021" s="63">
        <v>1.4E-2</v>
      </c>
      <c r="O1021" s="57">
        <v>112.654</v>
      </c>
      <c r="P1021" s="80">
        <v>0.05</v>
      </c>
      <c r="Q1021" s="96"/>
    </row>
    <row r="1022" spans="1:17" ht="14.25" customHeight="1" x14ac:dyDescent="0.35">
      <c r="A1022" s="1">
        <v>2022</v>
      </c>
      <c r="B1022" s="1" t="s">
        <v>32</v>
      </c>
      <c r="C1022" s="1">
        <v>17</v>
      </c>
      <c r="D1022" s="12">
        <v>109.797</v>
      </c>
      <c r="E1022" s="12">
        <f t="shared" si="16"/>
        <v>137.24625</v>
      </c>
      <c r="F1022" s="13">
        <v>92.25</v>
      </c>
      <c r="G1022" s="60">
        <v>83.632999999999996</v>
      </c>
      <c r="H1022" s="61">
        <v>1576.14</v>
      </c>
      <c r="I1022" s="62">
        <v>6.9</v>
      </c>
      <c r="J1022" s="63">
        <v>2.1999999999999999E-2</v>
      </c>
      <c r="K1022" s="68">
        <v>8.8330000000000002</v>
      </c>
      <c r="L1022" s="65">
        <v>33.61</v>
      </c>
      <c r="M1022" s="50">
        <v>5.2439999999999998</v>
      </c>
      <c r="N1022" s="63">
        <v>1.4E-2</v>
      </c>
      <c r="O1022" s="57">
        <v>112.59</v>
      </c>
      <c r="P1022" s="67">
        <v>0.05</v>
      </c>
      <c r="Q1022" s="96"/>
    </row>
    <row r="1023" spans="1:17" ht="14.25" customHeight="1" x14ac:dyDescent="0.35">
      <c r="A1023" s="1">
        <v>2022</v>
      </c>
      <c r="B1023" s="1" t="s">
        <v>32</v>
      </c>
      <c r="C1023" s="1">
        <v>18</v>
      </c>
      <c r="D1023" s="12">
        <v>106.047</v>
      </c>
      <c r="E1023" s="12">
        <f t="shared" si="16"/>
        <v>132.55875</v>
      </c>
      <c r="F1023" s="13">
        <v>88.843999999999994</v>
      </c>
      <c r="G1023" s="60">
        <v>83.988</v>
      </c>
      <c r="H1023" s="61">
        <v>1685.81</v>
      </c>
      <c r="I1023" s="62">
        <v>6.9</v>
      </c>
      <c r="J1023" s="63">
        <v>2.3E-2</v>
      </c>
      <c r="K1023" s="68">
        <v>8.8309999999999995</v>
      </c>
      <c r="L1023" s="61">
        <v>40.366999999999997</v>
      </c>
      <c r="M1023" s="62">
        <v>5.2610000000000001</v>
      </c>
      <c r="N1023" s="63">
        <v>1.4E-2</v>
      </c>
      <c r="O1023" s="57">
        <v>108.42700000000001</v>
      </c>
      <c r="P1023" s="67">
        <v>6.9000000000000006E-2</v>
      </c>
      <c r="Q1023" s="96"/>
    </row>
    <row r="1024" spans="1:17" ht="14.25" customHeight="1" x14ac:dyDescent="0.35">
      <c r="A1024" s="1">
        <v>2022</v>
      </c>
      <c r="B1024" s="1" t="s">
        <v>32</v>
      </c>
      <c r="C1024" s="1">
        <v>19</v>
      </c>
      <c r="D1024" s="12">
        <v>108.813</v>
      </c>
      <c r="E1024" s="12">
        <f t="shared" si="16"/>
        <v>136.01625000000001</v>
      </c>
      <c r="F1024" s="13">
        <v>91.156000000000006</v>
      </c>
      <c r="G1024" s="60">
        <v>84.506</v>
      </c>
      <c r="H1024" s="61">
        <v>1752.05</v>
      </c>
      <c r="I1024" s="62">
        <v>6.9</v>
      </c>
      <c r="J1024" s="63">
        <v>2.4E-2</v>
      </c>
      <c r="K1024" s="68">
        <v>8.6639999999999997</v>
      </c>
      <c r="L1024" s="65">
        <v>41.408000000000001</v>
      </c>
      <c r="M1024" s="50">
        <v>5.2729999999999997</v>
      </c>
      <c r="N1024" s="63">
        <v>1.4E-2</v>
      </c>
      <c r="O1024" s="57">
        <v>105.066</v>
      </c>
      <c r="P1024" s="67">
        <v>6.5000000000000002E-2</v>
      </c>
      <c r="Q1024" s="96"/>
    </row>
    <row r="1025" spans="1:17" ht="14.25" customHeight="1" x14ac:dyDescent="0.35">
      <c r="A1025" s="1">
        <v>2022</v>
      </c>
      <c r="B1025" s="1" t="s">
        <v>32</v>
      </c>
      <c r="C1025" s="1">
        <v>20</v>
      </c>
      <c r="D1025" s="12">
        <v>109.953</v>
      </c>
      <c r="E1025" s="12">
        <f t="shared" si="16"/>
        <v>137.44125</v>
      </c>
      <c r="F1025" s="13">
        <v>92.406000000000006</v>
      </c>
      <c r="G1025" s="60">
        <v>84.456999999999994</v>
      </c>
      <c r="H1025" s="61">
        <v>1756.951</v>
      </c>
      <c r="I1025" s="62">
        <v>6.9</v>
      </c>
      <c r="J1025" s="63">
        <v>2.4E-2</v>
      </c>
      <c r="K1025" s="68">
        <v>8.5980000000000008</v>
      </c>
      <c r="L1025" s="61">
        <v>42.671999999999997</v>
      </c>
      <c r="M1025" s="62">
        <v>5.2590000000000003</v>
      </c>
      <c r="N1025" s="63">
        <v>1.4E-2</v>
      </c>
      <c r="O1025" s="57">
        <v>109.105</v>
      </c>
      <c r="P1025" s="67">
        <v>6.0999999999999999E-2</v>
      </c>
      <c r="Q1025" s="96"/>
    </row>
    <row r="1026" spans="1:17" ht="14.25" customHeight="1" x14ac:dyDescent="0.35">
      <c r="A1026" s="1">
        <v>2022</v>
      </c>
      <c r="B1026" s="1" t="s">
        <v>32</v>
      </c>
      <c r="C1026" s="1">
        <v>21</v>
      </c>
      <c r="D1026" s="12">
        <v>112.73399999999999</v>
      </c>
      <c r="E1026" s="12">
        <f t="shared" si="16"/>
        <v>140.91749999999999</v>
      </c>
      <c r="F1026" s="13">
        <v>94.968999999999994</v>
      </c>
      <c r="G1026" s="60">
        <v>83.867999999999995</v>
      </c>
      <c r="H1026" s="61">
        <v>1759.384</v>
      </c>
      <c r="I1026" s="62">
        <v>6.9</v>
      </c>
      <c r="J1026" s="63">
        <v>2.4E-2</v>
      </c>
      <c r="K1026" s="68">
        <v>8.5790000000000006</v>
      </c>
      <c r="L1026" s="65">
        <v>43.244999999999997</v>
      </c>
      <c r="M1026" s="50">
        <v>5.173</v>
      </c>
      <c r="N1026" s="63">
        <v>1.4999999999999999E-2</v>
      </c>
      <c r="O1026" s="57">
        <v>134.233</v>
      </c>
      <c r="P1026" s="67">
        <v>5.8000000000000003E-2</v>
      </c>
      <c r="Q1026" s="96"/>
    </row>
    <row r="1027" spans="1:17" ht="14.25" customHeight="1" x14ac:dyDescent="0.35">
      <c r="A1027" s="1">
        <v>2022</v>
      </c>
      <c r="B1027" s="1" t="s">
        <v>32</v>
      </c>
      <c r="C1027" s="1">
        <v>22</v>
      </c>
      <c r="D1027" s="12">
        <v>110.34399999999999</v>
      </c>
      <c r="E1027" s="12">
        <f t="shared" si="16"/>
        <v>137.93</v>
      </c>
      <c r="F1027" s="13">
        <v>92.843999999999994</v>
      </c>
      <c r="G1027" s="60">
        <v>83.29</v>
      </c>
      <c r="H1027" s="61">
        <v>1733.5139999999999</v>
      </c>
      <c r="I1027" s="62">
        <v>6.9</v>
      </c>
      <c r="J1027" s="63">
        <v>2.4E-2</v>
      </c>
      <c r="K1027" s="68">
        <v>8.4920000000000009</v>
      </c>
      <c r="L1027" s="61">
        <v>43.652000000000001</v>
      </c>
      <c r="M1027" s="62">
        <v>5.1120000000000001</v>
      </c>
      <c r="N1027" s="63">
        <v>1.4E-2</v>
      </c>
      <c r="O1027" s="57">
        <v>152.989</v>
      </c>
      <c r="P1027" s="67">
        <v>5.6000000000000001E-2</v>
      </c>
      <c r="Q1027" s="96"/>
    </row>
    <row r="1028" spans="1:17" ht="14.25" customHeight="1" x14ac:dyDescent="0.35">
      <c r="A1028" s="1">
        <v>2022</v>
      </c>
      <c r="B1028" s="1" t="s">
        <v>32</v>
      </c>
      <c r="C1028" s="1">
        <v>23</v>
      </c>
      <c r="D1028" s="12">
        <v>110.438</v>
      </c>
      <c r="E1028" s="12">
        <f t="shared" si="16"/>
        <v>138.04750000000001</v>
      </c>
      <c r="F1028" s="13">
        <v>92.718999999999994</v>
      </c>
      <c r="G1028" s="60">
        <v>82.858999999999995</v>
      </c>
      <c r="H1028" s="61">
        <v>1651.4480000000001</v>
      </c>
      <c r="I1028" s="62">
        <v>6.9</v>
      </c>
      <c r="J1028" s="63">
        <v>2.3E-2</v>
      </c>
      <c r="K1028" s="68">
        <v>8.4719999999999995</v>
      </c>
      <c r="L1028" s="65">
        <v>36.890999999999998</v>
      </c>
      <c r="M1028" s="50">
        <v>5.0970000000000004</v>
      </c>
      <c r="N1028" s="63">
        <v>1.4E-2</v>
      </c>
      <c r="O1028" s="57">
        <v>157.75299999999999</v>
      </c>
      <c r="P1028" s="67">
        <v>5.0999999999999997E-2</v>
      </c>
      <c r="Q1028" s="96"/>
    </row>
    <row r="1029" spans="1:17" ht="14.25" customHeight="1" x14ac:dyDescent="0.35">
      <c r="A1029" s="1">
        <v>2022</v>
      </c>
      <c r="B1029" s="1" t="s">
        <v>32</v>
      </c>
      <c r="C1029" s="1">
        <v>24</v>
      </c>
      <c r="D1029" s="12">
        <v>112.09399999999999</v>
      </c>
      <c r="E1029" s="12">
        <f t="shared" si="16"/>
        <v>140.11750000000001</v>
      </c>
      <c r="F1029" s="13">
        <v>94.25</v>
      </c>
      <c r="G1029" s="60">
        <v>82.67</v>
      </c>
      <c r="H1029" s="61">
        <v>1624.6410000000001</v>
      </c>
      <c r="I1029" s="62">
        <v>6.9</v>
      </c>
      <c r="J1029" s="63">
        <v>2.3E-2</v>
      </c>
      <c r="K1029" s="68">
        <v>8.6460000000000008</v>
      </c>
      <c r="L1029" s="61">
        <v>33.558999999999997</v>
      </c>
      <c r="M1029" s="62">
        <v>5.0650000000000004</v>
      </c>
      <c r="N1029" s="63">
        <v>1.4999999999999999E-2</v>
      </c>
      <c r="O1029" s="57">
        <v>169.00800000000001</v>
      </c>
      <c r="P1029" s="67">
        <v>4.9000000000000002E-2</v>
      </c>
      <c r="Q1029" s="96"/>
    </row>
    <row r="1030" spans="1:17" ht="14.25" customHeight="1" x14ac:dyDescent="0.35">
      <c r="A1030" s="1">
        <v>2022</v>
      </c>
      <c r="B1030" s="1" t="s">
        <v>32</v>
      </c>
      <c r="C1030" s="1">
        <v>25</v>
      </c>
      <c r="D1030" s="12">
        <v>108.46899999999999</v>
      </c>
      <c r="E1030" s="12">
        <f t="shared" si="16"/>
        <v>135.58625000000001</v>
      </c>
      <c r="F1030" s="13">
        <v>91.093999999999994</v>
      </c>
      <c r="G1030" s="60">
        <v>82.483000000000004</v>
      </c>
      <c r="H1030" s="61">
        <v>1739.0830000000001</v>
      </c>
      <c r="I1030" s="62">
        <v>6.9</v>
      </c>
      <c r="J1030" s="63">
        <v>2.4E-2</v>
      </c>
      <c r="K1030" s="68">
        <v>8.9160000000000004</v>
      </c>
      <c r="L1030" s="65">
        <v>37.265999999999998</v>
      </c>
      <c r="M1030" s="50">
        <v>5.069</v>
      </c>
      <c r="N1030" s="63">
        <v>1.4E-2</v>
      </c>
      <c r="O1030" s="57">
        <v>167.923</v>
      </c>
      <c r="P1030" s="67">
        <v>5.5E-2</v>
      </c>
      <c r="Q1030" s="96"/>
    </row>
    <row r="1031" spans="1:17" ht="14.25" customHeight="1" x14ac:dyDescent="0.35">
      <c r="A1031" s="1">
        <v>2022</v>
      </c>
      <c r="B1031" s="1" t="s">
        <v>32</v>
      </c>
      <c r="C1031" s="1">
        <v>26</v>
      </c>
      <c r="D1031" s="12">
        <v>110.39100000000001</v>
      </c>
      <c r="E1031" s="32">
        <v>137.21</v>
      </c>
      <c r="F1031" s="13">
        <v>92.718999999999994</v>
      </c>
      <c r="G1031" s="60">
        <v>82.748000000000005</v>
      </c>
      <c r="H1031" s="61">
        <v>1814.57</v>
      </c>
      <c r="I1031" s="62">
        <v>6.9</v>
      </c>
      <c r="J1031" s="63">
        <v>2.5000000000000001E-2</v>
      </c>
      <c r="K1031" s="68">
        <v>8.5869999999999997</v>
      </c>
      <c r="L1031" s="61">
        <v>39.965000000000003</v>
      </c>
      <c r="M1031" s="62">
        <v>5.0759999999999996</v>
      </c>
      <c r="N1031" s="63">
        <v>1.4E-2</v>
      </c>
      <c r="O1031" s="57">
        <v>165.315</v>
      </c>
      <c r="P1031" s="67">
        <v>5.8999999999999997E-2</v>
      </c>
      <c r="Q1031" s="96"/>
    </row>
    <row r="1032" spans="1:17" ht="14.25" customHeight="1" x14ac:dyDescent="0.35">
      <c r="A1032" s="1">
        <v>2022</v>
      </c>
      <c r="B1032" s="1" t="s">
        <v>32</v>
      </c>
      <c r="C1032" s="1">
        <v>27</v>
      </c>
      <c r="D1032" s="12">
        <v>114.547</v>
      </c>
      <c r="E1032" s="12">
        <f t="shared" ref="E1032:E1045" si="17">D1032*1.25</f>
        <v>143.18375</v>
      </c>
      <c r="F1032" s="13">
        <v>96.438000000000002</v>
      </c>
      <c r="G1032" s="60">
        <v>82.789000000000001</v>
      </c>
      <c r="H1032" s="61">
        <v>1802.473</v>
      </c>
      <c r="I1032" s="62">
        <v>6.9</v>
      </c>
      <c r="J1032" s="63">
        <v>2.5999999999999999E-2</v>
      </c>
      <c r="K1032" s="68">
        <v>8.3759999999999994</v>
      </c>
      <c r="L1032" s="65">
        <v>40.097999999999999</v>
      </c>
      <c r="M1032" s="50">
        <v>5.0780000000000003</v>
      </c>
      <c r="N1032" s="63">
        <v>1.4E-2</v>
      </c>
      <c r="O1032" s="57">
        <v>164.732</v>
      </c>
      <c r="P1032" s="67">
        <v>6.0999999999999999E-2</v>
      </c>
      <c r="Q1032" s="96"/>
    </row>
    <row r="1033" spans="1:17" ht="14.25" customHeight="1" x14ac:dyDescent="0.35">
      <c r="A1033" s="1">
        <v>2022</v>
      </c>
      <c r="B1033" s="1" t="s">
        <v>32</v>
      </c>
      <c r="C1033" s="1">
        <v>28</v>
      </c>
      <c r="D1033" s="12">
        <v>114.59399999999999</v>
      </c>
      <c r="E1033" s="12">
        <f t="shared" si="17"/>
        <v>143.24250000000001</v>
      </c>
      <c r="F1033" s="13">
        <v>96.218999999999994</v>
      </c>
      <c r="G1033" s="60">
        <v>82.703000000000003</v>
      </c>
      <c r="H1033" s="61">
        <v>1810.298</v>
      </c>
      <c r="I1033" s="62">
        <v>6.9</v>
      </c>
      <c r="J1033" s="63">
        <v>2.7E-2</v>
      </c>
      <c r="K1033" s="68">
        <v>8.41</v>
      </c>
      <c r="L1033" s="61">
        <v>41.566000000000003</v>
      </c>
      <c r="M1033" s="62">
        <v>5.0529999999999999</v>
      </c>
      <c r="N1033" s="63">
        <v>1.4999999999999999E-2</v>
      </c>
      <c r="O1033" s="57">
        <v>175.916</v>
      </c>
      <c r="P1033" s="67">
        <v>5.5E-2</v>
      </c>
      <c r="Q1033" s="96"/>
    </row>
    <row r="1034" spans="1:17" ht="14.25" customHeight="1" x14ac:dyDescent="0.35">
      <c r="A1034" s="1">
        <v>2022</v>
      </c>
      <c r="B1034" s="1" t="s">
        <v>32</v>
      </c>
      <c r="C1034" s="1">
        <v>29</v>
      </c>
      <c r="D1034" s="12">
        <v>108.90600000000001</v>
      </c>
      <c r="E1034" s="12">
        <f t="shared" si="17"/>
        <v>136.13249999999999</v>
      </c>
      <c r="F1034" s="13">
        <v>91.343999999999994</v>
      </c>
      <c r="G1034" s="83">
        <v>82.489000000000004</v>
      </c>
      <c r="H1034" s="69">
        <v>1778.88</v>
      </c>
      <c r="I1034" s="50">
        <v>6.9</v>
      </c>
      <c r="J1034" s="66">
        <v>2.5999999999999999E-2</v>
      </c>
      <c r="K1034" s="117">
        <v>8.5670000000000002</v>
      </c>
      <c r="L1034" s="61">
        <v>40.792000000000002</v>
      </c>
      <c r="M1034" s="62">
        <v>5.0199999999999996</v>
      </c>
      <c r="N1034" s="63">
        <v>1.4999999999999999E-2</v>
      </c>
      <c r="O1034" s="57">
        <v>188.31100000000001</v>
      </c>
      <c r="P1034" s="84">
        <v>5.5E-2</v>
      </c>
      <c r="Q1034" s="96"/>
    </row>
    <row r="1035" spans="1:17" ht="14.25" customHeight="1" x14ac:dyDescent="0.35">
      <c r="A1035" s="1">
        <v>2022</v>
      </c>
      <c r="B1035" s="1" t="s">
        <v>32</v>
      </c>
      <c r="C1035" s="1">
        <v>30</v>
      </c>
      <c r="D1035" s="12">
        <v>109.375</v>
      </c>
      <c r="E1035" s="12">
        <f t="shared" si="17"/>
        <v>136.71875</v>
      </c>
      <c r="F1035" s="13">
        <v>91.781000000000006</v>
      </c>
      <c r="G1035" s="83">
        <v>82.394999999999996</v>
      </c>
      <c r="H1035" s="69">
        <v>1722.2239999999999</v>
      </c>
      <c r="I1035" s="50">
        <v>6.9</v>
      </c>
      <c r="J1035" s="66">
        <v>2.5000000000000001E-2</v>
      </c>
      <c r="K1035" s="117">
        <v>8.41</v>
      </c>
      <c r="L1035" s="61">
        <v>38.667000000000002</v>
      </c>
      <c r="M1035" s="62">
        <v>5.0179999999999998</v>
      </c>
      <c r="N1035" s="63">
        <v>1.4999999999999999E-2</v>
      </c>
      <c r="O1035" s="57">
        <v>189.071</v>
      </c>
      <c r="P1035" s="84">
        <v>5.0999999999999997E-2</v>
      </c>
      <c r="Q1035" s="96"/>
    </row>
    <row r="1036" spans="1:17" ht="14.25" customHeight="1" x14ac:dyDescent="0.35">
      <c r="A1036" s="1">
        <v>2022</v>
      </c>
      <c r="B1036" s="1" t="s">
        <v>32</v>
      </c>
      <c r="C1036" s="1">
        <v>31</v>
      </c>
      <c r="D1036" s="85">
        <v>115.21899999999999</v>
      </c>
      <c r="E1036" s="12">
        <f t="shared" si="17"/>
        <v>144.02375000000001</v>
      </c>
      <c r="F1036" s="86">
        <v>96.843999999999994</v>
      </c>
      <c r="G1036" s="87">
        <v>82.277000000000001</v>
      </c>
      <c r="H1036" s="88">
        <v>1672.5309999999999</v>
      </c>
      <c r="I1036" s="89">
        <v>6.9</v>
      </c>
      <c r="J1036" s="90">
        <v>2.5000000000000001E-2</v>
      </c>
      <c r="K1036" s="131">
        <v>8.6489999999999991</v>
      </c>
      <c r="L1036" s="61">
        <v>39.146999999999998</v>
      </c>
      <c r="M1036" s="64">
        <v>5.0389999999999997</v>
      </c>
      <c r="N1036" s="63">
        <v>1.4999999999999999E-2</v>
      </c>
      <c r="O1036" s="57">
        <v>179.708</v>
      </c>
      <c r="P1036" s="66">
        <v>5.1999999999999998E-2</v>
      </c>
      <c r="Q1036" s="96"/>
    </row>
    <row r="1037" spans="1:17" ht="14.25" customHeight="1" x14ac:dyDescent="0.35">
      <c r="A1037" s="1">
        <v>2022</v>
      </c>
      <c r="B1037" s="1" t="s">
        <v>33</v>
      </c>
      <c r="C1037" s="1">
        <v>1</v>
      </c>
      <c r="D1037" s="49">
        <v>109.172</v>
      </c>
      <c r="E1037" s="12">
        <f t="shared" si="17"/>
        <v>136.465</v>
      </c>
      <c r="F1037" s="50">
        <v>91.781000000000006</v>
      </c>
      <c r="G1037" s="51">
        <v>82.14</v>
      </c>
      <c r="H1037" s="52">
        <v>1767.91</v>
      </c>
      <c r="I1037" s="53">
        <v>6.9009999999999998</v>
      </c>
      <c r="J1037" s="54">
        <v>2.5999999999999999E-2</v>
      </c>
      <c r="K1037" s="59">
        <v>8.8629999999999995</v>
      </c>
      <c r="L1037" s="52">
        <v>38.872</v>
      </c>
      <c r="M1037" s="55">
        <v>5.0339999999999998</v>
      </c>
      <c r="N1037" s="54">
        <v>1.4999999999999999E-2</v>
      </c>
      <c r="O1037" s="57">
        <v>182.38499999999999</v>
      </c>
      <c r="P1037" s="58">
        <v>5.8999999999999997E-2</v>
      </c>
      <c r="Q1037" s="96"/>
    </row>
    <row r="1038" spans="1:17" ht="14.25" customHeight="1" x14ac:dyDescent="0.35">
      <c r="A1038" s="1">
        <v>2022</v>
      </c>
      <c r="B1038" s="1" t="s">
        <v>33</v>
      </c>
      <c r="C1038" s="1">
        <v>2</v>
      </c>
      <c r="D1038" s="49">
        <v>113.14100000000001</v>
      </c>
      <c r="E1038" s="12">
        <f t="shared" si="17"/>
        <v>141.42625000000001</v>
      </c>
      <c r="F1038" s="50">
        <v>95.438000000000002</v>
      </c>
      <c r="G1038" s="60">
        <v>81.734999999999999</v>
      </c>
      <c r="H1038" s="61">
        <v>1797.1510000000001</v>
      </c>
      <c r="I1038" s="62">
        <v>6.9</v>
      </c>
      <c r="J1038" s="63">
        <v>2.5000000000000001E-2</v>
      </c>
      <c r="K1038" s="68">
        <v>8.9139999999999997</v>
      </c>
      <c r="L1038" s="65">
        <v>41.192</v>
      </c>
      <c r="M1038" s="50">
        <v>5.0140000000000002</v>
      </c>
      <c r="N1038" s="63">
        <v>1.4999999999999999E-2</v>
      </c>
      <c r="O1038" s="57">
        <v>191.00299999999999</v>
      </c>
      <c r="P1038" s="67">
        <v>6.0999999999999999E-2</v>
      </c>
      <c r="Q1038" s="96"/>
    </row>
    <row r="1039" spans="1:17" ht="14.25" customHeight="1" x14ac:dyDescent="0.35">
      <c r="A1039" s="1">
        <v>2022</v>
      </c>
      <c r="B1039" s="1" t="s">
        <v>33</v>
      </c>
      <c r="C1039" s="1">
        <v>3</v>
      </c>
      <c r="D1039" s="49">
        <v>112.46899999999999</v>
      </c>
      <c r="E1039" s="12">
        <f t="shared" si="17"/>
        <v>140.58625000000001</v>
      </c>
      <c r="F1039" s="50">
        <v>94.968999999999994</v>
      </c>
      <c r="G1039" s="60">
        <v>80.572999999999993</v>
      </c>
      <c r="H1039" s="61">
        <v>1800.2660000000001</v>
      </c>
      <c r="I1039" s="62">
        <v>6.9</v>
      </c>
      <c r="J1039" s="63">
        <v>2.7E-2</v>
      </c>
      <c r="K1039" s="68">
        <v>8.8629999999999995</v>
      </c>
      <c r="L1039" s="65">
        <v>40.948999999999998</v>
      </c>
      <c r="M1039" s="50">
        <v>5.0049999999999999</v>
      </c>
      <c r="N1039" s="63">
        <v>1.4999999999999999E-2</v>
      </c>
      <c r="O1039" s="57">
        <v>195.102</v>
      </c>
      <c r="P1039" s="67">
        <v>5.8000000000000003E-2</v>
      </c>
      <c r="Q1039" s="96"/>
    </row>
    <row r="1040" spans="1:17" ht="14.25" customHeight="1" x14ac:dyDescent="0.35">
      <c r="A1040" s="1">
        <v>2022</v>
      </c>
      <c r="B1040" s="1" t="s">
        <v>33</v>
      </c>
      <c r="C1040" s="1">
        <v>4</v>
      </c>
      <c r="D1040" s="49">
        <v>112.28100000000001</v>
      </c>
      <c r="E1040" s="12">
        <f t="shared" si="17"/>
        <v>140.35124999999999</v>
      </c>
      <c r="F1040" s="50">
        <v>94.875</v>
      </c>
      <c r="G1040" s="60">
        <v>80.888000000000005</v>
      </c>
      <c r="H1040" s="61">
        <v>1810.604</v>
      </c>
      <c r="I1040" s="62">
        <v>6.9</v>
      </c>
      <c r="J1040" s="63">
        <v>2.7E-2</v>
      </c>
      <c r="K1040" s="68">
        <v>8.718</v>
      </c>
      <c r="L1040" s="65">
        <v>40.512999999999998</v>
      </c>
      <c r="M1040" s="50">
        <v>5.0119999999999996</v>
      </c>
      <c r="N1040" s="63">
        <v>1.4999999999999999E-2</v>
      </c>
      <c r="O1040" s="57">
        <v>192.3</v>
      </c>
      <c r="P1040" s="67">
        <v>5.6000000000000001E-2</v>
      </c>
      <c r="Q1040" s="96"/>
    </row>
    <row r="1041" spans="1:17" ht="14.25" customHeight="1" x14ac:dyDescent="0.35">
      <c r="A1041" s="1">
        <v>2022</v>
      </c>
      <c r="B1041" s="1" t="s">
        <v>33</v>
      </c>
      <c r="C1041" s="1">
        <v>5</v>
      </c>
      <c r="D1041" s="49">
        <v>110.797</v>
      </c>
      <c r="E1041" s="12">
        <f t="shared" si="17"/>
        <v>138.49625</v>
      </c>
      <c r="F1041" s="50">
        <v>93.563000000000002</v>
      </c>
      <c r="G1041" s="60">
        <v>80.759</v>
      </c>
      <c r="H1041" s="61">
        <v>1786.3330000000001</v>
      </c>
      <c r="I1041" s="62">
        <v>6.9</v>
      </c>
      <c r="J1041" s="63">
        <v>2.5999999999999999E-2</v>
      </c>
      <c r="K1041" s="68">
        <v>8.7430000000000003</v>
      </c>
      <c r="L1041" s="65">
        <v>40.451999999999998</v>
      </c>
      <c r="M1041" s="50">
        <v>4.9729999999999999</v>
      </c>
      <c r="N1041" s="63">
        <v>1.4999999999999999E-2</v>
      </c>
      <c r="O1041" s="57">
        <v>209.876</v>
      </c>
      <c r="P1041" s="67">
        <v>5.7000000000000002E-2</v>
      </c>
      <c r="Q1041" s="96"/>
    </row>
    <row r="1042" spans="1:17" ht="14.25" customHeight="1" x14ac:dyDescent="0.35">
      <c r="A1042" s="1">
        <v>2022</v>
      </c>
      <c r="B1042" s="1" t="s">
        <v>33</v>
      </c>
      <c r="C1042" s="1">
        <v>6</v>
      </c>
      <c r="D1042" s="49">
        <v>111.25</v>
      </c>
      <c r="E1042" s="12">
        <f t="shared" si="17"/>
        <v>139.0625</v>
      </c>
      <c r="F1042" s="50">
        <v>93.813000000000002</v>
      </c>
      <c r="G1042" s="60">
        <v>80.912000000000006</v>
      </c>
      <c r="H1042" s="61">
        <v>1706.4649999999999</v>
      </c>
      <c r="I1042" s="62">
        <v>6.9</v>
      </c>
      <c r="J1042" s="63">
        <v>2.5999999999999999E-2</v>
      </c>
      <c r="K1042" s="68">
        <v>8.75</v>
      </c>
      <c r="L1042" s="65">
        <v>38.695999999999998</v>
      </c>
      <c r="M1042" s="50">
        <v>4.9930000000000003</v>
      </c>
      <c r="N1042" s="63">
        <v>1.4999999999999999E-2</v>
      </c>
      <c r="O1042" s="57">
        <v>200.59299999999999</v>
      </c>
      <c r="P1042" s="67">
        <v>5.2999999999999999E-2</v>
      </c>
      <c r="Q1042" s="96"/>
    </row>
    <row r="1043" spans="1:17" ht="14.25" customHeight="1" x14ac:dyDescent="0.35">
      <c r="A1043" s="1">
        <v>2022</v>
      </c>
      <c r="B1043" s="1" t="s">
        <v>33</v>
      </c>
      <c r="C1043" s="1">
        <v>7</v>
      </c>
      <c r="D1043" s="49">
        <v>115.422</v>
      </c>
      <c r="E1043" s="12">
        <f t="shared" si="17"/>
        <v>144.2775</v>
      </c>
      <c r="F1043" s="50">
        <v>97.375</v>
      </c>
      <c r="G1043" s="60">
        <v>80.590999999999994</v>
      </c>
      <c r="H1043" s="61">
        <v>1661.02</v>
      </c>
      <c r="I1043" s="62">
        <v>6.9</v>
      </c>
      <c r="J1043" s="63">
        <v>2.5999999999999999E-2</v>
      </c>
      <c r="K1043" s="68">
        <v>8.6</v>
      </c>
      <c r="L1043" s="65">
        <v>40.847999999999999</v>
      </c>
      <c r="M1043" s="50">
        <v>5.0309999999999997</v>
      </c>
      <c r="N1043" s="63">
        <v>1.4999999999999999E-2</v>
      </c>
      <c r="O1043" s="57">
        <v>183.60900000000001</v>
      </c>
      <c r="P1043" s="67">
        <v>5.3999999999999999E-2</v>
      </c>
      <c r="Q1043" s="96"/>
    </row>
    <row r="1044" spans="1:17" ht="14.25" customHeight="1" x14ac:dyDescent="0.35">
      <c r="A1044" s="1">
        <v>2022</v>
      </c>
      <c r="B1044" s="1" t="s">
        <v>33</v>
      </c>
      <c r="C1044" s="1">
        <v>8</v>
      </c>
      <c r="D1044" s="49">
        <v>91.141000000000005</v>
      </c>
      <c r="E1044" s="12">
        <f t="shared" si="17"/>
        <v>113.92625000000001</v>
      </c>
      <c r="F1044" s="50">
        <v>76.688000000000002</v>
      </c>
      <c r="G1044" s="60">
        <v>79.262</v>
      </c>
      <c r="H1044" s="69">
        <v>1706.932</v>
      </c>
      <c r="I1044" s="62">
        <v>6.9</v>
      </c>
      <c r="J1044" s="63">
        <v>3.5000000000000003E-2</v>
      </c>
      <c r="K1044" s="71">
        <v>8.5180000000000007</v>
      </c>
      <c r="L1044" s="65">
        <v>43.704000000000001</v>
      </c>
      <c r="M1044" s="50">
        <v>4.9989999999999997</v>
      </c>
      <c r="N1044" s="63">
        <v>1.4999999999999999E-2</v>
      </c>
      <c r="O1044" s="57">
        <v>190.81</v>
      </c>
      <c r="P1044" s="70">
        <v>6.0999999999999999E-2</v>
      </c>
      <c r="Q1044" s="96"/>
    </row>
    <row r="1045" spans="1:17" ht="14.25" customHeight="1" x14ac:dyDescent="0.35">
      <c r="A1045" s="1">
        <v>2022</v>
      </c>
      <c r="B1045" s="1" t="s">
        <v>33</v>
      </c>
      <c r="C1045" s="1">
        <v>9</v>
      </c>
      <c r="D1045" s="49">
        <v>118.672</v>
      </c>
      <c r="E1045" s="12">
        <f t="shared" si="17"/>
        <v>148.34</v>
      </c>
      <c r="F1045" s="50">
        <v>100</v>
      </c>
      <c r="G1045" s="60">
        <v>79.262</v>
      </c>
      <c r="H1045" s="61">
        <v>1705.7270000000001</v>
      </c>
      <c r="I1045" s="62">
        <v>6.9</v>
      </c>
      <c r="J1045" s="63">
        <v>2.5999999999999999E-2</v>
      </c>
      <c r="K1045" s="68">
        <v>8.3740000000000006</v>
      </c>
      <c r="L1045" s="65">
        <v>43.366999999999997</v>
      </c>
      <c r="M1045" s="50">
        <v>5.0129999999999999</v>
      </c>
      <c r="N1045" s="63">
        <v>1.4999999999999999E-2</v>
      </c>
      <c r="O1045" s="57">
        <v>190.81</v>
      </c>
      <c r="P1045" s="67">
        <v>5.5E-2</v>
      </c>
      <c r="Q1045" s="96"/>
    </row>
    <row r="1046" spans="1:17" ht="14.25" customHeight="1" x14ac:dyDescent="0.35">
      <c r="A1046" s="1">
        <v>2022</v>
      </c>
      <c r="B1046" s="1" t="s">
        <v>33</v>
      </c>
      <c r="C1046" s="1">
        <v>10</v>
      </c>
      <c r="D1046" s="49">
        <v>118.10899999999999</v>
      </c>
      <c r="E1046" s="32">
        <v>147.22999999999999</v>
      </c>
      <c r="F1046" s="50">
        <v>99.218999999999994</v>
      </c>
      <c r="G1046" s="72">
        <v>79.581000000000003</v>
      </c>
      <c r="H1046" s="61">
        <v>1773.8119999999999</v>
      </c>
      <c r="I1046" s="62">
        <v>6.899</v>
      </c>
      <c r="J1046" s="63">
        <v>2.8000000000000001E-2</v>
      </c>
      <c r="K1046" s="76">
        <v>8.3610000000000007</v>
      </c>
      <c r="L1046" s="65">
        <v>43.893000000000001</v>
      </c>
      <c r="M1046" s="50">
        <v>5.0179999999999998</v>
      </c>
      <c r="N1046" s="110">
        <v>1.4999999999999999E-2</v>
      </c>
      <c r="O1046" s="57">
        <v>189.38900000000001</v>
      </c>
      <c r="P1046" s="75">
        <v>5.6000000000000001E-2</v>
      </c>
      <c r="Q1046" s="96"/>
    </row>
    <row r="1047" spans="1:17" ht="14.25" customHeight="1" x14ac:dyDescent="0.35">
      <c r="A1047" s="1">
        <v>2022</v>
      </c>
      <c r="B1047" s="1" t="s">
        <v>33</v>
      </c>
      <c r="C1047" s="1">
        <v>11</v>
      </c>
      <c r="D1047" s="49">
        <v>110.40600000000001</v>
      </c>
      <c r="E1047" s="12">
        <f t="shared" ref="E1047:E1074" si="18">D1047*1.25</f>
        <v>138.00749999999999</v>
      </c>
      <c r="F1047" s="50">
        <v>92.468999999999994</v>
      </c>
      <c r="G1047" s="72">
        <v>79.551000000000002</v>
      </c>
      <c r="H1047" s="61">
        <v>1786.703</v>
      </c>
      <c r="I1047" s="62">
        <v>6.9</v>
      </c>
      <c r="J1047" s="63">
        <v>2.9000000000000001E-2</v>
      </c>
      <c r="K1047" s="76">
        <v>8.2270000000000003</v>
      </c>
      <c r="L1047" s="65">
        <v>42.540999999999997</v>
      </c>
      <c r="M1047" s="50">
        <v>4.9939999999999998</v>
      </c>
      <c r="N1047" s="110">
        <v>1.4999999999999999E-2</v>
      </c>
      <c r="O1047" s="57">
        <v>200.31299999999999</v>
      </c>
      <c r="P1047" s="75">
        <v>5.2999999999999999E-2</v>
      </c>
      <c r="Q1047" s="96"/>
    </row>
    <row r="1048" spans="1:17" ht="14.25" customHeight="1" x14ac:dyDescent="0.35">
      <c r="A1048" s="1">
        <v>2022</v>
      </c>
      <c r="B1048" s="1" t="s">
        <v>33</v>
      </c>
      <c r="C1048" s="1">
        <v>12</v>
      </c>
      <c r="D1048" s="49">
        <v>111.828</v>
      </c>
      <c r="E1048" s="12">
        <f t="shared" si="18"/>
        <v>139.785</v>
      </c>
      <c r="F1048" s="50">
        <v>93.593999999999994</v>
      </c>
      <c r="G1048" s="72">
        <v>79.403000000000006</v>
      </c>
      <c r="H1048" s="61">
        <v>1735.144</v>
      </c>
      <c r="I1048" s="62">
        <v>6.9</v>
      </c>
      <c r="J1048" s="63">
        <v>2.8000000000000001E-2</v>
      </c>
      <c r="K1048" s="76">
        <v>8.3360000000000003</v>
      </c>
      <c r="L1048" s="65">
        <v>41.078000000000003</v>
      </c>
      <c r="M1048" s="50">
        <v>4.9889999999999999</v>
      </c>
      <c r="N1048" s="110">
        <v>1.4999999999999999E-2</v>
      </c>
      <c r="O1048" s="57">
        <v>202.78299999999999</v>
      </c>
      <c r="P1048" s="75">
        <v>5.0999999999999997E-2</v>
      </c>
      <c r="Q1048" s="96"/>
    </row>
    <row r="1049" spans="1:17" ht="14.25" customHeight="1" x14ac:dyDescent="0.35">
      <c r="A1049" s="1">
        <v>2022</v>
      </c>
      <c r="B1049" s="1" t="s">
        <v>33</v>
      </c>
      <c r="C1049" s="1">
        <v>13</v>
      </c>
      <c r="D1049" s="49">
        <v>111.46899999999999</v>
      </c>
      <c r="E1049" s="12">
        <f t="shared" si="18"/>
        <v>139.33625000000001</v>
      </c>
      <c r="F1049" s="50">
        <v>93.281000000000006</v>
      </c>
      <c r="G1049" s="78">
        <v>79.265000000000001</v>
      </c>
      <c r="H1049" s="61">
        <v>1651.9269999999999</v>
      </c>
      <c r="I1049" s="62">
        <v>6.9</v>
      </c>
      <c r="J1049" s="63">
        <v>2.8000000000000001E-2</v>
      </c>
      <c r="K1049" s="81">
        <v>8.18</v>
      </c>
      <c r="L1049" s="65">
        <v>38.405000000000001</v>
      </c>
      <c r="M1049" s="50">
        <v>4.9809999999999999</v>
      </c>
      <c r="N1049" s="63">
        <v>1.4999999999999999E-2</v>
      </c>
      <c r="O1049" s="57">
        <v>206.17500000000001</v>
      </c>
      <c r="P1049" s="80">
        <v>4.9000000000000002E-2</v>
      </c>
      <c r="Q1049" s="96"/>
    </row>
    <row r="1050" spans="1:17" ht="14.25" customHeight="1" x14ac:dyDescent="0.35">
      <c r="A1050" s="1">
        <v>2022</v>
      </c>
      <c r="B1050" s="1" t="s">
        <v>33</v>
      </c>
      <c r="C1050" s="1">
        <v>14</v>
      </c>
      <c r="D1050" s="49">
        <v>119.46899999999999</v>
      </c>
      <c r="E1050" s="12">
        <f t="shared" si="18"/>
        <v>149.33625000000001</v>
      </c>
      <c r="F1050" s="50">
        <v>100</v>
      </c>
      <c r="G1050" s="60">
        <v>79.225999999999999</v>
      </c>
      <c r="H1050" s="61">
        <v>1617.1110000000001</v>
      </c>
      <c r="I1050" s="62">
        <v>6.8970000000000002</v>
      </c>
      <c r="J1050" s="63">
        <v>2.9000000000000001E-2</v>
      </c>
      <c r="K1050" s="81">
        <v>8.3800000000000008</v>
      </c>
      <c r="L1050" s="82">
        <v>37.738999999999997</v>
      </c>
      <c r="M1050" s="50">
        <v>4.9809999999999999</v>
      </c>
      <c r="N1050" s="63">
        <v>1.2999999999999999E-2</v>
      </c>
      <c r="O1050" s="57">
        <v>205.83</v>
      </c>
      <c r="P1050" s="80">
        <v>4.8000000000000001E-2</v>
      </c>
      <c r="Q1050" s="96"/>
    </row>
    <row r="1051" spans="1:17" ht="14.25" customHeight="1" x14ac:dyDescent="0.35">
      <c r="A1051" s="1">
        <v>2022</v>
      </c>
      <c r="B1051" s="1" t="s">
        <v>33</v>
      </c>
      <c r="C1051" s="1">
        <v>15</v>
      </c>
      <c r="D1051" s="49">
        <v>108.797</v>
      </c>
      <c r="E1051" s="12">
        <f t="shared" si="18"/>
        <v>135.99625</v>
      </c>
      <c r="F1051" s="50">
        <v>90.968999999999994</v>
      </c>
      <c r="G1051" s="60">
        <v>79.209999999999994</v>
      </c>
      <c r="H1051" s="61">
        <v>1729.0989999999999</v>
      </c>
      <c r="I1051" s="62">
        <v>6.8979999999999997</v>
      </c>
      <c r="J1051" s="63">
        <v>0.03</v>
      </c>
      <c r="K1051" s="76">
        <v>8.5389999999999997</v>
      </c>
      <c r="L1051" s="65">
        <v>37.804000000000002</v>
      </c>
      <c r="M1051" s="50">
        <v>4.9269999999999996</v>
      </c>
      <c r="N1051" s="63">
        <v>1.4999999999999999E-2</v>
      </c>
      <c r="O1051" s="57">
        <v>234.89099999999999</v>
      </c>
      <c r="P1051" s="75">
        <v>5.2999999999999999E-2</v>
      </c>
      <c r="Q1051" s="96"/>
    </row>
    <row r="1052" spans="1:17" ht="14.25" customHeight="1" x14ac:dyDescent="0.35">
      <c r="A1052" s="1">
        <v>2022</v>
      </c>
      <c r="B1052" s="1" t="s">
        <v>33</v>
      </c>
      <c r="C1052" s="1">
        <v>16</v>
      </c>
      <c r="D1052" s="49">
        <v>111.89100000000001</v>
      </c>
      <c r="E1052" s="12">
        <f t="shared" si="18"/>
        <v>139.86375000000001</v>
      </c>
      <c r="F1052" s="50">
        <v>93.468999999999994</v>
      </c>
      <c r="G1052" s="60">
        <v>78.835999999999999</v>
      </c>
      <c r="H1052" s="61">
        <v>1771.8710000000001</v>
      </c>
      <c r="I1052" s="62">
        <v>6.9</v>
      </c>
      <c r="J1052" s="63">
        <v>3.1E-2</v>
      </c>
      <c r="K1052" s="81">
        <v>8.2940000000000005</v>
      </c>
      <c r="L1052" s="61">
        <v>40.195999999999998</v>
      </c>
      <c r="M1052" s="62">
        <v>4.931</v>
      </c>
      <c r="N1052" s="63">
        <v>1.4999999999999999E-2</v>
      </c>
      <c r="O1052" s="57">
        <v>230.797</v>
      </c>
      <c r="P1052" s="80">
        <v>5.1999999999999998E-2</v>
      </c>
      <c r="Q1052" s="96"/>
    </row>
    <row r="1053" spans="1:17" ht="14.25" customHeight="1" x14ac:dyDescent="0.35">
      <c r="A1053" s="1">
        <v>2022</v>
      </c>
      <c r="B1053" s="1" t="s">
        <v>33</v>
      </c>
      <c r="C1053" s="1">
        <v>17</v>
      </c>
      <c r="D1053" s="49">
        <v>111.01600000000001</v>
      </c>
      <c r="E1053" s="12">
        <f t="shared" si="18"/>
        <v>138.77000000000001</v>
      </c>
      <c r="F1053" s="50">
        <v>92.75</v>
      </c>
      <c r="G1053" s="60">
        <v>79.08</v>
      </c>
      <c r="H1053" s="61">
        <v>1789.527</v>
      </c>
      <c r="I1053" s="62">
        <v>6.9</v>
      </c>
      <c r="J1053" s="63">
        <v>3.2000000000000001E-2</v>
      </c>
      <c r="K1053" s="68">
        <v>8.2959999999999994</v>
      </c>
      <c r="L1053" s="65">
        <v>41.847000000000001</v>
      </c>
      <c r="M1053" s="50">
        <v>4.915</v>
      </c>
      <c r="N1053" s="63">
        <v>1.4999999999999999E-2</v>
      </c>
      <c r="O1053" s="57">
        <v>240.547</v>
      </c>
      <c r="P1053" s="67">
        <v>5.6000000000000001E-2</v>
      </c>
      <c r="Q1053" s="96"/>
    </row>
    <row r="1054" spans="1:17" ht="14.25" customHeight="1" x14ac:dyDescent="0.35">
      <c r="A1054" s="1">
        <v>2022</v>
      </c>
      <c r="B1054" s="1" t="s">
        <v>33</v>
      </c>
      <c r="C1054" s="1">
        <v>18</v>
      </c>
      <c r="D1054" s="49">
        <v>115.125</v>
      </c>
      <c r="E1054" s="12">
        <f t="shared" si="18"/>
        <v>143.90625</v>
      </c>
      <c r="F1054" s="50">
        <v>96.218999999999994</v>
      </c>
      <c r="G1054" s="60">
        <v>79.066000000000003</v>
      </c>
      <c r="H1054" s="61">
        <v>1777.9839999999999</v>
      </c>
      <c r="I1054" s="62">
        <v>6.9</v>
      </c>
      <c r="J1054" s="63">
        <v>3.2000000000000001E-2</v>
      </c>
      <c r="K1054" s="68">
        <v>8.3819999999999997</v>
      </c>
      <c r="L1054" s="61">
        <v>40.494999999999997</v>
      </c>
      <c r="M1054" s="62">
        <v>5.0620000000000003</v>
      </c>
      <c r="N1054" s="63">
        <v>1.4999999999999999E-2</v>
      </c>
      <c r="O1054" s="57">
        <v>176.38200000000001</v>
      </c>
      <c r="P1054" s="67">
        <v>6.4000000000000001E-2</v>
      </c>
      <c r="Q1054" s="96"/>
    </row>
    <row r="1055" spans="1:17" ht="14.25" customHeight="1" x14ac:dyDescent="0.35">
      <c r="A1055" s="1">
        <v>2022</v>
      </c>
      <c r="B1055" s="1" t="s">
        <v>33</v>
      </c>
      <c r="C1055" s="1">
        <v>19</v>
      </c>
      <c r="D1055" s="49">
        <v>86.703000000000003</v>
      </c>
      <c r="E1055" s="12">
        <f t="shared" si="18"/>
        <v>108.37875</v>
      </c>
      <c r="F1055" s="50">
        <v>72.406000000000006</v>
      </c>
      <c r="G1055" s="60">
        <v>79.114999999999995</v>
      </c>
      <c r="H1055" s="61">
        <v>1689.836</v>
      </c>
      <c r="I1055" s="62">
        <v>6.8680000000000003</v>
      </c>
      <c r="J1055" s="63">
        <v>3.6999999999999998E-2</v>
      </c>
      <c r="K1055" s="68">
        <v>8.1449999999999996</v>
      </c>
      <c r="L1055" s="65">
        <v>37.100999999999999</v>
      </c>
      <c r="M1055" s="50">
        <v>5.1159999999999997</v>
      </c>
      <c r="N1055" s="63">
        <v>1.4999999999999999E-2</v>
      </c>
      <c r="O1055" s="57">
        <v>151.17599999999999</v>
      </c>
      <c r="P1055" s="67">
        <v>5.3999999999999999E-2</v>
      </c>
      <c r="Q1055" s="96"/>
    </row>
    <row r="1056" spans="1:17" ht="14.25" customHeight="1" x14ac:dyDescent="0.35">
      <c r="A1056" s="1">
        <v>2022</v>
      </c>
      <c r="B1056" s="1" t="s">
        <v>33</v>
      </c>
      <c r="C1056" s="1">
        <v>20</v>
      </c>
      <c r="D1056" s="49">
        <v>108.75</v>
      </c>
      <c r="E1056" s="12">
        <f t="shared" si="18"/>
        <v>135.9375</v>
      </c>
      <c r="F1056" s="50">
        <v>91.313000000000002</v>
      </c>
      <c r="G1056" s="60">
        <v>78.825000000000003</v>
      </c>
      <c r="H1056" s="61">
        <v>1592.307</v>
      </c>
      <c r="I1056" s="62">
        <v>6.8959999999999999</v>
      </c>
      <c r="J1056" s="63">
        <v>2.9000000000000001E-2</v>
      </c>
      <c r="K1056" s="68">
        <v>8.0709999999999997</v>
      </c>
      <c r="L1056" s="61">
        <v>32.433999999999997</v>
      </c>
      <c r="M1056" s="62">
        <v>5.0599999999999996</v>
      </c>
      <c r="N1056" s="63">
        <v>1.4999999999999999E-2</v>
      </c>
      <c r="O1056" s="57">
        <v>171.83199999999999</v>
      </c>
      <c r="P1056" s="67">
        <v>4.9000000000000002E-2</v>
      </c>
      <c r="Q1056" s="96"/>
    </row>
    <row r="1057" spans="1:17" ht="14.25" customHeight="1" x14ac:dyDescent="0.35">
      <c r="A1057" s="1">
        <v>2022</v>
      </c>
      <c r="B1057" s="1" t="s">
        <v>33</v>
      </c>
      <c r="C1057" s="1">
        <v>21</v>
      </c>
      <c r="D1057" s="49">
        <v>114.53100000000001</v>
      </c>
      <c r="E1057" s="12">
        <f t="shared" si="18"/>
        <v>143.16374999999999</v>
      </c>
      <c r="F1057" s="50">
        <v>96.25</v>
      </c>
      <c r="G1057" s="60">
        <v>78.786000000000001</v>
      </c>
      <c r="H1057" s="61">
        <v>1590.646</v>
      </c>
      <c r="I1057" s="62">
        <v>6.9</v>
      </c>
      <c r="J1057" s="63">
        <v>2.8000000000000001E-2</v>
      </c>
      <c r="K1057" s="68">
        <v>8.0649999999999995</v>
      </c>
      <c r="L1057" s="65">
        <v>36.814999999999998</v>
      </c>
      <c r="M1057" s="50">
        <v>5.117</v>
      </c>
      <c r="N1057" s="63">
        <v>1.4999999999999999E-2</v>
      </c>
      <c r="O1057" s="57">
        <v>150.47200000000001</v>
      </c>
      <c r="P1057" s="67">
        <v>5.0999999999999997E-2</v>
      </c>
      <c r="Q1057" s="96"/>
    </row>
    <row r="1058" spans="1:17" ht="14.25" customHeight="1" x14ac:dyDescent="0.35">
      <c r="A1058" s="1">
        <v>2022</v>
      </c>
      <c r="B1058" s="1" t="s">
        <v>33</v>
      </c>
      <c r="C1058" s="1">
        <v>22</v>
      </c>
      <c r="D1058" s="49">
        <v>110.75</v>
      </c>
      <c r="E1058" s="12">
        <f t="shared" si="18"/>
        <v>138.4375</v>
      </c>
      <c r="F1058" s="50">
        <v>93.5</v>
      </c>
      <c r="G1058" s="60">
        <v>78.731999999999999</v>
      </c>
      <c r="H1058" s="61">
        <v>1694.002</v>
      </c>
      <c r="I1058" s="62">
        <v>6.9</v>
      </c>
      <c r="J1058" s="63">
        <v>2.9000000000000001E-2</v>
      </c>
      <c r="K1058" s="68">
        <v>8.3160000000000007</v>
      </c>
      <c r="L1058" s="61">
        <v>41.491</v>
      </c>
      <c r="M1058" s="62">
        <v>5.1269999999999998</v>
      </c>
      <c r="N1058" s="63">
        <v>1.4999999999999999E-2</v>
      </c>
      <c r="O1058" s="57">
        <v>148.27600000000001</v>
      </c>
      <c r="P1058" s="67">
        <v>5.8999999999999997E-2</v>
      </c>
      <c r="Q1058" s="96"/>
    </row>
    <row r="1059" spans="1:17" ht="14.25" customHeight="1" x14ac:dyDescent="0.35">
      <c r="A1059" s="1">
        <v>2022</v>
      </c>
      <c r="B1059" s="1" t="s">
        <v>33</v>
      </c>
      <c r="C1059" s="1">
        <v>23</v>
      </c>
      <c r="D1059" s="49">
        <v>108.953</v>
      </c>
      <c r="E1059" s="12">
        <f t="shared" si="18"/>
        <v>136.19125</v>
      </c>
      <c r="F1059" s="50">
        <v>92.063000000000002</v>
      </c>
      <c r="G1059" s="60">
        <v>78.623000000000005</v>
      </c>
      <c r="H1059" s="61">
        <v>1741.21</v>
      </c>
      <c r="I1059" s="62">
        <v>6.9</v>
      </c>
      <c r="J1059" s="63">
        <v>2.9000000000000001E-2</v>
      </c>
      <c r="K1059" s="68">
        <v>8.3620000000000001</v>
      </c>
      <c r="L1059" s="65">
        <v>42.125999999999998</v>
      </c>
      <c r="M1059" s="50">
        <v>5.33</v>
      </c>
      <c r="N1059" s="63">
        <v>1.4999999999999999E-2</v>
      </c>
      <c r="O1059" s="57">
        <v>100.64400000000001</v>
      </c>
      <c r="P1059" s="67">
        <v>6.0999999999999999E-2</v>
      </c>
      <c r="Q1059" s="96"/>
    </row>
    <row r="1060" spans="1:17" ht="14.25" customHeight="1" x14ac:dyDescent="0.35">
      <c r="A1060" s="1">
        <v>2022</v>
      </c>
      <c r="B1060" s="1" t="s">
        <v>33</v>
      </c>
      <c r="C1060" s="1">
        <v>24</v>
      </c>
      <c r="D1060" s="49">
        <v>109.375</v>
      </c>
      <c r="E1060" s="12">
        <f t="shared" si="18"/>
        <v>136.71875</v>
      </c>
      <c r="F1060" s="50">
        <v>92.281000000000006</v>
      </c>
      <c r="G1060" s="60">
        <v>78.644000000000005</v>
      </c>
      <c r="H1060" s="61">
        <v>1721.6020000000001</v>
      </c>
      <c r="I1060" s="62">
        <v>6.9</v>
      </c>
      <c r="J1060" s="63">
        <v>2.9000000000000001E-2</v>
      </c>
      <c r="K1060" s="68">
        <v>8.3249999999999993</v>
      </c>
      <c r="L1060" s="61">
        <v>41.750999999999998</v>
      </c>
      <c r="M1060" s="62">
        <v>5.4420000000000002</v>
      </c>
      <c r="N1060" s="63">
        <v>1.4999999999999999E-2</v>
      </c>
      <c r="O1060" s="57">
        <v>71.402000000000001</v>
      </c>
      <c r="P1060" s="67">
        <v>5.5E-2</v>
      </c>
      <c r="Q1060" s="96"/>
    </row>
    <row r="1061" spans="1:17" ht="14.25" customHeight="1" x14ac:dyDescent="0.35">
      <c r="A1061" s="1">
        <v>2022</v>
      </c>
      <c r="B1061" s="1" t="s">
        <v>33</v>
      </c>
      <c r="C1061" s="1">
        <v>25</v>
      </c>
      <c r="D1061" s="49">
        <v>101.76600000000001</v>
      </c>
      <c r="E1061" s="12">
        <f t="shared" si="18"/>
        <v>127.20750000000001</v>
      </c>
      <c r="F1061" s="50">
        <v>85.688000000000002</v>
      </c>
      <c r="G1061" s="60">
        <v>78.55</v>
      </c>
      <c r="H1061" s="61">
        <v>1662.6389999999999</v>
      </c>
      <c r="I1061" s="62">
        <v>6.9</v>
      </c>
      <c r="J1061" s="63">
        <v>0.03</v>
      </c>
      <c r="K1061" s="68">
        <v>7.8979999999999997</v>
      </c>
      <c r="L1061" s="65">
        <v>41.503999999999998</v>
      </c>
      <c r="M1061" s="50">
        <v>5.4210000000000003</v>
      </c>
      <c r="N1061" s="63">
        <v>1.4999999999999999E-2</v>
      </c>
      <c r="O1061" s="57">
        <v>74.872</v>
      </c>
      <c r="P1061" s="67">
        <v>4.9000000000000002E-2</v>
      </c>
      <c r="Q1061" s="96"/>
    </row>
    <row r="1062" spans="1:17" ht="14.25" customHeight="1" x14ac:dyDescent="0.35">
      <c r="A1062" s="1">
        <v>2022</v>
      </c>
      <c r="B1062" s="1" t="s">
        <v>33</v>
      </c>
      <c r="C1062" s="1">
        <v>26</v>
      </c>
      <c r="D1062" s="49">
        <v>103.25</v>
      </c>
      <c r="E1062" s="12">
        <f t="shared" si="18"/>
        <v>129.0625</v>
      </c>
      <c r="F1062" s="50">
        <v>86.968999999999994</v>
      </c>
      <c r="G1062" s="60">
        <v>78.251000000000005</v>
      </c>
      <c r="H1062" s="61">
        <v>1636.7729999999999</v>
      </c>
      <c r="I1062" s="62">
        <v>6.9</v>
      </c>
      <c r="J1062" s="63">
        <v>3.1E-2</v>
      </c>
      <c r="K1062" s="68">
        <v>8.2669999999999995</v>
      </c>
      <c r="L1062" s="61">
        <v>41.067999999999998</v>
      </c>
      <c r="M1062" s="62">
        <v>5.4349999999999996</v>
      </c>
      <c r="N1062" s="63">
        <v>1.4999999999999999E-2</v>
      </c>
      <c r="O1062" s="57">
        <v>72.605999999999995</v>
      </c>
      <c r="P1062" s="67">
        <v>4.8000000000000001E-2</v>
      </c>
      <c r="Q1062" s="96"/>
    </row>
    <row r="1063" spans="1:17" ht="14.25" customHeight="1" x14ac:dyDescent="0.35">
      <c r="A1063" s="1">
        <v>2022</v>
      </c>
      <c r="B1063" s="1" t="s">
        <v>33</v>
      </c>
      <c r="C1063" s="1">
        <v>27</v>
      </c>
      <c r="D1063" s="49">
        <v>106.063</v>
      </c>
      <c r="E1063" s="12">
        <f t="shared" si="18"/>
        <v>132.57875000000001</v>
      </c>
      <c r="F1063" s="50">
        <v>89.218999999999994</v>
      </c>
      <c r="G1063" s="60">
        <v>78.248999999999995</v>
      </c>
      <c r="H1063" s="61">
        <v>1607.6759999999999</v>
      </c>
      <c r="I1063" s="62">
        <v>6.9</v>
      </c>
      <c r="J1063" s="63">
        <v>2.8000000000000001E-2</v>
      </c>
      <c r="K1063" s="68">
        <v>8.3179999999999996</v>
      </c>
      <c r="L1063" s="65">
        <v>39.735999999999997</v>
      </c>
      <c r="M1063" s="50">
        <v>5.4210000000000003</v>
      </c>
      <c r="N1063" s="63">
        <v>1.4999999999999999E-2</v>
      </c>
      <c r="O1063" s="57">
        <v>75.078999999999994</v>
      </c>
      <c r="P1063" s="67">
        <v>4.8000000000000001E-2</v>
      </c>
      <c r="Q1063" s="96"/>
    </row>
    <row r="1064" spans="1:17" ht="14.25" customHeight="1" x14ac:dyDescent="0.35">
      <c r="A1064" s="1">
        <v>2022</v>
      </c>
      <c r="B1064" s="1" t="s">
        <v>33</v>
      </c>
      <c r="C1064" s="1">
        <v>28</v>
      </c>
      <c r="D1064" s="49">
        <v>107.01600000000001</v>
      </c>
      <c r="E1064" s="12">
        <f t="shared" si="18"/>
        <v>133.77000000000001</v>
      </c>
      <c r="F1064" s="50">
        <v>89.968999999999994</v>
      </c>
      <c r="G1064" s="60">
        <v>77.94</v>
      </c>
      <c r="H1064" s="61">
        <v>1605.7809999999999</v>
      </c>
      <c r="I1064" s="62">
        <v>6.9</v>
      </c>
      <c r="J1064" s="63">
        <v>3.2000000000000001E-2</v>
      </c>
      <c r="K1064" s="68">
        <v>8.5370000000000008</v>
      </c>
      <c r="L1064" s="61">
        <v>40.027999999999999</v>
      </c>
      <c r="M1064" s="62">
        <v>5.4649999999999999</v>
      </c>
      <c r="N1064" s="63">
        <v>1.4999999999999999E-2</v>
      </c>
      <c r="O1064" s="57">
        <v>67.66</v>
      </c>
      <c r="P1064" s="67">
        <v>5.0999999999999997E-2</v>
      </c>
      <c r="Q1064" s="96"/>
    </row>
    <row r="1065" spans="1:17" ht="14.25" customHeight="1" x14ac:dyDescent="0.35">
      <c r="A1065" s="1">
        <v>2022</v>
      </c>
      <c r="B1065" s="1" t="s">
        <v>33</v>
      </c>
      <c r="C1065" s="1">
        <v>29</v>
      </c>
      <c r="D1065" s="49">
        <v>107.125</v>
      </c>
      <c r="E1065" s="12">
        <f t="shared" si="18"/>
        <v>133.90625</v>
      </c>
      <c r="F1065" s="50">
        <v>90</v>
      </c>
      <c r="G1065" s="83">
        <v>78.016000000000005</v>
      </c>
      <c r="H1065" s="69">
        <v>1735.5160000000001</v>
      </c>
      <c r="I1065" s="50">
        <v>6.9</v>
      </c>
      <c r="J1065" s="66">
        <v>3.5000000000000003E-2</v>
      </c>
      <c r="K1065" s="117">
        <v>8.5879999999999992</v>
      </c>
      <c r="L1065" s="61">
        <v>43.033999999999999</v>
      </c>
      <c r="M1065" s="62">
        <v>5.4580000000000002</v>
      </c>
      <c r="N1065" s="63">
        <v>1.4999999999999999E-2</v>
      </c>
      <c r="O1065" s="57">
        <v>68.647000000000006</v>
      </c>
      <c r="P1065" s="84">
        <v>5.8000000000000003E-2</v>
      </c>
      <c r="Q1065" s="96"/>
    </row>
    <row r="1066" spans="1:17" ht="14.25" customHeight="1" x14ac:dyDescent="0.35">
      <c r="A1066" s="1">
        <v>2022</v>
      </c>
      <c r="B1066" s="1" t="s">
        <v>33</v>
      </c>
      <c r="C1066" s="1">
        <v>30</v>
      </c>
      <c r="D1066" s="104">
        <v>110.96899999999999</v>
      </c>
      <c r="E1066" s="12">
        <f t="shared" si="18"/>
        <v>138.71125000000001</v>
      </c>
      <c r="F1066" s="105">
        <v>93.063000000000002</v>
      </c>
      <c r="G1066" s="83">
        <v>78.064999999999998</v>
      </c>
      <c r="H1066" s="69">
        <v>1755.1559999999999</v>
      </c>
      <c r="I1066" s="50">
        <v>6.9</v>
      </c>
      <c r="J1066" s="66">
        <v>3.9E-2</v>
      </c>
      <c r="K1066" s="117">
        <v>8.4719999999999995</v>
      </c>
      <c r="L1066" s="61">
        <v>41.228999999999999</v>
      </c>
      <c r="M1066" s="62">
        <v>5.4379999999999997</v>
      </c>
      <c r="N1066" s="63">
        <v>1.4999999999999999E-2</v>
      </c>
      <c r="O1066" s="57">
        <v>72.186000000000007</v>
      </c>
      <c r="P1066" s="84">
        <v>5.7000000000000002E-2</v>
      </c>
      <c r="Q1066" s="96"/>
    </row>
    <row r="1067" spans="1:17" ht="14.25" customHeight="1" x14ac:dyDescent="0.35">
      <c r="A1067" s="1">
        <v>2022</v>
      </c>
      <c r="B1067" s="1" t="s">
        <v>34</v>
      </c>
      <c r="C1067" s="1">
        <v>1</v>
      </c>
      <c r="D1067" s="99">
        <v>109.26600000000001</v>
      </c>
      <c r="E1067" s="12">
        <f t="shared" si="18"/>
        <v>136.58250000000001</v>
      </c>
      <c r="F1067" s="77">
        <v>91.281000000000006</v>
      </c>
      <c r="G1067" s="51">
        <v>77.900999999999996</v>
      </c>
      <c r="H1067" s="52">
        <v>1788.375</v>
      </c>
      <c r="I1067" s="53">
        <v>6.9</v>
      </c>
      <c r="J1067" s="54">
        <v>3.4000000000000002E-2</v>
      </c>
      <c r="K1067" s="59">
        <v>8.468</v>
      </c>
      <c r="L1067" s="52">
        <v>40.286999999999999</v>
      </c>
      <c r="M1067" s="55">
        <v>5.4409999999999998</v>
      </c>
      <c r="N1067" s="56">
        <v>1.4999999999999999E-2</v>
      </c>
      <c r="O1067" s="57">
        <v>71.662000000000006</v>
      </c>
      <c r="P1067" s="58">
        <v>5.5E-2</v>
      </c>
      <c r="Q1067" s="96"/>
    </row>
    <row r="1068" spans="1:17" ht="14.25" customHeight="1" x14ac:dyDescent="0.35">
      <c r="A1068" s="1">
        <v>2022</v>
      </c>
      <c r="B1068" s="1" t="s">
        <v>34</v>
      </c>
      <c r="C1068" s="1">
        <v>2</v>
      </c>
      <c r="D1068" s="99">
        <v>112.23399999999999</v>
      </c>
      <c r="E1068" s="12">
        <f t="shared" si="18"/>
        <v>140.29249999999999</v>
      </c>
      <c r="F1068" s="77">
        <v>93.906000000000006</v>
      </c>
      <c r="G1068" s="60">
        <v>77.682000000000002</v>
      </c>
      <c r="H1068" s="61">
        <v>1761.3879999999999</v>
      </c>
      <c r="I1068" s="62">
        <v>6.9</v>
      </c>
      <c r="J1068" s="63">
        <v>3.4000000000000002E-2</v>
      </c>
      <c r="K1068" s="68">
        <v>8.484</v>
      </c>
      <c r="L1068" s="65">
        <v>37.277999999999999</v>
      </c>
      <c r="M1068" s="50">
        <v>5.3419999999999996</v>
      </c>
      <c r="N1068" s="66">
        <v>1.4999999999999999E-2</v>
      </c>
      <c r="O1068" s="57">
        <v>90.634</v>
      </c>
      <c r="P1068" s="67">
        <v>5.1999999999999998E-2</v>
      </c>
      <c r="Q1068" s="96"/>
    </row>
    <row r="1069" spans="1:17" ht="14.25" customHeight="1" x14ac:dyDescent="0.35">
      <c r="A1069" s="1">
        <v>2022</v>
      </c>
      <c r="B1069" s="1" t="s">
        <v>34</v>
      </c>
      <c r="C1069" s="1">
        <v>3</v>
      </c>
      <c r="D1069" s="99">
        <v>107.25</v>
      </c>
      <c r="E1069" s="12">
        <f t="shared" si="18"/>
        <v>134.0625</v>
      </c>
      <c r="F1069" s="77">
        <v>89.593999999999994</v>
      </c>
      <c r="G1069" s="60">
        <v>77.933000000000007</v>
      </c>
      <c r="H1069" s="61">
        <v>1678.3589999999999</v>
      </c>
      <c r="I1069" s="62">
        <v>6.9</v>
      </c>
      <c r="J1069" s="63">
        <v>3.3000000000000002E-2</v>
      </c>
      <c r="K1069" s="68">
        <v>8.2940000000000005</v>
      </c>
      <c r="L1069" s="65">
        <v>37.350999999999999</v>
      </c>
      <c r="M1069" s="50">
        <v>5.2619999999999996</v>
      </c>
      <c r="N1069" s="66">
        <v>1.4999999999999999E-2</v>
      </c>
      <c r="O1069" s="57">
        <v>108.042</v>
      </c>
      <c r="P1069" s="67">
        <v>5.1999999999999998E-2</v>
      </c>
      <c r="Q1069" s="96"/>
    </row>
    <row r="1070" spans="1:17" ht="14.25" customHeight="1" x14ac:dyDescent="0.35">
      <c r="A1070" s="1">
        <v>2022</v>
      </c>
      <c r="B1070" s="1" t="s">
        <v>34</v>
      </c>
      <c r="C1070" s="1">
        <v>4</v>
      </c>
      <c r="D1070" s="99">
        <v>110.85899999999999</v>
      </c>
      <c r="E1070" s="12">
        <f t="shared" si="18"/>
        <v>138.57374999999999</v>
      </c>
      <c r="F1070" s="77">
        <v>92.625</v>
      </c>
      <c r="G1070" s="60">
        <v>78.216999999999999</v>
      </c>
      <c r="H1070" s="61">
        <v>1586.1569999999999</v>
      </c>
      <c r="I1070" s="62">
        <v>6.9</v>
      </c>
      <c r="J1070" s="63">
        <v>3.2000000000000001E-2</v>
      </c>
      <c r="K1070" s="68">
        <v>8.3320000000000007</v>
      </c>
      <c r="L1070" s="65">
        <v>35.795000000000002</v>
      </c>
      <c r="M1070" s="50">
        <v>5.27</v>
      </c>
      <c r="N1070" s="66">
        <v>1.4999999999999999E-2</v>
      </c>
      <c r="O1070" s="57">
        <v>105.75</v>
      </c>
      <c r="P1070" s="67">
        <v>0.05</v>
      </c>
      <c r="Q1070" s="96"/>
    </row>
    <row r="1071" spans="1:17" ht="14.25" customHeight="1" x14ac:dyDescent="0.35">
      <c r="A1071" s="1">
        <v>2022</v>
      </c>
      <c r="B1071" s="1" t="s">
        <v>34</v>
      </c>
      <c r="C1071" s="1">
        <v>5</v>
      </c>
      <c r="D1071" s="99">
        <v>36.421999999999997</v>
      </c>
      <c r="E1071" s="12">
        <f t="shared" si="18"/>
        <v>45.527499999999996</v>
      </c>
      <c r="F1071" s="77">
        <v>30.594000000000001</v>
      </c>
      <c r="G1071" s="60">
        <v>75.656000000000006</v>
      </c>
      <c r="H1071" s="61">
        <v>1789.864</v>
      </c>
      <c r="I1071" s="62">
        <v>6.875</v>
      </c>
      <c r="J1071" s="63">
        <v>3.6999999999999998E-2</v>
      </c>
      <c r="K1071" s="68">
        <v>8.6129999999999995</v>
      </c>
      <c r="L1071" s="65">
        <v>45.838000000000001</v>
      </c>
      <c r="M1071" s="50">
        <v>5.3419999999999996</v>
      </c>
      <c r="N1071" s="66">
        <v>0.02</v>
      </c>
      <c r="O1071" s="57">
        <v>91.241</v>
      </c>
      <c r="P1071" s="67">
        <v>6.5000000000000002E-2</v>
      </c>
      <c r="Q1071" s="96"/>
    </row>
    <row r="1072" spans="1:17" ht="14.25" customHeight="1" x14ac:dyDescent="0.35">
      <c r="A1072" s="1">
        <v>2022</v>
      </c>
      <c r="B1072" s="1" t="s">
        <v>34</v>
      </c>
      <c r="C1072" s="1">
        <v>6</v>
      </c>
      <c r="D1072" s="99">
        <v>68</v>
      </c>
      <c r="E1072" s="12">
        <f t="shared" si="18"/>
        <v>85</v>
      </c>
      <c r="F1072" s="77">
        <v>57.188000000000002</v>
      </c>
      <c r="G1072" s="60">
        <v>77.415999999999997</v>
      </c>
      <c r="H1072" s="61">
        <v>2258.7689999999998</v>
      </c>
      <c r="I1072" s="62">
        <v>6.9039999999999999</v>
      </c>
      <c r="J1072" s="63">
        <v>2.7E-2</v>
      </c>
      <c r="K1072" s="68">
        <v>7.79</v>
      </c>
      <c r="L1072" s="65">
        <v>57.183</v>
      </c>
      <c r="M1072" s="50">
        <v>5.3440000000000003</v>
      </c>
      <c r="N1072" s="66">
        <v>1.7000000000000001E-2</v>
      </c>
      <c r="O1072" s="57">
        <v>89.846999999999994</v>
      </c>
      <c r="P1072" s="67">
        <v>0.06</v>
      </c>
      <c r="Q1072" s="96"/>
    </row>
    <row r="1073" spans="1:17" ht="14.25" customHeight="1" x14ac:dyDescent="0.35">
      <c r="A1073" s="1">
        <v>2022</v>
      </c>
      <c r="B1073" s="1" t="s">
        <v>34</v>
      </c>
      <c r="C1073" s="1">
        <v>7</v>
      </c>
      <c r="D1073" s="99">
        <v>115.828</v>
      </c>
      <c r="E1073" s="12">
        <f t="shared" si="18"/>
        <v>144.785</v>
      </c>
      <c r="F1073" s="77">
        <v>97.281000000000006</v>
      </c>
      <c r="G1073" s="60">
        <v>77.472999999999999</v>
      </c>
      <c r="H1073" s="61">
        <v>1765.4349999999999</v>
      </c>
      <c r="I1073" s="62">
        <v>6.9</v>
      </c>
      <c r="J1073" s="63">
        <v>2.9000000000000001E-2</v>
      </c>
      <c r="K1073" s="68">
        <v>8.4830000000000005</v>
      </c>
      <c r="L1073" s="65">
        <v>42.991</v>
      </c>
      <c r="M1073" s="50">
        <v>5.1669999999999998</v>
      </c>
      <c r="N1073" s="66">
        <v>1.4999999999999999E-2</v>
      </c>
      <c r="O1073" s="57">
        <v>137.898</v>
      </c>
      <c r="P1073" s="67">
        <v>5.3999999999999999E-2</v>
      </c>
      <c r="Q1073" s="96"/>
    </row>
    <row r="1074" spans="1:17" ht="14.25" customHeight="1" x14ac:dyDescent="0.35">
      <c r="A1074" s="1">
        <v>2022</v>
      </c>
      <c r="B1074" s="1" t="s">
        <v>34</v>
      </c>
      <c r="C1074" s="1">
        <v>8</v>
      </c>
      <c r="D1074" s="99">
        <v>110.46899999999999</v>
      </c>
      <c r="E1074" s="12">
        <f t="shared" si="18"/>
        <v>138.08625000000001</v>
      </c>
      <c r="F1074" s="77">
        <v>92.593999999999994</v>
      </c>
      <c r="G1074" s="60">
        <v>77.224999999999994</v>
      </c>
      <c r="H1074" s="69">
        <v>1762.2059999999999</v>
      </c>
      <c r="I1074" s="62">
        <v>6.9</v>
      </c>
      <c r="J1074" s="63">
        <v>2.7E-2</v>
      </c>
      <c r="K1074" s="71">
        <v>8.4849999999999994</v>
      </c>
      <c r="L1074" s="65">
        <v>40.432000000000002</v>
      </c>
      <c r="M1074" s="50">
        <v>5.0819999999999999</v>
      </c>
      <c r="N1074" s="66">
        <v>1.4999999999999999E-2</v>
      </c>
      <c r="O1074" s="57">
        <v>170.25399999999999</v>
      </c>
      <c r="P1074" s="70">
        <v>5.1999999999999998E-2</v>
      </c>
      <c r="Q1074" s="96"/>
    </row>
    <row r="1075" spans="1:17" ht="14.25" customHeight="1" x14ac:dyDescent="0.35">
      <c r="A1075" s="1">
        <v>2022</v>
      </c>
      <c r="B1075" s="1" t="s">
        <v>34</v>
      </c>
      <c r="C1075" s="1">
        <v>9</v>
      </c>
      <c r="D1075" s="99">
        <v>111.125</v>
      </c>
      <c r="E1075" s="32">
        <v>138.33000000000001</v>
      </c>
      <c r="F1075" s="77">
        <v>93.031000000000006</v>
      </c>
      <c r="G1075" s="60">
        <v>76.991</v>
      </c>
      <c r="H1075" s="61">
        <v>1734.8679999999999</v>
      </c>
      <c r="I1075" s="62">
        <v>6.9</v>
      </c>
      <c r="J1075" s="63">
        <v>2.8000000000000001E-2</v>
      </c>
      <c r="K1075" s="68">
        <v>8.4589999999999996</v>
      </c>
      <c r="L1075" s="65">
        <v>40.732999999999997</v>
      </c>
      <c r="M1075" s="50">
        <v>5.2030000000000003</v>
      </c>
      <c r="N1075" s="66">
        <v>1.4999999999999999E-2</v>
      </c>
      <c r="O1075" s="57">
        <v>125.04300000000001</v>
      </c>
      <c r="P1075" s="67">
        <v>5.1999999999999998E-2</v>
      </c>
      <c r="Q1075" s="96"/>
    </row>
    <row r="1076" spans="1:17" ht="14.25" customHeight="1" x14ac:dyDescent="0.35">
      <c r="A1076" s="1">
        <v>2022</v>
      </c>
      <c r="B1076" s="1" t="s">
        <v>34</v>
      </c>
      <c r="C1076" s="1">
        <v>10</v>
      </c>
      <c r="D1076" s="99">
        <v>109.09399999999999</v>
      </c>
      <c r="E1076" s="12">
        <f t="shared" ref="E1076:E1101" si="19">D1076*1.25</f>
        <v>136.36750000000001</v>
      </c>
      <c r="F1076" s="77">
        <v>91.438000000000002</v>
      </c>
      <c r="G1076" s="72">
        <v>77.003</v>
      </c>
      <c r="H1076" s="61">
        <v>1678.787</v>
      </c>
      <c r="I1076" s="62">
        <v>6.9</v>
      </c>
      <c r="J1076" s="63">
        <v>2.7E-2</v>
      </c>
      <c r="K1076" s="76">
        <v>8.3140000000000001</v>
      </c>
      <c r="L1076" s="65">
        <v>37.805999999999997</v>
      </c>
      <c r="M1076" s="50">
        <v>5.1710000000000003</v>
      </c>
      <c r="N1076" s="74">
        <v>1.4999999999999999E-2</v>
      </c>
      <c r="O1076" s="57">
        <v>137.434</v>
      </c>
      <c r="P1076" s="75">
        <v>0.05</v>
      </c>
      <c r="Q1076" s="96"/>
    </row>
    <row r="1077" spans="1:17" ht="14.25" customHeight="1" x14ac:dyDescent="0.35">
      <c r="A1077" s="1">
        <v>2022</v>
      </c>
      <c r="B1077" s="1" t="s">
        <v>34</v>
      </c>
      <c r="C1077" s="1">
        <v>11</v>
      </c>
      <c r="D1077" s="99">
        <v>113.35899999999999</v>
      </c>
      <c r="E1077" s="12">
        <f t="shared" si="19"/>
        <v>141.69874999999999</v>
      </c>
      <c r="F1077" s="77">
        <v>94.906000000000006</v>
      </c>
      <c r="G1077" s="72">
        <v>75.882000000000005</v>
      </c>
      <c r="H1077" s="61">
        <v>1557.9269999999999</v>
      </c>
      <c r="I1077" s="62">
        <v>6.9</v>
      </c>
      <c r="J1077" s="63">
        <v>2.8000000000000001E-2</v>
      </c>
      <c r="K1077" s="76">
        <v>8.6180000000000003</v>
      </c>
      <c r="L1077" s="65">
        <v>34.043999999999997</v>
      </c>
      <c r="M1077" s="50">
        <v>5.1669999999999998</v>
      </c>
      <c r="N1077" s="74">
        <v>1.4999999999999999E-2</v>
      </c>
      <c r="O1077" s="57">
        <v>139.881</v>
      </c>
      <c r="P1077" s="75">
        <v>4.8000000000000001E-2</v>
      </c>
      <c r="Q1077" s="96"/>
    </row>
    <row r="1078" spans="1:17" ht="14.25" customHeight="1" x14ac:dyDescent="0.35">
      <c r="A1078" s="1">
        <v>2022</v>
      </c>
      <c r="B1078" s="1" t="s">
        <v>34</v>
      </c>
      <c r="C1078" s="1">
        <v>12</v>
      </c>
      <c r="D1078" s="99">
        <v>120.438</v>
      </c>
      <c r="E1078" s="12">
        <f t="shared" si="19"/>
        <v>150.54750000000001</v>
      </c>
      <c r="F1078" s="77">
        <v>100.71899999999999</v>
      </c>
      <c r="G1078" s="72">
        <v>75.200999999999993</v>
      </c>
      <c r="H1078" s="61">
        <v>1835.5889999999999</v>
      </c>
      <c r="I1078" s="62">
        <v>6.9</v>
      </c>
      <c r="J1078" s="63">
        <v>2.5999999999999999E-2</v>
      </c>
      <c r="K1078" s="76">
        <v>8.0269999999999992</v>
      </c>
      <c r="L1078" s="65">
        <v>38.103000000000002</v>
      </c>
      <c r="M1078" s="50">
        <v>5.2039999999999997</v>
      </c>
      <c r="N1078" s="74">
        <v>1.4999999999999999E-2</v>
      </c>
      <c r="O1078" s="57">
        <v>123.434</v>
      </c>
      <c r="P1078" s="75">
        <v>4.3999999999999997E-2</v>
      </c>
      <c r="Q1078" s="96"/>
    </row>
    <row r="1079" spans="1:17" ht="14.25" customHeight="1" x14ac:dyDescent="0.35">
      <c r="A1079" s="1">
        <v>2022</v>
      </c>
      <c r="B1079" s="1" t="s">
        <v>34</v>
      </c>
      <c r="C1079" s="1">
        <v>13</v>
      </c>
      <c r="D1079" s="99">
        <v>122.5</v>
      </c>
      <c r="E1079" s="12">
        <f t="shared" si="19"/>
        <v>153.125</v>
      </c>
      <c r="F1079" s="77">
        <v>102.563</v>
      </c>
      <c r="G1079" s="78">
        <v>75.504999999999995</v>
      </c>
      <c r="H1079" s="61">
        <v>2327.7829999999999</v>
      </c>
      <c r="I1079" s="62">
        <v>6.9</v>
      </c>
      <c r="J1079" s="63">
        <v>2.5000000000000001E-2</v>
      </c>
      <c r="K1079" s="81">
        <v>7.5389999999999997</v>
      </c>
      <c r="L1079" s="65">
        <v>53.4895</v>
      </c>
      <c r="M1079" s="50">
        <v>5.2408999999999999</v>
      </c>
      <c r="N1079" s="66">
        <v>1.5100000000000001E-2</v>
      </c>
      <c r="O1079" s="57">
        <v>113.8425</v>
      </c>
      <c r="P1079" s="80">
        <v>4.9599999999999998E-2</v>
      </c>
      <c r="Q1079" s="96"/>
    </row>
    <row r="1080" spans="1:17" ht="14.25" customHeight="1" x14ac:dyDescent="0.35">
      <c r="A1080" s="1">
        <v>2022</v>
      </c>
      <c r="B1080" s="1" t="s">
        <v>34</v>
      </c>
      <c r="C1080" s="1">
        <v>14</v>
      </c>
      <c r="D1080" s="99">
        <v>125.438</v>
      </c>
      <c r="E1080" s="12">
        <f t="shared" si="19"/>
        <v>156.79750000000001</v>
      </c>
      <c r="F1080" s="77">
        <v>105</v>
      </c>
      <c r="G1080" s="60">
        <v>76.019000000000005</v>
      </c>
      <c r="H1080" s="61">
        <v>2393.9940000000001</v>
      </c>
      <c r="I1080" s="62">
        <v>6.9</v>
      </c>
      <c r="J1080" s="63">
        <v>2.7E-2</v>
      </c>
      <c r="K1080" s="81">
        <v>7.5570000000000004</v>
      </c>
      <c r="L1080" s="82">
        <v>54.893999999999998</v>
      </c>
      <c r="M1080" s="50">
        <v>5.1529999999999996</v>
      </c>
      <c r="N1080" s="66">
        <v>1.4999999999999999E-2</v>
      </c>
      <c r="O1080" s="57">
        <v>141.64500000000001</v>
      </c>
      <c r="P1080" s="80">
        <v>5.0999999999999997E-2</v>
      </c>
      <c r="Q1080" s="96"/>
    </row>
    <row r="1081" spans="1:17" ht="14.25" customHeight="1" x14ac:dyDescent="0.35">
      <c r="A1081" s="1">
        <v>2022</v>
      </c>
      <c r="B1081" s="1" t="s">
        <v>34</v>
      </c>
      <c r="C1081" s="1">
        <v>15</v>
      </c>
      <c r="D1081" s="99">
        <v>124.875</v>
      </c>
      <c r="E1081" s="12">
        <f t="shared" si="19"/>
        <v>156.09375</v>
      </c>
      <c r="F1081" s="77">
        <v>104.84399999999999</v>
      </c>
      <c r="G1081" s="60">
        <v>75.998999999999995</v>
      </c>
      <c r="H1081" s="61">
        <v>2383.5630000000001</v>
      </c>
      <c r="I1081" s="62">
        <v>6.9</v>
      </c>
      <c r="J1081" s="63">
        <v>3.1E-2</v>
      </c>
      <c r="K1081" s="76">
        <v>7.55</v>
      </c>
      <c r="L1081" s="65">
        <v>55.442999999999998</v>
      </c>
      <c r="M1081" s="50">
        <v>5.2489999999999997</v>
      </c>
      <c r="N1081" s="66">
        <v>1.4999999999999999E-2</v>
      </c>
      <c r="O1081" s="57">
        <v>110.89700000000001</v>
      </c>
      <c r="P1081" s="75">
        <v>0.05</v>
      </c>
      <c r="Q1081" s="96"/>
    </row>
    <row r="1082" spans="1:17" ht="14.25" customHeight="1" x14ac:dyDescent="0.35">
      <c r="A1082" s="1">
        <v>2022</v>
      </c>
      <c r="B1082" s="1" t="s">
        <v>34</v>
      </c>
      <c r="C1082" s="1">
        <v>16</v>
      </c>
      <c r="D1082" s="99">
        <v>125.10899999999999</v>
      </c>
      <c r="E1082" s="12">
        <f t="shared" si="19"/>
        <v>156.38624999999999</v>
      </c>
      <c r="F1082" s="77">
        <v>104.96899999999999</v>
      </c>
      <c r="G1082" s="60">
        <v>76.266999999999996</v>
      </c>
      <c r="H1082" s="61">
        <v>2436.5639999999999</v>
      </c>
      <c r="I1082" s="62">
        <v>6.9</v>
      </c>
      <c r="J1082" s="63">
        <v>3.3000000000000002E-2</v>
      </c>
      <c r="K1082" s="81">
        <v>7.242</v>
      </c>
      <c r="L1082" s="61">
        <v>50.91</v>
      </c>
      <c r="M1082" s="62">
        <v>5.0129999999999999</v>
      </c>
      <c r="N1082" s="66">
        <v>1.4999999999999999E-2</v>
      </c>
      <c r="O1082" s="57">
        <v>211.672</v>
      </c>
      <c r="P1082" s="80">
        <v>4.5999999999999999E-2</v>
      </c>
      <c r="Q1082" s="96"/>
    </row>
    <row r="1083" spans="1:17" ht="14.25" customHeight="1" x14ac:dyDescent="0.35">
      <c r="A1083" s="1">
        <v>2022</v>
      </c>
      <c r="B1083" s="1" t="s">
        <v>34</v>
      </c>
      <c r="C1083" s="1">
        <v>17</v>
      </c>
      <c r="D1083" s="99">
        <v>125.188</v>
      </c>
      <c r="E1083" s="12">
        <f t="shared" si="19"/>
        <v>156.48500000000001</v>
      </c>
      <c r="F1083" s="77">
        <v>105</v>
      </c>
      <c r="G1083" s="60">
        <v>75.747</v>
      </c>
      <c r="H1083" s="61">
        <v>2483.5439999999999</v>
      </c>
      <c r="I1083" s="62">
        <v>6.9</v>
      </c>
      <c r="J1083" s="63">
        <v>3.4000000000000002E-2</v>
      </c>
      <c r="K1083" s="68">
        <v>7.0350000000000001</v>
      </c>
      <c r="L1083" s="65">
        <v>49.637999999999998</v>
      </c>
      <c r="M1083" s="50">
        <v>4.9550000000000001</v>
      </c>
      <c r="N1083" s="66">
        <v>1.6E-2</v>
      </c>
      <c r="O1083" s="57">
        <v>226.87200000000001</v>
      </c>
      <c r="P1083" s="67">
        <v>4.4999999999999998E-2</v>
      </c>
      <c r="Q1083" s="96"/>
    </row>
    <row r="1084" spans="1:17" ht="14.25" customHeight="1" x14ac:dyDescent="0.35">
      <c r="A1084" s="1">
        <v>2022</v>
      </c>
      <c r="B1084" s="1" t="s">
        <v>34</v>
      </c>
      <c r="C1084" s="1">
        <v>18</v>
      </c>
      <c r="D1084" s="99">
        <v>125.14100000000001</v>
      </c>
      <c r="E1084" s="12">
        <f t="shared" si="19"/>
        <v>156.42625000000001</v>
      </c>
      <c r="F1084" s="77">
        <v>104.96899999999999</v>
      </c>
      <c r="G1084" s="60">
        <v>75.703000000000003</v>
      </c>
      <c r="H1084" s="61">
        <v>2399.7510000000002</v>
      </c>
      <c r="I1084" s="62">
        <v>6.9</v>
      </c>
      <c r="J1084" s="63">
        <v>3.4000000000000002E-2</v>
      </c>
      <c r="K1084" s="68">
        <v>7.0590000000000002</v>
      </c>
      <c r="L1084" s="61">
        <v>47.771000000000001</v>
      </c>
      <c r="M1084" s="62">
        <v>4.9820000000000002</v>
      </c>
      <c r="N1084" s="66">
        <v>1.6E-2</v>
      </c>
      <c r="O1084" s="57">
        <v>207.553</v>
      </c>
      <c r="P1084" s="67">
        <v>4.1000000000000002E-2</v>
      </c>
      <c r="Q1084" s="96"/>
    </row>
    <row r="1085" spans="1:17" ht="14.25" customHeight="1" x14ac:dyDescent="0.35">
      <c r="A1085" s="1">
        <v>2022</v>
      </c>
      <c r="B1085" s="1" t="s">
        <v>34</v>
      </c>
      <c r="C1085" s="1">
        <v>19</v>
      </c>
      <c r="D1085" s="99">
        <v>123.34399999999999</v>
      </c>
      <c r="E1085" s="12">
        <f t="shared" si="19"/>
        <v>154.18</v>
      </c>
      <c r="F1085" s="77">
        <v>103.53100000000001</v>
      </c>
      <c r="G1085" s="60">
        <v>75.364999999999995</v>
      </c>
      <c r="H1085" s="61">
        <v>2376.5219999999999</v>
      </c>
      <c r="I1085" s="62">
        <v>6.9</v>
      </c>
      <c r="J1085" s="63">
        <v>3.3000000000000002E-2</v>
      </c>
      <c r="K1085" s="68">
        <v>7.3079999999999998</v>
      </c>
      <c r="L1085" s="65">
        <v>46.93</v>
      </c>
      <c r="M1085" s="50">
        <v>4.9180000000000001</v>
      </c>
      <c r="N1085" s="66">
        <v>1.6E-2</v>
      </c>
      <c r="O1085" s="57">
        <v>249.553</v>
      </c>
      <c r="P1085" s="67">
        <v>4.2000000000000003E-2</v>
      </c>
      <c r="Q1085" s="96"/>
    </row>
    <row r="1086" spans="1:17" ht="14.25" customHeight="1" x14ac:dyDescent="0.35">
      <c r="A1086" s="1">
        <v>2022</v>
      </c>
      <c r="B1086" s="1" t="s">
        <v>34</v>
      </c>
      <c r="C1086" s="1">
        <v>20</v>
      </c>
      <c r="D1086" s="99">
        <v>142.14099999999999</v>
      </c>
      <c r="E1086" s="12">
        <f t="shared" si="19"/>
        <v>177.67624999999998</v>
      </c>
      <c r="F1086" s="77">
        <v>119.563</v>
      </c>
      <c r="G1086" s="60">
        <v>75.313999999999993</v>
      </c>
      <c r="H1086" s="61">
        <v>2731.37</v>
      </c>
      <c r="I1086" s="62">
        <v>6.9</v>
      </c>
      <c r="J1086" s="63">
        <v>3.4000000000000002E-2</v>
      </c>
      <c r="K1086" s="68">
        <v>7.0259999999999998</v>
      </c>
      <c r="L1086" s="61">
        <v>59.664000000000001</v>
      </c>
      <c r="M1086" s="62">
        <v>4.9009999999999998</v>
      </c>
      <c r="N1086" s="66">
        <v>1.6E-2</v>
      </c>
      <c r="O1086" s="57">
        <v>255.131</v>
      </c>
      <c r="P1086" s="67">
        <v>6.0999999999999999E-2</v>
      </c>
      <c r="Q1086" s="96"/>
    </row>
    <row r="1087" spans="1:17" ht="14.25" customHeight="1" x14ac:dyDescent="0.35">
      <c r="A1087" s="1">
        <v>2022</v>
      </c>
      <c r="B1087" s="1" t="s">
        <v>34</v>
      </c>
      <c r="C1087" s="1">
        <v>21</v>
      </c>
      <c r="D1087" s="99">
        <v>123.797</v>
      </c>
      <c r="E1087" s="12">
        <f t="shared" si="19"/>
        <v>154.74625</v>
      </c>
      <c r="F1087" s="77">
        <v>104.063</v>
      </c>
      <c r="G1087" s="60">
        <v>75.400999999999996</v>
      </c>
      <c r="H1087" s="61">
        <v>2859.4189999999999</v>
      </c>
      <c r="I1087" s="62">
        <v>6.9</v>
      </c>
      <c r="J1087" s="63">
        <v>3.3000000000000002E-2</v>
      </c>
      <c r="K1087" s="68">
        <v>7.0670000000000002</v>
      </c>
      <c r="L1087" s="65">
        <v>66.052999999999997</v>
      </c>
      <c r="M1087" s="50">
        <v>4.9459999999999997</v>
      </c>
      <c r="N1087" s="66">
        <v>1.6E-2</v>
      </c>
      <c r="O1087" s="57">
        <v>229.03899999999999</v>
      </c>
      <c r="P1087" s="67">
        <v>6.8000000000000005E-2</v>
      </c>
      <c r="Q1087" s="96"/>
    </row>
    <row r="1088" spans="1:17" ht="14.25" customHeight="1" x14ac:dyDescent="0.35">
      <c r="A1088" s="1">
        <v>2022</v>
      </c>
      <c r="B1088" s="1" t="s">
        <v>34</v>
      </c>
      <c r="C1088" s="1">
        <v>22</v>
      </c>
      <c r="D1088" s="99">
        <v>130.48400000000001</v>
      </c>
      <c r="E1088" s="12">
        <f t="shared" si="19"/>
        <v>163.10500000000002</v>
      </c>
      <c r="F1088" s="77">
        <v>109.96899999999999</v>
      </c>
      <c r="G1088" s="60">
        <v>75.655000000000001</v>
      </c>
      <c r="H1088" s="61">
        <v>2622.777</v>
      </c>
      <c r="I1088" s="62">
        <v>6.9</v>
      </c>
      <c r="J1088" s="63">
        <v>3.3000000000000002E-2</v>
      </c>
      <c r="K1088" s="68">
        <v>7.1890000000000001</v>
      </c>
      <c r="L1088" s="61">
        <v>58.414000000000001</v>
      </c>
      <c r="M1088" s="62">
        <v>5.0279999999999996</v>
      </c>
      <c r="N1088" s="66">
        <v>1.4999999999999999E-2</v>
      </c>
      <c r="O1088" s="57">
        <v>186.06800000000001</v>
      </c>
      <c r="P1088" s="67">
        <v>5.3999999999999999E-2</v>
      </c>
      <c r="Q1088" s="96"/>
    </row>
    <row r="1089" spans="1:17" ht="14.25" customHeight="1" x14ac:dyDescent="0.35">
      <c r="A1089" s="1">
        <v>2022</v>
      </c>
      <c r="B1089" s="1" t="s">
        <v>34</v>
      </c>
      <c r="C1089" s="1">
        <v>23</v>
      </c>
      <c r="D1089" s="99">
        <v>129.73400000000001</v>
      </c>
      <c r="E1089" s="12">
        <f t="shared" si="19"/>
        <v>162.16750000000002</v>
      </c>
      <c r="F1089" s="77">
        <v>109.40600000000001</v>
      </c>
      <c r="G1089" s="60">
        <v>75.760000000000005</v>
      </c>
      <c r="H1089" s="61">
        <v>2599.9659999999999</v>
      </c>
      <c r="I1089" s="62">
        <v>6.9</v>
      </c>
      <c r="J1089" s="63">
        <v>3.3000000000000002E-2</v>
      </c>
      <c r="K1089" s="68">
        <v>7.093</v>
      </c>
      <c r="L1089" s="65">
        <v>60.203000000000003</v>
      </c>
      <c r="M1089" s="50">
        <v>5.008</v>
      </c>
      <c r="N1089" s="66">
        <v>1.4999999999999999E-2</v>
      </c>
      <c r="O1089" s="57">
        <v>197.495</v>
      </c>
      <c r="P1089" s="67">
        <v>5.3999999999999999E-2</v>
      </c>
      <c r="Q1089" s="96"/>
    </row>
    <row r="1090" spans="1:17" ht="14.25" customHeight="1" x14ac:dyDescent="0.35">
      <c r="A1090" s="1">
        <v>2022</v>
      </c>
      <c r="B1090" s="1" t="s">
        <v>34</v>
      </c>
      <c r="C1090" s="1">
        <v>24</v>
      </c>
      <c r="D1090" s="99">
        <v>130.5</v>
      </c>
      <c r="E1090" s="12">
        <f t="shared" si="19"/>
        <v>163.125</v>
      </c>
      <c r="F1090" s="77">
        <v>110.03100000000001</v>
      </c>
      <c r="G1090" s="60">
        <v>75.986000000000004</v>
      </c>
      <c r="H1090" s="61">
        <v>2557.7910000000002</v>
      </c>
      <c r="I1090" s="62">
        <v>6.9</v>
      </c>
      <c r="J1090" s="63">
        <v>3.4000000000000002E-2</v>
      </c>
      <c r="K1090" s="68">
        <v>7.1310000000000002</v>
      </c>
      <c r="L1090" s="61">
        <v>58.862000000000002</v>
      </c>
      <c r="M1090" s="62">
        <v>5.05</v>
      </c>
      <c r="N1090" s="66">
        <v>1.4999999999999999E-2</v>
      </c>
      <c r="O1090" s="57">
        <v>176.32</v>
      </c>
      <c r="P1090" s="67">
        <v>5.0999999999999997E-2</v>
      </c>
      <c r="Q1090" s="96"/>
    </row>
    <row r="1091" spans="1:17" ht="14.25" customHeight="1" x14ac:dyDescent="0.35">
      <c r="A1091" s="1">
        <v>2022</v>
      </c>
      <c r="B1091" s="1" t="s">
        <v>34</v>
      </c>
      <c r="C1091" s="1">
        <v>25</v>
      </c>
      <c r="D1091" s="99">
        <v>126.188</v>
      </c>
      <c r="E1091" s="12">
        <f t="shared" si="19"/>
        <v>157.73500000000001</v>
      </c>
      <c r="F1091" s="77">
        <v>106.313</v>
      </c>
      <c r="G1091" s="60">
        <v>76.081999999999994</v>
      </c>
      <c r="H1091" s="61">
        <v>2674.3240000000001</v>
      </c>
      <c r="I1091" s="62">
        <v>6.9</v>
      </c>
      <c r="J1091" s="63">
        <v>3.3000000000000002E-2</v>
      </c>
      <c r="K1091" s="68">
        <v>6.6289999999999996</v>
      </c>
      <c r="L1091" s="65">
        <v>63.796999999999997</v>
      </c>
      <c r="M1091" s="50">
        <v>5.0369999999999999</v>
      </c>
      <c r="N1091" s="66">
        <v>1.4999999999999999E-2</v>
      </c>
      <c r="O1091" s="57">
        <v>183.28299999999999</v>
      </c>
      <c r="P1091" s="67">
        <v>4.7E-2</v>
      </c>
      <c r="Q1091" s="96"/>
    </row>
    <row r="1092" spans="1:17" ht="14.25" customHeight="1" x14ac:dyDescent="0.35">
      <c r="A1092" s="1">
        <v>2022</v>
      </c>
      <c r="B1092" s="1" t="s">
        <v>34</v>
      </c>
      <c r="C1092" s="1">
        <v>26</v>
      </c>
      <c r="D1092" s="99">
        <v>109.922</v>
      </c>
      <c r="E1092" s="12">
        <f t="shared" si="19"/>
        <v>137.4025</v>
      </c>
      <c r="F1092" s="77">
        <v>92.531000000000006</v>
      </c>
      <c r="G1092" s="60">
        <v>75.863</v>
      </c>
      <c r="H1092" s="61">
        <v>2722.8960000000002</v>
      </c>
      <c r="I1092" s="62">
        <v>6.9</v>
      </c>
      <c r="J1092" s="63">
        <v>3.5000000000000003E-2</v>
      </c>
      <c r="K1092" s="68">
        <v>6.6539999999999999</v>
      </c>
      <c r="L1092" s="61">
        <v>65.459999999999994</v>
      </c>
      <c r="M1092" s="62">
        <v>5.0940000000000003</v>
      </c>
      <c r="N1092" s="66">
        <v>1.4999999999999999E-2</v>
      </c>
      <c r="O1092" s="57">
        <v>159.524</v>
      </c>
      <c r="P1092" s="67">
        <v>4.5999999999999999E-2</v>
      </c>
      <c r="Q1092" s="96"/>
    </row>
    <row r="1093" spans="1:17" ht="14.25" customHeight="1" x14ac:dyDescent="0.35">
      <c r="A1093" s="1">
        <v>2022</v>
      </c>
      <c r="B1093" s="1" t="s">
        <v>34</v>
      </c>
      <c r="C1093" s="1">
        <v>27</v>
      </c>
      <c r="D1093" s="133">
        <v>50.375</v>
      </c>
      <c r="E1093" s="12">
        <f t="shared" si="19"/>
        <v>62.96875</v>
      </c>
      <c r="F1093" s="28">
        <v>42.75</v>
      </c>
      <c r="G1093" s="60">
        <v>75.373999999999995</v>
      </c>
      <c r="H1093" s="61">
        <v>2322.1729999999998</v>
      </c>
      <c r="I1093" s="62">
        <v>6.899</v>
      </c>
      <c r="J1093" s="63">
        <v>3.6999999999999998E-2</v>
      </c>
      <c r="K1093" s="68">
        <v>7.74</v>
      </c>
      <c r="L1093" s="65">
        <v>58.234000000000002</v>
      </c>
      <c r="M1093" s="50">
        <v>5.1539999999999999</v>
      </c>
      <c r="N1093" s="66">
        <v>1.7000000000000001E-2</v>
      </c>
      <c r="O1093" s="57">
        <v>138.83500000000001</v>
      </c>
      <c r="P1093" s="67">
        <v>5.1999999999999998E-2</v>
      </c>
      <c r="Q1093" s="96"/>
    </row>
    <row r="1094" spans="1:17" ht="14.25" customHeight="1" x14ac:dyDescent="0.35">
      <c r="A1094" s="1">
        <v>2022</v>
      </c>
      <c r="B1094" s="1" t="s">
        <v>34</v>
      </c>
      <c r="C1094" s="1">
        <v>28</v>
      </c>
      <c r="D1094" s="133">
        <v>74.781000000000006</v>
      </c>
      <c r="E1094" s="12">
        <f t="shared" si="19"/>
        <v>93.476250000000007</v>
      </c>
      <c r="F1094" s="28">
        <v>63.375</v>
      </c>
      <c r="G1094" s="60">
        <v>75.78</v>
      </c>
      <c r="H1094" s="61">
        <v>2273.723</v>
      </c>
      <c r="I1094" s="62">
        <v>6.9029999999999996</v>
      </c>
      <c r="J1094" s="63">
        <v>3.4000000000000002E-2</v>
      </c>
      <c r="K1094" s="68">
        <v>7.6189999999999998</v>
      </c>
      <c r="L1094" s="61">
        <v>53.448</v>
      </c>
      <c r="M1094" s="62">
        <v>5.1580000000000004</v>
      </c>
      <c r="N1094" s="66">
        <v>1.4999999999999999E-2</v>
      </c>
      <c r="O1094" s="57">
        <v>136.85</v>
      </c>
      <c r="P1094" s="67">
        <v>6.0999999999999999E-2</v>
      </c>
      <c r="Q1094" s="96"/>
    </row>
    <row r="1095" spans="1:17" ht="14.25" customHeight="1" x14ac:dyDescent="0.35">
      <c r="A1095" s="1">
        <v>2022</v>
      </c>
      <c r="B1095" s="1" t="s">
        <v>34</v>
      </c>
      <c r="C1095" s="1">
        <v>29</v>
      </c>
      <c r="D1095" s="133">
        <v>124.578</v>
      </c>
      <c r="E1095" s="12">
        <f t="shared" si="19"/>
        <v>155.7225</v>
      </c>
      <c r="F1095" s="28">
        <v>105.09399999999999</v>
      </c>
      <c r="G1095" s="83">
        <v>75.450999999999993</v>
      </c>
      <c r="H1095" s="69">
        <v>2378.4479999999999</v>
      </c>
      <c r="I1095" s="50">
        <v>6.9</v>
      </c>
      <c r="J1095" s="66">
        <v>3.3000000000000002E-2</v>
      </c>
      <c r="K1095" s="117">
        <v>7.4480000000000004</v>
      </c>
      <c r="L1095" s="61">
        <v>52.201999999999998</v>
      </c>
      <c r="M1095" s="62">
        <v>5.1390000000000002</v>
      </c>
      <c r="N1095" s="66">
        <v>1.4999999999999999E-2</v>
      </c>
      <c r="O1095" s="57">
        <v>142.881</v>
      </c>
      <c r="P1095" s="84">
        <v>4.2999999999999997E-2</v>
      </c>
      <c r="Q1095" s="96"/>
    </row>
    <row r="1096" spans="1:17" ht="14.25" customHeight="1" x14ac:dyDescent="0.35">
      <c r="A1096" s="1">
        <v>2022</v>
      </c>
      <c r="B1096" s="1" t="s">
        <v>34</v>
      </c>
      <c r="C1096" s="1">
        <v>30</v>
      </c>
      <c r="D1096" s="133">
        <v>130.35900000000001</v>
      </c>
      <c r="E1096" s="12">
        <f t="shared" si="19"/>
        <v>162.94875000000002</v>
      </c>
      <c r="F1096" s="28">
        <v>110.03100000000001</v>
      </c>
      <c r="G1096" s="83">
        <v>75.56</v>
      </c>
      <c r="H1096" s="69">
        <v>2461.92</v>
      </c>
      <c r="I1096" s="50">
        <v>6.9</v>
      </c>
      <c r="J1096" s="66">
        <v>3.3000000000000002E-2</v>
      </c>
      <c r="K1096" s="117">
        <v>7.298</v>
      </c>
      <c r="L1096" s="61">
        <v>52.122999999999998</v>
      </c>
      <c r="M1096" s="62">
        <v>5.2089999999999996</v>
      </c>
      <c r="N1096" s="66">
        <v>1.4999999999999999E-2</v>
      </c>
      <c r="O1096" s="57">
        <v>122.467</v>
      </c>
      <c r="P1096" s="84">
        <v>3.5999999999999997E-2</v>
      </c>
      <c r="Q1096" s="96"/>
    </row>
    <row r="1097" spans="1:17" ht="14.25" customHeight="1" x14ac:dyDescent="0.35">
      <c r="A1097" s="1">
        <v>2022</v>
      </c>
      <c r="B1097" s="1" t="s">
        <v>34</v>
      </c>
      <c r="C1097" s="1">
        <v>31</v>
      </c>
      <c r="D1097" s="134">
        <v>130.203</v>
      </c>
      <c r="E1097" s="12">
        <f t="shared" si="19"/>
        <v>162.75375</v>
      </c>
      <c r="F1097" s="135">
        <v>109.78100000000001</v>
      </c>
      <c r="G1097" s="87">
        <v>75.311000000000007</v>
      </c>
      <c r="H1097" s="88">
        <v>2403.4229999999998</v>
      </c>
      <c r="I1097" s="89">
        <v>6.9</v>
      </c>
      <c r="J1097" s="90">
        <v>3.4000000000000002E-2</v>
      </c>
      <c r="K1097" s="131">
        <v>7.15</v>
      </c>
      <c r="L1097" s="61">
        <v>50.857999999999997</v>
      </c>
      <c r="M1097" s="64">
        <v>5.1970000000000001</v>
      </c>
      <c r="N1097" s="66">
        <v>1.4999999999999999E-2</v>
      </c>
      <c r="O1097" s="57">
        <v>125.71599999999999</v>
      </c>
      <c r="P1097" s="66">
        <v>3.3000000000000002E-2</v>
      </c>
      <c r="Q1097" s="96"/>
    </row>
    <row r="1098" spans="1:17" ht="14.25" customHeight="1" x14ac:dyDescent="0.35">
      <c r="A1098" s="1">
        <v>2021</v>
      </c>
      <c r="B1098" s="1" t="s">
        <v>22</v>
      </c>
      <c r="C1098" s="1">
        <v>1</v>
      </c>
      <c r="D1098" s="49">
        <v>102.35899999999999</v>
      </c>
      <c r="E1098" s="12">
        <f t="shared" si="19"/>
        <v>127.94874999999999</v>
      </c>
      <c r="F1098" s="50">
        <v>86.625</v>
      </c>
      <c r="G1098" s="51">
        <v>75.013000000000005</v>
      </c>
      <c r="H1098" s="52">
        <v>1611.1969999999999</v>
      </c>
      <c r="I1098" s="53">
        <v>6.9</v>
      </c>
      <c r="J1098" s="55">
        <v>1.7999999999999999E-2</v>
      </c>
      <c r="K1098" s="59">
        <v>8.2560000000000002</v>
      </c>
      <c r="L1098" s="52">
        <v>24.212</v>
      </c>
      <c r="M1098" s="55">
        <v>5.3959999999999999</v>
      </c>
      <c r="N1098" s="136">
        <v>2.5000000000000001E-2</v>
      </c>
      <c r="O1098" s="57">
        <v>79.61</v>
      </c>
      <c r="P1098" s="58">
        <v>0.06</v>
      </c>
      <c r="Q1098" s="96"/>
    </row>
    <row r="1099" spans="1:17" ht="14.25" customHeight="1" x14ac:dyDescent="0.35">
      <c r="A1099" s="1">
        <v>2021</v>
      </c>
      <c r="B1099" s="1" t="s">
        <v>22</v>
      </c>
      <c r="C1099" s="1">
        <v>2</v>
      </c>
      <c r="D1099" s="49">
        <v>102.53100000000001</v>
      </c>
      <c r="E1099" s="12">
        <f t="shared" si="19"/>
        <v>128.16374999999999</v>
      </c>
      <c r="F1099" s="50">
        <v>86.875</v>
      </c>
      <c r="G1099" s="60">
        <v>74.966999999999999</v>
      </c>
      <c r="H1099" s="61">
        <v>1554.472</v>
      </c>
      <c r="I1099" s="62">
        <v>6.9</v>
      </c>
      <c r="J1099" s="64">
        <v>1.9E-2</v>
      </c>
      <c r="K1099" s="68">
        <v>8.32</v>
      </c>
      <c r="L1099" s="65">
        <v>24.369</v>
      </c>
      <c r="M1099" s="50">
        <v>5.45</v>
      </c>
      <c r="N1099" s="137">
        <v>2.5000000000000001E-2</v>
      </c>
      <c r="O1099" s="57">
        <v>70.501999999999995</v>
      </c>
      <c r="P1099" s="67">
        <v>5.8999999999999997E-2</v>
      </c>
      <c r="Q1099" s="96"/>
    </row>
    <row r="1100" spans="1:17" ht="14.25" customHeight="1" x14ac:dyDescent="0.35">
      <c r="A1100" s="1">
        <v>2021</v>
      </c>
      <c r="B1100" s="1" t="s">
        <v>22</v>
      </c>
      <c r="C1100" s="1">
        <v>3</v>
      </c>
      <c r="D1100" s="49">
        <v>107.375</v>
      </c>
      <c r="E1100" s="12">
        <f t="shared" si="19"/>
        <v>134.21875</v>
      </c>
      <c r="F1100" s="50">
        <v>91</v>
      </c>
      <c r="G1100" s="60">
        <v>75.12</v>
      </c>
      <c r="H1100" s="61">
        <v>1557.7329999999999</v>
      </c>
      <c r="I1100" s="62">
        <v>6.9</v>
      </c>
      <c r="J1100" s="64">
        <v>1.9E-2</v>
      </c>
      <c r="K1100" s="68">
        <v>8.7750000000000004</v>
      </c>
      <c r="L1100" s="65">
        <v>23.783000000000001</v>
      </c>
      <c r="M1100" s="50">
        <v>5.4729999999999999</v>
      </c>
      <c r="N1100" s="137">
        <v>2.5000000000000001E-2</v>
      </c>
      <c r="O1100" s="57">
        <v>66.546000000000006</v>
      </c>
      <c r="P1100" s="67">
        <v>6.0999999999999999E-2</v>
      </c>
      <c r="Q1100" s="96"/>
    </row>
    <row r="1101" spans="1:17" ht="14.25" customHeight="1" x14ac:dyDescent="0.35">
      <c r="A1101" s="1">
        <v>2021</v>
      </c>
      <c r="B1101" s="1" t="s">
        <v>22</v>
      </c>
      <c r="C1101" s="1">
        <v>4</v>
      </c>
      <c r="D1101" s="49">
        <v>110.46899999999999</v>
      </c>
      <c r="E1101" s="12">
        <f t="shared" si="19"/>
        <v>138.08625000000001</v>
      </c>
      <c r="F1101" s="50">
        <v>93.656000000000006</v>
      </c>
      <c r="G1101" s="60">
        <v>75.055999999999997</v>
      </c>
      <c r="H1101" s="61">
        <v>1609.4880000000001</v>
      </c>
      <c r="I1101" s="62">
        <v>6.9</v>
      </c>
      <c r="J1101" s="64">
        <v>0.02</v>
      </c>
      <c r="K1101" s="68">
        <v>9.0370000000000008</v>
      </c>
      <c r="L1101" s="65">
        <v>24.202999999999999</v>
      </c>
      <c r="M1101" s="50">
        <v>5.47</v>
      </c>
      <c r="N1101" s="137">
        <v>2.5000000000000001E-2</v>
      </c>
      <c r="O1101" s="57">
        <v>67.067999999999998</v>
      </c>
      <c r="P1101" s="67">
        <v>6.3E-2</v>
      </c>
      <c r="Q1101" s="96"/>
    </row>
    <row r="1102" spans="1:17" ht="14.25" customHeight="1" x14ac:dyDescent="0.35">
      <c r="A1102" s="1">
        <v>2021</v>
      </c>
      <c r="B1102" s="1" t="s">
        <v>22</v>
      </c>
      <c r="C1102" s="1">
        <v>5</v>
      </c>
      <c r="D1102" s="49">
        <v>110.73399999999999</v>
      </c>
      <c r="E1102" s="32">
        <v>138.01</v>
      </c>
      <c r="F1102" s="50">
        <v>94</v>
      </c>
      <c r="G1102" s="60">
        <v>75.38</v>
      </c>
      <c r="H1102" s="61">
        <v>1685.154</v>
      </c>
      <c r="I1102" s="62">
        <v>6.9</v>
      </c>
      <c r="J1102" s="64">
        <v>1.9E-2</v>
      </c>
      <c r="K1102" s="68">
        <v>9.141</v>
      </c>
      <c r="L1102" s="65">
        <v>25.353999999999999</v>
      </c>
      <c r="M1102" s="50">
        <v>5.4450000000000003</v>
      </c>
      <c r="N1102" s="137">
        <v>2.5000000000000001E-2</v>
      </c>
      <c r="O1102" s="57">
        <v>71.046000000000006</v>
      </c>
      <c r="P1102" s="67">
        <v>6.7000000000000004E-2</v>
      </c>
      <c r="Q1102" s="96"/>
    </row>
    <row r="1103" spans="1:17" ht="14.25" customHeight="1" x14ac:dyDescent="0.35">
      <c r="A1103" s="1">
        <v>2021</v>
      </c>
      <c r="B1103" s="1" t="s">
        <v>22</v>
      </c>
      <c r="C1103" s="1">
        <v>6</v>
      </c>
      <c r="D1103" s="49">
        <v>109.60899999999999</v>
      </c>
      <c r="E1103" s="12">
        <f t="shared" ref="E1103:E1125" si="20">D1103*1.25</f>
        <v>137.01124999999999</v>
      </c>
      <c r="F1103" s="50">
        <v>93.156000000000006</v>
      </c>
      <c r="G1103" s="60">
        <v>75.403999999999996</v>
      </c>
      <c r="H1103" s="61">
        <v>1732.681</v>
      </c>
      <c r="I1103" s="62">
        <v>6.9</v>
      </c>
      <c r="J1103" s="64">
        <v>1.9E-2</v>
      </c>
      <c r="K1103" s="68">
        <v>8.9039999999999999</v>
      </c>
      <c r="L1103" s="65">
        <v>26.324999999999999</v>
      </c>
      <c r="M1103" s="50">
        <v>5.4509999999999996</v>
      </c>
      <c r="N1103" s="137">
        <v>2.5000000000000001E-2</v>
      </c>
      <c r="O1103" s="57">
        <v>69.89</v>
      </c>
      <c r="P1103" s="67">
        <v>5.5E-2</v>
      </c>
      <c r="Q1103" s="96"/>
    </row>
    <row r="1104" spans="1:17" ht="14.25" customHeight="1" x14ac:dyDescent="0.35">
      <c r="A1104" s="1">
        <v>2021</v>
      </c>
      <c r="B1104" s="1" t="s">
        <v>22</v>
      </c>
      <c r="C1104" s="1">
        <v>7</v>
      </c>
      <c r="D1104" s="49">
        <v>110.563</v>
      </c>
      <c r="E1104" s="12">
        <f t="shared" si="20"/>
        <v>138.20375000000001</v>
      </c>
      <c r="F1104" s="50">
        <v>94.031000000000006</v>
      </c>
      <c r="G1104" s="60">
        <v>75.320999999999998</v>
      </c>
      <c r="H1104" s="61">
        <v>1725.6030000000001</v>
      </c>
      <c r="I1104" s="62">
        <v>6.9</v>
      </c>
      <c r="J1104" s="64">
        <v>1.7999999999999999E-2</v>
      </c>
      <c r="K1104" s="68">
        <v>8.7650000000000006</v>
      </c>
      <c r="L1104" s="65">
        <v>25.608000000000001</v>
      </c>
      <c r="M1104" s="50">
        <v>5.4420000000000002</v>
      </c>
      <c r="N1104" s="137">
        <v>2.5000000000000001E-2</v>
      </c>
      <c r="O1104" s="57">
        <v>71.576999999999998</v>
      </c>
      <c r="P1104" s="67">
        <v>5.3999999999999999E-2</v>
      </c>
      <c r="Q1104" s="96"/>
    </row>
    <row r="1105" spans="1:17" ht="14.25" customHeight="1" x14ac:dyDescent="0.35">
      <c r="A1105" s="1">
        <v>2021</v>
      </c>
      <c r="B1105" s="1" t="s">
        <v>22</v>
      </c>
      <c r="C1105" s="1">
        <v>8</v>
      </c>
      <c r="D1105" s="49">
        <v>110.063</v>
      </c>
      <c r="E1105" s="12">
        <f t="shared" si="20"/>
        <v>137.57875000000001</v>
      </c>
      <c r="F1105" s="50">
        <v>93.625</v>
      </c>
      <c r="G1105" s="60">
        <v>75.361999999999995</v>
      </c>
      <c r="H1105" s="69">
        <v>1709.2249999999999</v>
      </c>
      <c r="I1105" s="62">
        <v>6.9</v>
      </c>
      <c r="J1105" s="64">
        <v>1.9E-2</v>
      </c>
      <c r="K1105" s="71">
        <v>8.7840000000000007</v>
      </c>
      <c r="L1105" s="65">
        <v>25.72</v>
      </c>
      <c r="M1105" s="50">
        <v>5.4130000000000003</v>
      </c>
      <c r="N1105" s="137">
        <v>2.5000000000000001E-2</v>
      </c>
      <c r="O1105" s="57">
        <v>76.248999999999995</v>
      </c>
      <c r="P1105" s="67">
        <v>5.1999999999999998E-2</v>
      </c>
      <c r="Q1105" s="96"/>
    </row>
    <row r="1106" spans="1:17" ht="14.25" customHeight="1" x14ac:dyDescent="0.35">
      <c r="A1106" s="1">
        <v>2021</v>
      </c>
      <c r="B1106" s="1" t="s">
        <v>22</v>
      </c>
      <c r="C1106" s="1">
        <v>9</v>
      </c>
      <c r="D1106" s="49">
        <v>107.703</v>
      </c>
      <c r="E1106" s="12">
        <f t="shared" si="20"/>
        <v>134.62875</v>
      </c>
      <c r="F1106" s="50">
        <v>91.5</v>
      </c>
      <c r="G1106" s="60">
        <v>75.08</v>
      </c>
      <c r="H1106" s="61">
        <v>1690.798</v>
      </c>
      <c r="I1106" s="62">
        <v>6.9</v>
      </c>
      <c r="J1106" s="64">
        <v>1.7999999999999999E-2</v>
      </c>
      <c r="K1106" s="68">
        <v>8.7490000000000006</v>
      </c>
      <c r="L1106" s="65">
        <v>25.658999999999999</v>
      </c>
      <c r="M1106" s="50">
        <v>5.3920000000000003</v>
      </c>
      <c r="N1106" s="137">
        <v>2.5000000000000001E-2</v>
      </c>
      <c r="O1106" s="57">
        <v>80.207999999999998</v>
      </c>
      <c r="P1106" s="67">
        <v>5.3999999999999999E-2</v>
      </c>
      <c r="Q1106" s="96"/>
    </row>
    <row r="1107" spans="1:17" ht="14.25" customHeight="1" x14ac:dyDescent="0.35">
      <c r="A1107" s="1">
        <v>2021</v>
      </c>
      <c r="B1107" s="1" t="s">
        <v>22</v>
      </c>
      <c r="C1107" s="1">
        <v>10</v>
      </c>
      <c r="D1107" s="49">
        <v>107</v>
      </c>
      <c r="E1107" s="12">
        <f t="shared" si="20"/>
        <v>133.75</v>
      </c>
      <c r="F1107" s="50">
        <v>90.75</v>
      </c>
      <c r="G1107" s="72">
        <v>75.087000000000003</v>
      </c>
      <c r="H1107" s="61">
        <v>1626.28</v>
      </c>
      <c r="I1107" s="62">
        <v>6.9</v>
      </c>
      <c r="J1107" s="64">
        <v>1.9E-2</v>
      </c>
      <c r="K1107" s="76">
        <v>8.9429999999999996</v>
      </c>
      <c r="L1107" s="65">
        <v>24.864000000000001</v>
      </c>
      <c r="M1107" s="50">
        <v>5.3940000000000001</v>
      </c>
      <c r="N1107" s="138">
        <v>2.5000000000000001E-2</v>
      </c>
      <c r="O1107" s="57">
        <v>79.846999999999994</v>
      </c>
      <c r="P1107" s="75">
        <v>5.2999999999999999E-2</v>
      </c>
      <c r="Q1107" s="96"/>
    </row>
    <row r="1108" spans="1:17" ht="14.25" customHeight="1" x14ac:dyDescent="0.35">
      <c r="A1108" s="1">
        <v>2021</v>
      </c>
      <c r="B1108" s="1" t="s">
        <v>22</v>
      </c>
      <c r="C1108" s="1">
        <v>11</v>
      </c>
      <c r="D1108" s="49">
        <v>110.188</v>
      </c>
      <c r="E1108" s="12">
        <f t="shared" si="20"/>
        <v>137.73500000000001</v>
      </c>
      <c r="F1108" s="50">
        <v>93.343999999999994</v>
      </c>
      <c r="G1108" s="72">
        <v>74.935000000000002</v>
      </c>
      <c r="H1108" s="61">
        <v>1593.6220000000001</v>
      </c>
      <c r="I1108" s="62">
        <v>6.9</v>
      </c>
      <c r="J1108" s="64">
        <v>1.9E-2</v>
      </c>
      <c r="K1108" s="76">
        <v>8.3740000000000006</v>
      </c>
      <c r="L1108" s="65">
        <v>24.024000000000001</v>
      </c>
      <c r="M1108" s="50">
        <v>5.3940000000000001</v>
      </c>
      <c r="N1108" s="138">
        <v>2.5000000000000001E-2</v>
      </c>
      <c r="O1108" s="57">
        <v>79.596000000000004</v>
      </c>
      <c r="P1108" s="75">
        <v>0.05</v>
      </c>
      <c r="Q1108" s="96"/>
    </row>
    <row r="1109" spans="1:17" ht="14.25" customHeight="1" x14ac:dyDescent="0.35">
      <c r="A1109" s="1">
        <v>2021</v>
      </c>
      <c r="B1109" s="1" t="s">
        <v>22</v>
      </c>
      <c r="C1109" s="1">
        <v>12</v>
      </c>
      <c r="D1109" s="49">
        <v>63.155999999999999</v>
      </c>
      <c r="E1109" s="12">
        <f t="shared" si="20"/>
        <v>78.944999999999993</v>
      </c>
      <c r="F1109" s="50">
        <v>53.030999999999999</v>
      </c>
      <c r="G1109" s="72">
        <v>74.932000000000002</v>
      </c>
      <c r="H1109" s="61">
        <v>1684.712</v>
      </c>
      <c r="I1109" s="62">
        <v>6.8959999999999999</v>
      </c>
      <c r="J1109" s="64">
        <v>2.1999999999999999E-2</v>
      </c>
      <c r="K1109" s="76">
        <v>8.2059999999999995</v>
      </c>
      <c r="L1109" s="65">
        <v>29.135000000000002</v>
      </c>
      <c r="M1109" s="50">
        <v>5.4189999999999996</v>
      </c>
      <c r="N1109" s="138">
        <v>2.9000000000000001E-2</v>
      </c>
      <c r="O1109" s="57">
        <v>76.188999999999993</v>
      </c>
      <c r="P1109" s="75">
        <v>3.9E-2</v>
      </c>
      <c r="Q1109" s="96"/>
    </row>
    <row r="1110" spans="1:17" ht="14.25" customHeight="1" x14ac:dyDescent="0.35">
      <c r="A1110" s="1">
        <v>2021</v>
      </c>
      <c r="B1110" s="1" t="s">
        <v>22</v>
      </c>
      <c r="C1110" s="1">
        <v>13</v>
      </c>
      <c r="D1110" s="49">
        <v>76.203000000000003</v>
      </c>
      <c r="E1110" s="12">
        <f t="shared" si="20"/>
        <v>95.253749999999997</v>
      </c>
      <c r="F1110" s="50">
        <v>64.218999999999994</v>
      </c>
      <c r="G1110" s="78">
        <v>75.400999999999996</v>
      </c>
      <c r="H1110" s="61">
        <v>1714.0940000000001</v>
      </c>
      <c r="I1110" s="62">
        <v>6.8929999999999998</v>
      </c>
      <c r="J1110" s="64">
        <v>0.02</v>
      </c>
      <c r="K1110" s="81">
        <v>8.6690000000000005</v>
      </c>
      <c r="L1110" s="65">
        <v>28.954999999999998</v>
      </c>
      <c r="M1110" s="50">
        <v>5.4029999999999996</v>
      </c>
      <c r="N1110" s="137">
        <v>2.5999999999999999E-2</v>
      </c>
      <c r="O1110" s="57">
        <v>78.945999999999998</v>
      </c>
      <c r="P1110" s="80">
        <v>6.0999999999999999E-2</v>
      </c>
      <c r="Q1110" s="96"/>
    </row>
    <row r="1111" spans="1:17" ht="14.25" customHeight="1" x14ac:dyDescent="0.35">
      <c r="A1111" s="1">
        <v>2021</v>
      </c>
      <c r="B1111" s="1" t="s">
        <v>22</v>
      </c>
      <c r="C1111" s="1">
        <v>14</v>
      </c>
      <c r="D1111" s="49">
        <v>107.23399999999999</v>
      </c>
      <c r="E1111" s="12">
        <f t="shared" si="20"/>
        <v>134.04249999999999</v>
      </c>
      <c r="F1111" s="50">
        <v>91</v>
      </c>
      <c r="G1111" s="60">
        <v>75.643000000000001</v>
      </c>
      <c r="H1111" s="61">
        <v>1736.547</v>
      </c>
      <c r="I1111" s="62">
        <v>6.9009999999999998</v>
      </c>
      <c r="J1111" s="64">
        <v>0.02</v>
      </c>
      <c r="K1111" s="81">
        <v>8.89</v>
      </c>
      <c r="L1111" s="82">
        <v>26.251000000000001</v>
      </c>
      <c r="M1111" s="50">
        <v>5.3730000000000002</v>
      </c>
      <c r="N1111" s="137">
        <v>2.5000000000000001E-2</v>
      </c>
      <c r="O1111" s="57">
        <v>84.085999999999999</v>
      </c>
      <c r="P1111" s="80">
        <v>5.5E-2</v>
      </c>
      <c r="Q1111" s="96"/>
    </row>
    <row r="1112" spans="1:17" ht="14.25" customHeight="1" x14ac:dyDescent="0.35">
      <c r="A1112" s="1">
        <v>2021</v>
      </c>
      <c r="B1112" s="1" t="s">
        <v>22</v>
      </c>
      <c r="C1112" s="1">
        <v>15</v>
      </c>
      <c r="D1112" s="49">
        <v>109.125</v>
      </c>
      <c r="E1112" s="12">
        <f t="shared" si="20"/>
        <v>136.40625</v>
      </c>
      <c r="F1112" s="50">
        <v>92.781000000000006</v>
      </c>
      <c r="G1112" s="60">
        <v>76.212999999999994</v>
      </c>
      <c r="H1112" s="61">
        <v>1732.84</v>
      </c>
      <c r="I1112" s="62">
        <v>6.9</v>
      </c>
      <c r="J1112" s="64">
        <v>1.9E-2</v>
      </c>
      <c r="K1112" s="76">
        <v>8.593</v>
      </c>
      <c r="L1112" s="65">
        <v>26.030999999999999</v>
      </c>
      <c r="M1112" s="50">
        <v>5.3890000000000002</v>
      </c>
      <c r="N1112" s="137">
        <v>2.5000000000000001E-2</v>
      </c>
      <c r="O1112" s="57">
        <v>80.638999999999996</v>
      </c>
      <c r="P1112" s="75">
        <v>5.0999999999999997E-2</v>
      </c>
      <c r="Q1112" s="96"/>
    </row>
    <row r="1113" spans="1:17" ht="14.25" customHeight="1" x14ac:dyDescent="0.35">
      <c r="A1113" s="1">
        <v>2021</v>
      </c>
      <c r="B1113" s="1" t="s">
        <v>22</v>
      </c>
      <c r="C1113" s="1">
        <v>16</v>
      </c>
      <c r="D1113" s="49">
        <v>107.672</v>
      </c>
      <c r="E1113" s="12">
        <f t="shared" si="20"/>
        <v>134.59</v>
      </c>
      <c r="F1113" s="50">
        <v>91.656000000000006</v>
      </c>
      <c r="G1113" s="60">
        <v>76.158000000000001</v>
      </c>
      <c r="H1113" s="61">
        <v>1747.9059999999999</v>
      </c>
      <c r="I1113" s="62">
        <v>6.9</v>
      </c>
      <c r="J1113" s="64">
        <v>1.9E-2</v>
      </c>
      <c r="K1113" s="81">
        <v>8.7210000000000001</v>
      </c>
      <c r="L1113" s="61">
        <v>27.448</v>
      </c>
      <c r="M1113" s="62">
        <v>5.3929999999999998</v>
      </c>
      <c r="N1113" s="137">
        <v>2.5000000000000001E-2</v>
      </c>
      <c r="O1113" s="57">
        <v>79.667000000000002</v>
      </c>
      <c r="P1113" s="80">
        <v>5.1999999999999998E-2</v>
      </c>
      <c r="Q1113" s="96"/>
    </row>
    <row r="1114" spans="1:17" ht="14.25" customHeight="1" x14ac:dyDescent="0.35">
      <c r="A1114" s="1">
        <v>2021</v>
      </c>
      <c r="B1114" s="1" t="s">
        <v>22</v>
      </c>
      <c r="C1114" s="1">
        <v>17</v>
      </c>
      <c r="D1114" s="49">
        <v>108.672</v>
      </c>
      <c r="E1114" s="12">
        <f t="shared" si="20"/>
        <v>135.84</v>
      </c>
      <c r="F1114" s="50">
        <v>92.218999999999994</v>
      </c>
      <c r="G1114" s="60">
        <v>76.180999999999997</v>
      </c>
      <c r="H1114" s="61">
        <v>1661.0820000000001</v>
      </c>
      <c r="I1114" s="62">
        <v>6.9</v>
      </c>
      <c r="J1114" s="64">
        <v>0.02</v>
      </c>
      <c r="K1114" s="68">
        <v>8.7409999999999997</v>
      </c>
      <c r="L1114" s="65">
        <v>26.321999999999999</v>
      </c>
      <c r="M1114" s="50">
        <v>5.4009999999999998</v>
      </c>
      <c r="N1114" s="137">
        <v>2.5000000000000001E-2</v>
      </c>
      <c r="O1114" s="57">
        <v>78.307000000000002</v>
      </c>
      <c r="P1114" s="67">
        <v>4.9000000000000002E-2</v>
      </c>
      <c r="Q1114" s="96"/>
    </row>
    <row r="1115" spans="1:17" ht="14.25" customHeight="1" x14ac:dyDescent="0.35">
      <c r="A1115" s="1">
        <v>2021</v>
      </c>
      <c r="B1115" s="1" t="s">
        <v>22</v>
      </c>
      <c r="C1115" s="1">
        <v>18</v>
      </c>
      <c r="D1115" s="49">
        <v>107.53100000000001</v>
      </c>
      <c r="E1115" s="12">
        <f t="shared" si="20"/>
        <v>134.41374999999999</v>
      </c>
      <c r="F1115" s="50">
        <v>91.218999999999994</v>
      </c>
      <c r="G1115" s="60">
        <v>75.804000000000002</v>
      </c>
      <c r="H1115" s="61">
        <v>1616</v>
      </c>
      <c r="I1115" s="62">
        <v>6.9009999999999998</v>
      </c>
      <c r="J1115" s="64">
        <v>0.02</v>
      </c>
      <c r="K1115" s="68">
        <v>8.9770000000000003</v>
      </c>
      <c r="L1115" s="61">
        <v>25.510999999999999</v>
      </c>
      <c r="M1115" s="62">
        <v>5.399</v>
      </c>
      <c r="N1115" s="137">
        <v>2.5000000000000001E-2</v>
      </c>
      <c r="O1115" s="57">
        <v>78.483000000000004</v>
      </c>
      <c r="P1115" s="67">
        <v>0.05</v>
      </c>
      <c r="Q1115" s="96"/>
    </row>
    <row r="1116" spans="1:17" ht="14.25" customHeight="1" x14ac:dyDescent="0.35">
      <c r="A1116" s="1">
        <v>2021</v>
      </c>
      <c r="B1116" s="1" t="s">
        <v>22</v>
      </c>
      <c r="C1116" s="1">
        <v>19</v>
      </c>
      <c r="D1116" s="49">
        <v>106.125</v>
      </c>
      <c r="E1116" s="12">
        <f t="shared" si="20"/>
        <v>132.65625</v>
      </c>
      <c r="F1116" s="50">
        <v>90.125</v>
      </c>
      <c r="G1116" s="60">
        <v>75.230999999999995</v>
      </c>
      <c r="H1116" s="61">
        <v>1672.597</v>
      </c>
      <c r="I1116" s="62">
        <v>6.9</v>
      </c>
      <c r="J1116" s="64">
        <v>0.02</v>
      </c>
      <c r="K1116" s="68">
        <v>9.1790000000000003</v>
      </c>
      <c r="L1116" s="65">
        <v>26.582999999999998</v>
      </c>
      <c r="M1116" s="50">
        <v>5.4020000000000001</v>
      </c>
      <c r="N1116" s="137">
        <v>2.5000000000000001E-2</v>
      </c>
      <c r="O1116" s="57">
        <v>77.92</v>
      </c>
      <c r="P1116" s="67">
        <v>5.3999999999999999E-2</v>
      </c>
      <c r="Q1116" s="96"/>
    </row>
    <row r="1117" spans="1:17" ht="14.25" customHeight="1" x14ac:dyDescent="0.35">
      <c r="A1117" s="1">
        <v>2021</v>
      </c>
      <c r="B1117" s="1" t="s">
        <v>22</v>
      </c>
      <c r="C1117" s="1">
        <v>20</v>
      </c>
      <c r="D1117" s="49">
        <v>106.03100000000001</v>
      </c>
      <c r="E1117" s="12">
        <f t="shared" si="20"/>
        <v>132.53874999999999</v>
      </c>
      <c r="F1117" s="50">
        <v>90.031000000000006</v>
      </c>
      <c r="G1117" s="60">
        <v>75.42</v>
      </c>
      <c r="H1117" s="61">
        <v>1758.2370000000001</v>
      </c>
      <c r="I1117" s="62">
        <v>6.9</v>
      </c>
      <c r="J1117" s="64">
        <v>0.02</v>
      </c>
      <c r="K1117" s="68">
        <v>8.7929999999999993</v>
      </c>
      <c r="L1117" s="61">
        <v>27.736999999999998</v>
      </c>
      <c r="M1117" s="62">
        <v>5.3979999999999997</v>
      </c>
      <c r="N1117" s="137">
        <v>2.5000000000000001E-2</v>
      </c>
      <c r="O1117" s="57">
        <v>78.771000000000001</v>
      </c>
      <c r="P1117" s="67">
        <v>5.2999999999999999E-2</v>
      </c>
      <c r="Q1117" s="96"/>
    </row>
    <row r="1118" spans="1:17" ht="14.25" customHeight="1" x14ac:dyDescent="0.35">
      <c r="A1118" s="1">
        <v>2021</v>
      </c>
      <c r="B1118" s="1" t="s">
        <v>22</v>
      </c>
      <c r="C1118" s="1">
        <v>21</v>
      </c>
      <c r="D1118" s="49">
        <v>93.593999999999994</v>
      </c>
      <c r="E1118" s="12">
        <f t="shared" si="20"/>
        <v>116.99249999999999</v>
      </c>
      <c r="F1118" s="50">
        <v>79.406000000000006</v>
      </c>
      <c r="G1118" s="60">
        <v>76.051000000000002</v>
      </c>
      <c r="H1118" s="61">
        <v>1718.4449999999999</v>
      </c>
      <c r="I1118" s="62">
        <v>6.8979999999999997</v>
      </c>
      <c r="J1118" s="64">
        <v>2.1000000000000001E-2</v>
      </c>
      <c r="K1118" s="68">
        <v>8.8889999999999993</v>
      </c>
      <c r="L1118" s="65">
        <v>28.92</v>
      </c>
      <c r="M1118" s="50">
        <v>5.3890000000000002</v>
      </c>
      <c r="N1118" s="137">
        <v>2.5999999999999999E-2</v>
      </c>
      <c r="O1118" s="57">
        <v>80.751000000000005</v>
      </c>
      <c r="P1118" s="67">
        <v>5.8000000000000003E-2</v>
      </c>
      <c r="Q1118" s="96"/>
    </row>
    <row r="1119" spans="1:17" ht="14.25" customHeight="1" x14ac:dyDescent="0.35">
      <c r="A1119" s="1">
        <v>2021</v>
      </c>
      <c r="B1119" s="1" t="s">
        <v>22</v>
      </c>
      <c r="C1119" s="1">
        <v>22</v>
      </c>
      <c r="D1119" s="49">
        <v>108.078</v>
      </c>
      <c r="E1119" s="12">
        <f t="shared" si="20"/>
        <v>135.0975</v>
      </c>
      <c r="F1119" s="49">
        <v>91.875</v>
      </c>
      <c r="G1119" s="60">
        <v>75.605999999999995</v>
      </c>
      <c r="H1119" s="65">
        <v>1725.7370000000001</v>
      </c>
      <c r="I1119" s="49">
        <v>6.9</v>
      </c>
      <c r="J1119" s="139">
        <v>2.1000000000000001E-2</v>
      </c>
      <c r="K1119" s="101">
        <v>8.798</v>
      </c>
      <c r="L1119" s="102">
        <v>27.143000000000001</v>
      </c>
      <c r="M1119" s="49">
        <v>5.234</v>
      </c>
      <c r="N1119" s="49">
        <v>2.5000000000000001E-2</v>
      </c>
      <c r="O1119" s="65">
        <v>117.773</v>
      </c>
      <c r="P1119" s="103">
        <v>5.6000000000000001E-2</v>
      </c>
      <c r="Q1119" s="96"/>
    </row>
    <row r="1120" spans="1:17" ht="14.25" customHeight="1" x14ac:dyDescent="0.35">
      <c r="A1120" s="1">
        <v>2021</v>
      </c>
      <c r="B1120" s="1" t="s">
        <v>22</v>
      </c>
      <c r="C1120" s="1">
        <v>23</v>
      </c>
      <c r="D1120" s="49">
        <v>107.047</v>
      </c>
      <c r="E1120" s="12">
        <f t="shared" si="20"/>
        <v>133.80875</v>
      </c>
      <c r="F1120" s="50">
        <v>90.938000000000002</v>
      </c>
      <c r="G1120" s="60">
        <v>74.950999999999993</v>
      </c>
      <c r="H1120" s="61">
        <v>1703.5889999999999</v>
      </c>
      <c r="I1120" s="62">
        <v>6.9</v>
      </c>
      <c r="J1120" s="64">
        <v>0.02</v>
      </c>
      <c r="K1120" s="68">
        <v>8.7469999999999999</v>
      </c>
      <c r="L1120" s="65">
        <v>26.117999999999999</v>
      </c>
      <c r="M1120" s="50">
        <v>5.1135000000000002</v>
      </c>
      <c r="N1120" s="137">
        <v>2.5000000000000001E-2</v>
      </c>
      <c r="O1120" s="57">
        <v>151.744</v>
      </c>
      <c r="P1120" s="67">
        <v>5.2999999999999999E-2</v>
      </c>
      <c r="Q1120" s="96"/>
    </row>
    <row r="1121" spans="1:17" ht="14.25" customHeight="1" x14ac:dyDescent="0.35">
      <c r="A1121" s="1">
        <v>2021</v>
      </c>
      <c r="B1121" s="1" t="s">
        <v>22</v>
      </c>
      <c r="C1121" s="1">
        <v>24</v>
      </c>
      <c r="D1121" s="49">
        <v>106.875</v>
      </c>
      <c r="E1121" s="12">
        <f t="shared" si="20"/>
        <v>133.59375</v>
      </c>
      <c r="F1121" s="50">
        <v>90.781000000000006</v>
      </c>
      <c r="G1121" s="60">
        <v>74.676000000000002</v>
      </c>
      <c r="H1121" s="61">
        <v>1621.42</v>
      </c>
      <c r="I1121" s="62">
        <v>6.9</v>
      </c>
      <c r="J1121" s="64">
        <v>1.9E-2</v>
      </c>
      <c r="K1121" s="68">
        <v>8.5969999999999995</v>
      </c>
      <c r="L1121" s="61">
        <v>24.216999999999999</v>
      </c>
      <c r="M1121" s="62">
        <v>5.1289999999999996</v>
      </c>
      <c r="N1121" s="137">
        <v>2.5000000000000001E-2</v>
      </c>
      <c r="O1121" s="57">
        <v>146.49100000000001</v>
      </c>
      <c r="P1121" s="67">
        <v>4.8000000000000001E-2</v>
      </c>
      <c r="Q1121" s="96"/>
    </row>
    <row r="1122" spans="1:17" ht="14.25" customHeight="1" x14ac:dyDescent="0.35">
      <c r="A1122" s="1">
        <v>2021</v>
      </c>
      <c r="B1122" s="1" t="s">
        <v>22</v>
      </c>
      <c r="C1122" s="1">
        <v>25</v>
      </c>
      <c r="D1122" s="49">
        <v>111.563</v>
      </c>
      <c r="E1122" s="12">
        <f t="shared" si="20"/>
        <v>139.45375000000001</v>
      </c>
      <c r="F1122" s="50">
        <v>95</v>
      </c>
      <c r="G1122" s="60">
        <v>73.558000000000007</v>
      </c>
      <c r="H1122" s="61">
        <v>1587.749</v>
      </c>
      <c r="I1122" s="62">
        <v>6.9</v>
      </c>
      <c r="J1122" s="64">
        <v>0.02</v>
      </c>
      <c r="K1122" s="68">
        <v>8.9030000000000005</v>
      </c>
      <c r="L1122" s="65">
        <v>23.164000000000001</v>
      </c>
      <c r="M1122" s="50">
        <v>5.33</v>
      </c>
      <c r="N1122" s="137">
        <v>2.5000000000000001E-2</v>
      </c>
      <c r="O1122" s="57">
        <v>97.168000000000006</v>
      </c>
      <c r="P1122" s="67">
        <v>4.9000000000000002E-2</v>
      </c>
      <c r="Q1122" s="96"/>
    </row>
    <row r="1123" spans="1:17" ht="14.25" customHeight="1" x14ac:dyDescent="0.35">
      <c r="A1123" s="1">
        <v>2021</v>
      </c>
      <c r="B1123" s="1" t="s">
        <v>22</v>
      </c>
      <c r="C1123" s="1">
        <v>26</v>
      </c>
      <c r="D1123" s="49">
        <v>110.375</v>
      </c>
      <c r="E1123" s="12">
        <f t="shared" si="20"/>
        <v>137.96875</v>
      </c>
      <c r="F1123" s="50">
        <v>93.75</v>
      </c>
      <c r="G1123" s="60">
        <v>73.802000000000007</v>
      </c>
      <c r="H1123" s="61">
        <v>1685.239</v>
      </c>
      <c r="I1123" s="62">
        <v>6.9</v>
      </c>
      <c r="J1123" s="64">
        <v>0.02</v>
      </c>
      <c r="K1123" s="68">
        <v>8.8789999999999996</v>
      </c>
      <c r="L1123" s="61">
        <v>24.785</v>
      </c>
      <c r="M1123" s="62">
        <v>5.4370000000000003</v>
      </c>
      <c r="N1123" s="137">
        <v>2.5000000000000001E-2</v>
      </c>
      <c r="O1123" s="57">
        <v>72.138000000000005</v>
      </c>
      <c r="P1123" s="67">
        <v>5.5E-2</v>
      </c>
      <c r="Q1123" s="96"/>
    </row>
    <row r="1124" spans="1:17" ht="14.25" customHeight="1" x14ac:dyDescent="0.35">
      <c r="A1124" s="1">
        <v>2021</v>
      </c>
      <c r="B1124" s="1" t="s">
        <v>22</v>
      </c>
      <c r="C1124" s="1">
        <v>27</v>
      </c>
      <c r="D1124" s="49">
        <v>108.813</v>
      </c>
      <c r="E1124" s="12">
        <f t="shared" si="20"/>
        <v>136.01625000000001</v>
      </c>
      <c r="F1124" s="50">
        <v>92.406000000000006</v>
      </c>
      <c r="G1124" s="60">
        <v>74.495999999999995</v>
      </c>
      <c r="H1124" s="61">
        <v>1723.0139999999999</v>
      </c>
      <c r="I1124" s="62">
        <v>6.9</v>
      </c>
      <c r="J1124" s="64">
        <v>1.9E-2</v>
      </c>
      <c r="K1124" s="68">
        <v>8.8680000000000003</v>
      </c>
      <c r="L1124" s="65">
        <v>25.661000000000001</v>
      </c>
      <c r="M1124" s="50">
        <v>5.4530000000000003</v>
      </c>
      <c r="N1124" s="137">
        <v>2.5000000000000001E-2</v>
      </c>
      <c r="O1124" s="57">
        <v>69.400999999999996</v>
      </c>
      <c r="P1124" s="67">
        <v>5.3999999999999999E-2</v>
      </c>
      <c r="Q1124" s="96"/>
    </row>
    <row r="1125" spans="1:17" ht="14.25" customHeight="1" x14ac:dyDescent="0.35">
      <c r="A1125" s="1">
        <v>2021</v>
      </c>
      <c r="B1125" s="1" t="s">
        <v>22</v>
      </c>
      <c r="C1125" s="1">
        <v>28</v>
      </c>
      <c r="D1125" s="49">
        <v>102.453</v>
      </c>
      <c r="E1125" s="12">
        <f t="shared" si="20"/>
        <v>128.06625</v>
      </c>
      <c r="F1125" s="50">
        <v>86.938000000000002</v>
      </c>
      <c r="G1125" s="60">
        <v>74.582999999999998</v>
      </c>
      <c r="H1125" s="61">
        <v>1720.32</v>
      </c>
      <c r="I1125" s="62">
        <v>6.9</v>
      </c>
      <c r="J1125" s="64">
        <v>0.02</v>
      </c>
      <c r="K1125" s="68">
        <v>8.968</v>
      </c>
      <c r="L1125" s="61">
        <v>25.774000000000001</v>
      </c>
      <c r="M1125" s="62">
        <v>5.4459999999999997</v>
      </c>
      <c r="N1125" s="137">
        <v>2.5000000000000001E-2</v>
      </c>
      <c r="O1125" s="57">
        <v>70.506</v>
      </c>
      <c r="P1125" s="67">
        <v>4.8000000000000001E-2</v>
      </c>
      <c r="Q1125" s="96"/>
    </row>
    <row r="1126" spans="1:17" ht="14.25" customHeight="1" x14ac:dyDescent="0.35">
      <c r="A1126" s="1">
        <v>2021</v>
      </c>
      <c r="B1126" s="1" t="s">
        <v>22</v>
      </c>
      <c r="C1126" s="1">
        <v>29</v>
      </c>
      <c r="D1126" s="49">
        <v>105.797</v>
      </c>
      <c r="E1126" s="32">
        <v>132.66</v>
      </c>
      <c r="F1126" s="50">
        <v>89.75</v>
      </c>
      <c r="G1126" s="83">
        <v>73.644000000000005</v>
      </c>
      <c r="H1126" s="69">
        <v>1628.595</v>
      </c>
      <c r="I1126" s="50">
        <v>6.9</v>
      </c>
      <c r="J1126" s="137">
        <v>2.1999999999999999E-2</v>
      </c>
      <c r="K1126" s="117">
        <v>8.6829999999999998</v>
      </c>
      <c r="L1126" s="61">
        <v>26.655999999999999</v>
      </c>
      <c r="M1126" s="62">
        <v>5.4349999999999996</v>
      </c>
      <c r="N1126" s="137">
        <v>2.5000000000000001E-2</v>
      </c>
      <c r="O1126" s="57">
        <v>74.370999999999995</v>
      </c>
      <c r="P1126" s="67">
        <v>3.9E-2</v>
      </c>
      <c r="Q1126" s="96"/>
    </row>
    <row r="1127" spans="1:17" ht="14.25" customHeight="1" x14ac:dyDescent="0.35">
      <c r="A1127" s="1">
        <v>2021</v>
      </c>
      <c r="B1127" s="1" t="s">
        <v>22</v>
      </c>
      <c r="C1127" s="1">
        <v>30</v>
      </c>
      <c r="D1127" s="49">
        <v>107.438</v>
      </c>
      <c r="E1127" s="12">
        <f t="shared" ref="E1127:E1158" si="21">D1127*1.25</f>
        <v>134.29750000000001</v>
      </c>
      <c r="F1127" s="50">
        <v>91.343999999999994</v>
      </c>
      <c r="G1127" s="83">
        <v>73.843999999999994</v>
      </c>
      <c r="H1127" s="69">
        <v>1663.442</v>
      </c>
      <c r="I1127" s="50">
        <v>6.9</v>
      </c>
      <c r="J1127" s="137">
        <v>0.02</v>
      </c>
      <c r="K1127" s="117">
        <v>8.85</v>
      </c>
      <c r="L1127" s="61">
        <v>31.518000000000001</v>
      </c>
      <c r="M1127" s="62">
        <v>5.4809999999999999</v>
      </c>
      <c r="N1127" s="137">
        <v>2.5000000000000001E-2</v>
      </c>
      <c r="O1127" s="57">
        <v>65.17</v>
      </c>
      <c r="P1127" s="67">
        <v>0.04</v>
      </c>
      <c r="Q1127" s="96"/>
    </row>
    <row r="1128" spans="1:17" ht="14.25" customHeight="1" x14ac:dyDescent="0.35">
      <c r="A1128" s="1">
        <v>2021</v>
      </c>
      <c r="B1128" s="1" t="s">
        <v>22</v>
      </c>
      <c r="C1128" s="1">
        <v>31</v>
      </c>
      <c r="D1128" s="104">
        <v>108.84399999999999</v>
      </c>
      <c r="E1128" s="12">
        <f t="shared" si="21"/>
        <v>136.05500000000001</v>
      </c>
      <c r="F1128" s="105">
        <v>92.563000000000002</v>
      </c>
      <c r="G1128" s="118">
        <v>74.391000000000005</v>
      </c>
      <c r="H1128" s="119">
        <v>1628.585</v>
      </c>
      <c r="I1128" s="120">
        <v>6.9</v>
      </c>
      <c r="J1128" s="140">
        <v>0.02</v>
      </c>
      <c r="K1128" s="122">
        <v>9.0239999999999991</v>
      </c>
      <c r="L1128" s="65">
        <v>31.164999999999999</v>
      </c>
      <c r="M1128" s="50">
        <v>5.4880000000000004</v>
      </c>
      <c r="N1128" s="137">
        <v>2.5000000000000001E-2</v>
      </c>
      <c r="O1128" s="57">
        <v>64.167000000000002</v>
      </c>
      <c r="P1128" s="67">
        <v>3.9E-2</v>
      </c>
      <c r="Q1128" s="96"/>
    </row>
    <row r="1129" spans="1:17" ht="14.25" customHeight="1" x14ac:dyDescent="0.35">
      <c r="A1129" s="1">
        <v>2021</v>
      </c>
      <c r="B1129" s="1" t="s">
        <v>23</v>
      </c>
      <c r="C1129" s="1">
        <v>1</v>
      </c>
      <c r="D1129" s="12">
        <v>108.453</v>
      </c>
      <c r="E1129" s="12">
        <f t="shared" si="21"/>
        <v>135.56625</v>
      </c>
      <c r="F1129" s="13">
        <v>92.093999999999994</v>
      </c>
      <c r="G1129" s="51">
        <v>74.844999999999999</v>
      </c>
      <c r="H1129" s="52">
        <v>1616.104</v>
      </c>
      <c r="I1129" s="53">
        <v>6.9</v>
      </c>
      <c r="J1129" s="55">
        <v>0.02</v>
      </c>
      <c r="K1129" s="59">
        <v>9.2100000000000009</v>
      </c>
      <c r="L1129" s="52">
        <v>31.692</v>
      </c>
      <c r="M1129" s="55">
        <v>5.4980000000000002</v>
      </c>
      <c r="N1129" s="136">
        <v>2.5000000000000001E-2</v>
      </c>
      <c r="O1129" s="57">
        <v>62.447000000000003</v>
      </c>
      <c r="P1129" s="58">
        <v>4.2999999999999997E-2</v>
      </c>
      <c r="Q1129" s="96"/>
    </row>
    <row r="1130" spans="1:17" ht="14.25" customHeight="1" x14ac:dyDescent="0.35">
      <c r="A1130" s="1">
        <v>2021</v>
      </c>
      <c r="B1130" s="1" t="s">
        <v>24</v>
      </c>
      <c r="C1130" s="1">
        <v>2</v>
      </c>
      <c r="D1130" s="49">
        <v>106.688</v>
      </c>
      <c r="E1130" s="12">
        <f t="shared" si="21"/>
        <v>133.36000000000001</v>
      </c>
      <c r="F1130" s="50">
        <v>90.688000000000002</v>
      </c>
      <c r="G1130" s="60">
        <v>75.201999999999998</v>
      </c>
      <c r="H1130" s="61">
        <v>1707.2</v>
      </c>
      <c r="I1130" s="62">
        <v>6.9</v>
      </c>
      <c r="J1130" s="64">
        <v>1.9E-2</v>
      </c>
      <c r="K1130" s="68">
        <v>9.3360000000000003</v>
      </c>
      <c r="L1130" s="65">
        <v>33.32</v>
      </c>
      <c r="M1130" s="50">
        <v>5.4790000000000001</v>
      </c>
      <c r="N1130" s="137">
        <v>2.5000000000000001E-2</v>
      </c>
      <c r="O1130" s="57">
        <v>65.412999999999997</v>
      </c>
      <c r="P1130" s="67">
        <v>0.05</v>
      </c>
      <c r="Q1130" s="96"/>
    </row>
    <row r="1131" spans="1:17" ht="14.25" customHeight="1" x14ac:dyDescent="0.35">
      <c r="A1131" s="1">
        <v>2021</v>
      </c>
      <c r="B1131" s="1" t="s">
        <v>23</v>
      </c>
      <c r="C1131" s="1">
        <v>3</v>
      </c>
      <c r="D1131" s="49">
        <v>107.03100000000001</v>
      </c>
      <c r="E1131" s="12">
        <f t="shared" si="21"/>
        <v>133.78874999999999</v>
      </c>
      <c r="F1131" s="50">
        <v>90.906000000000006</v>
      </c>
      <c r="G1131" s="60">
        <v>74.966999999999999</v>
      </c>
      <c r="H1131" s="61">
        <v>1743.296</v>
      </c>
      <c r="I1131" s="62">
        <v>6.9</v>
      </c>
      <c r="J1131" s="64">
        <v>1.9E-2</v>
      </c>
      <c r="K1131" s="68">
        <v>9.1760000000000002</v>
      </c>
      <c r="L1131" s="65">
        <v>33.323</v>
      </c>
      <c r="M1131" s="50">
        <v>5.4589999999999996</v>
      </c>
      <c r="N1131" s="137">
        <v>2.5000000000000001E-2</v>
      </c>
      <c r="O1131" s="57">
        <v>68.635999999999996</v>
      </c>
      <c r="P1131" s="67">
        <v>5.0999999999999997E-2</v>
      </c>
      <c r="Q1131" s="96"/>
    </row>
    <row r="1132" spans="1:17" ht="14.25" customHeight="1" x14ac:dyDescent="0.35">
      <c r="A1132" s="1">
        <v>2021</v>
      </c>
      <c r="B1132" s="1" t="s">
        <v>23</v>
      </c>
      <c r="C1132" s="1">
        <v>4</v>
      </c>
      <c r="D1132" s="49">
        <v>110.938</v>
      </c>
      <c r="E1132" s="12">
        <f t="shared" si="21"/>
        <v>138.67250000000001</v>
      </c>
      <c r="F1132" s="50">
        <v>94.125</v>
      </c>
      <c r="G1132" s="60">
        <v>75.106999999999999</v>
      </c>
      <c r="H1132" s="61">
        <v>1731.105</v>
      </c>
      <c r="I1132" s="62">
        <v>6.9009999999999998</v>
      </c>
      <c r="J1132" s="64">
        <v>1.9E-2</v>
      </c>
      <c r="K1132" s="68">
        <v>9</v>
      </c>
      <c r="L1132" s="65">
        <v>32.231999999999999</v>
      </c>
      <c r="M1132" s="50">
        <v>5.4580000000000002</v>
      </c>
      <c r="N1132" s="137">
        <v>2.5000000000000001E-2</v>
      </c>
      <c r="O1132" s="57">
        <v>68.489000000000004</v>
      </c>
      <c r="P1132" s="67">
        <v>4.9000000000000002E-2</v>
      </c>
      <c r="Q1132" s="96"/>
    </row>
    <row r="1133" spans="1:17" ht="14.25" customHeight="1" x14ac:dyDescent="0.35">
      <c r="A1133" s="1">
        <v>2021</v>
      </c>
      <c r="B1133" s="1" t="s">
        <v>23</v>
      </c>
      <c r="C1133" s="1">
        <v>5</v>
      </c>
      <c r="D1133" s="49">
        <v>106.76600000000001</v>
      </c>
      <c r="E1133" s="12">
        <f t="shared" si="21"/>
        <v>133.45750000000001</v>
      </c>
      <c r="F1133" s="50">
        <v>90.5</v>
      </c>
      <c r="G1133" s="60">
        <v>75.061999999999998</v>
      </c>
      <c r="H1133" s="61">
        <v>1718.914</v>
      </c>
      <c r="I1133" s="62">
        <v>6.9</v>
      </c>
      <c r="J1133" s="64">
        <v>0.02</v>
      </c>
      <c r="K1133" s="68">
        <v>8.8849999999999998</v>
      </c>
      <c r="L1133" s="65">
        <v>27.530999999999999</v>
      </c>
      <c r="M1133" s="50">
        <v>5.43</v>
      </c>
      <c r="N1133" s="137">
        <v>2.5000000000000001E-2</v>
      </c>
      <c r="O1133" s="57">
        <v>73.138000000000005</v>
      </c>
      <c r="P1133" s="67">
        <v>4.9000000000000002E-2</v>
      </c>
      <c r="Q1133" s="96"/>
    </row>
    <row r="1134" spans="1:17" ht="14.25" customHeight="1" x14ac:dyDescent="0.35">
      <c r="A1134" s="1">
        <v>2021</v>
      </c>
      <c r="B1134" s="1" t="s">
        <v>23</v>
      </c>
      <c r="C1134" s="1">
        <v>6</v>
      </c>
      <c r="D1134" s="49">
        <v>104.90600000000001</v>
      </c>
      <c r="E1134" s="12">
        <f t="shared" si="21"/>
        <v>131.13249999999999</v>
      </c>
      <c r="F1134" s="50">
        <v>88.968999999999994</v>
      </c>
      <c r="G1134" s="60">
        <v>75.13</v>
      </c>
      <c r="H1134" s="61">
        <v>1724.932</v>
      </c>
      <c r="I1134" s="62">
        <v>6.9</v>
      </c>
      <c r="J1134" s="64">
        <v>1.9E-2</v>
      </c>
      <c r="K1134" s="68">
        <v>8.7639999999999993</v>
      </c>
      <c r="L1134" s="65">
        <v>24.937000000000001</v>
      </c>
      <c r="M1134" s="50">
        <v>5.4119999999999999</v>
      </c>
      <c r="N1134" s="137">
        <v>2.5000000000000001E-2</v>
      </c>
      <c r="O1134" s="57">
        <v>76.275999999999996</v>
      </c>
      <c r="P1134" s="67">
        <v>4.7E-2</v>
      </c>
      <c r="Q1134" s="96"/>
    </row>
    <row r="1135" spans="1:17" ht="14.25" customHeight="1" x14ac:dyDescent="0.35">
      <c r="A1135" s="1">
        <v>2021</v>
      </c>
      <c r="B1135" s="1" t="s">
        <v>23</v>
      </c>
      <c r="C1135" s="1">
        <v>7</v>
      </c>
      <c r="D1135" s="49">
        <v>107.98399999999999</v>
      </c>
      <c r="E1135" s="12">
        <f t="shared" si="21"/>
        <v>134.97999999999999</v>
      </c>
      <c r="F1135" s="50">
        <v>91.593999999999994</v>
      </c>
      <c r="G1135" s="60">
        <v>74.855000000000004</v>
      </c>
      <c r="H1135" s="61">
        <v>1657.3589999999999</v>
      </c>
      <c r="I1135" s="62">
        <v>6.9</v>
      </c>
      <c r="J1135" s="64">
        <v>1.9E-2</v>
      </c>
      <c r="K1135" s="68">
        <v>8.8309999999999995</v>
      </c>
      <c r="L1135" s="65">
        <v>24.303999999999998</v>
      </c>
      <c r="M1135" s="50">
        <v>5.4180000000000001</v>
      </c>
      <c r="N1135" s="137">
        <v>2.5000000000000001E-2</v>
      </c>
      <c r="O1135" s="57">
        <v>75.525999999999996</v>
      </c>
      <c r="P1135" s="67">
        <v>4.3999999999999997E-2</v>
      </c>
      <c r="Q1135" s="96"/>
    </row>
    <row r="1136" spans="1:17" ht="14.25" customHeight="1" x14ac:dyDescent="0.35">
      <c r="A1136" s="1">
        <v>2021</v>
      </c>
      <c r="B1136" s="1" t="s">
        <v>23</v>
      </c>
      <c r="C1136" s="1">
        <v>8</v>
      </c>
      <c r="D1136" s="49">
        <v>104.14100000000001</v>
      </c>
      <c r="E1136" s="12">
        <f t="shared" si="21"/>
        <v>130.17625000000001</v>
      </c>
      <c r="F1136" s="50">
        <v>88.343999999999994</v>
      </c>
      <c r="G1136" s="60">
        <v>74.590999999999994</v>
      </c>
      <c r="H1136" s="69">
        <v>1609.8869999999999</v>
      </c>
      <c r="I1136" s="62">
        <v>6.9</v>
      </c>
      <c r="J1136" s="64">
        <v>0.02</v>
      </c>
      <c r="K1136" s="71">
        <v>8.9879999999999995</v>
      </c>
      <c r="L1136" s="65">
        <v>23.905000000000001</v>
      </c>
      <c r="M1136" s="50">
        <v>5.4409999999999998</v>
      </c>
      <c r="N1136" s="137">
        <v>2.5000000000000001E-2</v>
      </c>
      <c r="O1136" s="57">
        <v>71.278000000000006</v>
      </c>
      <c r="P1136" s="67">
        <v>4.3999999999999997E-2</v>
      </c>
      <c r="Q1136" s="96"/>
    </row>
    <row r="1137" spans="1:17" ht="14.25" customHeight="1" x14ac:dyDescent="0.35">
      <c r="A1137" s="1">
        <v>2021</v>
      </c>
      <c r="B1137" s="1" t="s">
        <v>23</v>
      </c>
      <c r="C1137" s="1">
        <v>9</v>
      </c>
      <c r="D1137" s="49">
        <v>101.90600000000001</v>
      </c>
      <c r="E1137" s="12">
        <f t="shared" si="21"/>
        <v>127.38250000000001</v>
      </c>
      <c r="F1137" s="50">
        <v>86.563000000000002</v>
      </c>
      <c r="G1137" s="60">
        <v>74.906000000000006</v>
      </c>
      <c r="H1137" s="61">
        <v>1706.9159999999999</v>
      </c>
      <c r="I1137" s="62">
        <v>6.9</v>
      </c>
      <c r="J1137" s="64">
        <v>2.1000000000000001E-2</v>
      </c>
      <c r="K1137" s="68">
        <v>9.2959999999999994</v>
      </c>
      <c r="L1137" s="65">
        <v>25.198</v>
      </c>
      <c r="M1137" s="50">
        <v>5.4359999999999999</v>
      </c>
      <c r="N1137" s="137">
        <v>2.5000000000000001E-2</v>
      </c>
      <c r="O1137" s="57">
        <v>72.16</v>
      </c>
      <c r="P1137" s="67">
        <v>4.8000000000000001E-2</v>
      </c>
      <c r="Q1137" s="96"/>
    </row>
    <row r="1138" spans="1:17" ht="14.25" customHeight="1" x14ac:dyDescent="0.35">
      <c r="A1138" s="1">
        <v>2021</v>
      </c>
      <c r="B1138" s="1" t="s">
        <v>23</v>
      </c>
      <c r="C1138" s="1">
        <v>10</v>
      </c>
      <c r="D1138" s="49">
        <v>102.547</v>
      </c>
      <c r="E1138" s="12">
        <f t="shared" si="21"/>
        <v>128.18375</v>
      </c>
      <c r="F1138" s="50">
        <v>87.031000000000006</v>
      </c>
      <c r="G1138" s="72">
        <v>75.245999999999995</v>
      </c>
      <c r="H1138" s="61">
        <v>1724.6759999999999</v>
      </c>
      <c r="I1138" s="62">
        <v>6.9</v>
      </c>
      <c r="J1138" s="64">
        <v>2.1000000000000001E-2</v>
      </c>
      <c r="K1138" s="76">
        <v>8.9749999999999996</v>
      </c>
      <c r="L1138" s="65">
        <v>25.518999999999998</v>
      </c>
      <c r="M1138" s="50">
        <v>5.4279999999999999</v>
      </c>
      <c r="N1138" s="138">
        <v>2.5000000000000001E-2</v>
      </c>
      <c r="O1138" s="57">
        <v>73.403000000000006</v>
      </c>
      <c r="P1138" s="75">
        <v>4.9000000000000002E-2</v>
      </c>
      <c r="Q1138" s="96"/>
    </row>
    <row r="1139" spans="1:17" ht="14.25" customHeight="1" x14ac:dyDescent="0.35">
      <c r="A1139" s="1">
        <v>2021</v>
      </c>
      <c r="B1139" s="1" t="s">
        <v>23</v>
      </c>
      <c r="C1139" s="1">
        <v>11</v>
      </c>
      <c r="D1139" s="49">
        <v>103.60899999999999</v>
      </c>
      <c r="E1139" s="12">
        <f t="shared" si="21"/>
        <v>129.51124999999999</v>
      </c>
      <c r="F1139" s="50">
        <v>87.875</v>
      </c>
      <c r="G1139" s="72">
        <v>75.159000000000006</v>
      </c>
      <c r="H1139" s="61">
        <v>1705.913</v>
      </c>
      <c r="I1139" s="62">
        <v>6.9</v>
      </c>
      <c r="J1139" s="64">
        <v>2.1000000000000001E-2</v>
      </c>
      <c r="K1139" s="76">
        <v>8.7050000000000001</v>
      </c>
      <c r="L1139" s="65">
        <v>25.623999999999999</v>
      </c>
      <c r="M1139" s="50">
        <v>5.4210000000000003</v>
      </c>
      <c r="N1139" s="138">
        <v>2.5000000000000001E-2</v>
      </c>
      <c r="O1139" s="57">
        <v>74.435000000000002</v>
      </c>
      <c r="P1139" s="75">
        <v>4.9000000000000002E-2</v>
      </c>
      <c r="Q1139" s="96"/>
    </row>
    <row r="1140" spans="1:17" ht="14.25" customHeight="1" x14ac:dyDescent="0.35">
      <c r="A1140" s="1">
        <v>2021</v>
      </c>
      <c r="B1140" s="1" t="s">
        <v>23</v>
      </c>
      <c r="C1140" s="1">
        <v>12</v>
      </c>
      <c r="D1140" s="49">
        <v>105.35899999999999</v>
      </c>
      <c r="E1140" s="12">
        <f t="shared" si="21"/>
        <v>131.69874999999999</v>
      </c>
      <c r="F1140" s="50">
        <v>89.438000000000002</v>
      </c>
      <c r="G1140" s="72">
        <v>75.216999999999999</v>
      </c>
      <c r="H1140" s="61">
        <v>1694.153</v>
      </c>
      <c r="I1140" s="62">
        <v>6.9</v>
      </c>
      <c r="J1140" s="64">
        <v>2.1000000000000001E-2</v>
      </c>
      <c r="K1140" s="76">
        <v>8.4700000000000006</v>
      </c>
      <c r="L1140" s="65">
        <v>25.763000000000002</v>
      </c>
      <c r="M1140" s="50">
        <v>5.3810000000000002</v>
      </c>
      <c r="N1140" s="138">
        <v>2.5000000000000001E-2</v>
      </c>
      <c r="O1140" s="57">
        <v>82.412000000000006</v>
      </c>
      <c r="P1140" s="75">
        <v>5.0999999999999997E-2</v>
      </c>
      <c r="Q1140" s="96"/>
    </row>
    <row r="1141" spans="1:17" ht="14.25" customHeight="1" x14ac:dyDescent="0.35">
      <c r="A1141" s="1">
        <v>2021</v>
      </c>
      <c r="B1141" s="1" t="s">
        <v>23</v>
      </c>
      <c r="C1141" s="1">
        <v>13</v>
      </c>
      <c r="D1141" s="49">
        <v>107.547</v>
      </c>
      <c r="E1141" s="12">
        <f t="shared" si="21"/>
        <v>134.43375</v>
      </c>
      <c r="F1141" s="50">
        <v>91.375</v>
      </c>
      <c r="G1141" s="78">
        <v>74.903999999999996</v>
      </c>
      <c r="H1141" s="61">
        <v>1672.65</v>
      </c>
      <c r="I1141" s="62">
        <v>6.9</v>
      </c>
      <c r="J1141" s="64">
        <v>2.1999999999999999E-2</v>
      </c>
      <c r="K1141" s="81">
        <v>8.3889999999999993</v>
      </c>
      <c r="L1141" s="65">
        <v>26.422000000000001</v>
      </c>
      <c r="M1141" s="50">
        <v>5.343</v>
      </c>
      <c r="N1141" s="137">
        <v>2.5000000000000001E-2</v>
      </c>
      <c r="O1141" s="57">
        <v>89.316999999999993</v>
      </c>
      <c r="P1141" s="80">
        <v>4.2999999999999997E-2</v>
      </c>
      <c r="Q1141" s="96"/>
    </row>
    <row r="1142" spans="1:17" ht="14.25" customHeight="1" x14ac:dyDescent="0.35">
      <c r="A1142" s="1">
        <v>2021</v>
      </c>
      <c r="B1142" s="1" t="s">
        <v>23</v>
      </c>
      <c r="C1142" s="1">
        <v>14</v>
      </c>
      <c r="D1142" s="49">
        <v>106.5</v>
      </c>
      <c r="E1142" s="12">
        <f t="shared" si="21"/>
        <v>133.125</v>
      </c>
      <c r="F1142" s="50">
        <v>90.531000000000006</v>
      </c>
      <c r="G1142" s="60">
        <v>75.003</v>
      </c>
      <c r="H1142" s="61">
        <v>1602.6179999999999</v>
      </c>
      <c r="I1142" s="62">
        <v>6.9</v>
      </c>
      <c r="J1142" s="64">
        <v>0.02</v>
      </c>
      <c r="K1142" s="81">
        <v>8.2469999999999999</v>
      </c>
      <c r="L1142" s="82">
        <v>24.308</v>
      </c>
      <c r="M1142" s="50">
        <v>5.3220000000000001</v>
      </c>
      <c r="N1142" s="137">
        <v>2.5000000000000001E-2</v>
      </c>
      <c r="O1142" s="57">
        <v>93.620999999999995</v>
      </c>
      <c r="P1142" s="80">
        <v>3.7999999999999999E-2</v>
      </c>
      <c r="Q1142" s="96"/>
    </row>
    <row r="1143" spans="1:17" ht="14.25" customHeight="1" x14ac:dyDescent="0.35">
      <c r="A1143" s="1">
        <v>2021</v>
      </c>
      <c r="B1143" s="1" t="s">
        <v>23</v>
      </c>
      <c r="C1143" s="1">
        <v>15</v>
      </c>
      <c r="D1143" s="49">
        <v>106.35899999999999</v>
      </c>
      <c r="E1143" s="12">
        <f t="shared" si="21"/>
        <v>132.94874999999999</v>
      </c>
      <c r="F1143" s="50">
        <v>90.313000000000002</v>
      </c>
      <c r="G1143" s="60">
        <v>74.591999999999999</v>
      </c>
      <c r="H1143" s="61">
        <v>1567.0360000000001</v>
      </c>
      <c r="I1143" s="62">
        <v>6.9</v>
      </c>
      <c r="J1143" s="64">
        <v>2.1000000000000001E-2</v>
      </c>
      <c r="K1143" s="76">
        <v>8.3309999999999995</v>
      </c>
      <c r="L1143" s="65">
        <v>25.434000000000001</v>
      </c>
      <c r="M1143" s="50">
        <v>5.3609999999999998</v>
      </c>
      <c r="N1143" s="137">
        <v>2.5000000000000001E-2</v>
      </c>
      <c r="O1143" s="57">
        <v>85.981999999999999</v>
      </c>
      <c r="P1143" s="75">
        <v>3.7999999999999999E-2</v>
      </c>
      <c r="Q1143" s="96"/>
    </row>
    <row r="1144" spans="1:17" ht="14.25" customHeight="1" x14ac:dyDescent="0.35">
      <c r="A1144" s="1">
        <v>2021</v>
      </c>
      <c r="B1144" s="1" t="s">
        <v>23</v>
      </c>
      <c r="C1144" s="1">
        <v>16</v>
      </c>
      <c r="D1144" s="49">
        <v>106.85899999999999</v>
      </c>
      <c r="E1144" s="12">
        <f t="shared" si="21"/>
        <v>133.57374999999999</v>
      </c>
      <c r="F1144" s="50">
        <v>91.063000000000002</v>
      </c>
      <c r="G1144" s="60">
        <v>75.247</v>
      </c>
      <c r="H1144" s="61">
        <v>1622.4010000000001</v>
      </c>
      <c r="I1144" s="62">
        <v>6.9</v>
      </c>
      <c r="J1144" s="64">
        <v>2.1000000000000001E-2</v>
      </c>
      <c r="K1144" s="81">
        <v>8.8569999999999993</v>
      </c>
      <c r="L1144" s="61">
        <v>26.228000000000002</v>
      </c>
      <c r="M1144" s="62">
        <v>5.3609999999999998</v>
      </c>
      <c r="N1144" s="137">
        <v>2.5000000000000001E-2</v>
      </c>
      <c r="O1144" s="57">
        <v>85.555999999999997</v>
      </c>
      <c r="P1144" s="75">
        <v>0.06</v>
      </c>
      <c r="Q1144" s="96"/>
    </row>
    <row r="1145" spans="1:17" ht="14.25" customHeight="1" x14ac:dyDescent="0.35">
      <c r="A1145" s="1">
        <v>2021</v>
      </c>
      <c r="B1145" s="1" t="s">
        <v>23</v>
      </c>
      <c r="C1145" s="1">
        <v>17</v>
      </c>
      <c r="D1145" s="49">
        <v>107.51600000000001</v>
      </c>
      <c r="E1145" s="12">
        <f t="shared" si="21"/>
        <v>134.39500000000001</v>
      </c>
      <c r="F1145" s="50">
        <v>91.656000000000006</v>
      </c>
      <c r="G1145" s="60">
        <v>75.088999999999999</v>
      </c>
      <c r="H1145" s="61">
        <v>1698.4190000000001</v>
      </c>
      <c r="I1145" s="62">
        <v>6.9</v>
      </c>
      <c r="J1145" s="64">
        <v>2.1999999999999999E-2</v>
      </c>
      <c r="K1145" s="68">
        <v>8.6660000000000004</v>
      </c>
      <c r="L1145" s="65">
        <v>27.093</v>
      </c>
      <c r="M1145" s="50">
        <v>5.3410000000000002</v>
      </c>
      <c r="N1145" s="137">
        <v>2.5000000000000001E-2</v>
      </c>
      <c r="O1145" s="57">
        <v>89.784000000000006</v>
      </c>
      <c r="P1145" s="67">
        <v>4.5999999999999999E-2</v>
      </c>
      <c r="Q1145" s="96"/>
    </row>
    <row r="1146" spans="1:17" ht="14.25" customHeight="1" x14ac:dyDescent="0.35">
      <c r="A1146" s="1">
        <v>2021</v>
      </c>
      <c r="B1146" s="1" t="s">
        <v>23</v>
      </c>
      <c r="C1146" s="1">
        <v>18</v>
      </c>
      <c r="D1146" s="49">
        <v>107.125</v>
      </c>
      <c r="E1146" s="12">
        <f t="shared" si="21"/>
        <v>133.90625</v>
      </c>
      <c r="F1146" s="50">
        <v>91.281000000000006</v>
      </c>
      <c r="G1146" s="60">
        <v>74.635999999999996</v>
      </c>
      <c r="H1146" s="61">
        <v>1679.97</v>
      </c>
      <c r="I1146" s="62">
        <v>6.9</v>
      </c>
      <c r="J1146" s="64">
        <v>2.1999999999999999E-2</v>
      </c>
      <c r="K1146" s="68">
        <v>8.4879999999999995</v>
      </c>
      <c r="L1146" s="61">
        <v>26.206</v>
      </c>
      <c r="M1146" s="62">
        <v>5.3330000000000002</v>
      </c>
      <c r="N1146" s="137">
        <v>2.5000000000000001E-2</v>
      </c>
      <c r="O1146" s="57">
        <v>91.233000000000004</v>
      </c>
      <c r="P1146" s="67">
        <v>4.2999999999999997E-2</v>
      </c>
      <c r="Q1146" s="96"/>
    </row>
    <row r="1147" spans="1:17" ht="14.25" customHeight="1" x14ac:dyDescent="0.35">
      <c r="A1147" s="1">
        <v>2021</v>
      </c>
      <c r="B1147" s="1" t="s">
        <v>23</v>
      </c>
      <c r="C1147" s="1">
        <v>19</v>
      </c>
      <c r="D1147" s="49">
        <v>109.563</v>
      </c>
      <c r="E1147" s="12">
        <f t="shared" si="21"/>
        <v>136.95375000000001</v>
      </c>
      <c r="F1147" s="50">
        <v>93.093999999999994</v>
      </c>
      <c r="G1147" s="60">
        <v>74.944999999999993</v>
      </c>
      <c r="H1147" s="61">
        <v>1687.2249999999999</v>
      </c>
      <c r="I1147" s="62">
        <v>6.9</v>
      </c>
      <c r="J1147" s="64">
        <v>2.3E-2</v>
      </c>
      <c r="K1147" s="68">
        <v>8.4649999999999999</v>
      </c>
      <c r="L1147" s="65">
        <v>27.323</v>
      </c>
      <c r="M1147" s="50">
        <v>5.274</v>
      </c>
      <c r="N1147" s="137">
        <v>2.5000000000000001E-2</v>
      </c>
      <c r="O1147" s="57">
        <v>104.876</v>
      </c>
      <c r="P1147" s="67">
        <v>4.4999999999999998E-2</v>
      </c>
      <c r="Q1147" s="96"/>
    </row>
    <row r="1148" spans="1:17" ht="14.25" customHeight="1" x14ac:dyDescent="0.35">
      <c r="A1148" s="1">
        <v>2021</v>
      </c>
      <c r="B1148" s="1" t="s">
        <v>23</v>
      </c>
      <c r="C1148" s="1">
        <v>20</v>
      </c>
      <c r="D1148" s="49">
        <v>105.96899999999999</v>
      </c>
      <c r="E1148" s="12">
        <f t="shared" si="21"/>
        <v>132.46125000000001</v>
      </c>
      <c r="F1148" s="50">
        <v>89.968999999999994</v>
      </c>
      <c r="G1148" s="60">
        <v>74.944000000000003</v>
      </c>
      <c r="H1148" s="61">
        <v>1684.789</v>
      </c>
      <c r="I1148" s="62">
        <v>6.9</v>
      </c>
      <c r="J1148" s="64">
        <v>2.4E-2</v>
      </c>
      <c r="K1148" s="68">
        <v>8.516</v>
      </c>
      <c r="L1148" s="61">
        <v>27.091000000000001</v>
      </c>
      <c r="M1148" s="62">
        <v>5.2210000000000001</v>
      </c>
      <c r="N1148" s="137">
        <v>2.5000000000000001E-2</v>
      </c>
      <c r="O1148" s="57">
        <v>118.068</v>
      </c>
      <c r="P1148" s="67">
        <v>4.2999999999999997E-2</v>
      </c>
      <c r="Q1148" s="96"/>
    </row>
    <row r="1149" spans="1:17" ht="14.25" customHeight="1" x14ac:dyDescent="0.35">
      <c r="A1149" s="1">
        <v>2021</v>
      </c>
      <c r="B1149" s="1" t="s">
        <v>23</v>
      </c>
      <c r="C1149" s="1">
        <v>21</v>
      </c>
      <c r="D1149" s="49">
        <v>105.203</v>
      </c>
      <c r="E1149" s="12">
        <f t="shared" si="21"/>
        <v>131.50375</v>
      </c>
      <c r="F1149" s="50">
        <v>89.313000000000002</v>
      </c>
      <c r="G1149" s="60">
        <v>74.995000000000005</v>
      </c>
      <c r="H1149" s="61">
        <v>1608.39</v>
      </c>
      <c r="I1149" s="62">
        <v>6.9</v>
      </c>
      <c r="J1149" s="64">
        <v>2.4E-2</v>
      </c>
      <c r="K1149" s="68">
        <v>8.5250000000000004</v>
      </c>
      <c r="L1149" s="65">
        <v>25.613</v>
      </c>
      <c r="M1149" s="50">
        <v>5.2309999999999999</v>
      </c>
      <c r="N1149" s="137">
        <v>2.5000000000000001E-2</v>
      </c>
      <c r="O1149" s="57">
        <v>115.249</v>
      </c>
      <c r="P1149" s="67">
        <v>3.7999999999999999E-2</v>
      </c>
      <c r="Q1149" s="96"/>
    </row>
    <row r="1150" spans="1:17" ht="14.25" customHeight="1" x14ac:dyDescent="0.35">
      <c r="A1150" s="1">
        <v>2021</v>
      </c>
      <c r="B1150" s="1" t="s">
        <v>23</v>
      </c>
      <c r="C1150" s="1">
        <v>22</v>
      </c>
      <c r="D1150" s="49">
        <v>105.90600000000001</v>
      </c>
      <c r="E1150" s="12">
        <f t="shared" si="21"/>
        <v>132.38249999999999</v>
      </c>
      <c r="F1150" s="50">
        <v>90</v>
      </c>
      <c r="G1150" s="60">
        <v>75.305000000000007</v>
      </c>
      <c r="H1150" s="61">
        <v>1583.9670000000001</v>
      </c>
      <c r="I1150" s="62">
        <v>6.9</v>
      </c>
      <c r="J1150" s="64">
        <v>2.5000000000000001E-2</v>
      </c>
      <c r="K1150" s="68">
        <v>8.7910000000000004</v>
      </c>
      <c r="L1150" s="61">
        <v>25.667000000000002</v>
      </c>
      <c r="M1150" s="62">
        <v>5.2329999999999997</v>
      </c>
      <c r="N1150" s="137">
        <v>2.5000000000000001E-2</v>
      </c>
      <c r="O1150" s="57">
        <v>115.414</v>
      </c>
      <c r="P1150" s="67">
        <v>0.04</v>
      </c>
      <c r="Q1150" s="96"/>
    </row>
    <row r="1151" spans="1:17" ht="14.25" customHeight="1" x14ac:dyDescent="0.35">
      <c r="A1151" s="1">
        <v>2021</v>
      </c>
      <c r="B1151" s="1" t="s">
        <v>23</v>
      </c>
      <c r="C1151" s="1">
        <v>23</v>
      </c>
      <c r="D1151" s="49">
        <v>105.953</v>
      </c>
      <c r="E1151" s="12">
        <f t="shared" si="21"/>
        <v>132.44125</v>
      </c>
      <c r="F1151" s="50">
        <v>90</v>
      </c>
      <c r="G1151" s="60">
        <v>75.566999999999993</v>
      </c>
      <c r="H1151" s="61">
        <v>1676.5989999999999</v>
      </c>
      <c r="I1151" s="62">
        <v>6.9</v>
      </c>
      <c r="J1151" s="64">
        <v>2.5999999999999999E-2</v>
      </c>
      <c r="K1151" s="68">
        <v>8.8450000000000006</v>
      </c>
      <c r="L1151" s="65">
        <v>27.3</v>
      </c>
      <c r="M1151" s="50">
        <v>5.2279999999999998</v>
      </c>
      <c r="N1151" s="137">
        <v>2.5000000000000001E-2</v>
      </c>
      <c r="O1151" s="57">
        <v>116.15600000000001</v>
      </c>
      <c r="P1151" s="67">
        <v>4.4999999999999998E-2</v>
      </c>
      <c r="Q1151" s="96"/>
    </row>
    <row r="1152" spans="1:17" ht="14.25" customHeight="1" x14ac:dyDescent="0.35">
      <c r="A1152" s="1">
        <v>2021</v>
      </c>
      <c r="B1152" s="1" t="s">
        <v>23</v>
      </c>
      <c r="C1152" s="1">
        <v>24</v>
      </c>
      <c r="D1152" s="49">
        <v>106.703</v>
      </c>
      <c r="E1152" s="12">
        <f t="shared" si="21"/>
        <v>133.37875</v>
      </c>
      <c r="F1152" s="50">
        <v>90.468999999999994</v>
      </c>
      <c r="G1152" s="60">
        <v>75.734999999999999</v>
      </c>
      <c r="H1152" s="61">
        <v>1724.809</v>
      </c>
      <c r="I1152" s="62">
        <v>6.9</v>
      </c>
      <c r="J1152" s="64">
        <v>2.9000000000000001E-2</v>
      </c>
      <c r="K1152" s="68">
        <v>8.8160000000000007</v>
      </c>
      <c r="L1152" s="61">
        <v>28.372</v>
      </c>
      <c r="M1152" s="62">
        <v>5.3890000000000002</v>
      </c>
      <c r="N1152" s="137">
        <v>2.5000000000000001E-2</v>
      </c>
      <c r="O1152" s="57">
        <v>85.007999999999996</v>
      </c>
      <c r="P1152" s="67">
        <v>4.4999999999999998E-2</v>
      </c>
      <c r="Q1152" s="96"/>
    </row>
    <row r="1153" spans="1:17" ht="14.25" customHeight="1" x14ac:dyDescent="0.35">
      <c r="A1153" s="1">
        <v>2021</v>
      </c>
      <c r="B1153" s="1" t="s">
        <v>23</v>
      </c>
      <c r="C1153" s="1">
        <v>25</v>
      </c>
      <c r="D1153" s="49">
        <v>101.09399999999999</v>
      </c>
      <c r="E1153" s="12">
        <f t="shared" si="21"/>
        <v>126.36749999999999</v>
      </c>
      <c r="F1153" s="50">
        <v>85.813000000000002</v>
      </c>
      <c r="G1153" s="60">
        <v>75.850999999999999</v>
      </c>
      <c r="H1153" s="61">
        <v>1712.415</v>
      </c>
      <c r="I1153" s="62">
        <v>6.9</v>
      </c>
      <c r="J1153" s="64">
        <v>3.2000000000000001E-2</v>
      </c>
      <c r="K1153" s="68">
        <v>9.0489999999999995</v>
      </c>
      <c r="L1153" s="65">
        <v>27.658000000000001</v>
      </c>
      <c r="M1153" s="50">
        <v>5.5019999999999998</v>
      </c>
      <c r="N1153" s="137">
        <v>2.5000000000000001E-2</v>
      </c>
      <c r="O1153" s="57">
        <v>62.121000000000002</v>
      </c>
      <c r="P1153" s="67">
        <v>4.9000000000000002E-2</v>
      </c>
      <c r="Q1153" s="96"/>
    </row>
    <row r="1154" spans="1:17" ht="14.25" customHeight="1" x14ac:dyDescent="0.35">
      <c r="A1154" s="1">
        <v>2021</v>
      </c>
      <c r="B1154" s="1" t="s">
        <v>23</v>
      </c>
      <c r="C1154" s="1">
        <v>26</v>
      </c>
      <c r="D1154" s="49">
        <v>107.15600000000001</v>
      </c>
      <c r="E1154" s="12">
        <f t="shared" si="21"/>
        <v>133.94499999999999</v>
      </c>
      <c r="F1154" s="50">
        <v>90.843999999999994</v>
      </c>
      <c r="G1154" s="60">
        <v>75.587999999999994</v>
      </c>
      <c r="H1154" s="61">
        <v>1695.5989999999999</v>
      </c>
      <c r="I1154" s="62">
        <v>6.9009999999999998</v>
      </c>
      <c r="J1154" s="64">
        <v>3.3000000000000002E-2</v>
      </c>
      <c r="K1154" s="68">
        <v>8.7360000000000007</v>
      </c>
      <c r="L1154" s="61">
        <v>27.181999999999999</v>
      </c>
      <c r="M1154" s="62">
        <v>5.4119999999999999</v>
      </c>
      <c r="N1154" s="137">
        <v>2.5000000000000001E-2</v>
      </c>
      <c r="O1154" s="57">
        <v>76.822000000000003</v>
      </c>
      <c r="P1154" s="67">
        <v>4.7E-2</v>
      </c>
      <c r="Q1154" s="96"/>
    </row>
    <row r="1155" spans="1:17" ht="14.25" customHeight="1" x14ac:dyDescent="0.35">
      <c r="A1155" s="1">
        <v>2021</v>
      </c>
      <c r="B1155" s="1" t="s">
        <v>23</v>
      </c>
      <c r="C1155" s="1">
        <v>27</v>
      </c>
      <c r="D1155" s="49">
        <v>107.922</v>
      </c>
      <c r="E1155" s="12">
        <f t="shared" si="21"/>
        <v>134.9025</v>
      </c>
      <c r="F1155" s="50">
        <v>91.593999999999994</v>
      </c>
      <c r="G1155" s="60">
        <v>75.37</v>
      </c>
      <c r="H1155" s="61">
        <v>1664.365</v>
      </c>
      <c r="I1155" s="62">
        <v>6.9009999999999998</v>
      </c>
      <c r="J1155" s="64">
        <v>2.4E-2</v>
      </c>
      <c r="K1155" s="68">
        <v>8.5790000000000006</v>
      </c>
      <c r="L1155" s="65">
        <v>27.44</v>
      </c>
      <c r="M1155" s="50">
        <v>5.3369999999999997</v>
      </c>
      <c r="N1155" s="137">
        <v>2.5000000000000001E-2</v>
      </c>
      <c r="O1155" s="57">
        <v>90.616</v>
      </c>
      <c r="P1155" s="67">
        <v>4.5999999999999999E-2</v>
      </c>
      <c r="Q1155" s="96"/>
    </row>
    <row r="1156" spans="1:17" ht="14.25" customHeight="1" x14ac:dyDescent="0.35">
      <c r="A1156" s="1">
        <v>2021</v>
      </c>
      <c r="B1156" s="1" t="s">
        <v>23</v>
      </c>
      <c r="C1156" s="1">
        <v>28</v>
      </c>
      <c r="D1156" s="106">
        <v>106.51600000000001</v>
      </c>
      <c r="E1156" s="12">
        <f t="shared" si="21"/>
        <v>133.14500000000001</v>
      </c>
      <c r="F1156" s="107">
        <v>90.281000000000006</v>
      </c>
      <c r="G1156" s="60">
        <v>75.263000000000005</v>
      </c>
      <c r="H1156" s="61">
        <v>1580.5319999999999</v>
      </c>
      <c r="I1156" s="62">
        <v>6.9</v>
      </c>
      <c r="J1156" s="64">
        <v>0.02</v>
      </c>
      <c r="K1156" s="68">
        <v>8.5210000000000008</v>
      </c>
      <c r="L1156" s="61">
        <v>25.344000000000001</v>
      </c>
      <c r="M1156" s="62">
        <v>5.3319999999999999</v>
      </c>
      <c r="N1156" s="137">
        <v>2.5000000000000001E-2</v>
      </c>
      <c r="O1156" s="57">
        <v>91.563000000000002</v>
      </c>
      <c r="P1156" s="67">
        <v>4.2000000000000003E-2</v>
      </c>
      <c r="Q1156" s="96"/>
    </row>
    <row r="1157" spans="1:17" ht="14.25" customHeight="1" x14ac:dyDescent="0.35">
      <c r="A1157" s="1">
        <v>2021</v>
      </c>
      <c r="B1157" s="1" t="s">
        <v>25</v>
      </c>
      <c r="C1157" s="1">
        <v>1</v>
      </c>
      <c r="D1157" s="49">
        <v>106.21899999999999</v>
      </c>
      <c r="E1157" s="12">
        <f t="shared" si="21"/>
        <v>132.77375000000001</v>
      </c>
      <c r="F1157" s="50">
        <v>89.968999999999994</v>
      </c>
      <c r="G1157" s="51">
        <v>75.275999999999996</v>
      </c>
      <c r="H1157" s="52">
        <v>1544.559</v>
      </c>
      <c r="I1157" s="53">
        <v>6.9</v>
      </c>
      <c r="J1157" s="55">
        <v>0.02</v>
      </c>
      <c r="K1157" s="59">
        <v>8.66</v>
      </c>
      <c r="L1157" s="52">
        <v>24.567</v>
      </c>
      <c r="M1157" s="55">
        <v>5.3289999999999997</v>
      </c>
      <c r="N1157" s="136">
        <v>2.5000000000000001E-2</v>
      </c>
      <c r="O1157" s="57">
        <v>92.292000000000002</v>
      </c>
      <c r="P1157" s="58">
        <v>0.04</v>
      </c>
      <c r="Q1157" s="96"/>
    </row>
    <row r="1158" spans="1:17" ht="14.25" customHeight="1" x14ac:dyDescent="0.35">
      <c r="A1158" s="1">
        <v>2021</v>
      </c>
      <c r="B1158" s="1" t="s">
        <v>25</v>
      </c>
      <c r="C1158" s="1">
        <v>2</v>
      </c>
      <c r="D1158" s="49">
        <v>105.828</v>
      </c>
      <c r="E1158" s="12">
        <f t="shared" si="21"/>
        <v>132.285</v>
      </c>
      <c r="F1158" s="50">
        <v>90</v>
      </c>
      <c r="G1158" s="60">
        <v>75.382000000000005</v>
      </c>
      <c r="H1158" s="61">
        <v>1623.7070000000001</v>
      </c>
      <c r="I1158" s="62">
        <v>6.9</v>
      </c>
      <c r="J1158" s="64">
        <v>2.1000000000000001E-2</v>
      </c>
      <c r="K1158" s="68">
        <v>8.8629999999999995</v>
      </c>
      <c r="L1158" s="65">
        <v>25.216999999999999</v>
      </c>
      <c r="M1158" s="50">
        <v>5.3159999999999998</v>
      </c>
      <c r="N1158" s="137">
        <v>2.5000000000000001E-2</v>
      </c>
      <c r="O1158" s="57">
        <v>94.784999999999997</v>
      </c>
      <c r="P1158" s="67">
        <v>4.3999999999999997E-2</v>
      </c>
      <c r="Q1158" s="96"/>
    </row>
    <row r="1159" spans="1:17" ht="14.25" customHeight="1" x14ac:dyDescent="0.35">
      <c r="A1159" s="1">
        <v>2021</v>
      </c>
      <c r="B1159" s="1" t="s">
        <v>25</v>
      </c>
      <c r="C1159" s="1">
        <v>3</v>
      </c>
      <c r="D1159" s="49">
        <v>106.922</v>
      </c>
      <c r="E1159" s="32">
        <v>133.29</v>
      </c>
      <c r="F1159" s="50">
        <v>91</v>
      </c>
      <c r="G1159" s="60">
        <v>74.909000000000006</v>
      </c>
      <c r="H1159" s="61">
        <v>1691.579</v>
      </c>
      <c r="I1159" s="62">
        <v>6.9</v>
      </c>
      <c r="J1159" s="64">
        <v>2.1999999999999999E-2</v>
      </c>
      <c r="K1159" s="68">
        <v>8.8170000000000002</v>
      </c>
      <c r="L1159" s="65">
        <v>26.238</v>
      </c>
      <c r="M1159" s="50">
        <v>5.3179999999999996</v>
      </c>
      <c r="N1159" s="137">
        <v>2.5000000000000001E-2</v>
      </c>
      <c r="O1159" s="57">
        <v>95.233999999999995</v>
      </c>
      <c r="P1159" s="67">
        <v>4.3999999999999997E-2</v>
      </c>
      <c r="Q1159" s="96"/>
    </row>
    <row r="1160" spans="1:17" ht="14.25" customHeight="1" x14ac:dyDescent="0.35">
      <c r="A1160" s="1">
        <v>2021</v>
      </c>
      <c r="B1160" s="1" t="s">
        <v>25</v>
      </c>
      <c r="C1160" s="1">
        <v>4</v>
      </c>
      <c r="D1160" s="49">
        <v>108.14100000000001</v>
      </c>
      <c r="E1160" s="12">
        <f t="shared" ref="E1160:E1202" si="22">D1160*1.25</f>
        <v>135.17625000000001</v>
      </c>
      <c r="F1160" s="50">
        <v>91.938000000000002</v>
      </c>
      <c r="G1160" s="60">
        <v>75.183000000000007</v>
      </c>
      <c r="H1160" s="61">
        <v>1644.4829999999999</v>
      </c>
      <c r="I1160" s="62">
        <v>6.9</v>
      </c>
      <c r="J1160" s="64">
        <v>2.1000000000000001E-2</v>
      </c>
      <c r="K1160" s="68">
        <v>8.6449999999999996</v>
      </c>
      <c r="L1160" s="65">
        <v>26.527999999999999</v>
      </c>
      <c r="M1160" s="50">
        <v>5.3440000000000003</v>
      </c>
      <c r="N1160" s="137">
        <v>2.5000000000000001E-2</v>
      </c>
      <c r="O1160" s="57">
        <v>89.48</v>
      </c>
      <c r="P1160" s="67">
        <v>4.2999999999999997E-2</v>
      </c>
      <c r="Q1160" s="96"/>
    </row>
    <row r="1161" spans="1:17" ht="14.25" customHeight="1" x14ac:dyDescent="0.35">
      <c r="A1161" s="1">
        <v>2021</v>
      </c>
      <c r="B1161" s="1" t="s">
        <v>25</v>
      </c>
      <c r="C1161" s="1">
        <v>5</v>
      </c>
      <c r="D1161" s="49">
        <v>110.5</v>
      </c>
      <c r="E1161" s="12">
        <f t="shared" si="22"/>
        <v>138.125</v>
      </c>
      <c r="F1161" s="50">
        <v>93.938000000000002</v>
      </c>
      <c r="G1161" s="108">
        <v>75.56</v>
      </c>
      <c r="H1161" s="109">
        <v>1627.394</v>
      </c>
      <c r="I1161" s="73">
        <v>6.9</v>
      </c>
      <c r="J1161" s="73">
        <v>2.1000000000000001E-2</v>
      </c>
      <c r="K1161" s="111">
        <v>8.5180000000000007</v>
      </c>
      <c r="L1161" s="112">
        <v>25.591000000000001</v>
      </c>
      <c r="M1161" s="73">
        <v>5.3310000000000004</v>
      </c>
      <c r="N1161" s="73">
        <v>2.5000000000000001E-2</v>
      </c>
      <c r="O1161" s="109">
        <v>91.876999999999995</v>
      </c>
      <c r="P1161" s="113">
        <v>4.2000000000000003E-2</v>
      </c>
      <c r="Q1161" s="96"/>
    </row>
    <row r="1162" spans="1:17" ht="14.25" customHeight="1" x14ac:dyDescent="0.35">
      <c r="A1162" s="1">
        <v>2021</v>
      </c>
      <c r="B1162" s="1" t="s">
        <v>25</v>
      </c>
      <c r="C1162" s="1">
        <v>6</v>
      </c>
      <c r="D1162" s="49">
        <v>108.35899999999999</v>
      </c>
      <c r="E1162" s="12">
        <f t="shared" si="22"/>
        <v>135.44874999999999</v>
      </c>
      <c r="F1162" s="50">
        <v>92.156000000000006</v>
      </c>
      <c r="G1162" s="72">
        <v>75.477000000000004</v>
      </c>
      <c r="H1162" s="114">
        <v>1624.154</v>
      </c>
      <c r="I1162" s="115">
        <v>6.9</v>
      </c>
      <c r="J1162" s="73">
        <v>0.02</v>
      </c>
      <c r="K1162" s="76">
        <v>8.4760000000000009</v>
      </c>
      <c r="L1162" s="116">
        <v>25.497</v>
      </c>
      <c r="M1162" s="77">
        <v>5.3339999999999996</v>
      </c>
      <c r="N1162" s="138">
        <v>2.5000000000000001E-2</v>
      </c>
      <c r="O1162" s="109">
        <v>91.515000000000001</v>
      </c>
      <c r="P1162" s="75">
        <v>4.2000000000000003E-2</v>
      </c>
      <c r="Q1162" s="96"/>
    </row>
    <row r="1163" spans="1:17" ht="14.25" customHeight="1" x14ac:dyDescent="0.35">
      <c r="A1163" s="1">
        <v>2021</v>
      </c>
      <c r="B1163" s="1" t="s">
        <v>25</v>
      </c>
      <c r="C1163" s="1">
        <v>7</v>
      </c>
      <c r="D1163" s="49">
        <v>106.39100000000001</v>
      </c>
      <c r="E1163" s="12">
        <f t="shared" si="22"/>
        <v>132.98875000000001</v>
      </c>
      <c r="F1163" s="50">
        <v>90.375</v>
      </c>
      <c r="G1163" s="72">
        <v>75.221999999999994</v>
      </c>
      <c r="H1163" s="114">
        <v>1557.374</v>
      </c>
      <c r="I1163" s="115">
        <v>6.9</v>
      </c>
      <c r="J1163" s="73">
        <v>0.02</v>
      </c>
      <c r="K1163" s="76">
        <v>8.3729999999999993</v>
      </c>
      <c r="L1163" s="116">
        <v>24.462</v>
      </c>
      <c r="M1163" s="77">
        <v>5.3390000000000004</v>
      </c>
      <c r="N1163" s="138">
        <v>2.5000000000000001E-2</v>
      </c>
      <c r="O1163" s="109">
        <v>90.593000000000004</v>
      </c>
      <c r="P1163" s="75">
        <v>4.2000000000000003E-2</v>
      </c>
      <c r="Q1163" s="96"/>
    </row>
    <row r="1164" spans="1:17" ht="14.25" customHeight="1" x14ac:dyDescent="0.35">
      <c r="A1164" s="1">
        <v>2021</v>
      </c>
      <c r="B1164" s="1" t="s">
        <v>25</v>
      </c>
      <c r="C1164" s="1">
        <v>8</v>
      </c>
      <c r="D1164" s="49">
        <v>105.98399999999999</v>
      </c>
      <c r="E1164" s="12">
        <f t="shared" si="22"/>
        <v>132.47999999999999</v>
      </c>
      <c r="F1164" s="50">
        <v>90</v>
      </c>
      <c r="G1164" s="60">
        <v>75.468000000000004</v>
      </c>
      <c r="H1164" s="69">
        <v>1512.729</v>
      </c>
      <c r="I1164" s="62">
        <v>6.9</v>
      </c>
      <c r="J1164" s="64">
        <v>0.02</v>
      </c>
      <c r="K1164" s="71">
        <v>8.6189999999999998</v>
      </c>
      <c r="L1164" s="65">
        <v>23.632999999999999</v>
      </c>
      <c r="M1164" s="50">
        <v>5.3419999999999996</v>
      </c>
      <c r="N1164" s="137">
        <v>2.5000000000000001E-2</v>
      </c>
      <c r="O1164" s="57">
        <v>89.563999999999993</v>
      </c>
      <c r="P1164" s="67">
        <v>4.5999999999999999E-2</v>
      </c>
      <c r="Q1164" s="96"/>
    </row>
    <row r="1165" spans="1:17" ht="14.25" customHeight="1" x14ac:dyDescent="0.35">
      <c r="A1165" s="1">
        <v>2021</v>
      </c>
      <c r="B1165" s="1" t="s">
        <v>25</v>
      </c>
      <c r="C1165" s="1">
        <v>9</v>
      </c>
      <c r="D1165" s="49">
        <v>107.53100000000001</v>
      </c>
      <c r="E1165" s="12">
        <f t="shared" si="22"/>
        <v>134.41374999999999</v>
      </c>
      <c r="F1165" s="50">
        <v>91.375</v>
      </c>
      <c r="G1165" s="60">
        <v>75.245000000000005</v>
      </c>
      <c r="H1165" s="69">
        <v>1606.0809999999999</v>
      </c>
      <c r="I1165" s="62">
        <v>6.9</v>
      </c>
      <c r="J1165" s="64">
        <v>2.1000000000000001E-2</v>
      </c>
      <c r="K1165" s="71">
        <v>8.9079999999999995</v>
      </c>
      <c r="L1165" s="65">
        <v>24.954000000000001</v>
      </c>
      <c r="M1165" s="50">
        <v>5.3220000000000001</v>
      </c>
      <c r="N1165" s="137">
        <v>2.5000000000000001E-2</v>
      </c>
      <c r="O1165" s="57">
        <v>93.647000000000006</v>
      </c>
      <c r="P1165" s="67">
        <v>5.1999999999999998E-2</v>
      </c>
      <c r="Q1165" s="96"/>
    </row>
    <row r="1166" spans="1:17" ht="14.25" customHeight="1" x14ac:dyDescent="0.35">
      <c r="A1166" s="1">
        <v>2021</v>
      </c>
      <c r="B1166" s="1" t="s">
        <v>25</v>
      </c>
      <c r="C1166" s="1">
        <v>10</v>
      </c>
      <c r="D1166" s="49">
        <v>107.46899999999999</v>
      </c>
      <c r="E1166" s="12">
        <f t="shared" si="22"/>
        <v>134.33625000000001</v>
      </c>
      <c r="F1166" s="50">
        <v>91.281000000000006</v>
      </c>
      <c r="G1166" s="72">
        <v>74.799000000000007</v>
      </c>
      <c r="H1166" s="61">
        <v>1635.5039999999999</v>
      </c>
      <c r="I1166" s="62">
        <v>6.9</v>
      </c>
      <c r="J1166" s="64">
        <v>2.1000000000000001E-2</v>
      </c>
      <c r="K1166" s="76">
        <v>8.7710000000000008</v>
      </c>
      <c r="L1166" s="65">
        <v>25.117999999999999</v>
      </c>
      <c r="M1166" s="50">
        <v>5.319</v>
      </c>
      <c r="N1166" s="138">
        <v>2.5000000000000001E-2</v>
      </c>
      <c r="O1166" s="57">
        <v>94.207999999999998</v>
      </c>
      <c r="P1166" s="75">
        <v>5.0999999999999997E-2</v>
      </c>
      <c r="Q1166" s="96"/>
    </row>
    <row r="1167" spans="1:17" ht="14.25" customHeight="1" x14ac:dyDescent="0.35">
      <c r="A1167" s="1">
        <v>2021</v>
      </c>
      <c r="B1167" s="1" t="s">
        <v>25</v>
      </c>
      <c r="C1167" s="1">
        <v>11</v>
      </c>
      <c r="D1167" s="49">
        <v>104.64100000000001</v>
      </c>
      <c r="E1167" s="12">
        <f t="shared" si="22"/>
        <v>130.80125000000001</v>
      </c>
      <c r="F1167" s="50">
        <v>88.875</v>
      </c>
      <c r="G1167" s="72">
        <v>74.489000000000004</v>
      </c>
      <c r="H1167" s="61">
        <v>1592.87</v>
      </c>
      <c r="I1167" s="62">
        <v>6.9</v>
      </c>
      <c r="J1167" s="64">
        <v>0.02</v>
      </c>
      <c r="K1167" s="76">
        <v>8.5500000000000007</v>
      </c>
      <c r="L1167" s="65">
        <v>24.491</v>
      </c>
      <c r="M1167" s="50">
        <v>5.319</v>
      </c>
      <c r="N1167" s="138">
        <v>2.5000000000000001E-2</v>
      </c>
      <c r="O1167" s="57">
        <v>94.197999999999993</v>
      </c>
      <c r="P1167" s="75">
        <v>5.1999999999999998E-2</v>
      </c>
      <c r="Q1167" s="96"/>
    </row>
    <row r="1168" spans="1:17" ht="14.25" customHeight="1" x14ac:dyDescent="0.35">
      <c r="A1168" s="1">
        <v>2021</v>
      </c>
      <c r="B1168" s="1" t="s">
        <v>25</v>
      </c>
      <c r="C1168" s="1">
        <v>12</v>
      </c>
      <c r="D1168" s="49">
        <v>107.03100000000001</v>
      </c>
      <c r="E1168" s="12">
        <f t="shared" si="22"/>
        <v>133.78874999999999</v>
      </c>
      <c r="F1168" s="50">
        <v>90.938000000000002</v>
      </c>
      <c r="G1168" s="72">
        <v>74.575000000000003</v>
      </c>
      <c r="H1168" s="61">
        <v>1629.559</v>
      </c>
      <c r="I1168" s="62">
        <v>6.9</v>
      </c>
      <c r="J1168" s="64">
        <v>2.1000000000000001E-2</v>
      </c>
      <c r="K1168" s="76">
        <v>8.5619999999999994</v>
      </c>
      <c r="L1168" s="65">
        <v>24.780999999999999</v>
      </c>
      <c r="M1168" s="50">
        <v>5.3040000000000003</v>
      </c>
      <c r="N1168" s="138">
        <v>2.5000000000000001E-2</v>
      </c>
      <c r="O1168" s="57">
        <v>97.772000000000006</v>
      </c>
      <c r="P1168" s="67">
        <v>5.6000000000000001E-2</v>
      </c>
      <c r="Q1168" s="96"/>
    </row>
    <row r="1169" spans="1:17" ht="14.25" customHeight="1" x14ac:dyDescent="0.35">
      <c r="A1169" s="1">
        <v>2021</v>
      </c>
      <c r="B1169" s="1" t="s">
        <v>25</v>
      </c>
      <c r="C1169" s="1">
        <v>13</v>
      </c>
      <c r="D1169" s="49">
        <v>107.453</v>
      </c>
      <c r="E1169" s="12">
        <f t="shared" si="22"/>
        <v>134.31625</v>
      </c>
      <c r="F1169" s="50">
        <v>91.343999999999994</v>
      </c>
      <c r="G1169" s="78">
        <v>74.847999999999999</v>
      </c>
      <c r="H1169" s="61">
        <v>1630.1679999999999</v>
      </c>
      <c r="I1169" s="62">
        <v>6.9</v>
      </c>
      <c r="J1169" s="64">
        <v>0.02</v>
      </c>
      <c r="K1169" s="81">
        <v>8.5449999999999999</v>
      </c>
      <c r="L1169" s="65">
        <v>25.581</v>
      </c>
      <c r="M1169" s="50">
        <v>5.282</v>
      </c>
      <c r="N1169" s="137">
        <v>2.5000000000000001E-2</v>
      </c>
      <c r="O1169" s="57">
        <v>102.863</v>
      </c>
      <c r="P1169" s="80">
        <v>5.1999999999999998E-2</v>
      </c>
      <c r="Q1169" s="96"/>
    </row>
    <row r="1170" spans="1:17" ht="14.25" customHeight="1" x14ac:dyDescent="0.35">
      <c r="A1170" s="1">
        <v>2021</v>
      </c>
      <c r="B1170" s="1" t="s">
        <v>25</v>
      </c>
      <c r="C1170" s="1">
        <v>14</v>
      </c>
      <c r="D1170" s="49">
        <v>101.5</v>
      </c>
      <c r="E1170" s="12">
        <f t="shared" si="22"/>
        <v>126.875</v>
      </c>
      <c r="F1170" s="50">
        <v>86.25</v>
      </c>
      <c r="G1170" s="60">
        <v>75.12</v>
      </c>
      <c r="H1170" s="61">
        <v>1583.269</v>
      </c>
      <c r="I1170" s="62">
        <v>6.9</v>
      </c>
      <c r="J1170" s="64">
        <v>1.9E-2</v>
      </c>
      <c r="K1170" s="81">
        <v>8.4559999999999995</v>
      </c>
      <c r="L1170" s="82">
        <v>24.266200000000001</v>
      </c>
      <c r="M1170" s="50">
        <v>5.2698999999999998</v>
      </c>
      <c r="N1170" s="137">
        <v>2.5100000000000001E-2</v>
      </c>
      <c r="O1170" s="57">
        <v>106.0425</v>
      </c>
      <c r="P1170" s="80">
        <v>5.0500000000000003E-2</v>
      </c>
      <c r="Q1170" s="96"/>
    </row>
    <row r="1171" spans="1:17" ht="14.25" customHeight="1" x14ac:dyDescent="0.35">
      <c r="A1171" s="1">
        <v>2021</v>
      </c>
      <c r="B1171" s="1" t="s">
        <v>25</v>
      </c>
      <c r="C1171" s="1">
        <v>15</v>
      </c>
      <c r="D1171" s="49">
        <v>105.813</v>
      </c>
      <c r="E1171" s="12">
        <f t="shared" si="22"/>
        <v>132.26625000000001</v>
      </c>
      <c r="F1171" s="50">
        <v>89.906000000000006</v>
      </c>
      <c r="G1171" s="60">
        <v>74.326999999999998</v>
      </c>
      <c r="H1171" s="61">
        <v>1550.625</v>
      </c>
      <c r="I1171" s="62">
        <v>6.9</v>
      </c>
      <c r="J1171" s="64">
        <v>0.02</v>
      </c>
      <c r="K1171" s="76">
        <v>8.6910000000000007</v>
      </c>
      <c r="L1171" s="65">
        <v>24.177</v>
      </c>
      <c r="M1171" s="50">
        <v>5.2649999999999997</v>
      </c>
      <c r="N1171" s="137">
        <v>2.5000000000000001E-2</v>
      </c>
      <c r="O1171" s="57">
        <v>107.01600000000001</v>
      </c>
      <c r="P1171" s="75">
        <v>4.9000000000000002E-2</v>
      </c>
      <c r="Q1171" s="96"/>
    </row>
    <row r="1172" spans="1:17" ht="14.25" customHeight="1" x14ac:dyDescent="0.35">
      <c r="A1172" s="1">
        <v>2021</v>
      </c>
      <c r="B1172" s="1" t="s">
        <v>25</v>
      </c>
      <c r="C1172" s="1">
        <v>16</v>
      </c>
      <c r="D1172" s="49">
        <v>105.78100000000001</v>
      </c>
      <c r="E1172" s="12">
        <f t="shared" si="22"/>
        <v>132.22624999999999</v>
      </c>
      <c r="F1172" s="50">
        <v>89.875</v>
      </c>
      <c r="G1172" s="60">
        <v>74.251999999999995</v>
      </c>
      <c r="H1172" s="61">
        <v>1617.6110000000001</v>
      </c>
      <c r="I1172" s="62">
        <v>6.9</v>
      </c>
      <c r="J1172" s="64">
        <v>0.02</v>
      </c>
      <c r="K1172" s="81">
        <v>8.6140000000000008</v>
      </c>
      <c r="L1172" s="61">
        <v>24.446999999999999</v>
      </c>
      <c r="M1172" s="62">
        <v>5.2779999999999996</v>
      </c>
      <c r="N1172" s="137">
        <v>2.5000000000000001E-2</v>
      </c>
      <c r="O1172" s="57">
        <v>103.697</v>
      </c>
      <c r="P1172" s="80">
        <v>4.5999999999999999E-2</v>
      </c>
      <c r="Q1172" s="96"/>
    </row>
    <row r="1173" spans="1:17" ht="14.25" customHeight="1" x14ac:dyDescent="0.35">
      <c r="A1173" s="1">
        <v>2021</v>
      </c>
      <c r="B1173" s="1" t="s">
        <v>25</v>
      </c>
      <c r="C1173" s="1">
        <v>17</v>
      </c>
      <c r="D1173" s="49">
        <v>105.73399999999999</v>
      </c>
      <c r="E1173" s="12">
        <f t="shared" si="22"/>
        <v>132.16749999999999</v>
      </c>
      <c r="F1173" s="50">
        <v>89.875</v>
      </c>
      <c r="G1173" s="60">
        <v>75.001999999999995</v>
      </c>
      <c r="H1173" s="61">
        <v>1680.123</v>
      </c>
      <c r="I1173" s="62">
        <v>6.9</v>
      </c>
      <c r="J1173" s="64">
        <v>0.02</v>
      </c>
      <c r="K1173" s="68">
        <v>8.359</v>
      </c>
      <c r="L1173" s="65">
        <v>25.66</v>
      </c>
      <c r="M1173" s="50">
        <v>5.2679999999999998</v>
      </c>
      <c r="N1173" s="137">
        <v>2.5000000000000001E-2</v>
      </c>
      <c r="O1173" s="57">
        <v>106.261</v>
      </c>
      <c r="P1173" s="67">
        <v>5.0999999999999997E-2</v>
      </c>
      <c r="Q1173" s="96"/>
    </row>
    <row r="1174" spans="1:17" ht="14.25" customHeight="1" x14ac:dyDescent="0.35">
      <c r="A1174" s="1">
        <v>2021</v>
      </c>
      <c r="B1174" s="1" t="s">
        <v>25</v>
      </c>
      <c r="C1174" s="1">
        <v>18</v>
      </c>
      <c r="D1174" s="49">
        <v>109.46899999999999</v>
      </c>
      <c r="E1174" s="12">
        <f t="shared" si="22"/>
        <v>136.83625000000001</v>
      </c>
      <c r="F1174" s="50">
        <v>93.063000000000002</v>
      </c>
      <c r="G1174" s="60">
        <v>75.204999999999998</v>
      </c>
      <c r="H1174" s="61">
        <v>1667.796</v>
      </c>
      <c r="I1174" s="62">
        <v>6.9</v>
      </c>
      <c r="J1174" s="64">
        <v>0.02</v>
      </c>
      <c r="K1174" s="68">
        <v>8.2859999999999996</v>
      </c>
      <c r="L1174" s="61">
        <v>25.55</v>
      </c>
      <c r="M1174" s="62">
        <v>5.2670000000000003</v>
      </c>
      <c r="N1174" s="137">
        <v>2.5000000000000001E-2</v>
      </c>
      <c r="O1174" s="57">
        <v>106.518</v>
      </c>
      <c r="P1174" s="67">
        <v>4.9000000000000002E-2</v>
      </c>
      <c r="Q1174" s="96"/>
    </row>
    <row r="1175" spans="1:17" ht="14.25" customHeight="1" x14ac:dyDescent="0.35">
      <c r="A1175" s="1">
        <v>2021</v>
      </c>
      <c r="B1175" s="1" t="s">
        <v>25</v>
      </c>
      <c r="C1175" s="1">
        <v>19</v>
      </c>
      <c r="D1175" s="49">
        <v>111.688</v>
      </c>
      <c r="E1175" s="12">
        <f t="shared" si="22"/>
        <v>139.61000000000001</v>
      </c>
      <c r="F1175" s="50">
        <v>95</v>
      </c>
      <c r="G1175" s="60">
        <v>75.576999999999998</v>
      </c>
      <c r="H1175" s="61">
        <v>1644.1489999999999</v>
      </c>
      <c r="I1175" s="62">
        <v>6.9</v>
      </c>
      <c r="J1175" s="64">
        <v>2.1000000000000001E-2</v>
      </c>
      <c r="K1175" s="68">
        <v>8.6289999999999996</v>
      </c>
      <c r="L1175" s="65">
        <v>25.564</v>
      </c>
      <c r="M1175" s="50">
        <v>5.3570000000000002</v>
      </c>
      <c r="N1175" s="137">
        <v>2.5000000000000001E-2</v>
      </c>
      <c r="O1175" s="57">
        <v>88.838999999999999</v>
      </c>
      <c r="P1175" s="67">
        <v>5.1999999999999998E-2</v>
      </c>
      <c r="Q1175" s="96"/>
    </row>
    <row r="1176" spans="1:17" ht="14.25" customHeight="1" x14ac:dyDescent="0.35">
      <c r="A1176" s="1">
        <v>2021</v>
      </c>
      <c r="B1176" s="1" t="s">
        <v>25</v>
      </c>
      <c r="C1176" s="1">
        <v>20</v>
      </c>
      <c r="D1176" s="49">
        <v>109.203</v>
      </c>
      <c r="E1176" s="12">
        <f t="shared" si="22"/>
        <v>136.50375</v>
      </c>
      <c r="F1176" s="50">
        <v>92.813000000000002</v>
      </c>
      <c r="G1176" s="60">
        <v>75.641999999999996</v>
      </c>
      <c r="H1176" s="61">
        <v>1621.454</v>
      </c>
      <c r="I1176" s="62">
        <v>6.9</v>
      </c>
      <c r="J1176" s="64">
        <v>0.02</v>
      </c>
      <c r="K1176" s="68">
        <v>9.016</v>
      </c>
      <c r="L1176" s="65">
        <v>25.106000000000002</v>
      </c>
      <c r="M1176" s="50">
        <v>5.43</v>
      </c>
      <c r="N1176" s="137">
        <v>2.5000000000000001E-2</v>
      </c>
      <c r="O1176" s="57">
        <v>73.275999999999996</v>
      </c>
      <c r="P1176" s="67">
        <v>5.2999999999999999E-2</v>
      </c>
      <c r="Q1176" s="96"/>
    </row>
    <row r="1177" spans="1:17" ht="14.25" customHeight="1" x14ac:dyDescent="0.35">
      <c r="A1177" s="1">
        <v>2021</v>
      </c>
      <c r="B1177" s="1" t="s">
        <v>25</v>
      </c>
      <c r="C1177" s="1">
        <v>21</v>
      </c>
      <c r="D1177" s="49">
        <v>106.125</v>
      </c>
      <c r="E1177" s="12">
        <f t="shared" si="22"/>
        <v>132.65625</v>
      </c>
      <c r="F1177" s="50">
        <v>90.125</v>
      </c>
      <c r="G1177" s="60">
        <v>75.597999999999999</v>
      </c>
      <c r="H1177" s="61">
        <v>1548.5989999999999</v>
      </c>
      <c r="I1177" s="62">
        <v>6.9</v>
      </c>
      <c r="J1177" s="64">
        <v>0.02</v>
      </c>
      <c r="K1177" s="68">
        <v>9.0850000000000009</v>
      </c>
      <c r="L1177" s="65">
        <v>23.79</v>
      </c>
      <c r="M1177" s="50">
        <v>5.4290000000000003</v>
      </c>
      <c r="N1177" s="137">
        <v>2.5000000000000001E-2</v>
      </c>
      <c r="O1177" s="57">
        <v>73.47</v>
      </c>
      <c r="P1177" s="67">
        <v>4.8000000000000001E-2</v>
      </c>
      <c r="Q1177" s="96"/>
    </row>
    <row r="1178" spans="1:17" ht="14.25" customHeight="1" x14ac:dyDescent="0.35">
      <c r="A1178" s="1">
        <v>2021</v>
      </c>
      <c r="B1178" s="1" t="s">
        <v>25</v>
      </c>
      <c r="C1178" s="1">
        <v>22</v>
      </c>
      <c r="D1178" s="49">
        <v>105.90600000000001</v>
      </c>
      <c r="E1178" s="12">
        <f t="shared" si="22"/>
        <v>132.38249999999999</v>
      </c>
      <c r="F1178" s="50">
        <v>90.031000000000006</v>
      </c>
      <c r="G1178" s="60">
        <v>75.373000000000005</v>
      </c>
      <c r="H1178" s="61">
        <v>1523.818</v>
      </c>
      <c r="I1178" s="62">
        <v>6.9</v>
      </c>
      <c r="J1178" s="64">
        <v>0.02</v>
      </c>
      <c r="K1178" s="68">
        <v>8.9960000000000004</v>
      </c>
      <c r="L1178" s="61">
        <v>22.988</v>
      </c>
      <c r="M1178" s="62">
        <v>5.4379999999999997</v>
      </c>
      <c r="N1178" s="137">
        <v>2.5000000000000001E-2</v>
      </c>
      <c r="O1178" s="57">
        <v>72.031000000000006</v>
      </c>
      <c r="P1178" s="67">
        <v>4.5999999999999999E-2</v>
      </c>
      <c r="Q1178" s="96"/>
    </row>
    <row r="1179" spans="1:17" ht="14.25" customHeight="1" x14ac:dyDescent="0.35">
      <c r="A1179" s="1">
        <v>2021</v>
      </c>
      <c r="B1179" s="1" t="s">
        <v>25</v>
      </c>
      <c r="C1179" s="1">
        <v>23</v>
      </c>
      <c r="D1179" s="49">
        <v>105.797</v>
      </c>
      <c r="E1179" s="12">
        <f t="shared" si="22"/>
        <v>132.24625</v>
      </c>
      <c r="F1179" s="50">
        <v>89.906000000000006</v>
      </c>
      <c r="G1179" s="60">
        <v>75.486999999999995</v>
      </c>
      <c r="H1179" s="61">
        <v>1619.972</v>
      </c>
      <c r="I1179" s="62">
        <v>6.9</v>
      </c>
      <c r="J1179" s="64">
        <v>0.02</v>
      </c>
      <c r="K1179" s="68">
        <v>9.1690000000000005</v>
      </c>
      <c r="L1179" s="65">
        <v>24.806000000000001</v>
      </c>
      <c r="M1179" s="50">
        <v>5.4390000000000001</v>
      </c>
      <c r="N1179" s="137">
        <v>2.5000000000000001E-2</v>
      </c>
      <c r="O1179" s="57">
        <v>71.83</v>
      </c>
      <c r="P1179" s="67">
        <v>5.1999999999999998E-2</v>
      </c>
      <c r="Q1179" s="96"/>
    </row>
    <row r="1180" spans="1:17" ht="14.25" customHeight="1" x14ac:dyDescent="0.35">
      <c r="A1180" s="1">
        <v>2021</v>
      </c>
      <c r="B1180" s="1" t="s">
        <v>25</v>
      </c>
      <c r="C1180" s="1">
        <v>24</v>
      </c>
      <c r="D1180" s="49">
        <v>89.391000000000005</v>
      </c>
      <c r="E1180" s="12">
        <f t="shared" si="22"/>
        <v>111.73875000000001</v>
      </c>
      <c r="F1180" s="50">
        <v>75.968999999999994</v>
      </c>
      <c r="G1180" s="60">
        <v>75.456000000000003</v>
      </c>
      <c r="H1180" s="61">
        <v>1678.386</v>
      </c>
      <c r="I1180" s="62">
        <v>6.9059999999999997</v>
      </c>
      <c r="J1180" s="64">
        <v>2.7E-2</v>
      </c>
      <c r="K1180" s="68">
        <v>8.9030000000000005</v>
      </c>
      <c r="L1180" s="61">
        <v>27.613</v>
      </c>
      <c r="M1180" s="62">
        <v>5.4610000000000003</v>
      </c>
      <c r="N1180" s="137">
        <v>0.03</v>
      </c>
      <c r="O1180" s="57">
        <v>69.177000000000007</v>
      </c>
      <c r="P1180" s="67">
        <v>4.8000000000000001E-2</v>
      </c>
      <c r="Q1180" s="96"/>
    </row>
    <row r="1181" spans="1:17" ht="14.25" customHeight="1" x14ac:dyDescent="0.35">
      <c r="A1181" s="1">
        <v>2021</v>
      </c>
      <c r="B1181" s="1" t="s">
        <v>25</v>
      </c>
      <c r="C1181" s="1">
        <v>25</v>
      </c>
      <c r="D1181" s="49">
        <v>103.28100000000001</v>
      </c>
      <c r="E1181" s="12">
        <f t="shared" si="22"/>
        <v>129.10124999999999</v>
      </c>
      <c r="F1181" s="50">
        <v>87.718999999999994</v>
      </c>
      <c r="G1181" s="60">
        <v>75.283000000000001</v>
      </c>
      <c r="H1181" s="61">
        <v>1677.4839999999999</v>
      </c>
      <c r="I1181" s="62">
        <v>6.907</v>
      </c>
      <c r="J1181" s="64">
        <v>2.1000000000000001E-2</v>
      </c>
      <c r="K1181" s="68">
        <v>8.8490000000000002</v>
      </c>
      <c r="L1181" s="65">
        <v>26.521000000000001</v>
      </c>
      <c r="M1181" s="50">
        <v>5.444</v>
      </c>
      <c r="N1181" s="137">
        <v>2.1000000000000001E-2</v>
      </c>
      <c r="O1181" s="57">
        <v>71.084999999999994</v>
      </c>
      <c r="P1181" s="67">
        <v>5.1999999999999998E-2</v>
      </c>
      <c r="Q1181" s="96"/>
    </row>
    <row r="1182" spans="1:17" ht="14.25" customHeight="1" x14ac:dyDescent="0.35">
      <c r="A1182" s="1">
        <v>2021</v>
      </c>
      <c r="B1182" s="1" t="s">
        <v>25</v>
      </c>
      <c r="C1182" s="1">
        <v>26</v>
      </c>
      <c r="D1182" s="49">
        <v>108.03100000000001</v>
      </c>
      <c r="E1182" s="12">
        <f t="shared" si="22"/>
        <v>135.03874999999999</v>
      </c>
      <c r="F1182" s="50">
        <v>91.781000000000006</v>
      </c>
      <c r="G1182" s="60">
        <v>75.56</v>
      </c>
      <c r="H1182" s="61">
        <v>1680.748</v>
      </c>
      <c r="I1182" s="62">
        <v>6.9</v>
      </c>
      <c r="J1182" s="64">
        <v>2.1000000000000001E-2</v>
      </c>
      <c r="K1182" s="68">
        <v>8.766</v>
      </c>
      <c r="L1182" s="61">
        <v>26.408999999999999</v>
      </c>
      <c r="M1182" s="62">
        <v>5.4530000000000003</v>
      </c>
      <c r="N1182" s="137">
        <v>1.6E-2</v>
      </c>
      <c r="O1182" s="57">
        <v>69.891000000000005</v>
      </c>
      <c r="P1182" s="67">
        <v>5.2999999999999999E-2</v>
      </c>
      <c r="Q1182" s="96"/>
    </row>
    <row r="1183" spans="1:17" ht="14.25" customHeight="1" x14ac:dyDescent="0.35">
      <c r="A1183" s="1">
        <v>2021</v>
      </c>
      <c r="B1183" s="1" t="s">
        <v>25</v>
      </c>
      <c r="C1183" s="1">
        <v>27</v>
      </c>
      <c r="D1183" s="49">
        <v>108.53100000000001</v>
      </c>
      <c r="E1183" s="12">
        <f t="shared" si="22"/>
        <v>135.66374999999999</v>
      </c>
      <c r="F1183" s="50">
        <v>92.25</v>
      </c>
      <c r="G1183" s="60">
        <v>75.994</v>
      </c>
      <c r="H1183" s="61">
        <v>1648.3389999999999</v>
      </c>
      <c r="I1183" s="62">
        <v>6.9</v>
      </c>
      <c r="J1183" s="64">
        <v>2.1999999999999999E-2</v>
      </c>
      <c r="K1183" s="68">
        <v>8.7550000000000008</v>
      </c>
      <c r="L1183" s="65">
        <v>24.513999999999999</v>
      </c>
      <c r="M1183" s="50">
        <v>5.4749999999999996</v>
      </c>
      <c r="N1183" s="137">
        <v>1.6E-2</v>
      </c>
      <c r="O1183" s="57">
        <v>66.116</v>
      </c>
      <c r="P1183" s="67">
        <v>4.9000000000000002E-2</v>
      </c>
      <c r="Q1183" s="96"/>
    </row>
    <row r="1184" spans="1:17" ht="14.25" customHeight="1" x14ac:dyDescent="0.35">
      <c r="A1184" s="1">
        <v>2021</v>
      </c>
      <c r="B1184" s="1" t="s">
        <v>25</v>
      </c>
      <c r="C1184" s="1">
        <v>28</v>
      </c>
      <c r="D1184" s="49">
        <v>107.03100000000001</v>
      </c>
      <c r="E1184" s="12">
        <f t="shared" si="22"/>
        <v>133.78874999999999</v>
      </c>
      <c r="F1184" s="50">
        <v>91.063000000000002</v>
      </c>
      <c r="G1184" s="60">
        <v>76.540000000000006</v>
      </c>
      <c r="H1184" s="61">
        <v>1595.854</v>
      </c>
      <c r="I1184" s="62">
        <v>6.9</v>
      </c>
      <c r="J1184" s="64">
        <v>2.1000000000000001E-2</v>
      </c>
      <c r="K1184" s="76">
        <v>8.6259999999999994</v>
      </c>
      <c r="L1184" s="61">
        <v>23.588000000000001</v>
      </c>
      <c r="M1184" s="62">
        <v>5.4560000000000004</v>
      </c>
      <c r="N1184" s="137">
        <v>1.6E-2</v>
      </c>
      <c r="O1184" s="57">
        <v>69.174000000000007</v>
      </c>
      <c r="P1184" s="67">
        <v>4.8000000000000001E-2</v>
      </c>
      <c r="Q1184" s="96"/>
    </row>
    <row r="1185" spans="1:17" ht="14.25" customHeight="1" x14ac:dyDescent="0.35">
      <c r="A1185" s="1">
        <v>2021</v>
      </c>
      <c r="B1185" s="1" t="s">
        <v>25</v>
      </c>
      <c r="C1185" s="1">
        <v>29</v>
      </c>
      <c r="D1185" s="49">
        <v>105.625</v>
      </c>
      <c r="E1185" s="12">
        <f t="shared" si="22"/>
        <v>132.03125</v>
      </c>
      <c r="F1185" s="50">
        <v>90</v>
      </c>
      <c r="G1185" s="83">
        <v>76.459999999999994</v>
      </c>
      <c r="H1185" s="69">
        <v>1601.1469999999999</v>
      </c>
      <c r="I1185" s="50">
        <v>6.9</v>
      </c>
      <c r="J1185" s="137">
        <v>2.1000000000000001E-2</v>
      </c>
      <c r="K1185" s="117">
        <v>8.92</v>
      </c>
      <c r="L1185" s="61">
        <v>23.672000000000001</v>
      </c>
      <c r="M1185" s="62">
        <v>5.4640000000000004</v>
      </c>
      <c r="N1185" s="137">
        <v>1.6E-2</v>
      </c>
      <c r="O1185" s="57">
        <v>67.834000000000003</v>
      </c>
      <c r="P1185" s="67">
        <v>4.8000000000000001E-2</v>
      </c>
      <c r="Q1185" s="96"/>
    </row>
    <row r="1186" spans="1:17" ht="14.25" customHeight="1" x14ac:dyDescent="0.35">
      <c r="A1186" s="1">
        <v>2021</v>
      </c>
      <c r="B1186" s="1" t="s">
        <v>25</v>
      </c>
      <c r="C1186" s="1">
        <v>30</v>
      </c>
      <c r="D1186" s="49">
        <v>105.76600000000001</v>
      </c>
      <c r="E1186" s="12">
        <f t="shared" si="22"/>
        <v>132.20750000000001</v>
      </c>
      <c r="F1186" s="50">
        <v>89.938000000000002</v>
      </c>
      <c r="G1186" s="83">
        <v>76.552000000000007</v>
      </c>
      <c r="H1186" s="69">
        <v>1673.4110000000001</v>
      </c>
      <c r="I1186" s="50">
        <v>6.9</v>
      </c>
      <c r="J1186" s="137">
        <v>2.1000000000000001E-2</v>
      </c>
      <c r="K1186" s="117">
        <v>9.0549999999999997</v>
      </c>
      <c r="L1186" s="61">
        <v>25.629000000000001</v>
      </c>
      <c r="M1186" s="62">
        <v>5.4720000000000004</v>
      </c>
      <c r="N1186" s="137">
        <v>1.6E-2</v>
      </c>
      <c r="O1186" s="57">
        <v>66.462000000000003</v>
      </c>
      <c r="P1186" s="67">
        <v>5.2999999999999999E-2</v>
      </c>
      <c r="Q1186" s="96"/>
    </row>
    <row r="1187" spans="1:17" ht="14.25" customHeight="1" x14ac:dyDescent="0.35">
      <c r="A1187" s="1">
        <v>2021</v>
      </c>
      <c r="B1187" s="1" t="s">
        <v>25</v>
      </c>
      <c r="C1187" s="1">
        <v>31</v>
      </c>
      <c r="D1187" s="104">
        <v>106.813</v>
      </c>
      <c r="E1187" s="12">
        <f t="shared" si="22"/>
        <v>133.51625000000001</v>
      </c>
      <c r="F1187" s="105">
        <v>90.781000000000006</v>
      </c>
      <c r="G1187" s="118">
        <v>77.293999999999997</v>
      </c>
      <c r="H1187" s="119">
        <v>1687.2840000000001</v>
      </c>
      <c r="I1187" s="120">
        <v>6.9</v>
      </c>
      <c r="J1187" s="140">
        <v>2.1999999999999999E-2</v>
      </c>
      <c r="K1187" s="122">
        <v>8.6660000000000004</v>
      </c>
      <c r="L1187" s="65">
        <v>26.085000000000001</v>
      </c>
      <c r="M1187" s="50">
        <v>5.46</v>
      </c>
      <c r="N1187" s="137">
        <v>1.6E-2</v>
      </c>
      <c r="O1187" s="57">
        <v>68.194000000000003</v>
      </c>
      <c r="P1187" s="67">
        <v>5.2999999999999999E-2</v>
      </c>
      <c r="Q1187" s="96"/>
    </row>
    <row r="1188" spans="1:17" ht="14.25" customHeight="1" x14ac:dyDescent="0.35">
      <c r="A1188" s="1">
        <v>2021</v>
      </c>
      <c r="B1188" s="1" t="s">
        <v>26</v>
      </c>
      <c r="C1188" s="1">
        <v>1</v>
      </c>
      <c r="D1188" s="49">
        <v>109.078</v>
      </c>
      <c r="E1188" s="12">
        <f t="shared" si="22"/>
        <v>136.3475</v>
      </c>
      <c r="F1188" s="50">
        <v>92.75</v>
      </c>
      <c r="G1188" s="51">
        <v>77.555000000000007</v>
      </c>
      <c r="H1188" s="52">
        <v>1699.1769999999999</v>
      </c>
      <c r="I1188" s="53">
        <v>6.9</v>
      </c>
      <c r="J1188" s="55">
        <v>2.3E-2</v>
      </c>
      <c r="K1188" s="59">
        <v>8.6880000000000006</v>
      </c>
      <c r="L1188" s="52">
        <v>26.978000000000002</v>
      </c>
      <c r="M1188" s="55">
        <v>5.4589999999999996</v>
      </c>
      <c r="N1188" s="136">
        <v>1.6E-2</v>
      </c>
      <c r="O1188" s="57">
        <v>68.981999999999999</v>
      </c>
      <c r="P1188" s="58">
        <v>5.1999999999999998E-2</v>
      </c>
      <c r="Q1188" s="96"/>
    </row>
    <row r="1189" spans="1:17" ht="14.25" customHeight="1" x14ac:dyDescent="0.35">
      <c r="A1189" s="1">
        <v>2021</v>
      </c>
      <c r="B1189" s="1" t="s">
        <v>26</v>
      </c>
      <c r="C1189" s="1">
        <v>2</v>
      </c>
      <c r="D1189" s="49">
        <v>109</v>
      </c>
      <c r="E1189" s="12">
        <f t="shared" si="22"/>
        <v>136.25</v>
      </c>
      <c r="F1189" s="50">
        <v>92.718999999999994</v>
      </c>
      <c r="G1189" s="60">
        <v>77.072999999999993</v>
      </c>
      <c r="H1189" s="61">
        <v>1706.0619999999999</v>
      </c>
      <c r="I1189" s="62">
        <v>6.9</v>
      </c>
      <c r="J1189" s="64">
        <v>2.1999999999999999E-2</v>
      </c>
      <c r="K1189" s="68">
        <v>8.7029999999999994</v>
      </c>
      <c r="L1189" s="65">
        <v>26.609000000000002</v>
      </c>
      <c r="M1189" s="50">
        <v>5.41</v>
      </c>
      <c r="N1189" s="137">
        <v>1.6E-2</v>
      </c>
      <c r="O1189" s="57">
        <v>76.861999999999995</v>
      </c>
      <c r="P1189" s="67">
        <v>5.3999999999999999E-2</v>
      </c>
      <c r="Q1189" s="96"/>
    </row>
    <row r="1190" spans="1:17" ht="14.25" customHeight="1" x14ac:dyDescent="0.35">
      <c r="A1190" s="1">
        <v>2021</v>
      </c>
      <c r="B1190" s="1" t="s">
        <v>26</v>
      </c>
      <c r="C1190" s="1">
        <v>3</v>
      </c>
      <c r="D1190" s="49">
        <v>107.23399999999999</v>
      </c>
      <c r="E1190" s="12">
        <f t="shared" si="22"/>
        <v>134.04249999999999</v>
      </c>
      <c r="F1190" s="50">
        <v>91.313000000000002</v>
      </c>
      <c r="G1190" s="60">
        <v>77.105000000000004</v>
      </c>
      <c r="H1190" s="61">
        <v>1666.134</v>
      </c>
      <c r="I1190" s="62">
        <v>6.9</v>
      </c>
      <c r="J1190" s="64">
        <v>2.1999999999999999E-2</v>
      </c>
      <c r="K1190" s="68">
        <v>8.5579999999999998</v>
      </c>
      <c r="L1190" s="65">
        <v>25.219000000000001</v>
      </c>
      <c r="M1190" s="50">
        <v>5.4039999999999999</v>
      </c>
      <c r="N1190" s="137">
        <v>1.6E-2</v>
      </c>
      <c r="O1190" s="57">
        <v>77.632999999999996</v>
      </c>
      <c r="P1190" s="67">
        <v>5.0999999999999997E-2</v>
      </c>
      <c r="Q1190" s="96"/>
    </row>
    <row r="1191" spans="1:17" ht="14.25" customHeight="1" x14ac:dyDescent="0.35">
      <c r="A1191" s="1">
        <v>2021</v>
      </c>
      <c r="B1191" s="1" t="s">
        <v>26</v>
      </c>
      <c r="C1191" s="1">
        <v>4</v>
      </c>
      <c r="D1191" s="49">
        <v>105.547</v>
      </c>
      <c r="E1191" s="12">
        <f t="shared" si="22"/>
        <v>131.93375</v>
      </c>
      <c r="F1191" s="50">
        <v>90.031000000000006</v>
      </c>
      <c r="G1191" s="60">
        <v>77.085999999999999</v>
      </c>
      <c r="H1191" s="61">
        <v>1611.607</v>
      </c>
      <c r="I1191" s="62">
        <v>6.9</v>
      </c>
      <c r="J1191" s="64">
        <v>2.1000000000000001E-2</v>
      </c>
      <c r="K1191" s="68">
        <v>8.452</v>
      </c>
      <c r="L1191" s="65">
        <v>24.681999999999999</v>
      </c>
      <c r="M1191" s="50">
        <v>5.4039999999999999</v>
      </c>
      <c r="N1191" s="137">
        <v>1.6E-2</v>
      </c>
      <c r="O1191" s="57">
        <v>77.593000000000004</v>
      </c>
      <c r="P1191" s="67">
        <v>4.5999999999999999E-2</v>
      </c>
      <c r="Q1191" s="96"/>
    </row>
    <row r="1192" spans="1:17" ht="14.25" customHeight="1" x14ac:dyDescent="0.35">
      <c r="A1192" s="1">
        <v>2021</v>
      </c>
      <c r="B1192" s="1" t="s">
        <v>26</v>
      </c>
      <c r="C1192" s="1">
        <v>5</v>
      </c>
      <c r="D1192" s="49">
        <v>105.813</v>
      </c>
      <c r="E1192" s="12">
        <f t="shared" si="22"/>
        <v>132.26625000000001</v>
      </c>
      <c r="F1192" s="50">
        <v>90</v>
      </c>
      <c r="G1192" s="60">
        <v>77.027000000000001</v>
      </c>
      <c r="H1192" s="61">
        <v>1609.3969999999999</v>
      </c>
      <c r="I1192" s="62">
        <v>6.9</v>
      </c>
      <c r="J1192" s="64">
        <v>2.1999999999999999E-2</v>
      </c>
      <c r="K1192" s="68">
        <v>8.8190000000000008</v>
      </c>
      <c r="L1192" s="65">
        <v>25.335000000000001</v>
      </c>
      <c r="M1192" s="50">
        <v>5.4139999999999997</v>
      </c>
      <c r="N1192" s="137">
        <v>1.6E-2</v>
      </c>
      <c r="O1192" s="57">
        <v>76.081000000000003</v>
      </c>
      <c r="P1192" s="67">
        <v>4.7E-2</v>
      </c>
      <c r="Q1192" s="96"/>
    </row>
    <row r="1193" spans="1:17" ht="14.25" customHeight="1" x14ac:dyDescent="0.35">
      <c r="A1193" s="1">
        <v>2021</v>
      </c>
      <c r="B1193" s="1" t="s">
        <v>26</v>
      </c>
      <c r="C1193" s="1">
        <v>6</v>
      </c>
      <c r="D1193" s="49">
        <v>105.828</v>
      </c>
      <c r="E1193" s="12">
        <f t="shared" si="22"/>
        <v>132.285</v>
      </c>
      <c r="F1193" s="50">
        <v>90</v>
      </c>
      <c r="G1193" s="60">
        <v>77.141999999999996</v>
      </c>
      <c r="H1193" s="61">
        <v>1689.2539999999999</v>
      </c>
      <c r="I1193" s="62">
        <v>6.9</v>
      </c>
      <c r="J1193" s="64">
        <v>2.1999999999999999E-2</v>
      </c>
      <c r="K1193" s="68">
        <v>9.2750000000000004</v>
      </c>
      <c r="L1193" s="65">
        <v>25.861999999999998</v>
      </c>
      <c r="M1193" s="50">
        <v>5.4050000000000002</v>
      </c>
      <c r="N1193" s="137">
        <v>1.6E-2</v>
      </c>
      <c r="O1193" s="57">
        <v>77.566000000000003</v>
      </c>
      <c r="P1193" s="67">
        <v>5.1999999999999998E-2</v>
      </c>
      <c r="Q1193" s="96"/>
    </row>
    <row r="1194" spans="1:17" ht="14.25" customHeight="1" x14ac:dyDescent="0.35">
      <c r="A1194" s="1">
        <v>2021</v>
      </c>
      <c r="B1194" s="1" t="s">
        <v>26</v>
      </c>
      <c r="C1194" s="1">
        <v>7</v>
      </c>
      <c r="D1194" s="49">
        <v>105.953</v>
      </c>
      <c r="E1194" s="12">
        <f t="shared" si="22"/>
        <v>132.44125</v>
      </c>
      <c r="F1194" s="50">
        <v>89.968999999999994</v>
      </c>
      <c r="G1194" s="60">
        <v>77.599000000000004</v>
      </c>
      <c r="H1194" s="61">
        <v>1698.5029999999999</v>
      </c>
      <c r="I1194" s="62">
        <v>6.9</v>
      </c>
      <c r="J1194" s="64">
        <v>2.3E-2</v>
      </c>
      <c r="K1194" s="68">
        <v>8.9139999999999997</v>
      </c>
      <c r="L1194" s="65">
        <v>26.292999999999999</v>
      </c>
      <c r="M1194" s="50">
        <v>5.3979999999999997</v>
      </c>
      <c r="N1194" s="137">
        <v>1.6E-2</v>
      </c>
      <c r="O1194" s="57">
        <v>78.804000000000002</v>
      </c>
      <c r="P1194" s="67">
        <v>5.1999999999999998E-2</v>
      </c>
      <c r="Q1194" s="96"/>
    </row>
    <row r="1195" spans="1:17" ht="14.25" customHeight="1" x14ac:dyDescent="0.35">
      <c r="A1195" s="1">
        <v>2021</v>
      </c>
      <c r="B1195" s="1" t="s">
        <v>26</v>
      </c>
      <c r="C1195" s="1">
        <v>8</v>
      </c>
      <c r="D1195" s="49">
        <v>105.85899999999999</v>
      </c>
      <c r="E1195" s="12">
        <f t="shared" si="22"/>
        <v>132.32374999999999</v>
      </c>
      <c r="F1195" s="50">
        <v>89.843999999999994</v>
      </c>
      <c r="G1195" s="60">
        <v>77.728999999999999</v>
      </c>
      <c r="H1195" s="69">
        <v>1721.971</v>
      </c>
      <c r="I1195" s="62">
        <v>6.9</v>
      </c>
      <c r="J1195" s="64">
        <v>2.5999999999999999E-2</v>
      </c>
      <c r="K1195" s="71">
        <v>8.89</v>
      </c>
      <c r="L1195" s="65">
        <v>27.434999999999999</v>
      </c>
      <c r="M1195" s="50">
        <v>5.41</v>
      </c>
      <c r="N1195" s="137">
        <v>1.6E-2</v>
      </c>
      <c r="O1195" s="57">
        <v>76.5</v>
      </c>
      <c r="P1195" s="70">
        <v>5.3999999999999999E-2</v>
      </c>
      <c r="Q1195" s="96"/>
    </row>
    <row r="1196" spans="1:17" ht="14.25" customHeight="1" x14ac:dyDescent="0.35">
      <c r="A1196" s="1">
        <v>2021</v>
      </c>
      <c r="B1196" s="1" t="s">
        <v>26</v>
      </c>
      <c r="C1196" s="1">
        <v>9</v>
      </c>
      <c r="D1196" s="49">
        <v>105.01600000000001</v>
      </c>
      <c r="E1196" s="12">
        <f t="shared" si="22"/>
        <v>131.27000000000001</v>
      </c>
      <c r="F1196" s="50">
        <v>89.156000000000006</v>
      </c>
      <c r="G1196" s="60">
        <v>77.528999999999996</v>
      </c>
      <c r="H1196" s="61">
        <v>1735.8430000000001</v>
      </c>
      <c r="I1196" s="62">
        <v>6.9</v>
      </c>
      <c r="J1196" s="64">
        <v>2.7E-2</v>
      </c>
      <c r="K1196" s="68">
        <v>8.9489999999999998</v>
      </c>
      <c r="L1196" s="65">
        <v>27.742000000000001</v>
      </c>
      <c r="M1196" s="50">
        <v>5.4560000000000004</v>
      </c>
      <c r="N1196" s="137">
        <v>1.6E-2</v>
      </c>
      <c r="O1196" s="57">
        <v>69.795000000000002</v>
      </c>
      <c r="P1196" s="67">
        <v>6.0999999999999999E-2</v>
      </c>
      <c r="Q1196" s="96"/>
    </row>
    <row r="1197" spans="1:17" ht="14.25" customHeight="1" x14ac:dyDescent="0.35">
      <c r="A1197" s="1">
        <v>2021</v>
      </c>
      <c r="B1197" s="1" t="s">
        <v>26</v>
      </c>
      <c r="C1197" s="1">
        <v>10</v>
      </c>
      <c r="D1197" s="49">
        <v>107.797</v>
      </c>
      <c r="E1197" s="12">
        <f t="shared" si="22"/>
        <v>134.74625</v>
      </c>
      <c r="F1197" s="50">
        <v>91.593999999999994</v>
      </c>
      <c r="G1197" s="72">
        <v>77.692999999999998</v>
      </c>
      <c r="H1197" s="61">
        <v>1723.0709999999999</v>
      </c>
      <c r="I1197" s="62">
        <v>6.9</v>
      </c>
      <c r="J1197" s="64">
        <v>2.3E-2</v>
      </c>
      <c r="K1197" s="76">
        <v>8.9849999999999994</v>
      </c>
      <c r="L1197" s="65">
        <v>28.382999999999999</v>
      </c>
      <c r="M1197" s="50">
        <v>5.45</v>
      </c>
      <c r="N1197" s="138">
        <v>1.6E-2</v>
      </c>
      <c r="O1197" s="57">
        <v>69.817999999999998</v>
      </c>
      <c r="P1197" s="75">
        <v>5.0999999999999997E-2</v>
      </c>
      <c r="Q1197" s="96"/>
    </row>
    <row r="1198" spans="1:17" ht="14.25" customHeight="1" x14ac:dyDescent="0.35">
      <c r="A1198" s="1">
        <v>2021</v>
      </c>
      <c r="B1198" s="1" t="s">
        <v>26</v>
      </c>
      <c r="C1198" s="1">
        <v>11</v>
      </c>
      <c r="D1198" s="49">
        <v>107.25</v>
      </c>
      <c r="E1198" s="12">
        <f t="shared" si="22"/>
        <v>134.0625</v>
      </c>
      <c r="F1198" s="50">
        <v>91.125</v>
      </c>
      <c r="G1198" s="72">
        <v>77.459000000000003</v>
      </c>
      <c r="H1198" s="61">
        <v>1669.2760000000001</v>
      </c>
      <c r="I1198" s="62">
        <v>6.9</v>
      </c>
      <c r="J1198" s="64">
        <v>2.3E-2</v>
      </c>
      <c r="K1198" s="76">
        <v>9.0050000000000008</v>
      </c>
      <c r="L1198" s="65">
        <v>27.071999999999999</v>
      </c>
      <c r="M1198" s="50">
        <v>5.4459999999999997</v>
      </c>
      <c r="N1198" s="138">
        <v>1.6E-2</v>
      </c>
      <c r="O1198" s="57">
        <v>70.534999999999997</v>
      </c>
      <c r="P1198" s="75">
        <v>4.9000000000000002E-2</v>
      </c>
      <c r="Q1198" s="96"/>
    </row>
    <row r="1199" spans="1:17" ht="14.25" customHeight="1" x14ac:dyDescent="0.35">
      <c r="A1199" s="1">
        <v>2021</v>
      </c>
      <c r="B1199" s="1" t="s">
        <v>26</v>
      </c>
      <c r="C1199" s="1">
        <v>12</v>
      </c>
      <c r="D1199" s="49">
        <v>105.23399999999999</v>
      </c>
      <c r="E1199" s="12">
        <f t="shared" si="22"/>
        <v>131.54249999999999</v>
      </c>
      <c r="F1199" s="50">
        <v>89.375</v>
      </c>
      <c r="G1199" s="72">
        <v>77.23</v>
      </c>
      <c r="H1199" s="61">
        <v>1645.875</v>
      </c>
      <c r="I1199" s="62">
        <v>6.9</v>
      </c>
      <c r="J1199" s="64">
        <v>2.1000000000000001E-2</v>
      </c>
      <c r="K1199" s="76">
        <v>9.1349999999999998</v>
      </c>
      <c r="L1199" s="65">
        <v>26.526</v>
      </c>
      <c r="M1199" s="50">
        <v>5.4649999999999999</v>
      </c>
      <c r="N1199" s="138">
        <v>1.6E-2</v>
      </c>
      <c r="O1199" s="57">
        <v>67.573999999999998</v>
      </c>
      <c r="P1199" s="75">
        <v>4.9000000000000002E-2</v>
      </c>
      <c r="Q1199" s="96"/>
    </row>
    <row r="1200" spans="1:17" ht="14.25" customHeight="1" x14ac:dyDescent="0.35">
      <c r="A1200" s="1">
        <v>2021</v>
      </c>
      <c r="B1200" s="1" t="s">
        <v>26</v>
      </c>
      <c r="C1200" s="1">
        <v>13</v>
      </c>
      <c r="D1200" s="49">
        <v>106.01600000000001</v>
      </c>
      <c r="E1200" s="12">
        <f t="shared" si="22"/>
        <v>132.52000000000001</v>
      </c>
      <c r="F1200" s="50">
        <v>90</v>
      </c>
      <c r="G1200" s="78">
        <v>77.61</v>
      </c>
      <c r="H1200" s="61">
        <v>1740.8810000000001</v>
      </c>
      <c r="I1200" s="62">
        <v>6.9</v>
      </c>
      <c r="J1200" s="64">
        <v>2.1000000000000001E-2</v>
      </c>
      <c r="K1200" s="81">
        <v>9.3620000000000001</v>
      </c>
      <c r="L1200" s="65">
        <v>28.600999999999999</v>
      </c>
      <c r="M1200" s="50">
        <v>5.4560000000000004</v>
      </c>
      <c r="N1200" s="137">
        <v>1.6E-2</v>
      </c>
      <c r="O1200" s="57">
        <v>68.86</v>
      </c>
      <c r="P1200" s="80">
        <v>5.6000000000000001E-2</v>
      </c>
      <c r="Q1200" s="96"/>
    </row>
    <row r="1201" spans="1:17" ht="14.25" customHeight="1" x14ac:dyDescent="0.35">
      <c r="A1201" s="1">
        <v>2021</v>
      </c>
      <c r="B1201" s="1" t="s">
        <v>26</v>
      </c>
      <c r="C1201" s="1">
        <v>14</v>
      </c>
      <c r="D1201" s="49">
        <v>103.26600000000001</v>
      </c>
      <c r="E1201" s="12">
        <f t="shared" si="22"/>
        <v>129.08250000000001</v>
      </c>
      <c r="F1201" s="50">
        <v>87.688000000000002</v>
      </c>
      <c r="G1201" s="60">
        <v>77.33</v>
      </c>
      <c r="H1201" s="61">
        <v>1749.0129999999999</v>
      </c>
      <c r="I1201" s="62">
        <v>6.9</v>
      </c>
      <c r="J1201" s="64">
        <v>2.1000000000000001E-2</v>
      </c>
      <c r="K1201" s="81">
        <v>9.1210000000000004</v>
      </c>
      <c r="L1201" s="82">
        <v>28.268999999999998</v>
      </c>
      <c r="M1201" s="50">
        <v>5.4489999999999998</v>
      </c>
      <c r="N1201" s="137">
        <v>1.6E-2</v>
      </c>
      <c r="O1201" s="57">
        <v>70.289000000000001</v>
      </c>
      <c r="P1201" s="80">
        <v>5.2999999999999999E-2</v>
      </c>
      <c r="Q1201" s="96"/>
    </row>
    <row r="1202" spans="1:17" ht="14.25" customHeight="1" x14ac:dyDescent="0.35">
      <c r="A1202" s="1">
        <v>2021</v>
      </c>
      <c r="B1202" s="1" t="s">
        <v>26</v>
      </c>
      <c r="C1202" s="1">
        <v>15</v>
      </c>
      <c r="D1202" s="49">
        <v>108.797</v>
      </c>
      <c r="E1202" s="12">
        <f t="shared" si="22"/>
        <v>135.99625</v>
      </c>
      <c r="F1202" s="50">
        <v>92.438000000000002</v>
      </c>
      <c r="G1202" s="60">
        <v>77.247</v>
      </c>
      <c r="H1202" s="61">
        <v>1773.3810000000001</v>
      </c>
      <c r="I1202" s="62">
        <v>6.9</v>
      </c>
      <c r="J1202" s="64">
        <v>2.1000000000000001E-2</v>
      </c>
      <c r="K1202" s="76">
        <v>9.1039999999999992</v>
      </c>
      <c r="L1202" s="65">
        <v>28.818999999999999</v>
      </c>
      <c r="M1202" s="50">
        <v>5.4560000000000004</v>
      </c>
      <c r="N1202" s="137">
        <v>1.6E-2</v>
      </c>
      <c r="O1202" s="57">
        <v>68.786000000000001</v>
      </c>
      <c r="P1202" s="75">
        <v>5.2999999999999999E-2</v>
      </c>
      <c r="Q1202" s="96"/>
    </row>
    <row r="1203" spans="1:17" ht="14.25" customHeight="1" x14ac:dyDescent="0.35">
      <c r="A1203" s="1">
        <v>2021</v>
      </c>
      <c r="B1203" s="1" t="s">
        <v>26</v>
      </c>
      <c r="C1203" s="1">
        <v>16</v>
      </c>
      <c r="D1203" s="49">
        <v>110.453</v>
      </c>
      <c r="E1203" s="32">
        <v>137.09</v>
      </c>
      <c r="F1203" s="50">
        <v>93.938000000000002</v>
      </c>
      <c r="G1203" s="60">
        <v>77.566999999999993</v>
      </c>
      <c r="H1203" s="61">
        <v>1748.8119999999999</v>
      </c>
      <c r="I1203" s="62">
        <v>6.9</v>
      </c>
      <c r="J1203" s="64">
        <v>2.1999999999999999E-2</v>
      </c>
      <c r="K1203" s="81">
        <v>8.7420000000000009</v>
      </c>
      <c r="L1203" s="61">
        <v>28.38</v>
      </c>
      <c r="M1203" s="62">
        <v>5.407</v>
      </c>
      <c r="N1203" s="137">
        <v>1.6E-2</v>
      </c>
      <c r="O1203" s="57">
        <v>77.39</v>
      </c>
      <c r="P1203" s="80">
        <v>5.1999999999999998E-2</v>
      </c>
      <c r="Q1203" s="96"/>
    </row>
    <row r="1204" spans="1:17" ht="14.25" customHeight="1" x14ac:dyDescent="0.35">
      <c r="A1204" s="1">
        <v>2021</v>
      </c>
      <c r="B1204" s="1" t="s">
        <v>26</v>
      </c>
      <c r="C1204" s="1">
        <v>17</v>
      </c>
      <c r="D1204" s="49">
        <v>107.703</v>
      </c>
      <c r="E1204" s="12">
        <f t="shared" ref="E1204:E1226" si="23">D1204*1.25</f>
        <v>134.62875</v>
      </c>
      <c r="F1204" s="50">
        <v>91.563000000000002</v>
      </c>
      <c r="G1204" s="60">
        <v>77.643000000000001</v>
      </c>
      <c r="H1204" s="61">
        <v>1732.9290000000001</v>
      </c>
      <c r="I1204" s="62">
        <v>6.9</v>
      </c>
      <c r="J1204" s="64">
        <v>2.1999999999999999E-2</v>
      </c>
      <c r="K1204" s="68">
        <v>8.5969999999999995</v>
      </c>
      <c r="L1204" s="65">
        <v>28.718</v>
      </c>
      <c r="M1204" s="50">
        <v>5.367</v>
      </c>
      <c r="N1204" s="137">
        <v>1.6E-2</v>
      </c>
      <c r="O1204" s="57">
        <v>84.953999999999994</v>
      </c>
      <c r="P1204" s="67">
        <v>5.2999999999999999E-2</v>
      </c>
      <c r="Q1204" s="96"/>
    </row>
    <row r="1205" spans="1:17" ht="14.25" customHeight="1" x14ac:dyDescent="0.35">
      <c r="A1205" s="1">
        <v>2021</v>
      </c>
      <c r="B1205" s="1" t="s">
        <v>26</v>
      </c>
      <c r="C1205" s="1">
        <v>18</v>
      </c>
      <c r="D1205" s="49">
        <v>105.828</v>
      </c>
      <c r="E1205" s="12">
        <f t="shared" si="23"/>
        <v>132.285</v>
      </c>
      <c r="F1205" s="50">
        <v>89.968999999999994</v>
      </c>
      <c r="G1205" s="60">
        <v>78.069000000000003</v>
      </c>
      <c r="H1205" s="61">
        <v>1673.383</v>
      </c>
      <c r="I1205" s="62">
        <v>6.9</v>
      </c>
      <c r="J1205" s="64">
        <v>2.1999999999999999E-2</v>
      </c>
      <c r="K1205" s="68">
        <v>8.5630000000000006</v>
      </c>
      <c r="L1205" s="61">
        <v>27.419</v>
      </c>
      <c r="M1205" s="62">
        <v>5.3579999999999997</v>
      </c>
      <c r="N1205" s="137">
        <v>1.6E-2</v>
      </c>
      <c r="O1205" s="57">
        <v>86.644999999999996</v>
      </c>
      <c r="P1205" s="67">
        <v>4.9000000000000002E-2</v>
      </c>
      <c r="Q1205" s="96"/>
    </row>
    <row r="1206" spans="1:17" ht="14.25" customHeight="1" x14ac:dyDescent="0.35">
      <c r="A1206" s="1">
        <v>2021</v>
      </c>
      <c r="B1206" s="1" t="s">
        <v>26</v>
      </c>
      <c r="C1206" s="1">
        <v>19</v>
      </c>
      <c r="D1206" s="49">
        <v>105.73399999999999</v>
      </c>
      <c r="E1206" s="12">
        <f t="shared" si="23"/>
        <v>132.16749999999999</v>
      </c>
      <c r="F1206" s="50">
        <v>89.843999999999994</v>
      </c>
      <c r="G1206" s="60">
        <v>78.138999999999996</v>
      </c>
      <c r="H1206" s="61">
        <v>1662.3009999999999</v>
      </c>
      <c r="I1206" s="62">
        <v>6.9</v>
      </c>
      <c r="J1206" s="64">
        <v>2.1999999999999999E-2</v>
      </c>
      <c r="K1206" s="68">
        <v>8.6</v>
      </c>
      <c r="L1206" s="65">
        <v>27.869</v>
      </c>
      <c r="M1206" s="50">
        <v>5.367</v>
      </c>
      <c r="N1206" s="137">
        <v>1.6E-2</v>
      </c>
      <c r="O1206" s="57">
        <v>84.899000000000001</v>
      </c>
      <c r="P1206" s="67">
        <v>4.9000000000000002E-2</v>
      </c>
      <c r="Q1206" s="96"/>
    </row>
    <row r="1207" spans="1:17" ht="14.25" customHeight="1" x14ac:dyDescent="0.35">
      <c r="A1207" s="1">
        <v>2021</v>
      </c>
      <c r="B1207" s="1" t="s">
        <v>26</v>
      </c>
      <c r="C1207" s="1">
        <v>20</v>
      </c>
      <c r="D1207" s="49">
        <v>105.96899999999999</v>
      </c>
      <c r="E1207" s="12">
        <f t="shared" si="23"/>
        <v>132.46125000000001</v>
      </c>
      <c r="F1207" s="50">
        <v>90</v>
      </c>
      <c r="G1207" s="60">
        <v>78.100999999999999</v>
      </c>
      <c r="H1207" s="61">
        <v>1734.1179999999999</v>
      </c>
      <c r="I1207" s="62">
        <v>6.9</v>
      </c>
      <c r="J1207" s="64">
        <v>2.1999999999999999E-2</v>
      </c>
      <c r="K1207" s="68">
        <v>8.8390000000000004</v>
      </c>
      <c r="L1207" s="61">
        <v>28.844000000000001</v>
      </c>
      <c r="M1207" s="62">
        <v>5.359</v>
      </c>
      <c r="N1207" s="137">
        <v>1.6E-2</v>
      </c>
      <c r="O1207" s="57">
        <v>86.28</v>
      </c>
      <c r="P1207" s="67">
        <v>5.6000000000000001E-2</v>
      </c>
      <c r="Q1207" s="96"/>
    </row>
    <row r="1208" spans="1:17" ht="14.25" customHeight="1" x14ac:dyDescent="0.35">
      <c r="A1208" s="1">
        <v>2021</v>
      </c>
      <c r="B1208" s="1" t="s">
        <v>26</v>
      </c>
      <c r="C1208" s="1">
        <v>21</v>
      </c>
      <c r="D1208" s="49">
        <v>106.84399999999999</v>
      </c>
      <c r="E1208" s="12">
        <f t="shared" si="23"/>
        <v>133.55500000000001</v>
      </c>
      <c r="F1208" s="50">
        <v>90.75</v>
      </c>
      <c r="G1208" s="60">
        <v>77.795000000000002</v>
      </c>
      <c r="H1208" s="61">
        <v>1773.91</v>
      </c>
      <c r="I1208" s="62">
        <v>6.899</v>
      </c>
      <c r="J1208" s="64">
        <v>2.1999999999999999E-2</v>
      </c>
      <c r="K1208" s="68">
        <v>8.9290000000000003</v>
      </c>
      <c r="L1208" s="65">
        <v>29.641999999999999</v>
      </c>
      <c r="M1208" s="50">
        <v>5.3719999999999999</v>
      </c>
      <c r="N1208" s="137">
        <v>1.6E-2</v>
      </c>
      <c r="O1208" s="57">
        <v>83.703000000000003</v>
      </c>
      <c r="P1208" s="67">
        <v>5.6000000000000001E-2</v>
      </c>
      <c r="Q1208" s="96"/>
    </row>
    <row r="1209" spans="1:17" ht="14.25" customHeight="1" x14ac:dyDescent="0.35">
      <c r="A1209" s="1">
        <v>2021</v>
      </c>
      <c r="B1209" s="1" t="s">
        <v>26</v>
      </c>
      <c r="C1209" s="1">
        <v>22</v>
      </c>
      <c r="D1209" s="49">
        <v>108.64100000000001</v>
      </c>
      <c r="E1209" s="12">
        <f t="shared" si="23"/>
        <v>135.80125000000001</v>
      </c>
      <c r="F1209" s="50">
        <v>92.343999999999994</v>
      </c>
      <c r="G1209" s="60">
        <v>77.831999999999994</v>
      </c>
      <c r="H1209" s="61">
        <v>1773.2439999999999</v>
      </c>
      <c r="I1209" s="62">
        <v>6.9</v>
      </c>
      <c r="J1209" s="64">
        <v>2.1999999999999999E-2</v>
      </c>
      <c r="K1209" s="68">
        <v>8.6159999999999997</v>
      </c>
      <c r="L1209" s="61">
        <v>30.172000000000001</v>
      </c>
      <c r="M1209" s="62">
        <v>5.37</v>
      </c>
      <c r="N1209" s="137">
        <v>1.6E-2</v>
      </c>
      <c r="O1209" s="57">
        <v>84.269000000000005</v>
      </c>
      <c r="P1209" s="67">
        <v>5.7000000000000002E-2</v>
      </c>
      <c r="Q1209" s="96"/>
    </row>
    <row r="1210" spans="1:17" ht="14.25" customHeight="1" x14ac:dyDescent="0.35">
      <c r="A1210" s="1">
        <v>2021</v>
      </c>
      <c r="B1210" s="1" t="s">
        <v>26</v>
      </c>
      <c r="C1210" s="1">
        <v>23</v>
      </c>
      <c r="D1210" s="49">
        <v>107.172</v>
      </c>
      <c r="E1210" s="12">
        <f t="shared" si="23"/>
        <v>133.965</v>
      </c>
      <c r="F1210" s="50">
        <v>91.063000000000002</v>
      </c>
      <c r="G1210" s="60">
        <v>77.644999999999996</v>
      </c>
      <c r="H1210" s="61">
        <v>1759.3879999999999</v>
      </c>
      <c r="I1210" s="62">
        <v>6.9</v>
      </c>
      <c r="J1210" s="64">
        <v>2.1999999999999999E-2</v>
      </c>
      <c r="K1210" s="68">
        <v>8.7040000000000006</v>
      </c>
      <c r="L1210" s="65">
        <v>29.966000000000001</v>
      </c>
      <c r="M1210" s="50">
        <v>5.43</v>
      </c>
      <c r="N1210" s="137">
        <v>1.6E-2</v>
      </c>
      <c r="O1210" s="57">
        <v>74.492999999999995</v>
      </c>
      <c r="P1210" s="67">
        <v>5.5E-2</v>
      </c>
      <c r="Q1210" s="96"/>
    </row>
    <row r="1211" spans="1:17" ht="14.25" customHeight="1" x14ac:dyDescent="0.35">
      <c r="A1211" s="1">
        <v>2021</v>
      </c>
      <c r="B1211" s="1" t="s">
        <v>26</v>
      </c>
      <c r="C1211" s="1">
        <v>24</v>
      </c>
      <c r="D1211" s="49">
        <v>109.23399999999999</v>
      </c>
      <c r="E1211" s="12">
        <f t="shared" si="23"/>
        <v>136.54249999999999</v>
      </c>
      <c r="F1211" s="50">
        <v>92.813000000000002</v>
      </c>
      <c r="G1211" s="60">
        <v>77.680000000000007</v>
      </c>
      <c r="H1211" s="61">
        <v>1726.3989999999999</v>
      </c>
      <c r="I1211" s="62">
        <v>6.9</v>
      </c>
      <c r="J1211" s="64">
        <v>2.1999999999999999E-2</v>
      </c>
      <c r="K1211" s="68">
        <v>8.6980000000000004</v>
      </c>
      <c r="L1211" s="61">
        <v>29.103000000000002</v>
      </c>
      <c r="M1211" s="62">
        <v>5.4749999999999996</v>
      </c>
      <c r="N1211" s="137">
        <v>1.6E-2</v>
      </c>
      <c r="O1211" s="57">
        <v>65.989000000000004</v>
      </c>
      <c r="P1211" s="67">
        <v>5.1999999999999998E-2</v>
      </c>
      <c r="Q1211" s="96"/>
    </row>
    <row r="1212" spans="1:17" ht="14.25" customHeight="1" x14ac:dyDescent="0.35">
      <c r="A1212" s="1">
        <v>2021</v>
      </c>
      <c r="B1212" s="1" t="s">
        <v>26</v>
      </c>
      <c r="C1212" s="1">
        <v>25</v>
      </c>
      <c r="D1212" s="49">
        <v>106.96899999999999</v>
      </c>
      <c r="E1212" s="12">
        <f t="shared" si="23"/>
        <v>133.71125000000001</v>
      </c>
      <c r="F1212" s="50">
        <v>90.875</v>
      </c>
      <c r="G1212" s="60">
        <v>77.962999999999994</v>
      </c>
      <c r="H1212" s="61">
        <v>1671.2639999999999</v>
      </c>
      <c r="I1212" s="62">
        <v>6.9</v>
      </c>
      <c r="J1212" s="64">
        <v>2.1000000000000001E-2</v>
      </c>
      <c r="K1212" s="68">
        <v>8.7720000000000002</v>
      </c>
      <c r="L1212" s="65">
        <v>29.498999999999999</v>
      </c>
      <c r="M1212" s="50">
        <v>5.476</v>
      </c>
      <c r="N1212" s="137">
        <v>1.6E-2</v>
      </c>
      <c r="O1212" s="57">
        <v>65.852000000000004</v>
      </c>
      <c r="P1212" s="67">
        <v>5.2999999999999999E-2</v>
      </c>
      <c r="Q1212" s="96"/>
    </row>
    <row r="1213" spans="1:17" ht="14.25" customHeight="1" x14ac:dyDescent="0.35">
      <c r="A1213" s="1">
        <v>2021</v>
      </c>
      <c r="B1213" s="1" t="s">
        <v>26</v>
      </c>
      <c r="C1213" s="1">
        <v>26</v>
      </c>
      <c r="D1213" s="49">
        <v>105.98399999999999</v>
      </c>
      <c r="E1213" s="12">
        <f t="shared" si="23"/>
        <v>132.47999999999999</v>
      </c>
      <c r="F1213" s="50">
        <v>89.968999999999994</v>
      </c>
      <c r="G1213" s="60">
        <v>77.369</v>
      </c>
      <c r="H1213" s="61">
        <v>1650.2449999999999</v>
      </c>
      <c r="I1213" s="62">
        <v>6.9</v>
      </c>
      <c r="J1213" s="64">
        <v>2.1999999999999999E-2</v>
      </c>
      <c r="K1213" s="68">
        <v>8.9710000000000001</v>
      </c>
      <c r="L1213" s="61">
        <v>29.173999999999999</v>
      </c>
      <c r="M1213" s="62">
        <v>5.4829999999999997</v>
      </c>
      <c r="N1213" s="137">
        <v>1.6E-2</v>
      </c>
      <c r="O1213" s="57">
        <v>64.588999999999999</v>
      </c>
      <c r="P1213" s="67">
        <v>5.0999999999999997E-2</v>
      </c>
      <c r="Q1213" s="96"/>
    </row>
    <row r="1214" spans="1:17" ht="14.25" customHeight="1" x14ac:dyDescent="0.35">
      <c r="A1214" s="1">
        <v>2021</v>
      </c>
      <c r="B1214" s="1" t="s">
        <v>26</v>
      </c>
      <c r="C1214" s="1">
        <v>27</v>
      </c>
      <c r="D1214" s="49">
        <v>105.96899999999999</v>
      </c>
      <c r="E1214" s="12">
        <f t="shared" si="23"/>
        <v>132.46125000000001</v>
      </c>
      <c r="F1214" s="50">
        <v>90.031000000000006</v>
      </c>
      <c r="G1214" s="60">
        <v>77.52</v>
      </c>
      <c r="H1214" s="61">
        <v>1725.85</v>
      </c>
      <c r="I1214" s="62">
        <v>6.9</v>
      </c>
      <c r="J1214" s="64">
        <v>2.1999999999999999E-2</v>
      </c>
      <c r="K1214" s="68">
        <v>9.0920000000000005</v>
      </c>
      <c r="L1214" s="65">
        <v>29.948</v>
      </c>
      <c r="M1214" s="50">
        <v>5.476</v>
      </c>
      <c r="N1214" s="137">
        <v>1.6E-2</v>
      </c>
      <c r="O1214" s="57">
        <v>65.701999999999998</v>
      </c>
      <c r="P1214" s="67">
        <v>5.3999999999999999E-2</v>
      </c>
      <c r="Q1214" s="96"/>
    </row>
    <row r="1215" spans="1:17" ht="14.25" customHeight="1" x14ac:dyDescent="0.35">
      <c r="A1215" s="1">
        <v>2021</v>
      </c>
      <c r="B1215" s="1" t="s">
        <v>26</v>
      </c>
      <c r="C1215" s="1">
        <v>28</v>
      </c>
      <c r="D1215" s="49">
        <v>106.26600000000001</v>
      </c>
      <c r="E1215" s="12">
        <f t="shared" si="23"/>
        <v>132.83250000000001</v>
      </c>
      <c r="F1215" s="50">
        <v>90.375</v>
      </c>
      <c r="G1215" s="60">
        <v>78.236000000000004</v>
      </c>
      <c r="H1215" s="61">
        <v>1726.953</v>
      </c>
      <c r="I1215" s="62">
        <v>6.9</v>
      </c>
      <c r="J1215" s="64">
        <v>2.1999999999999999E-2</v>
      </c>
      <c r="K1215" s="68">
        <v>8.6310000000000002</v>
      </c>
      <c r="L1215" s="61">
        <v>30.684000000000001</v>
      </c>
      <c r="M1215" s="62">
        <v>5.484</v>
      </c>
      <c r="N1215" s="137">
        <v>1.6E-2</v>
      </c>
      <c r="O1215" s="57">
        <v>64.661000000000001</v>
      </c>
      <c r="P1215" s="67">
        <v>5.8000000000000003E-2</v>
      </c>
      <c r="Q1215" s="96"/>
    </row>
    <row r="1216" spans="1:17" ht="14.25" customHeight="1" x14ac:dyDescent="0.35">
      <c r="A1216" s="1">
        <v>2021</v>
      </c>
      <c r="B1216" s="1" t="s">
        <v>26</v>
      </c>
      <c r="C1216" s="1">
        <v>29</v>
      </c>
      <c r="D1216" s="49">
        <v>105.547</v>
      </c>
      <c r="E1216" s="12">
        <f t="shared" si="23"/>
        <v>131.93375</v>
      </c>
      <c r="F1216" s="50">
        <v>89.688000000000002</v>
      </c>
      <c r="G1216" s="83">
        <v>78.772000000000006</v>
      </c>
      <c r="H1216" s="69">
        <v>1734.0530000000001</v>
      </c>
      <c r="I1216" s="50">
        <v>6.9</v>
      </c>
      <c r="J1216" s="137">
        <v>2.3E-2</v>
      </c>
      <c r="K1216" s="117">
        <v>8.532</v>
      </c>
      <c r="L1216" s="61">
        <v>31.957999999999998</v>
      </c>
      <c r="M1216" s="62">
        <v>5.5</v>
      </c>
      <c r="N1216" s="137">
        <v>1.6E-2</v>
      </c>
      <c r="O1216" s="57">
        <v>62.341000000000001</v>
      </c>
      <c r="P1216" s="84">
        <v>5.8000000000000003E-2</v>
      </c>
      <c r="Q1216" s="96"/>
    </row>
    <row r="1217" spans="1:17" ht="14.25" customHeight="1" x14ac:dyDescent="0.35">
      <c r="A1217" s="1">
        <v>2021</v>
      </c>
      <c r="B1217" s="1" t="s">
        <v>26</v>
      </c>
      <c r="C1217" s="1">
        <v>30</v>
      </c>
      <c r="D1217" s="104">
        <v>108.34399999999999</v>
      </c>
      <c r="E1217" s="12">
        <f t="shared" si="23"/>
        <v>135.43</v>
      </c>
      <c r="F1217" s="105">
        <v>92.031000000000006</v>
      </c>
      <c r="G1217" s="83">
        <v>79.248000000000005</v>
      </c>
      <c r="H1217" s="69">
        <v>1731.6669999999999</v>
      </c>
      <c r="I1217" s="50">
        <v>6.9</v>
      </c>
      <c r="J1217" s="137">
        <v>2.3E-2</v>
      </c>
      <c r="K1217" s="117">
        <v>8.5229999999999997</v>
      </c>
      <c r="L1217" s="61">
        <v>31.013999999999999</v>
      </c>
      <c r="M1217" s="62">
        <v>5.4649999999999999</v>
      </c>
      <c r="N1217" s="137">
        <v>1.6E-2</v>
      </c>
      <c r="O1217" s="57">
        <v>67.436999999999998</v>
      </c>
      <c r="P1217" s="84">
        <v>5.6000000000000001E-2</v>
      </c>
      <c r="Q1217" s="96"/>
    </row>
    <row r="1218" spans="1:17" ht="14.25" customHeight="1" x14ac:dyDescent="0.35">
      <c r="A1218" s="1">
        <v>2021</v>
      </c>
      <c r="B1218" s="1" t="s">
        <v>27</v>
      </c>
      <c r="C1218" s="1">
        <v>1</v>
      </c>
      <c r="D1218" s="49">
        <v>107.59399999999999</v>
      </c>
      <c r="E1218" s="12">
        <f t="shared" si="23"/>
        <v>134.49250000000001</v>
      </c>
      <c r="F1218" s="50">
        <v>91.406000000000006</v>
      </c>
      <c r="G1218" s="51">
        <v>78.652000000000001</v>
      </c>
      <c r="H1218" s="52">
        <v>1717.078</v>
      </c>
      <c r="I1218" s="53">
        <v>6.9</v>
      </c>
      <c r="J1218" s="55">
        <v>2.1999999999999999E-2</v>
      </c>
      <c r="K1218" s="59">
        <v>8.7059999999999995</v>
      </c>
      <c r="L1218" s="52">
        <v>30.356000000000002</v>
      </c>
      <c r="M1218" s="55">
        <v>5.4550000000000001</v>
      </c>
      <c r="N1218" s="136">
        <v>1.6E-2</v>
      </c>
      <c r="O1218" s="57">
        <v>68.953999999999994</v>
      </c>
      <c r="P1218" s="58">
        <v>5.6000000000000001E-2</v>
      </c>
      <c r="Q1218" s="96"/>
    </row>
    <row r="1219" spans="1:17" ht="14.25" customHeight="1" x14ac:dyDescent="0.35">
      <c r="A1219" s="1">
        <v>2021</v>
      </c>
      <c r="B1219" s="1" t="s">
        <v>27</v>
      </c>
      <c r="C1219" s="1">
        <v>2</v>
      </c>
      <c r="D1219" s="49">
        <v>105.90600000000001</v>
      </c>
      <c r="E1219" s="12">
        <f t="shared" si="23"/>
        <v>132.38249999999999</v>
      </c>
      <c r="F1219" s="50">
        <v>90</v>
      </c>
      <c r="G1219" s="60">
        <v>78.531000000000006</v>
      </c>
      <c r="H1219" s="61">
        <v>1650.28</v>
      </c>
      <c r="I1219" s="62">
        <v>6.9</v>
      </c>
      <c r="J1219" s="64">
        <v>2.1999999999999999E-2</v>
      </c>
      <c r="K1219" s="68">
        <v>8.7240000000000002</v>
      </c>
      <c r="L1219" s="65">
        <v>29.096</v>
      </c>
      <c r="M1219" s="50">
        <v>5.4660000000000002</v>
      </c>
      <c r="N1219" s="137">
        <v>1.6E-2</v>
      </c>
      <c r="O1219" s="57">
        <v>67.519000000000005</v>
      </c>
      <c r="P1219" s="67">
        <v>5.2999999999999999E-2</v>
      </c>
      <c r="Q1219" s="96"/>
    </row>
    <row r="1220" spans="1:17" ht="14.25" customHeight="1" x14ac:dyDescent="0.35">
      <c r="A1220" s="1">
        <v>2021</v>
      </c>
      <c r="B1220" s="1" t="s">
        <v>27</v>
      </c>
      <c r="C1220" s="1">
        <v>3</v>
      </c>
      <c r="D1220" s="49">
        <v>105.96899999999999</v>
      </c>
      <c r="E1220" s="12">
        <f t="shared" si="23"/>
        <v>132.46125000000001</v>
      </c>
      <c r="F1220" s="50">
        <v>89.968999999999994</v>
      </c>
      <c r="G1220" s="60">
        <v>78.671000000000006</v>
      </c>
      <c r="H1220" s="61">
        <v>1617.3510000000001</v>
      </c>
      <c r="I1220" s="62">
        <v>6.9</v>
      </c>
      <c r="J1220" s="64">
        <v>2.1999999999999999E-2</v>
      </c>
      <c r="K1220" s="68">
        <v>8.5939999999999994</v>
      </c>
      <c r="L1220" s="65">
        <v>29.515000000000001</v>
      </c>
      <c r="M1220" s="50">
        <v>5.4859999999999998</v>
      </c>
      <c r="N1220" s="137">
        <v>1.6E-2</v>
      </c>
      <c r="O1220" s="57">
        <v>64.423000000000002</v>
      </c>
      <c r="P1220" s="67">
        <v>0.05</v>
      </c>
      <c r="Q1220" s="96"/>
    </row>
    <row r="1221" spans="1:17" ht="14.25" customHeight="1" x14ac:dyDescent="0.35">
      <c r="A1221" s="1">
        <v>2021</v>
      </c>
      <c r="B1221" s="1" t="s">
        <v>27</v>
      </c>
      <c r="C1221" s="1">
        <v>4</v>
      </c>
      <c r="D1221" s="49">
        <v>105.89100000000001</v>
      </c>
      <c r="E1221" s="12">
        <f t="shared" si="23"/>
        <v>132.36375000000001</v>
      </c>
      <c r="F1221" s="50">
        <v>90.031000000000006</v>
      </c>
      <c r="G1221" s="60">
        <v>79.031000000000006</v>
      </c>
      <c r="H1221" s="61">
        <v>1696.883</v>
      </c>
      <c r="I1221" s="62">
        <v>6.9</v>
      </c>
      <c r="J1221" s="64">
        <v>2.1999999999999999E-2</v>
      </c>
      <c r="K1221" s="68">
        <v>8.7949999999999999</v>
      </c>
      <c r="L1221" s="65">
        <v>31.561</v>
      </c>
      <c r="M1221" s="50">
        <v>5.492</v>
      </c>
      <c r="N1221" s="137">
        <v>1.6E-2</v>
      </c>
      <c r="O1221" s="57">
        <v>63.404000000000003</v>
      </c>
      <c r="P1221" s="67">
        <v>5.7000000000000002E-2</v>
      </c>
      <c r="Q1221" s="96"/>
    </row>
    <row r="1222" spans="1:17" ht="14.25" customHeight="1" x14ac:dyDescent="0.35">
      <c r="A1222" s="1">
        <v>2021</v>
      </c>
      <c r="B1222" s="1" t="s">
        <v>27</v>
      </c>
      <c r="C1222" s="1">
        <v>5</v>
      </c>
      <c r="D1222" s="49">
        <v>105.90600000000001</v>
      </c>
      <c r="E1222" s="12">
        <f t="shared" si="23"/>
        <v>132.38249999999999</v>
      </c>
      <c r="F1222" s="50">
        <v>89.968999999999994</v>
      </c>
      <c r="G1222" s="60">
        <v>79.39</v>
      </c>
      <c r="H1222" s="61">
        <v>1737.499</v>
      </c>
      <c r="I1222" s="62">
        <v>6.9</v>
      </c>
      <c r="J1222" s="64">
        <v>2.3E-2</v>
      </c>
      <c r="K1222" s="68">
        <v>8.58</v>
      </c>
      <c r="L1222" s="65">
        <v>32.726999999999997</v>
      </c>
      <c r="M1222" s="50">
        <v>5.4829999999999997</v>
      </c>
      <c r="N1222" s="137">
        <v>1.6E-2</v>
      </c>
      <c r="O1222" s="57">
        <v>64.537000000000006</v>
      </c>
      <c r="P1222" s="67">
        <v>5.7000000000000002E-2</v>
      </c>
      <c r="Q1222" s="96"/>
    </row>
    <row r="1223" spans="1:17" ht="14.25" customHeight="1" x14ac:dyDescent="0.35">
      <c r="A1223" s="1">
        <v>2021</v>
      </c>
      <c r="B1223" s="1" t="s">
        <v>27</v>
      </c>
      <c r="C1223" s="1">
        <v>6</v>
      </c>
      <c r="D1223" s="49">
        <v>104.23399999999999</v>
      </c>
      <c r="E1223" s="12">
        <f t="shared" si="23"/>
        <v>130.29249999999999</v>
      </c>
      <c r="F1223" s="50">
        <v>88.5</v>
      </c>
      <c r="G1223" s="60">
        <v>79.343999999999994</v>
      </c>
      <c r="H1223" s="61">
        <v>1743.529</v>
      </c>
      <c r="I1223" s="62">
        <v>6.9</v>
      </c>
      <c r="J1223" s="64">
        <v>2.5000000000000001E-2</v>
      </c>
      <c r="K1223" s="68">
        <v>8.57</v>
      </c>
      <c r="L1223" s="65">
        <v>32.6</v>
      </c>
      <c r="M1223" s="50">
        <v>5.4859999999999998</v>
      </c>
      <c r="N1223" s="137">
        <v>1.6E-2</v>
      </c>
      <c r="O1223" s="57">
        <v>64.399000000000001</v>
      </c>
      <c r="P1223" s="67">
        <v>6.0999999999999999E-2</v>
      </c>
      <c r="Q1223" s="96"/>
    </row>
    <row r="1224" spans="1:17" ht="14.25" customHeight="1" x14ac:dyDescent="0.35">
      <c r="A1224" s="1">
        <v>2021</v>
      </c>
      <c r="B1224" s="1" t="s">
        <v>27</v>
      </c>
      <c r="C1224" s="1">
        <v>7</v>
      </c>
      <c r="D1224" s="49">
        <v>106.063</v>
      </c>
      <c r="E1224" s="12">
        <f t="shared" si="23"/>
        <v>132.57875000000001</v>
      </c>
      <c r="F1224" s="50">
        <v>90</v>
      </c>
      <c r="G1224" s="60">
        <v>79.236999999999995</v>
      </c>
      <c r="H1224" s="61">
        <v>1750.4639999999999</v>
      </c>
      <c r="I1224" s="62">
        <v>6.9</v>
      </c>
      <c r="J1224" s="64">
        <v>2.5999999999999999E-2</v>
      </c>
      <c r="K1224" s="68">
        <v>8.4649999999999999</v>
      </c>
      <c r="L1224" s="65">
        <v>31.869</v>
      </c>
      <c r="M1224" s="50">
        <v>5.4720000000000004</v>
      </c>
      <c r="N1224" s="137">
        <v>1.6E-2</v>
      </c>
      <c r="O1224" s="57">
        <v>66.58</v>
      </c>
      <c r="P1224" s="67">
        <v>6.0999999999999999E-2</v>
      </c>
      <c r="Q1224" s="96"/>
    </row>
    <row r="1225" spans="1:17" ht="14.25" customHeight="1" x14ac:dyDescent="0.35">
      <c r="A1225" s="1">
        <v>2021</v>
      </c>
      <c r="B1225" s="1" t="s">
        <v>27</v>
      </c>
      <c r="C1225" s="1">
        <v>8</v>
      </c>
      <c r="D1225" s="49">
        <v>105.922</v>
      </c>
      <c r="E1225" s="12">
        <f t="shared" si="23"/>
        <v>132.4025</v>
      </c>
      <c r="F1225" s="50">
        <v>89.938000000000002</v>
      </c>
      <c r="G1225" s="60">
        <v>79.2</v>
      </c>
      <c r="H1225" s="69">
        <v>1728.3150000000001</v>
      </c>
      <c r="I1225" s="62">
        <v>6.9</v>
      </c>
      <c r="J1225" s="64">
        <v>2.4E-2</v>
      </c>
      <c r="K1225" s="71">
        <v>8.3580000000000005</v>
      </c>
      <c r="L1225" s="65">
        <v>32.345999999999997</v>
      </c>
      <c r="M1225" s="50">
        <v>5.46</v>
      </c>
      <c r="N1225" s="137">
        <v>1.6E-2</v>
      </c>
      <c r="O1225" s="57">
        <v>68.457999999999998</v>
      </c>
      <c r="P1225" s="70">
        <v>5.7000000000000002E-2</v>
      </c>
      <c r="Q1225" s="96"/>
    </row>
    <row r="1226" spans="1:17" ht="14.25" customHeight="1" x14ac:dyDescent="0.35">
      <c r="A1226" s="1">
        <v>2021</v>
      </c>
      <c r="B1226" s="1" t="s">
        <v>27</v>
      </c>
      <c r="C1226" s="1">
        <v>9</v>
      </c>
      <c r="D1226" s="49">
        <v>106.047</v>
      </c>
      <c r="E1226" s="12">
        <f t="shared" si="23"/>
        <v>132.55875</v>
      </c>
      <c r="F1226" s="50">
        <v>89.968999999999994</v>
      </c>
      <c r="G1226" s="60">
        <v>79.016000000000005</v>
      </c>
      <c r="H1226" s="61">
        <v>1659.749</v>
      </c>
      <c r="I1226" s="62">
        <v>6.9</v>
      </c>
      <c r="J1226" s="64">
        <v>2.1999999999999999E-2</v>
      </c>
      <c r="K1226" s="68">
        <v>8.1929999999999996</v>
      </c>
      <c r="L1226" s="65">
        <v>31.407</v>
      </c>
      <c r="M1226" s="50">
        <v>5.46</v>
      </c>
      <c r="N1226" s="137">
        <v>1.6E-2</v>
      </c>
      <c r="O1226" s="57">
        <v>68.706999999999994</v>
      </c>
      <c r="P1226" s="67">
        <v>5.2999999999999999E-2</v>
      </c>
      <c r="Q1226" s="96"/>
    </row>
    <row r="1227" spans="1:17" ht="14.25" customHeight="1" x14ac:dyDescent="0.35">
      <c r="A1227" s="1">
        <v>2021</v>
      </c>
      <c r="B1227" s="1" t="s">
        <v>27</v>
      </c>
      <c r="C1227" s="1">
        <v>10</v>
      </c>
      <c r="D1227" s="49">
        <v>105.453</v>
      </c>
      <c r="E1227" s="32">
        <v>130.99</v>
      </c>
      <c r="F1227" s="50">
        <v>89.593999999999994</v>
      </c>
      <c r="G1227" s="72">
        <v>78.853999999999999</v>
      </c>
      <c r="H1227" s="61">
        <v>1614.24</v>
      </c>
      <c r="I1227" s="62">
        <v>6.9</v>
      </c>
      <c r="J1227" s="64">
        <v>2.1999999999999999E-2</v>
      </c>
      <c r="K1227" s="76">
        <v>8.1850000000000005</v>
      </c>
      <c r="L1227" s="65">
        <v>30.39</v>
      </c>
      <c r="M1227" s="50">
        <v>5.4770000000000003</v>
      </c>
      <c r="N1227" s="138">
        <v>1.6E-2</v>
      </c>
      <c r="O1227" s="57">
        <v>65.823999999999998</v>
      </c>
      <c r="P1227" s="75">
        <v>5.1999999999999998E-2</v>
      </c>
      <c r="Q1227" s="96"/>
    </row>
    <row r="1228" spans="1:17" ht="14.25" customHeight="1" x14ac:dyDescent="0.35">
      <c r="A1228" s="1">
        <v>2021</v>
      </c>
      <c r="B1228" s="1" t="s">
        <v>27</v>
      </c>
      <c r="C1228" s="1">
        <v>11</v>
      </c>
      <c r="D1228" s="49">
        <v>105.78100000000001</v>
      </c>
      <c r="E1228" s="12">
        <f t="shared" ref="E1228:E1256" si="24">D1228*1.25</f>
        <v>132.22624999999999</v>
      </c>
      <c r="F1228" s="50">
        <v>90</v>
      </c>
      <c r="G1228" s="72">
        <v>79.400000000000006</v>
      </c>
      <c r="H1228" s="61">
        <v>1694.058</v>
      </c>
      <c r="I1228" s="62">
        <v>6.9</v>
      </c>
      <c r="J1228" s="64">
        <v>2.1000000000000001E-2</v>
      </c>
      <c r="K1228" s="76">
        <v>8.5239999999999991</v>
      </c>
      <c r="L1228" s="65">
        <v>31.872</v>
      </c>
      <c r="M1228" s="50">
        <v>5.47</v>
      </c>
      <c r="N1228" s="138">
        <v>1.6E-2</v>
      </c>
      <c r="O1228" s="57">
        <v>66.966999999999999</v>
      </c>
      <c r="P1228" s="75">
        <v>0.06</v>
      </c>
      <c r="Q1228" s="96"/>
    </row>
    <row r="1229" spans="1:17" ht="14.25" customHeight="1" x14ac:dyDescent="0.35">
      <c r="A1229" s="1">
        <v>2021</v>
      </c>
      <c r="B1229" s="1" t="s">
        <v>27</v>
      </c>
      <c r="C1229" s="1">
        <v>12</v>
      </c>
      <c r="D1229" s="49">
        <v>107.438</v>
      </c>
      <c r="E1229" s="12">
        <f t="shared" si="24"/>
        <v>134.29750000000001</v>
      </c>
      <c r="F1229" s="50">
        <v>91.593999999999994</v>
      </c>
      <c r="G1229" s="72">
        <v>79.667000000000002</v>
      </c>
      <c r="H1229" s="61">
        <v>1740.098</v>
      </c>
      <c r="I1229" s="62">
        <v>6.9</v>
      </c>
      <c r="J1229" s="64">
        <v>2.1000000000000001E-2</v>
      </c>
      <c r="K1229" s="76">
        <v>8.4410000000000007</v>
      </c>
      <c r="L1229" s="65">
        <v>33.627000000000002</v>
      </c>
      <c r="M1229" s="50">
        <v>5.4569999999999999</v>
      </c>
      <c r="N1229" s="138">
        <v>1.6E-2</v>
      </c>
      <c r="O1229" s="57">
        <v>68.728999999999999</v>
      </c>
      <c r="P1229" s="75">
        <v>0.06</v>
      </c>
      <c r="Q1229" s="96"/>
    </row>
    <row r="1230" spans="1:17" ht="14.25" customHeight="1" x14ac:dyDescent="0.35">
      <c r="A1230" s="1">
        <v>2021</v>
      </c>
      <c r="B1230" s="1" t="s">
        <v>27</v>
      </c>
      <c r="C1230" s="1">
        <v>13</v>
      </c>
      <c r="D1230" s="49">
        <v>111.375</v>
      </c>
      <c r="E1230" s="12">
        <f t="shared" si="24"/>
        <v>139.21875</v>
      </c>
      <c r="F1230" s="50">
        <v>95</v>
      </c>
      <c r="G1230" s="78">
        <v>79.486000000000004</v>
      </c>
      <c r="H1230" s="61">
        <v>1735.9179999999999</v>
      </c>
      <c r="I1230" s="62">
        <v>6.9</v>
      </c>
      <c r="J1230" s="64">
        <v>2.1000000000000001E-2</v>
      </c>
      <c r="K1230" s="81">
        <v>8.3559999999999999</v>
      </c>
      <c r="L1230" s="65">
        <v>32.92</v>
      </c>
      <c r="M1230" s="50">
        <v>5.4619999999999997</v>
      </c>
      <c r="N1230" s="137">
        <v>1.6E-2</v>
      </c>
      <c r="O1230" s="57">
        <v>68.194999999999993</v>
      </c>
      <c r="P1230" s="80">
        <v>5.8000000000000003E-2</v>
      </c>
      <c r="Q1230" s="96"/>
    </row>
    <row r="1231" spans="1:17" ht="14.25" customHeight="1" x14ac:dyDescent="0.35">
      <c r="A1231" s="1">
        <v>2021</v>
      </c>
      <c r="B1231" s="1" t="s">
        <v>27</v>
      </c>
      <c r="C1231" s="1">
        <v>14</v>
      </c>
      <c r="D1231" s="49">
        <v>110.453</v>
      </c>
      <c r="E1231" s="12">
        <f t="shared" si="24"/>
        <v>138.06625</v>
      </c>
      <c r="F1231" s="50">
        <v>94.156000000000006</v>
      </c>
      <c r="G1231" s="60">
        <v>79.644000000000005</v>
      </c>
      <c r="H1231" s="61">
        <v>1745.1020000000001</v>
      </c>
      <c r="I1231" s="62">
        <v>6.9</v>
      </c>
      <c r="J1231" s="64">
        <v>2.1000000000000001E-2</v>
      </c>
      <c r="K1231" s="81">
        <v>8.24</v>
      </c>
      <c r="L1231" s="82">
        <v>33.055999999999997</v>
      </c>
      <c r="M1231" s="50">
        <v>5.4649999999999999</v>
      </c>
      <c r="N1231" s="137">
        <v>1.6E-2</v>
      </c>
      <c r="O1231" s="57">
        <v>67.495000000000005</v>
      </c>
      <c r="P1231" s="80">
        <v>6.0999999999999999E-2</v>
      </c>
      <c r="Q1231" s="96"/>
    </row>
    <row r="1232" spans="1:17" ht="14.25" customHeight="1" x14ac:dyDescent="0.35">
      <c r="A1232" s="1">
        <v>2021</v>
      </c>
      <c r="B1232" s="1" t="s">
        <v>27</v>
      </c>
      <c r="C1232" s="1">
        <v>15</v>
      </c>
      <c r="D1232" s="49">
        <v>107.625</v>
      </c>
      <c r="E1232" s="12">
        <f t="shared" si="24"/>
        <v>134.53125</v>
      </c>
      <c r="F1232" s="50">
        <v>91.625</v>
      </c>
      <c r="G1232" s="60">
        <v>79.381</v>
      </c>
      <c r="H1232" s="61">
        <v>1714.5350000000001</v>
      </c>
      <c r="I1232" s="62">
        <v>6.9</v>
      </c>
      <c r="J1232" s="64">
        <v>2.1000000000000001E-2</v>
      </c>
      <c r="K1232" s="76">
        <v>8.266</v>
      </c>
      <c r="L1232" s="65">
        <v>32.534999999999997</v>
      </c>
      <c r="M1232" s="50">
        <v>5.4809999999999999</v>
      </c>
      <c r="N1232" s="137">
        <v>1.6E-2</v>
      </c>
      <c r="O1232" s="57">
        <v>65.149000000000001</v>
      </c>
      <c r="P1232" s="75">
        <v>6.0999999999999999E-2</v>
      </c>
      <c r="Q1232" s="96"/>
    </row>
    <row r="1233" spans="1:17" ht="14.25" customHeight="1" x14ac:dyDescent="0.35">
      <c r="A1233" s="1">
        <v>2021</v>
      </c>
      <c r="B1233" s="1" t="s">
        <v>27</v>
      </c>
      <c r="C1233" s="1">
        <v>16</v>
      </c>
      <c r="D1233" s="49">
        <v>107.547</v>
      </c>
      <c r="E1233" s="12">
        <f t="shared" si="24"/>
        <v>134.43375</v>
      </c>
      <c r="F1233" s="50">
        <v>91.531000000000006</v>
      </c>
      <c r="G1233" s="60">
        <v>79.097999999999999</v>
      </c>
      <c r="H1233" s="61">
        <v>1644.42</v>
      </c>
      <c r="I1233" s="62">
        <v>6.9</v>
      </c>
      <c r="J1233" s="64">
        <v>2.1000000000000001E-2</v>
      </c>
      <c r="K1233" s="81">
        <v>8.3000000000000007</v>
      </c>
      <c r="L1233" s="61">
        <v>31.553999999999998</v>
      </c>
      <c r="M1233" s="62">
        <v>5.4859999999999998</v>
      </c>
      <c r="N1233" s="137">
        <v>1.6E-2</v>
      </c>
      <c r="O1233" s="57">
        <v>64.504000000000005</v>
      </c>
      <c r="P1233" s="80">
        <v>5.5E-2</v>
      </c>
      <c r="Q1233" s="96"/>
    </row>
    <row r="1234" spans="1:17" ht="14.25" customHeight="1" x14ac:dyDescent="0.35">
      <c r="A1234" s="1">
        <v>2021</v>
      </c>
      <c r="B1234" s="1" t="s">
        <v>27</v>
      </c>
      <c r="C1234" s="1">
        <v>17</v>
      </c>
      <c r="D1234" s="49">
        <v>108.75</v>
      </c>
      <c r="E1234" s="12">
        <f t="shared" si="24"/>
        <v>135.9375</v>
      </c>
      <c r="F1234" s="50">
        <v>92.343999999999994</v>
      </c>
      <c r="G1234" s="60">
        <v>79.174000000000007</v>
      </c>
      <c r="H1234" s="61">
        <v>1614.162</v>
      </c>
      <c r="I1234" s="62">
        <v>6.9</v>
      </c>
      <c r="J1234" s="64">
        <v>2.1999999999999999E-2</v>
      </c>
      <c r="K1234" s="68">
        <v>8.3640000000000008</v>
      </c>
      <c r="L1234" s="65">
        <v>31.085000000000001</v>
      </c>
      <c r="M1234" s="50">
        <v>5.4880000000000004</v>
      </c>
      <c r="N1234" s="137">
        <v>1.6E-2</v>
      </c>
      <c r="O1234" s="57">
        <v>64.001999999999995</v>
      </c>
      <c r="P1234" s="67">
        <v>5.1999999999999998E-2</v>
      </c>
      <c r="Q1234" s="96"/>
    </row>
    <row r="1235" spans="1:17" ht="14.25" customHeight="1" x14ac:dyDescent="0.35">
      <c r="A1235" s="1">
        <v>2021</v>
      </c>
      <c r="B1235" s="1" t="s">
        <v>27</v>
      </c>
      <c r="C1235" s="1">
        <v>18</v>
      </c>
      <c r="D1235" s="49">
        <v>105.64100000000001</v>
      </c>
      <c r="E1235" s="12">
        <f t="shared" si="24"/>
        <v>132.05125000000001</v>
      </c>
      <c r="F1235" s="50">
        <v>89.688000000000002</v>
      </c>
      <c r="G1235" s="60">
        <v>79.558999999999997</v>
      </c>
      <c r="H1235" s="61">
        <v>1696.489</v>
      </c>
      <c r="I1235" s="62">
        <v>6.9</v>
      </c>
      <c r="J1235" s="64">
        <v>2.1000000000000001E-2</v>
      </c>
      <c r="K1235" s="68">
        <v>8.4990000000000006</v>
      </c>
      <c r="L1235" s="61">
        <v>32.026000000000003</v>
      </c>
      <c r="M1235" s="62">
        <v>5.4720000000000004</v>
      </c>
      <c r="N1235" s="137">
        <v>1.6E-2</v>
      </c>
      <c r="O1235" s="57">
        <v>66.182000000000002</v>
      </c>
      <c r="P1235" s="67">
        <v>5.8999999999999997E-2</v>
      </c>
      <c r="Q1235" s="96"/>
    </row>
    <row r="1236" spans="1:17" ht="14.25" customHeight="1" x14ac:dyDescent="0.35">
      <c r="A1236" s="1">
        <v>2021</v>
      </c>
      <c r="B1236" s="1" t="s">
        <v>27</v>
      </c>
      <c r="C1236" s="1">
        <v>19</v>
      </c>
      <c r="D1236" s="49">
        <v>30.5</v>
      </c>
      <c r="E1236" s="12">
        <f t="shared" si="24"/>
        <v>38.125</v>
      </c>
      <c r="F1236" s="50">
        <v>25.905999999999999</v>
      </c>
      <c r="G1236" s="60">
        <v>78.668999999999997</v>
      </c>
      <c r="H1236" s="61">
        <v>1718.989</v>
      </c>
      <c r="I1236" s="62">
        <v>6.9089999999999998</v>
      </c>
      <c r="J1236" s="64">
        <v>3.6999999999999998E-2</v>
      </c>
      <c r="K1236" s="68">
        <v>8.3000000000000007</v>
      </c>
      <c r="L1236" s="65">
        <v>39.893999999999998</v>
      </c>
      <c r="M1236" s="50">
        <v>5.5940000000000003</v>
      </c>
      <c r="N1236" s="137">
        <v>1.6E-2</v>
      </c>
      <c r="O1236" s="57">
        <v>51.32</v>
      </c>
      <c r="P1236" s="67">
        <v>6.2E-2</v>
      </c>
      <c r="Q1236" s="96"/>
    </row>
    <row r="1237" spans="1:17" ht="14.25" customHeight="1" x14ac:dyDescent="0.35">
      <c r="A1237" s="1">
        <v>2021</v>
      </c>
      <c r="B1237" s="1" t="s">
        <v>27</v>
      </c>
      <c r="C1237" s="1">
        <v>20</v>
      </c>
      <c r="D1237" s="49">
        <v>107.313</v>
      </c>
      <c r="E1237" s="12">
        <f t="shared" si="24"/>
        <v>134.14125000000001</v>
      </c>
      <c r="F1237" s="50">
        <v>90.968999999999994</v>
      </c>
      <c r="G1237" s="60">
        <v>79.623999999999995</v>
      </c>
      <c r="H1237" s="61">
        <v>1730.8150000000001</v>
      </c>
      <c r="I1237" s="62">
        <v>6.9</v>
      </c>
      <c r="J1237" s="64">
        <v>2.1999999999999999E-2</v>
      </c>
      <c r="K1237" s="68">
        <v>8.4329999999999998</v>
      </c>
      <c r="L1237" s="61">
        <v>33.189</v>
      </c>
      <c r="M1237" s="62">
        <v>5.4790000000000001</v>
      </c>
      <c r="N1237" s="137">
        <v>1.6E-2</v>
      </c>
      <c r="O1237" s="57">
        <v>65.531999999999996</v>
      </c>
      <c r="P1237" s="67">
        <v>6.3E-2</v>
      </c>
      <c r="Q1237" s="96"/>
    </row>
    <row r="1238" spans="1:17" ht="14.25" customHeight="1" x14ac:dyDescent="0.35">
      <c r="A1238" s="1">
        <v>2021</v>
      </c>
      <c r="B1238" s="1" t="s">
        <v>27</v>
      </c>
      <c r="C1238" s="1">
        <v>21</v>
      </c>
      <c r="D1238" s="49">
        <v>111.48399999999999</v>
      </c>
      <c r="E1238" s="12">
        <f t="shared" si="24"/>
        <v>139.35499999999999</v>
      </c>
      <c r="F1238" s="50">
        <v>94.843999999999994</v>
      </c>
      <c r="G1238" s="60">
        <v>79.251999999999995</v>
      </c>
      <c r="H1238" s="61">
        <v>1727.249</v>
      </c>
      <c r="I1238" s="62">
        <v>6.9</v>
      </c>
      <c r="J1238" s="64">
        <v>2.1000000000000001E-2</v>
      </c>
      <c r="K1238" s="68">
        <v>8.15</v>
      </c>
      <c r="L1238" s="65">
        <v>33.109000000000002</v>
      </c>
      <c r="M1238" s="50">
        <v>5.5540000000000003</v>
      </c>
      <c r="N1238" s="137">
        <v>1.6E-2</v>
      </c>
      <c r="O1238" s="57">
        <v>55.338999999999999</v>
      </c>
      <c r="P1238" s="67">
        <v>5.8000000000000003E-2</v>
      </c>
      <c r="Q1238" s="96"/>
    </row>
    <row r="1239" spans="1:17" ht="14.25" customHeight="1" x14ac:dyDescent="0.35">
      <c r="A1239" s="1">
        <v>2021</v>
      </c>
      <c r="B1239" s="1" t="s">
        <v>27</v>
      </c>
      <c r="C1239" s="1">
        <v>22</v>
      </c>
      <c r="D1239" s="49">
        <v>108.813</v>
      </c>
      <c r="E1239" s="12">
        <f t="shared" si="24"/>
        <v>136.01625000000001</v>
      </c>
      <c r="F1239" s="50">
        <v>92.156000000000006</v>
      </c>
      <c r="G1239" s="60">
        <v>78.915000000000006</v>
      </c>
      <c r="H1239" s="61">
        <v>1707.09</v>
      </c>
      <c r="I1239" s="62">
        <v>6.9</v>
      </c>
      <c r="J1239" s="64">
        <v>2.1000000000000001E-2</v>
      </c>
      <c r="K1239" s="68">
        <v>8.1229999999999993</v>
      </c>
      <c r="L1239" s="61">
        <v>31.771999999999998</v>
      </c>
      <c r="M1239" s="62">
        <v>5.5860000000000003</v>
      </c>
      <c r="N1239" s="137">
        <v>1.6E-2</v>
      </c>
      <c r="O1239" s="57">
        <v>51.084000000000003</v>
      </c>
      <c r="P1239" s="67">
        <v>5.6000000000000001E-2</v>
      </c>
      <c r="Q1239" s="96"/>
    </row>
    <row r="1240" spans="1:17" ht="14.25" customHeight="1" x14ac:dyDescent="0.35">
      <c r="A1240" s="1">
        <v>2021</v>
      </c>
      <c r="B1240" s="1" t="s">
        <v>27</v>
      </c>
      <c r="C1240" s="1">
        <v>23</v>
      </c>
      <c r="D1240" s="49">
        <v>107.297</v>
      </c>
      <c r="E1240" s="12">
        <f t="shared" si="24"/>
        <v>134.12125</v>
      </c>
      <c r="F1240" s="50">
        <v>91.063000000000002</v>
      </c>
      <c r="G1240" s="60">
        <v>79.209999999999994</v>
      </c>
      <c r="H1240" s="61">
        <v>1636.98</v>
      </c>
      <c r="I1240" s="62">
        <v>6.9</v>
      </c>
      <c r="J1240" s="64">
        <v>2.1000000000000001E-2</v>
      </c>
      <c r="K1240" s="68">
        <v>7.9880000000000004</v>
      </c>
      <c r="L1240" s="65">
        <v>29.706</v>
      </c>
      <c r="M1240" s="50">
        <v>5.5810000000000004</v>
      </c>
      <c r="N1240" s="137">
        <v>1.6E-2</v>
      </c>
      <c r="O1240" s="57">
        <v>51.706000000000003</v>
      </c>
      <c r="P1240" s="67">
        <v>5.1999999999999998E-2</v>
      </c>
      <c r="Q1240" s="96"/>
    </row>
    <row r="1241" spans="1:17" ht="14.25" customHeight="1" x14ac:dyDescent="0.35">
      <c r="A1241" s="1">
        <v>2021</v>
      </c>
      <c r="B1241" s="1" t="s">
        <v>27</v>
      </c>
      <c r="C1241" s="1">
        <v>24</v>
      </c>
      <c r="D1241" s="49">
        <v>96.983999999999995</v>
      </c>
      <c r="E1241" s="12">
        <f t="shared" si="24"/>
        <v>121.22999999999999</v>
      </c>
      <c r="F1241" s="50">
        <v>82.218999999999994</v>
      </c>
      <c r="G1241" s="60">
        <v>79.635000000000005</v>
      </c>
      <c r="H1241" s="61">
        <v>1612.7059999999999</v>
      </c>
      <c r="I1241" s="62">
        <v>6.9</v>
      </c>
      <c r="J1241" s="64">
        <v>2.1999999999999999E-2</v>
      </c>
      <c r="K1241" s="68">
        <v>8.3420000000000005</v>
      </c>
      <c r="L1241" s="61">
        <v>29.545999999999999</v>
      </c>
      <c r="M1241" s="62">
        <v>5.5940000000000003</v>
      </c>
      <c r="N1241" s="137">
        <v>1.6E-2</v>
      </c>
      <c r="O1241" s="57">
        <v>50.331000000000003</v>
      </c>
      <c r="P1241" s="67">
        <v>5.1999999999999998E-2</v>
      </c>
      <c r="Q1241" s="96"/>
    </row>
    <row r="1242" spans="1:17" ht="14.25" customHeight="1" x14ac:dyDescent="0.35">
      <c r="A1242" s="1">
        <v>2021</v>
      </c>
      <c r="B1242" s="1" t="s">
        <v>27</v>
      </c>
      <c r="C1242" s="1">
        <v>25</v>
      </c>
      <c r="D1242" s="49">
        <v>94.875</v>
      </c>
      <c r="E1242" s="12">
        <f t="shared" si="24"/>
        <v>118.59375</v>
      </c>
      <c r="F1242" s="50">
        <v>80.656000000000006</v>
      </c>
      <c r="G1242" s="60">
        <v>80.114999999999995</v>
      </c>
      <c r="H1242" s="61">
        <v>1700.0989999999999</v>
      </c>
      <c r="I1242" s="62">
        <v>6.9</v>
      </c>
      <c r="J1242" s="64">
        <v>2.3E-2</v>
      </c>
      <c r="K1242" s="68">
        <v>8.4920000000000009</v>
      </c>
      <c r="L1242" s="65">
        <v>31.364000000000001</v>
      </c>
      <c r="M1242" s="50">
        <v>5.5730000000000004</v>
      </c>
      <c r="N1242" s="137">
        <v>1.6E-2</v>
      </c>
      <c r="O1242" s="57">
        <v>52.713999999999999</v>
      </c>
      <c r="P1242" s="67">
        <v>5.8999999999999997E-2</v>
      </c>
      <c r="Q1242" s="96"/>
    </row>
    <row r="1243" spans="1:17" ht="14.25" customHeight="1" x14ac:dyDescent="0.35">
      <c r="A1243" s="1">
        <v>2021</v>
      </c>
      <c r="B1243" s="1" t="s">
        <v>27</v>
      </c>
      <c r="C1243" s="1">
        <v>26</v>
      </c>
      <c r="D1243" s="49">
        <v>103.34399999999999</v>
      </c>
      <c r="E1243" s="12">
        <f t="shared" si="24"/>
        <v>129.18</v>
      </c>
      <c r="F1243" s="50">
        <v>87.843999999999994</v>
      </c>
      <c r="G1243" s="60">
        <v>80.108000000000004</v>
      </c>
      <c r="H1243" s="61">
        <v>1713.9849999999999</v>
      </c>
      <c r="I1243" s="62">
        <v>6.9</v>
      </c>
      <c r="J1243" s="64">
        <v>2.3E-2</v>
      </c>
      <c r="K1243" s="68">
        <v>8.3970000000000002</v>
      </c>
      <c r="L1243" s="61">
        <v>31.632000000000001</v>
      </c>
      <c r="M1243" s="62">
        <v>5.5819999999999999</v>
      </c>
      <c r="N1243" s="137">
        <v>1.6E-2</v>
      </c>
      <c r="O1243" s="57">
        <v>51.536999999999999</v>
      </c>
      <c r="P1243" s="67">
        <v>0.06</v>
      </c>
      <c r="Q1243" s="96"/>
    </row>
    <row r="1244" spans="1:17" ht="14.25" customHeight="1" x14ac:dyDescent="0.35">
      <c r="A1244" s="1">
        <v>2021</v>
      </c>
      <c r="B1244" s="1" t="s">
        <v>27</v>
      </c>
      <c r="C1244" s="1">
        <v>27</v>
      </c>
      <c r="D1244" s="49">
        <v>109.90600000000001</v>
      </c>
      <c r="E1244" s="12">
        <f t="shared" si="24"/>
        <v>137.38249999999999</v>
      </c>
      <c r="F1244" s="50">
        <v>93.188000000000002</v>
      </c>
      <c r="G1244" s="60">
        <v>79.95</v>
      </c>
      <c r="H1244" s="61">
        <v>1715.9970000000001</v>
      </c>
      <c r="I1244" s="62">
        <v>6.9</v>
      </c>
      <c r="J1244" s="64">
        <v>2.3E-2</v>
      </c>
      <c r="K1244" s="68">
        <v>8.3719999999999999</v>
      </c>
      <c r="L1244" s="65">
        <v>32.776000000000003</v>
      </c>
      <c r="M1244" s="50">
        <v>5.5869999999999997</v>
      </c>
      <c r="N1244" s="137">
        <v>1.4999999999999999E-2</v>
      </c>
      <c r="O1244" s="57">
        <v>50.886000000000003</v>
      </c>
      <c r="P1244" s="67">
        <v>0.06</v>
      </c>
      <c r="Q1244" s="96"/>
    </row>
    <row r="1245" spans="1:17" ht="14.25" customHeight="1" x14ac:dyDescent="0.35">
      <c r="A1245" s="1">
        <v>2021</v>
      </c>
      <c r="B1245" s="1" t="s">
        <v>27</v>
      </c>
      <c r="C1245" s="1">
        <v>28</v>
      </c>
      <c r="D1245" s="49">
        <v>112.047</v>
      </c>
      <c r="E1245" s="12">
        <f t="shared" si="24"/>
        <v>140.05875</v>
      </c>
      <c r="F1245" s="50">
        <v>95</v>
      </c>
      <c r="G1245" s="60">
        <v>80.031999999999996</v>
      </c>
      <c r="H1245" s="61">
        <v>1717.779</v>
      </c>
      <c r="I1245" s="62">
        <v>6.9</v>
      </c>
      <c r="J1245" s="64">
        <v>2.3E-2</v>
      </c>
      <c r="K1245" s="68">
        <v>8.2420000000000009</v>
      </c>
      <c r="L1245" s="61">
        <v>32.22</v>
      </c>
      <c r="M1245" s="62">
        <v>5.5289999999999999</v>
      </c>
      <c r="N1245" s="137">
        <v>1.6E-2</v>
      </c>
      <c r="O1245" s="57">
        <v>58.502000000000002</v>
      </c>
      <c r="P1245" s="67">
        <v>5.8000000000000003E-2</v>
      </c>
      <c r="Q1245" s="96"/>
    </row>
    <row r="1246" spans="1:17" ht="14.25" customHeight="1" x14ac:dyDescent="0.35">
      <c r="A1246" s="1">
        <v>2021</v>
      </c>
      <c r="B1246" s="1" t="s">
        <v>27</v>
      </c>
      <c r="C1246" s="1">
        <v>29</v>
      </c>
      <c r="D1246" s="49">
        <v>105.71899999999999</v>
      </c>
      <c r="E1246" s="12">
        <f t="shared" si="24"/>
        <v>132.14875000000001</v>
      </c>
      <c r="F1246" s="50">
        <v>89.656000000000006</v>
      </c>
      <c r="G1246" s="83">
        <v>79.756</v>
      </c>
      <c r="H1246" s="69">
        <v>1686.45</v>
      </c>
      <c r="I1246" s="50">
        <v>6.9</v>
      </c>
      <c r="J1246" s="137">
        <v>2.4E-2</v>
      </c>
      <c r="K1246" s="117">
        <v>8.2539999999999996</v>
      </c>
      <c r="L1246" s="61">
        <v>31.634</v>
      </c>
      <c r="M1246" s="62">
        <v>5.4740000000000002</v>
      </c>
      <c r="N1246" s="137">
        <v>1.6E-2</v>
      </c>
      <c r="O1246" s="57">
        <v>66.503</v>
      </c>
      <c r="P1246" s="84">
        <v>5.3999999999999999E-2</v>
      </c>
      <c r="Q1246" s="96"/>
    </row>
    <row r="1247" spans="1:17" ht="14.25" customHeight="1" x14ac:dyDescent="0.35">
      <c r="A1247" s="1">
        <v>2021</v>
      </c>
      <c r="B1247" s="1" t="s">
        <v>27</v>
      </c>
      <c r="C1247" s="1">
        <v>30</v>
      </c>
      <c r="D1247" s="49">
        <v>106.125</v>
      </c>
      <c r="E1247" s="12">
        <f t="shared" si="24"/>
        <v>132.65625</v>
      </c>
      <c r="F1247" s="50">
        <v>89.968999999999994</v>
      </c>
      <c r="G1247" s="83">
        <v>79.753</v>
      </c>
      <c r="H1247" s="69">
        <v>1616.4780000000001</v>
      </c>
      <c r="I1247" s="50">
        <v>6.9</v>
      </c>
      <c r="J1247" s="137">
        <v>2.4E-2</v>
      </c>
      <c r="K1247" s="117">
        <v>7.923</v>
      </c>
      <c r="L1247" s="61">
        <v>29.899000000000001</v>
      </c>
      <c r="M1247" s="62">
        <v>5.4669999999999996</v>
      </c>
      <c r="N1247" s="137">
        <v>1.6E-2</v>
      </c>
      <c r="O1247" s="57">
        <v>67.23</v>
      </c>
      <c r="P1247" s="84">
        <v>0.05</v>
      </c>
      <c r="Q1247" s="96"/>
    </row>
    <row r="1248" spans="1:17" ht="14.25" customHeight="1" x14ac:dyDescent="0.35">
      <c r="A1248" s="1">
        <v>2021</v>
      </c>
      <c r="B1248" s="1" t="s">
        <v>27</v>
      </c>
      <c r="C1248" s="1">
        <v>31</v>
      </c>
      <c r="D1248" s="104">
        <v>102.453</v>
      </c>
      <c r="E1248" s="12">
        <f t="shared" si="24"/>
        <v>128.06625</v>
      </c>
      <c r="F1248" s="105">
        <v>86.875</v>
      </c>
      <c r="G1248" s="87">
        <v>79.775000000000006</v>
      </c>
      <c r="H1248" s="88">
        <v>1579.327</v>
      </c>
      <c r="I1248" s="89">
        <v>6.9</v>
      </c>
      <c r="J1248" s="141">
        <v>2.5999999999999999E-2</v>
      </c>
      <c r="K1248" s="131">
        <v>7.9530000000000003</v>
      </c>
      <c r="L1248" s="61">
        <v>29.872</v>
      </c>
      <c r="M1248" s="64">
        <v>5.4950000000000001</v>
      </c>
      <c r="N1248" s="137">
        <v>1.6E-2</v>
      </c>
      <c r="O1248" s="57">
        <v>63.082000000000001</v>
      </c>
      <c r="P1248" s="66">
        <v>0.05</v>
      </c>
      <c r="Q1248" s="96"/>
    </row>
    <row r="1249" spans="1:17" ht="14.25" customHeight="1" x14ac:dyDescent="0.35">
      <c r="A1249" s="1">
        <v>2021</v>
      </c>
      <c r="B1249" s="1" t="s">
        <v>28</v>
      </c>
      <c r="C1249" s="1">
        <v>1</v>
      </c>
      <c r="D1249" s="49">
        <v>107.59399999999999</v>
      </c>
      <c r="E1249" s="12">
        <f t="shared" si="24"/>
        <v>134.49250000000001</v>
      </c>
      <c r="F1249" s="50">
        <v>91.343999999999994</v>
      </c>
      <c r="G1249" s="51">
        <v>80.119</v>
      </c>
      <c r="H1249" s="52">
        <v>1550.9680000000001</v>
      </c>
      <c r="I1249" s="53">
        <v>6.9</v>
      </c>
      <c r="J1249" s="54">
        <v>2.4E-2</v>
      </c>
      <c r="K1249" s="59">
        <v>8.3379999999999992</v>
      </c>
      <c r="L1249" s="52">
        <v>28.436</v>
      </c>
      <c r="M1249" s="55">
        <v>5.4829999999999997</v>
      </c>
      <c r="N1249" s="56">
        <v>1.6E-2</v>
      </c>
      <c r="O1249" s="57">
        <v>64.891999999999996</v>
      </c>
      <c r="P1249" s="58">
        <v>5.2999999999999999E-2</v>
      </c>
      <c r="Q1249" s="96"/>
    </row>
    <row r="1250" spans="1:17" ht="14.25" customHeight="1" x14ac:dyDescent="0.35">
      <c r="A1250" s="1">
        <v>2021</v>
      </c>
      <c r="B1250" s="1" t="s">
        <v>28</v>
      </c>
      <c r="C1250" s="1">
        <v>2</v>
      </c>
      <c r="D1250" s="49">
        <v>110.047</v>
      </c>
      <c r="E1250" s="12">
        <f t="shared" si="24"/>
        <v>137.55875</v>
      </c>
      <c r="F1250" s="50">
        <v>93.375</v>
      </c>
      <c r="G1250" s="60">
        <v>80.277000000000001</v>
      </c>
      <c r="H1250" s="61">
        <v>1686.0050000000001</v>
      </c>
      <c r="I1250" s="62">
        <v>6.9</v>
      </c>
      <c r="J1250" s="63">
        <v>2.3E-2</v>
      </c>
      <c r="K1250" s="68">
        <v>8.5609999999999999</v>
      </c>
      <c r="L1250" s="65">
        <v>31.234999999999999</v>
      </c>
      <c r="M1250" s="50">
        <v>5.4669999999999996</v>
      </c>
      <c r="N1250" s="66">
        <v>1.6E-2</v>
      </c>
      <c r="O1250" s="57">
        <v>67.364999999999995</v>
      </c>
      <c r="P1250" s="67">
        <v>6.2E-2</v>
      </c>
      <c r="Q1250" s="96"/>
    </row>
    <row r="1251" spans="1:17" ht="14.25" customHeight="1" x14ac:dyDescent="0.35">
      <c r="A1251" s="1">
        <v>2021</v>
      </c>
      <c r="B1251" s="1" t="s">
        <v>28</v>
      </c>
      <c r="C1251" s="1">
        <v>3</v>
      </c>
      <c r="D1251" s="49">
        <v>111.14100000000001</v>
      </c>
      <c r="E1251" s="12">
        <f t="shared" si="24"/>
        <v>138.92625000000001</v>
      </c>
      <c r="F1251" s="50">
        <v>94.156000000000006</v>
      </c>
      <c r="G1251" s="60">
        <v>80.391999999999996</v>
      </c>
      <c r="H1251" s="61">
        <v>1705.3889999999999</v>
      </c>
      <c r="I1251" s="62">
        <v>6.9</v>
      </c>
      <c r="J1251" s="63">
        <v>2.3E-2</v>
      </c>
      <c r="K1251" s="68">
        <v>8.3840000000000003</v>
      </c>
      <c r="L1251" s="65">
        <v>31.759</v>
      </c>
      <c r="M1251" s="50">
        <v>5.4749999999999996</v>
      </c>
      <c r="N1251" s="66">
        <v>1.6E-2</v>
      </c>
      <c r="O1251" s="57">
        <v>66.018000000000001</v>
      </c>
      <c r="P1251" s="67">
        <v>0.06</v>
      </c>
      <c r="Q1251" s="96"/>
    </row>
    <row r="1252" spans="1:17" ht="14.25" customHeight="1" x14ac:dyDescent="0.35">
      <c r="A1252" s="1">
        <v>2021</v>
      </c>
      <c r="B1252" s="1" t="s">
        <v>28</v>
      </c>
      <c r="C1252" s="1">
        <v>4</v>
      </c>
      <c r="D1252" s="49">
        <v>111.953</v>
      </c>
      <c r="E1252" s="12">
        <f t="shared" si="24"/>
        <v>139.94125</v>
      </c>
      <c r="F1252" s="50">
        <v>95.031000000000006</v>
      </c>
      <c r="G1252" s="60">
        <v>80.436999999999998</v>
      </c>
      <c r="H1252" s="61">
        <v>1686.8530000000001</v>
      </c>
      <c r="I1252" s="62">
        <v>6.9</v>
      </c>
      <c r="J1252" s="63">
        <v>2.1999999999999999E-2</v>
      </c>
      <c r="K1252" s="68">
        <v>8.3989999999999991</v>
      </c>
      <c r="L1252" s="65">
        <v>31.635000000000002</v>
      </c>
      <c r="M1252" s="50">
        <v>5.5780000000000003</v>
      </c>
      <c r="N1252" s="66">
        <v>1.6E-2</v>
      </c>
      <c r="O1252" s="57">
        <v>53.250999999999998</v>
      </c>
      <c r="P1252" s="67">
        <v>0.06</v>
      </c>
      <c r="Q1252" s="96"/>
    </row>
    <row r="1253" spans="1:17" ht="14.25" customHeight="1" x14ac:dyDescent="0.35">
      <c r="A1253" s="1">
        <v>2021</v>
      </c>
      <c r="B1253" s="1" t="s">
        <v>28</v>
      </c>
      <c r="C1253" s="1">
        <v>5</v>
      </c>
      <c r="D1253" s="49">
        <v>107.813</v>
      </c>
      <c r="E1253" s="12">
        <f t="shared" si="24"/>
        <v>134.76625000000001</v>
      </c>
      <c r="F1253" s="50">
        <v>91.406000000000006</v>
      </c>
      <c r="G1253" s="60">
        <v>80.400000000000006</v>
      </c>
      <c r="H1253" s="61">
        <v>1673.5650000000001</v>
      </c>
      <c r="I1253" s="62">
        <v>6.9</v>
      </c>
      <c r="J1253" s="63">
        <v>2.1999999999999999E-2</v>
      </c>
      <c r="K1253" s="68">
        <v>8.3879999999999999</v>
      </c>
      <c r="L1253" s="65">
        <v>32.128</v>
      </c>
      <c r="M1253" s="50">
        <v>5.65</v>
      </c>
      <c r="N1253" s="66">
        <v>1.6E-2</v>
      </c>
      <c r="O1253" s="57">
        <v>44.115000000000002</v>
      </c>
      <c r="P1253" s="67">
        <v>0.06</v>
      </c>
      <c r="Q1253" s="96"/>
    </row>
    <row r="1254" spans="1:17" ht="14.25" customHeight="1" x14ac:dyDescent="0.35">
      <c r="A1254" s="1">
        <v>2021</v>
      </c>
      <c r="B1254" s="1" t="s">
        <v>28</v>
      </c>
      <c r="C1254" s="1">
        <v>6</v>
      </c>
      <c r="D1254" s="49">
        <v>105.828</v>
      </c>
      <c r="E1254" s="12">
        <f t="shared" si="24"/>
        <v>132.285</v>
      </c>
      <c r="F1254" s="50">
        <v>89.813000000000002</v>
      </c>
      <c r="G1254" s="60">
        <v>80.501999999999995</v>
      </c>
      <c r="H1254" s="61">
        <v>1630.557</v>
      </c>
      <c r="I1254" s="62">
        <v>6.9</v>
      </c>
      <c r="J1254" s="63">
        <v>2.1000000000000001E-2</v>
      </c>
      <c r="K1254" s="68">
        <v>8.2530000000000001</v>
      </c>
      <c r="L1254" s="65">
        <v>31.114000000000001</v>
      </c>
      <c r="M1254" s="50">
        <v>5.6470000000000002</v>
      </c>
      <c r="N1254" s="66">
        <v>1.6E-2</v>
      </c>
      <c r="O1254" s="57">
        <v>44.390999999999998</v>
      </c>
      <c r="P1254" s="67">
        <v>5.8999999999999997E-2</v>
      </c>
      <c r="Q1254" s="96"/>
    </row>
    <row r="1255" spans="1:17" ht="14.25" customHeight="1" x14ac:dyDescent="0.35">
      <c r="A1255" s="1">
        <v>2021</v>
      </c>
      <c r="B1255" s="1" t="s">
        <v>28</v>
      </c>
      <c r="C1255" s="1">
        <v>7</v>
      </c>
      <c r="D1255" s="49">
        <v>106.078</v>
      </c>
      <c r="E1255" s="12">
        <f t="shared" si="24"/>
        <v>132.5975</v>
      </c>
      <c r="F1255" s="50">
        <v>89.968999999999994</v>
      </c>
      <c r="G1255" s="60">
        <v>79.992000000000004</v>
      </c>
      <c r="H1255" s="61">
        <v>1606.1030000000001</v>
      </c>
      <c r="I1255" s="62">
        <v>6.9</v>
      </c>
      <c r="J1255" s="63">
        <v>2.1000000000000001E-2</v>
      </c>
      <c r="K1255" s="68">
        <v>8.4420000000000002</v>
      </c>
      <c r="L1255" s="65">
        <v>30.902000000000001</v>
      </c>
      <c r="M1255" s="50">
        <v>5.6420000000000003</v>
      </c>
      <c r="N1255" s="66">
        <v>1.6E-2</v>
      </c>
      <c r="O1255" s="57">
        <v>44.97</v>
      </c>
      <c r="P1255" s="67">
        <v>5.5E-2</v>
      </c>
      <c r="Q1255" s="96"/>
    </row>
    <row r="1256" spans="1:17" ht="14.25" customHeight="1" x14ac:dyDescent="0.35">
      <c r="A1256" s="1">
        <v>2021</v>
      </c>
      <c r="B1256" s="1" t="s">
        <v>28</v>
      </c>
      <c r="C1256" s="1">
        <v>8</v>
      </c>
      <c r="D1256" s="49">
        <v>106.46899999999999</v>
      </c>
      <c r="E1256" s="12">
        <f t="shared" si="24"/>
        <v>133.08625000000001</v>
      </c>
      <c r="F1256" s="50">
        <v>89.968999999999994</v>
      </c>
      <c r="G1256" s="60">
        <v>80.350999999999999</v>
      </c>
      <c r="H1256" s="69">
        <v>1685.796</v>
      </c>
      <c r="I1256" s="62">
        <v>6.9</v>
      </c>
      <c r="J1256" s="63">
        <v>2.1999999999999999E-2</v>
      </c>
      <c r="K1256" s="71">
        <v>8.5860000000000003</v>
      </c>
      <c r="L1256" s="65">
        <v>32.383000000000003</v>
      </c>
      <c r="M1256" s="50">
        <v>5.6509999999999998</v>
      </c>
      <c r="N1256" s="66">
        <v>1.6E-2</v>
      </c>
      <c r="O1256" s="57">
        <v>43.984000000000002</v>
      </c>
      <c r="P1256" s="70">
        <v>6.2E-2</v>
      </c>
      <c r="Q1256" s="96"/>
    </row>
    <row r="1257" spans="1:17" ht="14.25" customHeight="1" x14ac:dyDescent="0.35">
      <c r="A1257" s="1">
        <v>2021</v>
      </c>
      <c r="B1257" s="1" t="s">
        <v>28</v>
      </c>
      <c r="C1257" s="1">
        <v>9</v>
      </c>
      <c r="D1257" s="49">
        <v>107.172</v>
      </c>
      <c r="E1257" s="32">
        <v>133.79</v>
      </c>
      <c r="F1257" s="50">
        <v>90.781000000000006</v>
      </c>
      <c r="G1257" s="60">
        <v>80.596999999999994</v>
      </c>
      <c r="H1257" s="61">
        <v>1712.598</v>
      </c>
      <c r="I1257" s="62">
        <v>6.9</v>
      </c>
      <c r="J1257" s="63">
        <v>2.1000000000000001E-2</v>
      </c>
      <c r="K1257" s="68">
        <v>8.2769999999999992</v>
      </c>
      <c r="L1257" s="65">
        <v>33.646999999999998</v>
      </c>
      <c r="M1257" s="50">
        <v>5.64</v>
      </c>
      <c r="N1257" s="66">
        <v>1.6E-2</v>
      </c>
      <c r="O1257" s="57">
        <v>45.162999999999997</v>
      </c>
      <c r="P1257" s="67">
        <v>6.0999999999999999E-2</v>
      </c>
      <c r="Q1257" s="96"/>
    </row>
    <row r="1258" spans="1:17" ht="14.25" customHeight="1" x14ac:dyDescent="0.35">
      <c r="A1258" s="1">
        <v>2021</v>
      </c>
      <c r="B1258" s="1" t="s">
        <v>28</v>
      </c>
      <c r="C1258" s="1">
        <v>10</v>
      </c>
      <c r="D1258" s="49">
        <v>111.85899999999999</v>
      </c>
      <c r="E1258" s="12">
        <f t="shared" ref="E1258:E1297" si="25">D1258*1.25</f>
        <v>139.82374999999999</v>
      </c>
      <c r="F1258" s="50">
        <v>94.75</v>
      </c>
      <c r="G1258" s="72">
        <v>80.707999999999998</v>
      </c>
      <c r="H1258" s="61">
        <v>1722.5509999999999</v>
      </c>
      <c r="I1258" s="62">
        <v>6.9</v>
      </c>
      <c r="J1258" s="63">
        <v>2.1999999999999999E-2</v>
      </c>
      <c r="K1258" s="76">
        <v>8.2919999999999998</v>
      </c>
      <c r="L1258" s="65">
        <v>33.875</v>
      </c>
      <c r="M1258" s="50">
        <v>5.6440000000000001</v>
      </c>
      <c r="N1258" s="74">
        <v>1.6E-2</v>
      </c>
      <c r="O1258" s="57">
        <v>44.686999999999998</v>
      </c>
      <c r="P1258" s="75">
        <v>6.2E-2</v>
      </c>
      <c r="Q1258" s="96"/>
    </row>
    <row r="1259" spans="1:17" ht="14.25" customHeight="1" x14ac:dyDescent="0.35">
      <c r="A1259" s="1">
        <v>2021</v>
      </c>
      <c r="B1259" s="1" t="s">
        <v>28</v>
      </c>
      <c r="C1259" s="1">
        <v>11</v>
      </c>
      <c r="D1259" s="49">
        <v>107.96899999999999</v>
      </c>
      <c r="E1259" s="12">
        <f t="shared" si="25"/>
        <v>134.96125000000001</v>
      </c>
      <c r="F1259" s="50">
        <v>91.375</v>
      </c>
      <c r="G1259" s="72">
        <v>80.855000000000004</v>
      </c>
      <c r="H1259" s="61">
        <v>1725.519</v>
      </c>
      <c r="I1259" s="62">
        <v>6.9</v>
      </c>
      <c r="J1259" s="63">
        <v>2.1999999999999999E-2</v>
      </c>
      <c r="K1259" s="76">
        <v>8.391</v>
      </c>
      <c r="L1259" s="65">
        <v>34.078000000000003</v>
      </c>
      <c r="M1259" s="50">
        <v>5.5910000000000002</v>
      </c>
      <c r="N1259" s="74">
        <v>1.6E-2</v>
      </c>
      <c r="O1259" s="57">
        <v>50.628</v>
      </c>
      <c r="P1259" s="75">
        <v>6.0999999999999999E-2</v>
      </c>
      <c r="Q1259" s="96"/>
    </row>
    <row r="1260" spans="1:17" ht="14.25" customHeight="1" x14ac:dyDescent="0.35">
      <c r="A1260" s="1">
        <v>2021</v>
      </c>
      <c r="B1260" s="1" t="s">
        <v>28</v>
      </c>
      <c r="C1260" s="1">
        <v>12</v>
      </c>
      <c r="D1260" s="49">
        <v>108.078</v>
      </c>
      <c r="E1260" s="12">
        <f t="shared" si="25"/>
        <v>135.0975</v>
      </c>
      <c r="F1260" s="50">
        <v>91.468999999999994</v>
      </c>
      <c r="G1260" s="72">
        <v>81.132000000000005</v>
      </c>
      <c r="H1260" s="61">
        <v>1727</v>
      </c>
      <c r="I1260" s="62">
        <v>6.9</v>
      </c>
      <c r="J1260" s="63">
        <v>2.1999999999999999E-2</v>
      </c>
      <c r="K1260" s="76">
        <v>8.2530000000000001</v>
      </c>
      <c r="L1260" s="65">
        <v>34</v>
      </c>
      <c r="M1260" s="50">
        <v>5.55</v>
      </c>
      <c r="N1260" s="74">
        <v>1.6E-2</v>
      </c>
      <c r="O1260" s="57">
        <v>56</v>
      </c>
      <c r="P1260" s="75">
        <v>5.8999999999999997E-2</v>
      </c>
      <c r="Q1260" s="96"/>
    </row>
    <row r="1261" spans="1:17" ht="14.25" customHeight="1" x14ac:dyDescent="0.35">
      <c r="A1261" s="1">
        <v>2021</v>
      </c>
      <c r="B1261" s="1" t="s">
        <v>28</v>
      </c>
      <c r="C1261" s="1">
        <v>13</v>
      </c>
      <c r="D1261" s="49">
        <v>107.53100000000001</v>
      </c>
      <c r="E1261" s="12">
        <f t="shared" si="25"/>
        <v>134.41374999999999</v>
      </c>
      <c r="F1261" s="50">
        <v>91.03</v>
      </c>
      <c r="G1261" s="78">
        <v>81.222999999999999</v>
      </c>
      <c r="H1261" s="61">
        <v>1661</v>
      </c>
      <c r="I1261" s="62">
        <v>6.9</v>
      </c>
      <c r="J1261" s="63">
        <v>2.1000000000000001E-2</v>
      </c>
      <c r="K1261" s="81">
        <v>8.11</v>
      </c>
      <c r="L1261" s="65">
        <v>33</v>
      </c>
      <c r="M1261" s="50">
        <v>5.54</v>
      </c>
      <c r="N1261" s="66">
        <v>1.6E-2</v>
      </c>
      <c r="O1261" s="57">
        <v>56.332000000000001</v>
      </c>
      <c r="P1261" s="80">
        <v>5.4899999999999997E-2</v>
      </c>
      <c r="Q1261" s="96"/>
    </row>
    <row r="1262" spans="1:17" ht="14.25" customHeight="1" x14ac:dyDescent="0.35">
      <c r="A1262" s="1">
        <v>2021</v>
      </c>
      <c r="B1262" s="1" t="s">
        <v>28</v>
      </c>
      <c r="C1262" s="1">
        <v>14</v>
      </c>
      <c r="D1262" s="49">
        <v>105.375</v>
      </c>
      <c r="E1262" s="12">
        <f t="shared" si="25"/>
        <v>131.71875</v>
      </c>
      <c r="F1262" s="50">
        <v>89.281000000000006</v>
      </c>
      <c r="G1262" s="60">
        <v>81.442999999999998</v>
      </c>
      <c r="H1262" s="61">
        <v>1623.296</v>
      </c>
      <c r="I1262" s="62">
        <v>6.9</v>
      </c>
      <c r="J1262" s="63">
        <v>2.1999999999999999E-2</v>
      </c>
      <c r="K1262" s="81">
        <v>8.2490000000000006</v>
      </c>
      <c r="L1262" s="82">
        <v>32.406399999999998</v>
      </c>
      <c r="M1262" s="50">
        <v>5.5526999999999997</v>
      </c>
      <c r="N1262" s="66">
        <v>1.55E-2</v>
      </c>
      <c r="O1262" s="57">
        <v>55.111600000000003</v>
      </c>
      <c r="P1262" s="80">
        <v>5.3499999999999999E-2</v>
      </c>
      <c r="Q1262" s="96"/>
    </row>
    <row r="1263" spans="1:17" ht="14.25" customHeight="1" x14ac:dyDescent="0.35">
      <c r="A1263" s="1">
        <v>2021</v>
      </c>
      <c r="B1263" s="1" t="s">
        <v>28</v>
      </c>
      <c r="C1263" s="1">
        <v>15</v>
      </c>
      <c r="D1263" s="49">
        <v>109.953</v>
      </c>
      <c r="E1263" s="12">
        <f t="shared" si="25"/>
        <v>137.44125</v>
      </c>
      <c r="F1263" s="50">
        <v>93.25</v>
      </c>
      <c r="G1263" s="60">
        <v>81.933000000000007</v>
      </c>
      <c r="H1263" s="61">
        <v>1701.538</v>
      </c>
      <c r="I1263" s="62">
        <v>6.9</v>
      </c>
      <c r="J1263" s="63">
        <v>2.1999999999999999E-2</v>
      </c>
      <c r="K1263" s="76">
        <v>8.5220000000000002</v>
      </c>
      <c r="L1263" s="65">
        <v>34.322600000000001</v>
      </c>
      <c r="M1263" s="50">
        <v>5.5468000000000002</v>
      </c>
      <c r="N1263" s="66">
        <v>1.55E-2</v>
      </c>
      <c r="O1263" s="57">
        <v>56.049799999999998</v>
      </c>
      <c r="P1263" s="75">
        <v>6.2799999999999995E-2</v>
      </c>
      <c r="Q1263" s="96"/>
    </row>
    <row r="1264" spans="1:17" ht="14.25" customHeight="1" x14ac:dyDescent="0.35">
      <c r="A1264" s="1">
        <v>2021</v>
      </c>
      <c r="B1264" s="1" t="s">
        <v>28</v>
      </c>
      <c r="C1264" s="1">
        <v>16</v>
      </c>
      <c r="D1264" s="49">
        <v>108.73399999999999</v>
      </c>
      <c r="E1264" s="12">
        <f t="shared" si="25"/>
        <v>135.91749999999999</v>
      </c>
      <c r="F1264" s="50">
        <v>92.063000000000002</v>
      </c>
      <c r="G1264" s="60">
        <v>81.911000000000001</v>
      </c>
      <c r="H1264" s="61">
        <v>1730.845</v>
      </c>
      <c r="I1264" s="62">
        <v>6.9</v>
      </c>
      <c r="J1264" s="63">
        <v>2.1999999999999999E-2</v>
      </c>
      <c r="K1264" s="81">
        <v>8.343</v>
      </c>
      <c r="L1264" s="61">
        <v>34.677</v>
      </c>
      <c r="M1264" s="62">
        <v>5.5419999999999998</v>
      </c>
      <c r="N1264" s="66">
        <v>1.4999999999999999E-2</v>
      </c>
      <c r="O1264" s="57">
        <v>56.543999999999997</v>
      </c>
      <c r="P1264" s="80">
        <v>6.3E-2</v>
      </c>
      <c r="Q1264" s="96"/>
    </row>
    <row r="1265" spans="1:17" ht="14.25" customHeight="1" x14ac:dyDescent="0.35">
      <c r="A1265" s="1">
        <v>2021</v>
      </c>
      <c r="B1265" s="1" t="s">
        <v>28</v>
      </c>
      <c r="C1265" s="1">
        <v>17</v>
      </c>
      <c r="D1265" s="49">
        <v>108.03100000000001</v>
      </c>
      <c r="E1265" s="12">
        <f t="shared" si="25"/>
        <v>135.03874999999999</v>
      </c>
      <c r="F1265" s="50">
        <v>91.563000000000002</v>
      </c>
      <c r="G1265" s="60">
        <v>81.816000000000003</v>
      </c>
      <c r="H1265" s="61">
        <v>1734.8579999999999</v>
      </c>
      <c r="I1265" s="62">
        <v>6.9</v>
      </c>
      <c r="J1265" s="63">
        <v>2.3E-2</v>
      </c>
      <c r="K1265" s="68">
        <v>8.52</v>
      </c>
      <c r="L1265" s="65">
        <v>35.511000000000003</v>
      </c>
      <c r="M1265" s="50">
        <v>5.5540000000000003</v>
      </c>
      <c r="N1265" s="66">
        <v>1.6E-2</v>
      </c>
      <c r="O1265" s="57">
        <v>55</v>
      </c>
      <c r="P1265" s="67">
        <v>6.7000000000000004E-2</v>
      </c>
      <c r="Q1265" s="96"/>
    </row>
    <row r="1266" spans="1:17" ht="14.25" customHeight="1" x14ac:dyDescent="0.35">
      <c r="A1266" s="1">
        <v>2021</v>
      </c>
      <c r="B1266" s="1" t="s">
        <v>28</v>
      </c>
      <c r="C1266" s="1">
        <v>18</v>
      </c>
      <c r="D1266" s="49">
        <v>106.23399999999999</v>
      </c>
      <c r="E1266" s="12">
        <f t="shared" si="25"/>
        <v>132.79249999999999</v>
      </c>
      <c r="F1266" s="50">
        <v>89.968999999999994</v>
      </c>
      <c r="G1266" s="60">
        <v>81.632000000000005</v>
      </c>
      <c r="H1266" s="61">
        <v>1756.1679999999999</v>
      </c>
      <c r="I1266" s="62">
        <v>6.9</v>
      </c>
      <c r="J1266" s="63">
        <v>2.5000000000000001E-2</v>
      </c>
      <c r="K1266" s="68">
        <v>8.32</v>
      </c>
      <c r="L1266" s="61">
        <v>33.414999999999999</v>
      </c>
      <c r="M1266" s="62">
        <v>5.5350000000000001</v>
      </c>
      <c r="N1266" s="66">
        <v>1.6E-2</v>
      </c>
      <c r="O1266" s="57">
        <v>57.533000000000001</v>
      </c>
      <c r="P1266" s="67">
        <v>6.0999999999999999E-2</v>
      </c>
      <c r="Q1266" s="96"/>
    </row>
    <row r="1267" spans="1:17" ht="14.25" customHeight="1" x14ac:dyDescent="0.35">
      <c r="A1267" s="1">
        <v>2021</v>
      </c>
      <c r="B1267" s="1" t="s">
        <v>28</v>
      </c>
      <c r="C1267" s="1">
        <v>19</v>
      </c>
      <c r="D1267" s="49">
        <v>105.828</v>
      </c>
      <c r="E1267" s="12">
        <f t="shared" si="25"/>
        <v>132.285</v>
      </c>
      <c r="F1267" s="50">
        <v>89.75</v>
      </c>
      <c r="G1267" s="60">
        <v>81.75</v>
      </c>
      <c r="H1267" s="61">
        <v>1729.1030000000001</v>
      </c>
      <c r="I1267" s="62">
        <v>6.9</v>
      </c>
      <c r="J1267" s="63">
        <v>2.8000000000000001E-2</v>
      </c>
      <c r="K1267" s="68">
        <v>8.2989999999999995</v>
      </c>
      <c r="L1267" s="65">
        <v>31.785</v>
      </c>
      <c r="M1267" s="50">
        <v>5.5430000000000001</v>
      </c>
      <c r="N1267" s="66">
        <v>1.6E-2</v>
      </c>
      <c r="O1267" s="57">
        <v>56.658999999999999</v>
      </c>
      <c r="P1267" s="67">
        <v>5.8999999999999997E-2</v>
      </c>
      <c r="Q1267" s="96"/>
    </row>
    <row r="1268" spans="1:17" ht="14.25" customHeight="1" x14ac:dyDescent="0.35">
      <c r="A1268" s="1">
        <v>2021</v>
      </c>
      <c r="B1268" s="1" t="s">
        <v>28</v>
      </c>
      <c r="C1268" s="1">
        <v>20</v>
      </c>
      <c r="D1268" s="49">
        <v>106.15600000000001</v>
      </c>
      <c r="E1268" s="12">
        <f t="shared" si="25"/>
        <v>132.69499999999999</v>
      </c>
      <c r="F1268" s="50">
        <v>90</v>
      </c>
      <c r="G1268" s="60">
        <v>81.644000000000005</v>
      </c>
      <c r="H1268" s="61">
        <v>1656.027</v>
      </c>
      <c r="I1268" s="62">
        <v>6.9</v>
      </c>
      <c r="J1268" s="63">
        <v>2.5999999999999999E-2</v>
      </c>
      <c r="K1268" s="68">
        <v>8.0370000000000008</v>
      </c>
      <c r="L1268" s="61">
        <v>30.292999999999999</v>
      </c>
      <c r="M1268" s="62">
        <v>5.5469999999999997</v>
      </c>
      <c r="N1268" s="66">
        <v>1.6E-2</v>
      </c>
      <c r="O1268" s="57">
        <v>56.39</v>
      </c>
      <c r="P1268" s="67">
        <v>5.5E-2</v>
      </c>
      <c r="Q1268" s="96"/>
    </row>
    <row r="1269" spans="1:17" ht="14.25" customHeight="1" x14ac:dyDescent="0.35">
      <c r="A1269" s="1">
        <v>2021</v>
      </c>
      <c r="B1269" s="1" t="s">
        <v>28</v>
      </c>
      <c r="C1269" s="1">
        <v>21</v>
      </c>
      <c r="D1269" s="49">
        <v>107.25</v>
      </c>
      <c r="E1269" s="12">
        <f t="shared" si="25"/>
        <v>134.0625</v>
      </c>
      <c r="F1269" s="50">
        <v>91.063000000000002</v>
      </c>
      <c r="G1269" s="60">
        <v>81.667000000000002</v>
      </c>
      <c r="H1269" s="61">
        <v>1651.876</v>
      </c>
      <c r="I1269" s="62">
        <v>6.9</v>
      </c>
      <c r="J1269" s="63">
        <v>2.5000000000000001E-2</v>
      </c>
      <c r="K1269" s="68">
        <v>8.1709999999999994</v>
      </c>
      <c r="L1269" s="65">
        <v>30.611999999999998</v>
      </c>
      <c r="M1269" s="50">
        <v>5.556</v>
      </c>
      <c r="N1269" s="66">
        <v>1.6E-2</v>
      </c>
      <c r="O1269" s="57">
        <v>54.813000000000002</v>
      </c>
      <c r="P1269" s="67">
        <v>5.3999999999999999E-2</v>
      </c>
      <c r="Q1269" s="96"/>
    </row>
    <row r="1270" spans="1:17" ht="14.25" customHeight="1" x14ac:dyDescent="0.35">
      <c r="A1270" s="1">
        <v>2021</v>
      </c>
      <c r="B1270" s="1" t="s">
        <v>28</v>
      </c>
      <c r="C1270" s="1">
        <v>22</v>
      </c>
      <c r="D1270" s="49">
        <v>112.14100000000001</v>
      </c>
      <c r="E1270" s="12">
        <f t="shared" si="25"/>
        <v>140.17625000000001</v>
      </c>
      <c r="F1270" s="50">
        <v>95</v>
      </c>
      <c r="G1270" s="60">
        <v>81.903999999999996</v>
      </c>
      <c r="H1270" s="61">
        <v>1743.5029999999999</v>
      </c>
      <c r="I1270" s="62">
        <v>6.9</v>
      </c>
      <c r="J1270" s="63">
        <v>2.5999999999999999E-2</v>
      </c>
      <c r="K1270" s="68">
        <v>8.4990000000000006</v>
      </c>
      <c r="L1270" s="61">
        <v>33.463000000000001</v>
      </c>
      <c r="M1270" s="62">
        <v>5.5439999999999996</v>
      </c>
      <c r="N1270" s="66">
        <v>1.6E-2</v>
      </c>
      <c r="O1270" s="57">
        <v>56.393999999999998</v>
      </c>
      <c r="P1270" s="67">
        <v>6.3E-2</v>
      </c>
      <c r="Q1270" s="96"/>
    </row>
    <row r="1271" spans="1:17" ht="14.25" customHeight="1" x14ac:dyDescent="0.35">
      <c r="A1271" s="1">
        <v>2021</v>
      </c>
      <c r="B1271" s="1" t="s">
        <v>28</v>
      </c>
      <c r="C1271" s="1">
        <v>23</v>
      </c>
      <c r="D1271" s="49">
        <v>109.453</v>
      </c>
      <c r="E1271" s="12">
        <f t="shared" si="25"/>
        <v>136.81625</v>
      </c>
      <c r="F1271" s="50">
        <v>92.843999999999994</v>
      </c>
      <c r="G1271" s="60">
        <v>82.081999999999994</v>
      </c>
      <c r="H1271" s="61">
        <v>1778.2629999999999</v>
      </c>
      <c r="I1271" s="62">
        <v>6.9</v>
      </c>
      <c r="J1271" s="63">
        <v>2.4E-2</v>
      </c>
      <c r="K1271" s="68">
        <v>8.34</v>
      </c>
      <c r="L1271" s="65">
        <v>35.49</v>
      </c>
      <c r="M1271" s="50">
        <v>5.548</v>
      </c>
      <c r="N1271" s="66">
        <v>1.4999999999999999E-2</v>
      </c>
      <c r="O1271" s="57">
        <v>55.762</v>
      </c>
      <c r="P1271" s="67">
        <v>6.4000000000000001E-2</v>
      </c>
      <c r="Q1271" s="96"/>
    </row>
    <row r="1272" spans="1:17" ht="14.25" customHeight="1" x14ac:dyDescent="0.35">
      <c r="A1272" s="1">
        <v>2021</v>
      </c>
      <c r="B1272" s="1" t="s">
        <v>28</v>
      </c>
      <c r="C1272" s="1">
        <v>24</v>
      </c>
      <c r="D1272" s="49">
        <v>110.46899999999999</v>
      </c>
      <c r="E1272" s="12">
        <f t="shared" si="25"/>
        <v>138.08625000000001</v>
      </c>
      <c r="F1272" s="50">
        <v>93.5</v>
      </c>
      <c r="G1272" s="60">
        <v>82.075999999999993</v>
      </c>
      <c r="H1272" s="61">
        <v>1798.6759999999999</v>
      </c>
      <c r="I1272" s="62">
        <v>6.9</v>
      </c>
      <c r="J1272" s="63">
        <v>2.5000000000000001E-2</v>
      </c>
      <c r="K1272" s="68">
        <v>8.2729999999999997</v>
      </c>
      <c r="L1272" s="61">
        <v>36.420999999999999</v>
      </c>
      <c r="M1272" s="62">
        <v>5.5469999999999997</v>
      </c>
      <c r="N1272" s="66">
        <v>1.4999999999999999E-2</v>
      </c>
      <c r="O1272" s="57">
        <v>56.048000000000002</v>
      </c>
      <c r="P1272" s="67">
        <v>6.5000000000000002E-2</v>
      </c>
      <c r="Q1272" s="96"/>
    </row>
    <row r="1273" spans="1:17" ht="14.25" customHeight="1" x14ac:dyDescent="0.35">
      <c r="A1273" s="1">
        <v>2021</v>
      </c>
      <c r="B1273" s="1" t="s">
        <v>28</v>
      </c>
      <c r="C1273" s="1">
        <v>25</v>
      </c>
      <c r="D1273" s="49">
        <v>112.125</v>
      </c>
      <c r="E1273" s="12">
        <f t="shared" si="25"/>
        <v>140.15625</v>
      </c>
      <c r="F1273" s="50">
        <v>95.031000000000006</v>
      </c>
      <c r="G1273" s="60">
        <v>82.103999999999999</v>
      </c>
      <c r="H1273" s="61">
        <v>1794.2249999999999</v>
      </c>
      <c r="I1273" s="62">
        <v>6.9</v>
      </c>
      <c r="J1273" s="63">
        <v>2.4E-2</v>
      </c>
      <c r="K1273" s="68">
        <v>8.2780000000000005</v>
      </c>
      <c r="L1273" s="65">
        <v>35.606000000000002</v>
      </c>
      <c r="M1273" s="50">
        <v>5.5540000000000003</v>
      </c>
      <c r="N1273" s="66">
        <v>1.4999999999999999E-2</v>
      </c>
      <c r="O1273" s="57">
        <v>55.182000000000002</v>
      </c>
      <c r="P1273" s="67">
        <v>6.4000000000000001E-2</v>
      </c>
      <c r="Q1273" s="96"/>
    </row>
    <row r="1274" spans="1:17" ht="14.25" customHeight="1" x14ac:dyDescent="0.35">
      <c r="A1274" s="1">
        <v>2021</v>
      </c>
      <c r="B1274" s="1" t="s">
        <v>28</v>
      </c>
      <c r="C1274" s="1">
        <v>26</v>
      </c>
      <c r="D1274" s="49">
        <v>107.53100000000001</v>
      </c>
      <c r="E1274" s="12">
        <f t="shared" si="25"/>
        <v>134.41374999999999</v>
      </c>
      <c r="F1274" s="50">
        <v>90.938000000000002</v>
      </c>
      <c r="G1274" s="60">
        <v>82.218999999999994</v>
      </c>
      <c r="H1274" s="61">
        <v>1765.1949999999999</v>
      </c>
      <c r="I1274" s="62">
        <v>6.9</v>
      </c>
      <c r="J1274" s="63">
        <v>2.4E-2</v>
      </c>
      <c r="K1274" s="68">
        <v>8.2279999999999998</v>
      </c>
      <c r="L1274" s="61">
        <v>35.122999999999998</v>
      </c>
      <c r="M1274" s="62">
        <v>5.5519999999999996</v>
      </c>
      <c r="N1274" s="66">
        <v>1.4999999999999999E-2</v>
      </c>
      <c r="O1274" s="57">
        <v>55.515000000000001</v>
      </c>
      <c r="P1274" s="67">
        <v>6.4000000000000001E-2</v>
      </c>
      <c r="Q1274" s="96"/>
    </row>
    <row r="1275" spans="1:17" ht="14.25" customHeight="1" x14ac:dyDescent="0.35">
      <c r="A1275" s="1">
        <v>2021</v>
      </c>
      <c r="B1275" s="1" t="s">
        <v>28</v>
      </c>
      <c r="C1275" s="1">
        <v>27</v>
      </c>
      <c r="D1275" s="49">
        <v>106.328</v>
      </c>
      <c r="E1275" s="12">
        <f t="shared" si="25"/>
        <v>132.91</v>
      </c>
      <c r="F1275" s="50">
        <v>90</v>
      </c>
      <c r="G1275" s="60">
        <v>82.381</v>
      </c>
      <c r="H1275" s="61">
        <v>1687.864</v>
      </c>
      <c r="I1275" s="62">
        <v>6.9</v>
      </c>
      <c r="J1275" s="63">
        <v>2.4E-2</v>
      </c>
      <c r="K1275" s="68">
        <v>8.0809999999999995</v>
      </c>
      <c r="L1275" s="65">
        <v>33.94</v>
      </c>
      <c r="M1275" s="50">
        <v>5.5510000000000002</v>
      </c>
      <c r="N1275" s="66">
        <v>1.4999999999999999E-2</v>
      </c>
      <c r="O1275" s="57">
        <v>55.518999999999998</v>
      </c>
      <c r="P1275" s="67">
        <v>0.06</v>
      </c>
      <c r="Q1275" s="96"/>
    </row>
    <row r="1276" spans="1:17" ht="14.25" customHeight="1" x14ac:dyDescent="0.35">
      <c r="A1276" s="1">
        <v>2021</v>
      </c>
      <c r="B1276" s="1" t="s">
        <v>28</v>
      </c>
      <c r="C1276" s="1">
        <v>28</v>
      </c>
      <c r="D1276" s="49">
        <v>111.51600000000001</v>
      </c>
      <c r="E1276" s="12">
        <f t="shared" si="25"/>
        <v>139.39500000000001</v>
      </c>
      <c r="F1276" s="50">
        <v>94.5</v>
      </c>
      <c r="G1276" s="60">
        <v>82.353999999999999</v>
      </c>
      <c r="H1276" s="61">
        <v>1656.1289999999999</v>
      </c>
      <c r="I1276" s="62">
        <v>6.9</v>
      </c>
      <c r="J1276" s="63">
        <v>2.4E-2</v>
      </c>
      <c r="K1276" s="68">
        <v>8.1620000000000008</v>
      </c>
      <c r="L1276" s="61">
        <v>32.976999999999997</v>
      </c>
      <c r="M1276" s="62">
        <v>5.5670000000000002</v>
      </c>
      <c r="N1276" s="66">
        <v>1.4999999999999999E-2</v>
      </c>
      <c r="O1276" s="57">
        <v>53.39</v>
      </c>
      <c r="P1276" s="67">
        <v>5.8000000000000003E-2</v>
      </c>
      <c r="Q1276" s="96"/>
    </row>
    <row r="1277" spans="1:17" ht="14.25" customHeight="1" x14ac:dyDescent="0.35">
      <c r="A1277" s="1">
        <v>2021</v>
      </c>
      <c r="B1277" s="1" t="s">
        <v>28</v>
      </c>
      <c r="C1277" s="1">
        <v>29</v>
      </c>
      <c r="D1277" s="49">
        <v>111.65600000000001</v>
      </c>
      <c r="E1277" s="12">
        <f t="shared" si="25"/>
        <v>139.57</v>
      </c>
      <c r="F1277" s="50">
        <v>94.625</v>
      </c>
      <c r="G1277" s="83">
        <v>82.230999999999995</v>
      </c>
      <c r="H1277" s="69">
        <v>1746.0909999999999</v>
      </c>
      <c r="I1277" s="50">
        <v>6.9</v>
      </c>
      <c r="J1277" s="66">
        <v>2.5000000000000001E-2</v>
      </c>
      <c r="K1277" s="117">
        <v>8.3339999999999996</v>
      </c>
      <c r="L1277" s="61">
        <v>34.335999999999999</v>
      </c>
      <c r="M1277" s="62">
        <v>5.5620000000000003</v>
      </c>
      <c r="N1277" s="66">
        <v>1.4999999999999999E-2</v>
      </c>
      <c r="O1277" s="57">
        <v>54.17</v>
      </c>
      <c r="P1277" s="84">
        <v>6.4000000000000001E-2</v>
      </c>
      <c r="Q1277" s="96"/>
    </row>
    <row r="1278" spans="1:17" ht="14.25" customHeight="1" x14ac:dyDescent="0.35">
      <c r="A1278" s="1">
        <v>2021</v>
      </c>
      <c r="B1278" s="1" t="s">
        <v>28</v>
      </c>
      <c r="C1278" s="1">
        <v>30</v>
      </c>
      <c r="D1278" s="104">
        <v>110.21899999999999</v>
      </c>
      <c r="E1278" s="12">
        <f t="shared" si="25"/>
        <v>137.77375000000001</v>
      </c>
      <c r="F1278" s="105">
        <v>93.406000000000006</v>
      </c>
      <c r="G1278" s="83">
        <v>82.605000000000004</v>
      </c>
      <c r="H1278" s="69">
        <v>1786.3979999999999</v>
      </c>
      <c r="I1278" s="50">
        <v>6.899</v>
      </c>
      <c r="J1278" s="66">
        <v>2.4E-2</v>
      </c>
      <c r="K1278" s="117">
        <v>8.3000000000000007</v>
      </c>
      <c r="L1278" s="61">
        <v>35.442</v>
      </c>
      <c r="M1278" s="62">
        <v>5.5549999999999997</v>
      </c>
      <c r="N1278" s="66">
        <v>1.4999999999999999E-2</v>
      </c>
      <c r="O1278" s="57">
        <v>55.012</v>
      </c>
      <c r="P1278" s="84">
        <v>6.3E-2</v>
      </c>
      <c r="Q1278" s="96"/>
    </row>
    <row r="1279" spans="1:17" ht="14.25" customHeight="1" x14ac:dyDescent="0.35">
      <c r="A1279" s="1">
        <v>2021</v>
      </c>
      <c r="B1279" s="1" t="s">
        <v>29</v>
      </c>
      <c r="C1279" s="1">
        <v>1</v>
      </c>
      <c r="D1279" s="49">
        <v>110.375</v>
      </c>
      <c r="E1279" s="12">
        <f t="shared" si="25"/>
        <v>137.96875</v>
      </c>
      <c r="F1279" s="50">
        <v>93.781000000000006</v>
      </c>
      <c r="G1279" s="51">
        <v>82.826999999999998</v>
      </c>
      <c r="H1279" s="52">
        <v>1780.3340000000001</v>
      </c>
      <c r="I1279" s="53">
        <v>6.9</v>
      </c>
      <c r="J1279" s="54">
        <v>2.5000000000000001E-2</v>
      </c>
      <c r="K1279" s="59">
        <v>8.2479999999999993</v>
      </c>
      <c r="L1279" s="52">
        <v>35.64</v>
      </c>
      <c r="M1279" s="55">
        <v>5.5579999999999998</v>
      </c>
      <c r="N1279" s="56">
        <v>1.4999999999999999E-2</v>
      </c>
      <c r="O1279" s="57">
        <v>54.588999999999999</v>
      </c>
      <c r="P1279" s="58">
        <v>6.4000000000000001E-2</v>
      </c>
      <c r="Q1279" s="96"/>
    </row>
    <row r="1280" spans="1:17" ht="14.25" customHeight="1" x14ac:dyDescent="0.35">
      <c r="A1280" s="1">
        <v>2021</v>
      </c>
      <c r="B1280" s="1" t="s">
        <v>29</v>
      </c>
      <c r="C1280" s="1">
        <v>2</v>
      </c>
      <c r="D1280" s="49">
        <v>111.73399999999999</v>
      </c>
      <c r="E1280" s="12">
        <f t="shared" si="25"/>
        <v>139.66749999999999</v>
      </c>
      <c r="F1280" s="50">
        <v>95</v>
      </c>
      <c r="G1280" s="60">
        <v>82.861999999999995</v>
      </c>
      <c r="H1280" s="61">
        <v>1765.6869999999999</v>
      </c>
      <c r="I1280" s="62">
        <v>6.9</v>
      </c>
      <c r="J1280" s="63">
        <v>2.5000000000000001E-2</v>
      </c>
      <c r="K1280" s="68">
        <v>8.1850000000000005</v>
      </c>
      <c r="L1280" s="65">
        <v>35.869</v>
      </c>
      <c r="M1280" s="50">
        <v>5.6539999999999999</v>
      </c>
      <c r="N1280" s="66">
        <v>1.4999999999999999E-2</v>
      </c>
      <c r="O1280" s="57">
        <v>44.86</v>
      </c>
      <c r="P1280" s="67">
        <v>6.0999999999999999E-2</v>
      </c>
      <c r="Q1280" s="96"/>
    </row>
    <row r="1281" spans="1:17" ht="14.25" customHeight="1" x14ac:dyDescent="0.35">
      <c r="A1281" s="1">
        <v>2021</v>
      </c>
      <c r="B1281" s="1" t="s">
        <v>29</v>
      </c>
      <c r="C1281" s="1">
        <v>3</v>
      </c>
      <c r="D1281" s="49">
        <v>109.40600000000001</v>
      </c>
      <c r="E1281" s="12">
        <f t="shared" si="25"/>
        <v>136.75749999999999</v>
      </c>
      <c r="F1281" s="50">
        <v>92.906000000000006</v>
      </c>
      <c r="G1281" s="60">
        <v>82.811999999999998</v>
      </c>
      <c r="H1281" s="61">
        <v>1736.384</v>
      </c>
      <c r="I1281" s="62">
        <v>6.9</v>
      </c>
      <c r="J1281" s="63">
        <v>2.5000000000000001E-2</v>
      </c>
      <c r="K1281" s="68">
        <v>8.0459999999999994</v>
      </c>
      <c r="L1281" s="65">
        <v>35.737000000000002</v>
      </c>
      <c r="M1281" s="50">
        <v>5.7350000000000003</v>
      </c>
      <c r="N1281" s="66">
        <v>1.4999999999999999E-2</v>
      </c>
      <c r="O1281" s="57">
        <v>36.29</v>
      </c>
      <c r="P1281" s="67">
        <v>6.0999999999999999E-2</v>
      </c>
      <c r="Q1281" s="96"/>
    </row>
    <row r="1282" spans="1:17" ht="14.25" customHeight="1" x14ac:dyDescent="0.35">
      <c r="A1282" s="1">
        <v>2021</v>
      </c>
      <c r="B1282" s="1" t="s">
        <v>29</v>
      </c>
      <c r="C1282" s="1">
        <v>4</v>
      </c>
      <c r="D1282" s="49">
        <v>105.813</v>
      </c>
      <c r="E1282" s="12">
        <f t="shared" si="25"/>
        <v>132.26625000000001</v>
      </c>
      <c r="F1282" s="50">
        <v>89.968999999999994</v>
      </c>
      <c r="G1282" s="60">
        <v>82.796999999999997</v>
      </c>
      <c r="H1282" s="61">
        <v>1684.9690000000001</v>
      </c>
      <c r="I1282" s="62">
        <v>6.9</v>
      </c>
      <c r="J1282" s="63">
        <v>2.4E-2</v>
      </c>
      <c r="K1282" s="68">
        <v>7.8630000000000004</v>
      </c>
      <c r="L1282" s="65">
        <v>34.238999999999997</v>
      </c>
      <c r="M1282" s="50">
        <v>5.7270000000000003</v>
      </c>
      <c r="N1282" s="66">
        <v>1.4999999999999999E-2</v>
      </c>
      <c r="O1282" s="57">
        <v>36.966999999999999</v>
      </c>
      <c r="P1282" s="67">
        <v>5.7000000000000002E-2</v>
      </c>
      <c r="Q1282" s="96"/>
    </row>
    <row r="1283" spans="1:17" ht="14.25" customHeight="1" x14ac:dyDescent="0.35">
      <c r="A1283" s="1">
        <v>2021</v>
      </c>
      <c r="B1283" s="1" t="s">
        <v>29</v>
      </c>
      <c r="C1283" s="1">
        <v>5</v>
      </c>
      <c r="D1283" s="49">
        <v>103.797</v>
      </c>
      <c r="E1283" s="12">
        <f t="shared" si="25"/>
        <v>129.74625</v>
      </c>
      <c r="F1283" s="50">
        <v>88.25</v>
      </c>
      <c r="G1283" s="60">
        <v>82.504000000000005</v>
      </c>
      <c r="H1283" s="61">
        <v>1626.981</v>
      </c>
      <c r="I1283" s="62">
        <v>6.9</v>
      </c>
      <c r="J1283" s="63">
        <v>2.5000000000000001E-2</v>
      </c>
      <c r="K1283" s="68">
        <v>7.7119999999999997</v>
      </c>
      <c r="L1283" s="65">
        <v>33.395000000000003</v>
      </c>
      <c r="M1283" s="50">
        <v>5.7290000000000001</v>
      </c>
      <c r="N1283" s="66">
        <v>1.4999999999999999E-2</v>
      </c>
      <c r="O1283" s="57">
        <v>36.816000000000003</v>
      </c>
      <c r="P1283" s="67">
        <v>5.1999999999999998E-2</v>
      </c>
      <c r="Q1283" s="96"/>
    </row>
    <row r="1284" spans="1:17" ht="14.25" customHeight="1" x14ac:dyDescent="0.35">
      <c r="A1284" s="1">
        <v>2021</v>
      </c>
      <c r="B1284" s="1" t="s">
        <v>29</v>
      </c>
      <c r="C1284" s="1">
        <v>6</v>
      </c>
      <c r="D1284" s="49">
        <v>107.21899999999999</v>
      </c>
      <c r="E1284" s="12">
        <f t="shared" si="25"/>
        <v>134.02375000000001</v>
      </c>
      <c r="F1284" s="50">
        <v>91.218999999999994</v>
      </c>
      <c r="G1284" s="60">
        <v>82.584000000000003</v>
      </c>
      <c r="H1284" s="61">
        <v>1610.173</v>
      </c>
      <c r="I1284" s="62">
        <v>6.9</v>
      </c>
      <c r="J1284" s="63">
        <v>2.5000000000000001E-2</v>
      </c>
      <c r="K1284" s="68">
        <v>8.6</v>
      </c>
      <c r="L1284" s="65">
        <v>32.302</v>
      </c>
      <c r="M1284" s="50">
        <v>5.7229999999999999</v>
      </c>
      <c r="N1284" s="66">
        <v>1.4999999999999999E-2</v>
      </c>
      <c r="O1284" s="57">
        <v>37.29</v>
      </c>
      <c r="P1284" s="67">
        <v>5.6000000000000001E-2</v>
      </c>
      <c r="Q1284" s="96"/>
    </row>
    <row r="1285" spans="1:17" ht="14.25" customHeight="1" x14ac:dyDescent="0.35">
      <c r="A1285" s="1">
        <v>2021</v>
      </c>
      <c r="B1285" s="1" t="s">
        <v>29</v>
      </c>
      <c r="C1285" s="1">
        <v>7</v>
      </c>
      <c r="D1285" s="49">
        <v>106.35899999999999</v>
      </c>
      <c r="E1285" s="12">
        <f t="shared" si="25"/>
        <v>132.94874999999999</v>
      </c>
      <c r="F1285" s="50">
        <v>90.5</v>
      </c>
      <c r="G1285" s="60">
        <v>82.855999999999995</v>
      </c>
      <c r="H1285" s="61">
        <v>1751.2239999999999</v>
      </c>
      <c r="I1285" s="62">
        <v>6.9</v>
      </c>
      <c r="J1285" s="63">
        <v>2.5000000000000001E-2</v>
      </c>
      <c r="K1285" s="68">
        <v>8.9670000000000005</v>
      </c>
      <c r="L1285" s="65">
        <v>34.677</v>
      </c>
      <c r="M1285" s="50">
        <v>5.7149999999999999</v>
      </c>
      <c r="N1285" s="66">
        <v>1.4999999999999999E-2</v>
      </c>
      <c r="O1285" s="57">
        <v>37.988</v>
      </c>
      <c r="P1285" s="67">
        <v>7.0000000000000007E-2</v>
      </c>
      <c r="Q1285" s="96"/>
    </row>
    <row r="1286" spans="1:17" ht="14.25" customHeight="1" x14ac:dyDescent="0.35">
      <c r="A1286" s="1">
        <v>2021</v>
      </c>
      <c r="B1286" s="1" t="s">
        <v>29</v>
      </c>
      <c r="C1286" s="1">
        <v>8</v>
      </c>
      <c r="D1286" s="49">
        <v>106.625</v>
      </c>
      <c r="E1286" s="12">
        <f t="shared" si="25"/>
        <v>133.28125</v>
      </c>
      <c r="F1286" s="50">
        <v>90.688000000000002</v>
      </c>
      <c r="G1286" s="60">
        <v>83.108999999999995</v>
      </c>
      <c r="H1286" s="69">
        <v>1801.1590000000001</v>
      </c>
      <c r="I1286" s="62">
        <v>6.9</v>
      </c>
      <c r="J1286" s="63">
        <v>2.5000000000000001E-2</v>
      </c>
      <c r="K1286" s="71">
        <v>9.0079999999999991</v>
      </c>
      <c r="L1286" s="65">
        <v>35.628</v>
      </c>
      <c r="M1286" s="50">
        <v>5.7140000000000004</v>
      </c>
      <c r="N1286" s="66">
        <v>1.4999999999999999E-2</v>
      </c>
      <c r="O1286" s="57">
        <v>38.037999999999997</v>
      </c>
      <c r="P1286" s="70">
        <v>7.0000000000000007E-2</v>
      </c>
      <c r="Q1286" s="96"/>
    </row>
    <row r="1287" spans="1:17" ht="14.25" customHeight="1" x14ac:dyDescent="0.35">
      <c r="A1287" s="1">
        <v>2021</v>
      </c>
      <c r="B1287" s="1" t="s">
        <v>29</v>
      </c>
      <c r="C1287" s="1">
        <v>9</v>
      </c>
      <c r="D1287" s="49">
        <v>94.921999999999997</v>
      </c>
      <c r="E1287" s="12">
        <f t="shared" si="25"/>
        <v>118.6525</v>
      </c>
      <c r="F1287" s="50">
        <v>80.656000000000006</v>
      </c>
      <c r="G1287" s="60">
        <v>83.37</v>
      </c>
      <c r="H1287" s="61">
        <v>1779.354</v>
      </c>
      <c r="I1287" s="62">
        <v>6.9</v>
      </c>
      <c r="J1287" s="63">
        <v>2.5000000000000001E-2</v>
      </c>
      <c r="K1287" s="68">
        <v>8.5440000000000005</v>
      </c>
      <c r="L1287" s="65">
        <v>37.478000000000002</v>
      </c>
      <c r="M1287" s="50">
        <v>5.5860000000000003</v>
      </c>
      <c r="N1287" s="66">
        <v>1.6E-2</v>
      </c>
      <c r="O1287" s="57">
        <v>51.835999999999999</v>
      </c>
      <c r="P1287" s="67">
        <v>6.8000000000000005E-2</v>
      </c>
      <c r="Q1287" s="96"/>
    </row>
    <row r="1288" spans="1:17" ht="14.25" customHeight="1" x14ac:dyDescent="0.35">
      <c r="A1288" s="1">
        <v>2021</v>
      </c>
      <c r="B1288" s="1" t="s">
        <v>29</v>
      </c>
      <c r="C1288" s="1">
        <v>10</v>
      </c>
      <c r="D1288" s="49">
        <v>108.875</v>
      </c>
      <c r="E1288" s="12">
        <f t="shared" si="25"/>
        <v>136.09375</v>
      </c>
      <c r="F1288" s="50">
        <v>92.625</v>
      </c>
      <c r="G1288" s="72">
        <v>83.665000000000006</v>
      </c>
      <c r="H1288" s="61">
        <v>1738.6089999999999</v>
      </c>
      <c r="I1288" s="62">
        <v>6.9</v>
      </c>
      <c r="J1288" s="63">
        <v>2.4E-2</v>
      </c>
      <c r="K1288" s="76">
        <v>8.4139999999999997</v>
      </c>
      <c r="L1288" s="65">
        <v>35.494999999999997</v>
      </c>
      <c r="M1288" s="50">
        <v>5.5110000000000001</v>
      </c>
      <c r="N1288" s="74">
        <v>1.6E-2</v>
      </c>
      <c r="O1288" s="57">
        <v>60.84</v>
      </c>
      <c r="P1288" s="75">
        <v>6.5000000000000002E-2</v>
      </c>
      <c r="Q1288" s="96"/>
    </row>
    <row r="1289" spans="1:17" ht="14.25" customHeight="1" x14ac:dyDescent="0.35">
      <c r="A1289" s="1">
        <v>2021</v>
      </c>
      <c r="B1289" s="1" t="s">
        <v>29</v>
      </c>
      <c r="C1289" s="1">
        <v>11</v>
      </c>
      <c r="D1289" s="49">
        <v>108.73399999999999</v>
      </c>
      <c r="E1289" s="12">
        <f t="shared" si="25"/>
        <v>135.91749999999999</v>
      </c>
      <c r="F1289" s="50">
        <v>92.5</v>
      </c>
      <c r="G1289" s="72">
        <v>83.551000000000002</v>
      </c>
      <c r="H1289" s="61">
        <v>1675.2339999999999</v>
      </c>
      <c r="I1289" s="62">
        <v>6.9</v>
      </c>
      <c r="J1289" s="63">
        <v>2.5000000000000001E-2</v>
      </c>
      <c r="K1289" s="76">
        <v>8.4640000000000004</v>
      </c>
      <c r="L1289" s="65">
        <v>35.167999999999999</v>
      </c>
      <c r="M1289" s="50">
        <v>5.53</v>
      </c>
      <c r="N1289" s="74">
        <v>1.4999999999999999E-2</v>
      </c>
      <c r="O1289" s="57">
        <v>58.112000000000002</v>
      </c>
      <c r="P1289" s="75">
        <v>6.2E-2</v>
      </c>
      <c r="Q1289" s="96"/>
    </row>
    <row r="1290" spans="1:17" ht="14.25" customHeight="1" x14ac:dyDescent="0.35">
      <c r="A1290" s="1">
        <v>2021</v>
      </c>
      <c r="B1290" s="1" t="s">
        <v>29</v>
      </c>
      <c r="C1290" s="1">
        <v>12</v>
      </c>
      <c r="D1290" s="49">
        <v>110.75</v>
      </c>
      <c r="E1290" s="12">
        <f t="shared" si="25"/>
        <v>138.4375</v>
      </c>
      <c r="F1290" s="50">
        <v>94.25</v>
      </c>
      <c r="G1290" s="72">
        <v>83.346999999999994</v>
      </c>
      <c r="H1290" s="61">
        <v>1628.902</v>
      </c>
      <c r="I1290" s="62">
        <v>6.9</v>
      </c>
      <c r="J1290" s="63">
        <v>2.4E-2</v>
      </c>
      <c r="K1290" s="76">
        <v>8.6760000000000002</v>
      </c>
      <c r="L1290" s="65">
        <v>34.738999999999997</v>
      </c>
      <c r="M1290" s="50">
        <v>5.5469999999999997</v>
      </c>
      <c r="N1290" s="74">
        <v>1.4999999999999999E-2</v>
      </c>
      <c r="O1290" s="57">
        <v>56.036000000000001</v>
      </c>
      <c r="P1290" s="75">
        <v>6.6000000000000003E-2</v>
      </c>
      <c r="Q1290" s="96"/>
    </row>
    <row r="1291" spans="1:17" ht="14.25" customHeight="1" x14ac:dyDescent="0.35">
      <c r="A1291" s="1">
        <v>2021</v>
      </c>
      <c r="B1291" s="1" t="s">
        <v>29</v>
      </c>
      <c r="C1291" s="1">
        <v>13</v>
      </c>
      <c r="D1291" s="49">
        <v>111.75</v>
      </c>
      <c r="E1291" s="12">
        <f t="shared" si="25"/>
        <v>139.6875</v>
      </c>
      <c r="F1291" s="50">
        <v>95</v>
      </c>
      <c r="G1291" s="78">
        <v>83.682000000000002</v>
      </c>
      <c r="H1291" s="61">
        <v>1692.212</v>
      </c>
      <c r="I1291" s="62">
        <v>6.9</v>
      </c>
      <c r="J1291" s="63">
        <v>2.4E-2</v>
      </c>
      <c r="K1291" s="81">
        <v>8.7769999999999992</v>
      </c>
      <c r="L1291" s="65">
        <v>36</v>
      </c>
      <c r="M1291" s="50">
        <v>5.5439999999999996</v>
      </c>
      <c r="N1291" s="66">
        <v>1.4999999999999999E-2</v>
      </c>
      <c r="O1291" s="57">
        <v>56.301000000000002</v>
      </c>
      <c r="P1291" s="80">
        <v>7.0000000000000007E-2</v>
      </c>
      <c r="Q1291" s="96"/>
    </row>
    <row r="1292" spans="1:17" ht="14.25" customHeight="1" x14ac:dyDescent="0.35">
      <c r="A1292" s="1">
        <v>2021</v>
      </c>
      <c r="B1292" s="1" t="s">
        <v>29</v>
      </c>
      <c r="C1292" s="1">
        <v>14</v>
      </c>
      <c r="D1292" s="49">
        <v>110.73399999999999</v>
      </c>
      <c r="E1292" s="12">
        <f t="shared" si="25"/>
        <v>138.41749999999999</v>
      </c>
      <c r="F1292" s="50">
        <v>94.063000000000002</v>
      </c>
      <c r="G1292" s="60">
        <v>83.875</v>
      </c>
      <c r="H1292" s="61">
        <v>1732.0530000000001</v>
      </c>
      <c r="I1292" s="62">
        <v>6.9</v>
      </c>
      <c r="J1292" s="63">
        <v>2.4E-2</v>
      </c>
      <c r="K1292" s="81">
        <v>8.6460000000000008</v>
      </c>
      <c r="L1292" s="82">
        <v>37.046999999999997</v>
      </c>
      <c r="M1292" s="50">
        <v>5.5350000000000001</v>
      </c>
      <c r="N1292" s="66">
        <v>1.4999999999999999E-2</v>
      </c>
      <c r="O1292" s="57">
        <v>57.54</v>
      </c>
      <c r="P1292" s="80">
        <v>7.1999999999999995E-2</v>
      </c>
      <c r="Q1292" s="96"/>
    </row>
    <row r="1293" spans="1:17" ht="14.25" customHeight="1" x14ac:dyDescent="0.35">
      <c r="A1293" s="1">
        <v>2021</v>
      </c>
      <c r="B1293" s="1" t="s">
        <v>29</v>
      </c>
      <c r="C1293" s="1">
        <v>15</v>
      </c>
      <c r="D1293" s="49">
        <v>105.188</v>
      </c>
      <c r="E1293" s="12">
        <f t="shared" si="25"/>
        <v>131.48500000000001</v>
      </c>
      <c r="F1293" s="50">
        <v>89.281000000000006</v>
      </c>
      <c r="G1293" s="60">
        <v>83.828000000000003</v>
      </c>
      <c r="H1293" s="61">
        <v>1735.4949999999999</v>
      </c>
      <c r="I1293" s="62">
        <v>6.9</v>
      </c>
      <c r="J1293" s="63">
        <v>2.4E-2</v>
      </c>
      <c r="K1293" s="76">
        <v>8.6690000000000005</v>
      </c>
      <c r="L1293" s="65">
        <v>36.725000000000001</v>
      </c>
      <c r="M1293" s="50">
        <v>5.5380000000000003</v>
      </c>
      <c r="N1293" s="66">
        <v>1.4999999999999999E-2</v>
      </c>
      <c r="O1293" s="57">
        <v>57.14</v>
      </c>
      <c r="P1293" s="75">
        <v>7.1999999999999995E-2</v>
      </c>
      <c r="Q1293" s="96"/>
    </row>
    <row r="1294" spans="1:17" ht="14.25" customHeight="1" x14ac:dyDescent="0.35">
      <c r="A1294" s="1">
        <v>2021</v>
      </c>
      <c r="B1294" s="1" t="s">
        <v>29</v>
      </c>
      <c r="C1294" s="1">
        <v>16</v>
      </c>
      <c r="D1294" s="49">
        <v>108</v>
      </c>
      <c r="E1294" s="12">
        <f t="shared" si="25"/>
        <v>135</v>
      </c>
      <c r="F1294" s="50">
        <v>91.781000000000006</v>
      </c>
      <c r="G1294" s="60">
        <v>83.846000000000004</v>
      </c>
      <c r="H1294" s="61">
        <v>1718.979</v>
      </c>
      <c r="I1294" s="62">
        <v>6.9</v>
      </c>
      <c r="J1294" s="63">
        <v>2.4E-2</v>
      </c>
      <c r="K1294" s="81">
        <v>8.6129999999999995</v>
      </c>
      <c r="L1294" s="61">
        <v>38.923000000000002</v>
      </c>
      <c r="M1294" s="62">
        <v>5.5330000000000004</v>
      </c>
      <c r="N1294" s="66">
        <v>1.4999999999999999E-2</v>
      </c>
      <c r="O1294" s="57">
        <v>57.706000000000003</v>
      </c>
      <c r="P1294" s="80">
        <v>7.4999999999999997E-2</v>
      </c>
      <c r="Q1294" s="96"/>
    </row>
    <row r="1295" spans="1:17" ht="14.25" customHeight="1" x14ac:dyDescent="0.35">
      <c r="A1295" s="1">
        <v>2021</v>
      </c>
      <c r="B1295" s="1" t="s">
        <v>29</v>
      </c>
      <c r="C1295" s="1">
        <v>17</v>
      </c>
      <c r="D1295" s="49">
        <v>108.40600000000001</v>
      </c>
      <c r="E1295" s="12">
        <f t="shared" si="25"/>
        <v>135.50749999999999</v>
      </c>
      <c r="F1295" s="50">
        <v>92.218999999999994</v>
      </c>
      <c r="G1295" s="60">
        <v>83.983000000000004</v>
      </c>
      <c r="H1295" s="61">
        <v>1687.355</v>
      </c>
      <c r="I1295" s="62">
        <v>6.9</v>
      </c>
      <c r="J1295" s="63">
        <v>2.4E-2</v>
      </c>
      <c r="K1295" s="68">
        <v>8.5950000000000006</v>
      </c>
      <c r="L1295" s="65">
        <v>38.743000000000002</v>
      </c>
      <c r="M1295" s="50">
        <v>5.54</v>
      </c>
      <c r="N1295" s="66">
        <v>1.4999999999999999E-2</v>
      </c>
      <c r="O1295" s="57">
        <v>56.837000000000003</v>
      </c>
      <c r="P1295" s="67">
        <v>7.0000000000000007E-2</v>
      </c>
      <c r="Q1295" s="96"/>
    </row>
    <row r="1296" spans="1:17" ht="14.25" customHeight="1" x14ac:dyDescent="0.35">
      <c r="A1296" s="1">
        <v>2021</v>
      </c>
      <c r="B1296" s="1" t="s">
        <v>29</v>
      </c>
      <c r="C1296" s="1">
        <v>18</v>
      </c>
      <c r="D1296" s="49">
        <v>105.813</v>
      </c>
      <c r="E1296" s="12">
        <f t="shared" si="25"/>
        <v>132.26625000000001</v>
      </c>
      <c r="F1296" s="50">
        <v>90</v>
      </c>
      <c r="G1296" s="60">
        <v>84.113</v>
      </c>
      <c r="H1296" s="61">
        <v>1629.491</v>
      </c>
      <c r="I1296" s="62">
        <v>6.9</v>
      </c>
      <c r="J1296" s="63">
        <v>2.3E-2</v>
      </c>
      <c r="K1296" s="68">
        <v>8.3350000000000009</v>
      </c>
      <c r="L1296" s="61">
        <v>37.075000000000003</v>
      </c>
      <c r="M1296" s="62">
        <v>5.5330000000000004</v>
      </c>
      <c r="N1296" s="66">
        <v>1.4999999999999999E-2</v>
      </c>
      <c r="O1296" s="57">
        <v>57.962000000000003</v>
      </c>
      <c r="P1296" s="67">
        <v>6.3E-2</v>
      </c>
      <c r="Q1296" s="96"/>
    </row>
    <row r="1297" spans="1:17" ht="14.25" customHeight="1" x14ac:dyDescent="0.35">
      <c r="A1297" s="1">
        <v>2021</v>
      </c>
      <c r="B1297" s="1" t="s">
        <v>29</v>
      </c>
      <c r="C1297" s="1">
        <v>19</v>
      </c>
      <c r="D1297" s="49">
        <v>108.297</v>
      </c>
      <c r="E1297" s="12">
        <f t="shared" si="25"/>
        <v>135.37125</v>
      </c>
      <c r="F1297" s="50">
        <v>92.156000000000006</v>
      </c>
      <c r="G1297" s="60">
        <v>84.283000000000001</v>
      </c>
      <c r="H1297" s="61">
        <v>1609.62</v>
      </c>
      <c r="I1297" s="62">
        <v>6.9</v>
      </c>
      <c r="J1297" s="63">
        <v>2.4E-2</v>
      </c>
      <c r="K1297" s="68">
        <v>8.5489999999999995</v>
      </c>
      <c r="L1297" s="65">
        <v>36.902000000000001</v>
      </c>
      <c r="M1297" s="50">
        <v>5.5419999999999998</v>
      </c>
      <c r="N1297" s="66">
        <v>1.4999999999999999E-2</v>
      </c>
      <c r="O1297" s="57">
        <v>56.713000000000001</v>
      </c>
      <c r="P1297" s="67">
        <v>0.06</v>
      </c>
      <c r="Q1297" s="96"/>
    </row>
    <row r="1298" spans="1:17" ht="14.25" customHeight="1" x14ac:dyDescent="0.35">
      <c r="A1298" s="1">
        <v>2021</v>
      </c>
      <c r="B1298" s="1" t="s">
        <v>29</v>
      </c>
      <c r="C1298" s="1">
        <v>20</v>
      </c>
      <c r="D1298" s="49">
        <v>111.64100000000001</v>
      </c>
      <c r="E1298" s="32">
        <v>140.21</v>
      </c>
      <c r="F1298" s="50">
        <v>95.031000000000006</v>
      </c>
      <c r="G1298" s="60">
        <v>84.373000000000005</v>
      </c>
      <c r="H1298" s="61">
        <v>1715.0840000000001</v>
      </c>
      <c r="I1298" s="62">
        <v>6.9009999999999998</v>
      </c>
      <c r="J1298" s="63">
        <v>2.4E-2</v>
      </c>
      <c r="K1298" s="68">
        <v>8.8219999999999992</v>
      </c>
      <c r="L1298" s="61">
        <v>39.531999999999996</v>
      </c>
      <c r="M1298" s="62">
        <v>5.5369999999999999</v>
      </c>
      <c r="N1298" s="66">
        <v>1.6E-2</v>
      </c>
      <c r="O1298" s="57">
        <v>57.173999999999999</v>
      </c>
      <c r="P1298" s="67">
        <v>6.8000000000000005E-2</v>
      </c>
      <c r="Q1298" s="96"/>
    </row>
    <row r="1299" spans="1:17" ht="14.25" customHeight="1" x14ac:dyDescent="0.35">
      <c r="A1299" s="1">
        <v>2021</v>
      </c>
      <c r="B1299" s="1" t="s">
        <v>29</v>
      </c>
      <c r="C1299" s="1">
        <v>21</v>
      </c>
      <c r="D1299" s="49">
        <v>112.047</v>
      </c>
      <c r="E1299" s="12">
        <f t="shared" ref="E1299:E1346" si="26">D1299*1.25</f>
        <v>140.05875</v>
      </c>
      <c r="F1299" s="50">
        <v>95.375</v>
      </c>
      <c r="G1299" s="60">
        <v>84.436000000000007</v>
      </c>
      <c r="H1299" s="61">
        <v>1735.1179999999999</v>
      </c>
      <c r="I1299" s="62">
        <v>6.9</v>
      </c>
      <c r="J1299" s="63">
        <v>2.4E-2</v>
      </c>
      <c r="K1299" s="68">
        <v>8.65</v>
      </c>
      <c r="L1299" s="65">
        <v>40.229999999999997</v>
      </c>
      <c r="M1299" s="50">
        <v>5.5430000000000001</v>
      </c>
      <c r="N1299" s="66">
        <v>1.6E-2</v>
      </c>
      <c r="O1299" s="57">
        <v>56.374000000000002</v>
      </c>
      <c r="P1299" s="67">
        <v>6.8000000000000005E-2</v>
      </c>
      <c r="Q1299" s="96"/>
    </row>
    <row r="1300" spans="1:17" ht="14.25" customHeight="1" x14ac:dyDescent="0.35">
      <c r="A1300" s="1">
        <v>2021</v>
      </c>
      <c r="B1300" s="1" t="s">
        <v>29</v>
      </c>
      <c r="C1300" s="1">
        <v>22</v>
      </c>
      <c r="D1300" s="49">
        <v>113.422</v>
      </c>
      <c r="E1300" s="12">
        <f t="shared" si="26"/>
        <v>141.7775</v>
      </c>
      <c r="F1300" s="50">
        <v>96.5</v>
      </c>
      <c r="G1300" s="60">
        <v>84.242999999999995</v>
      </c>
      <c r="H1300" s="61">
        <v>1732.039</v>
      </c>
      <c r="I1300" s="62">
        <v>6.9</v>
      </c>
      <c r="J1300" s="63">
        <v>2.5000000000000001E-2</v>
      </c>
      <c r="K1300" s="68">
        <v>8.4420000000000002</v>
      </c>
      <c r="L1300" s="61">
        <v>40.850999999999999</v>
      </c>
      <c r="M1300" s="62">
        <v>5.5590000000000002</v>
      </c>
      <c r="N1300" s="66">
        <v>1.6E-2</v>
      </c>
      <c r="O1300" s="57">
        <v>54.441000000000003</v>
      </c>
      <c r="P1300" s="67">
        <v>6.4000000000000001E-2</v>
      </c>
      <c r="Q1300" s="96"/>
    </row>
    <row r="1301" spans="1:17" ht="14.25" customHeight="1" x14ac:dyDescent="0.35">
      <c r="A1301" s="1">
        <v>2021</v>
      </c>
      <c r="B1301" s="1" t="s">
        <v>29</v>
      </c>
      <c r="C1301" s="1">
        <v>23</v>
      </c>
      <c r="D1301" s="49">
        <v>113.60899999999999</v>
      </c>
      <c r="E1301" s="12">
        <f t="shared" si="26"/>
        <v>142.01124999999999</v>
      </c>
      <c r="F1301" s="50">
        <v>96.625</v>
      </c>
      <c r="G1301" s="60">
        <v>84.052000000000007</v>
      </c>
      <c r="H1301" s="61">
        <v>1737.787</v>
      </c>
      <c r="I1301" s="62">
        <v>6.9009999999999998</v>
      </c>
      <c r="J1301" s="63">
        <v>2.5000000000000001E-2</v>
      </c>
      <c r="K1301" s="68">
        <v>8.3770000000000007</v>
      </c>
      <c r="L1301" s="65">
        <v>40.249000000000002</v>
      </c>
      <c r="M1301" s="50">
        <v>5.601</v>
      </c>
      <c r="N1301" s="66">
        <v>1.6E-2</v>
      </c>
      <c r="O1301" s="57">
        <v>49.512</v>
      </c>
      <c r="P1301" s="67">
        <v>0.06</v>
      </c>
      <c r="Q1301" s="96"/>
    </row>
    <row r="1302" spans="1:17" ht="14.25" customHeight="1" x14ac:dyDescent="0.35">
      <c r="A1302" s="1">
        <v>2021</v>
      </c>
      <c r="B1302" s="1" t="s">
        <v>29</v>
      </c>
      <c r="C1302" s="1">
        <v>24</v>
      </c>
      <c r="D1302" s="49">
        <v>110.34399999999999</v>
      </c>
      <c r="E1302" s="12">
        <f t="shared" si="26"/>
        <v>137.93</v>
      </c>
      <c r="F1302" s="50">
        <v>93.875</v>
      </c>
      <c r="G1302" s="60">
        <v>84.152000000000001</v>
      </c>
      <c r="H1302" s="61">
        <v>1722.357</v>
      </c>
      <c r="I1302" s="62">
        <v>6.899</v>
      </c>
      <c r="J1302" s="63">
        <v>2.4E-2</v>
      </c>
      <c r="K1302" s="68">
        <v>8.3819999999999997</v>
      </c>
      <c r="L1302" s="61">
        <v>39.938000000000002</v>
      </c>
      <c r="M1302" s="62">
        <v>5.6260000000000003</v>
      </c>
      <c r="N1302" s="66">
        <v>1.4999999999999999E-2</v>
      </c>
      <c r="O1302" s="57">
        <v>46.787999999999997</v>
      </c>
      <c r="P1302" s="67">
        <v>6.0999999999999999E-2</v>
      </c>
      <c r="Q1302" s="96"/>
    </row>
    <row r="1303" spans="1:17" ht="14.25" customHeight="1" x14ac:dyDescent="0.35">
      <c r="A1303" s="1">
        <v>2021</v>
      </c>
      <c r="B1303" s="1" t="s">
        <v>29</v>
      </c>
      <c r="C1303" s="1">
        <v>25</v>
      </c>
      <c r="D1303" s="49">
        <v>106.71899999999999</v>
      </c>
      <c r="E1303" s="12">
        <f t="shared" si="26"/>
        <v>133.39875000000001</v>
      </c>
      <c r="F1303" s="50">
        <v>90.843999999999994</v>
      </c>
      <c r="G1303" s="60">
        <v>83.998000000000005</v>
      </c>
      <c r="H1303" s="61">
        <v>1674.6590000000001</v>
      </c>
      <c r="I1303" s="62">
        <v>6.9</v>
      </c>
      <c r="J1303" s="63">
        <v>2.5000000000000001E-2</v>
      </c>
      <c r="K1303" s="68">
        <v>8.2140000000000004</v>
      </c>
      <c r="L1303" s="65">
        <v>39.04</v>
      </c>
      <c r="M1303" s="50">
        <v>5.6669999999999998</v>
      </c>
      <c r="N1303" s="66">
        <v>1.4999999999999999E-2</v>
      </c>
      <c r="O1303" s="57">
        <v>42.365000000000002</v>
      </c>
      <c r="P1303" s="67">
        <v>5.1999999999999998E-2</v>
      </c>
      <c r="Q1303" s="96"/>
    </row>
    <row r="1304" spans="1:17" ht="14.25" customHeight="1" x14ac:dyDescent="0.35">
      <c r="A1304" s="1">
        <v>2021</v>
      </c>
      <c r="B1304" s="1" t="s">
        <v>29</v>
      </c>
      <c r="C1304" s="1">
        <v>26</v>
      </c>
      <c r="D1304" s="49">
        <v>110.78100000000001</v>
      </c>
      <c r="E1304" s="12">
        <f t="shared" si="26"/>
        <v>138.47624999999999</v>
      </c>
      <c r="F1304" s="50">
        <v>94.313000000000002</v>
      </c>
      <c r="G1304" s="60">
        <v>83.778999999999996</v>
      </c>
      <c r="H1304" s="61">
        <v>1653.4970000000001</v>
      </c>
      <c r="I1304" s="62">
        <v>6.9</v>
      </c>
      <c r="J1304" s="63">
        <v>2.5999999999999999E-2</v>
      </c>
      <c r="K1304" s="68">
        <v>8.6129999999999995</v>
      </c>
      <c r="L1304" s="61">
        <v>38.725000000000001</v>
      </c>
      <c r="M1304" s="62">
        <v>5.6870000000000003</v>
      </c>
      <c r="N1304" s="66">
        <v>1.4999999999999999E-2</v>
      </c>
      <c r="O1304" s="57">
        <v>40.661000000000001</v>
      </c>
      <c r="P1304" s="67">
        <v>5.0999999999999997E-2</v>
      </c>
      <c r="Q1304" s="96"/>
    </row>
    <row r="1305" spans="1:17" ht="14.25" customHeight="1" x14ac:dyDescent="0.35">
      <c r="A1305" s="1">
        <v>2021</v>
      </c>
      <c r="B1305" s="1" t="s">
        <v>29</v>
      </c>
      <c r="C1305" s="1">
        <v>27</v>
      </c>
      <c r="D1305" s="49">
        <v>110.21899999999999</v>
      </c>
      <c r="E1305" s="12">
        <f t="shared" si="26"/>
        <v>137.77375000000001</v>
      </c>
      <c r="F1305" s="50">
        <v>93.718999999999994</v>
      </c>
      <c r="G1305" s="60">
        <v>84.141999999999996</v>
      </c>
      <c r="H1305" s="61">
        <v>1716.4380000000001</v>
      </c>
      <c r="I1305" s="62">
        <v>6.9</v>
      </c>
      <c r="J1305" s="63">
        <v>2.5999999999999999E-2</v>
      </c>
      <c r="K1305" s="68">
        <v>9.0500000000000007</v>
      </c>
      <c r="L1305" s="65">
        <v>39.813000000000002</v>
      </c>
      <c r="M1305" s="50">
        <v>5.6760000000000002</v>
      </c>
      <c r="N1305" s="66">
        <v>1.4999999999999999E-2</v>
      </c>
      <c r="O1305" s="57">
        <v>41.466999999999999</v>
      </c>
      <c r="P1305" s="67">
        <v>5.8999999999999997E-2</v>
      </c>
      <c r="Q1305" s="96"/>
    </row>
    <row r="1306" spans="1:17" ht="14.25" customHeight="1" x14ac:dyDescent="0.35">
      <c r="A1306" s="1">
        <v>2021</v>
      </c>
      <c r="B1306" s="1" t="s">
        <v>29</v>
      </c>
      <c r="C1306" s="1">
        <v>28</v>
      </c>
      <c r="D1306" s="49">
        <v>114.313</v>
      </c>
      <c r="E1306" s="12">
        <f t="shared" si="26"/>
        <v>142.89125000000001</v>
      </c>
      <c r="F1306" s="50">
        <v>97.188000000000002</v>
      </c>
      <c r="G1306" s="60">
        <v>84.376999999999995</v>
      </c>
      <c r="H1306" s="61">
        <v>1741.944</v>
      </c>
      <c r="I1306" s="62">
        <v>6.9</v>
      </c>
      <c r="J1306" s="63">
        <v>2.5999999999999999E-2</v>
      </c>
      <c r="K1306" s="68">
        <v>8.8480000000000008</v>
      </c>
      <c r="L1306" s="61">
        <v>41.13</v>
      </c>
      <c r="M1306" s="62">
        <v>5.6710000000000003</v>
      </c>
      <c r="N1306" s="66">
        <v>1.4999999999999999E-2</v>
      </c>
      <c r="O1306" s="57">
        <v>42.106999999999999</v>
      </c>
      <c r="P1306" s="67">
        <v>5.8999999999999997E-2</v>
      </c>
      <c r="Q1306" s="96"/>
    </row>
    <row r="1307" spans="1:17" ht="14.25" customHeight="1" x14ac:dyDescent="0.35">
      <c r="A1307" s="1">
        <v>2021</v>
      </c>
      <c r="B1307" s="1" t="s">
        <v>29</v>
      </c>
      <c r="C1307" s="1">
        <v>29</v>
      </c>
      <c r="D1307" s="49">
        <v>114.76600000000001</v>
      </c>
      <c r="E1307" s="12">
        <f t="shared" si="26"/>
        <v>143.45750000000001</v>
      </c>
      <c r="F1307" s="50">
        <v>97.563000000000002</v>
      </c>
      <c r="G1307" s="83">
        <v>84.427000000000007</v>
      </c>
      <c r="H1307" s="69">
        <v>1736.075</v>
      </c>
      <c r="I1307" s="50">
        <v>6.9009999999999998</v>
      </c>
      <c r="J1307" s="66">
        <v>2.5999999999999999E-2</v>
      </c>
      <c r="K1307" s="117">
        <v>8.8610000000000007</v>
      </c>
      <c r="L1307" s="61">
        <v>41.075000000000003</v>
      </c>
      <c r="M1307" s="62">
        <v>5.6630000000000003</v>
      </c>
      <c r="N1307" s="66">
        <v>1.4999999999999999E-2</v>
      </c>
      <c r="O1307" s="57">
        <v>42.9</v>
      </c>
      <c r="P1307" s="84">
        <v>6.0999999999999999E-2</v>
      </c>
      <c r="Q1307" s="96"/>
    </row>
    <row r="1308" spans="1:17" ht="14.25" customHeight="1" x14ac:dyDescent="0.35">
      <c r="A1308" s="1">
        <v>2021</v>
      </c>
      <c r="B1308" s="1" t="s">
        <v>29</v>
      </c>
      <c r="C1308" s="1">
        <v>30</v>
      </c>
      <c r="D1308" s="49">
        <v>112.375</v>
      </c>
      <c r="E1308" s="12">
        <f t="shared" si="26"/>
        <v>140.46875</v>
      </c>
      <c r="F1308" s="50">
        <v>95.531000000000006</v>
      </c>
      <c r="G1308" s="83">
        <v>84.203000000000003</v>
      </c>
      <c r="H1308" s="69">
        <v>1750.5350000000001</v>
      </c>
      <c r="I1308" s="50">
        <v>6.9</v>
      </c>
      <c r="J1308" s="66">
        <v>2.5999999999999999E-2</v>
      </c>
      <c r="K1308" s="117">
        <v>8.5850000000000009</v>
      </c>
      <c r="L1308" s="61">
        <v>41.658000000000001</v>
      </c>
      <c r="M1308" s="62">
        <v>5.5759999999999996</v>
      </c>
      <c r="N1308" s="66">
        <v>1.6E-2</v>
      </c>
      <c r="O1308" s="57">
        <v>52.941000000000003</v>
      </c>
      <c r="P1308" s="84">
        <v>0.06</v>
      </c>
      <c r="Q1308" s="96"/>
    </row>
    <row r="1309" spans="1:17" ht="14.25" customHeight="1" x14ac:dyDescent="0.35">
      <c r="A1309" s="1">
        <v>2021</v>
      </c>
      <c r="B1309" s="1" t="s">
        <v>29</v>
      </c>
      <c r="C1309" s="1">
        <v>31</v>
      </c>
      <c r="D1309" s="104">
        <v>114.78100000000001</v>
      </c>
      <c r="E1309" s="12">
        <f t="shared" si="26"/>
        <v>143.47624999999999</v>
      </c>
      <c r="F1309" s="105">
        <v>97.593999999999994</v>
      </c>
      <c r="G1309" s="87">
        <v>84.144000000000005</v>
      </c>
      <c r="H1309" s="88">
        <v>1714.865</v>
      </c>
      <c r="I1309" s="89">
        <v>6.9</v>
      </c>
      <c r="J1309" s="90">
        <v>2.5999999999999999E-2</v>
      </c>
      <c r="K1309" s="131">
        <v>8.52</v>
      </c>
      <c r="L1309" s="61">
        <v>40.503999999999998</v>
      </c>
      <c r="M1309" s="64">
        <v>5.5030000000000001</v>
      </c>
      <c r="N1309" s="66">
        <v>1.4999999999999999E-2</v>
      </c>
      <c r="O1309" s="57">
        <v>61.792999999999999</v>
      </c>
      <c r="P1309" s="66">
        <v>5.7000000000000002E-2</v>
      </c>
      <c r="Q1309" s="96"/>
    </row>
    <row r="1310" spans="1:17" ht="14.25" customHeight="1" x14ac:dyDescent="0.35">
      <c r="A1310" s="1">
        <v>2021</v>
      </c>
      <c r="B1310" s="1" t="s">
        <v>30</v>
      </c>
      <c r="C1310" s="1">
        <v>1</v>
      </c>
      <c r="D1310" s="49">
        <v>107.422</v>
      </c>
      <c r="E1310" s="12">
        <f t="shared" si="26"/>
        <v>134.2775</v>
      </c>
      <c r="F1310" s="50">
        <v>91.313000000000002</v>
      </c>
      <c r="G1310" s="51">
        <v>84.174000000000007</v>
      </c>
      <c r="H1310" s="52">
        <v>1654.5650000000001</v>
      </c>
      <c r="I1310" s="53">
        <v>6.9</v>
      </c>
      <c r="J1310" s="54">
        <v>2.5999999999999999E-2</v>
      </c>
      <c r="K1310" s="59">
        <v>8.4039999999999999</v>
      </c>
      <c r="L1310" s="52">
        <v>39.003</v>
      </c>
      <c r="M1310" s="55">
        <v>5.5060000000000002</v>
      </c>
      <c r="N1310" s="56">
        <v>1.4999999999999999E-2</v>
      </c>
      <c r="O1310" s="57">
        <v>61.673999999999999</v>
      </c>
      <c r="P1310" s="58">
        <v>5.3999999999999999E-2</v>
      </c>
      <c r="Q1310" s="96"/>
    </row>
    <row r="1311" spans="1:17" ht="14.25" customHeight="1" x14ac:dyDescent="0.35">
      <c r="A1311" s="1">
        <v>2021</v>
      </c>
      <c r="B1311" s="1" t="s">
        <v>30</v>
      </c>
      <c r="C1311" s="1">
        <v>2</v>
      </c>
      <c r="D1311" s="49">
        <v>111.71899999999999</v>
      </c>
      <c r="E1311" s="12">
        <f t="shared" si="26"/>
        <v>139.64875000000001</v>
      </c>
      <c r="F1311" s="50">
        <v>95</v>
      </c>
      <c r="G1311" s="60">
        <v>84.257000000000005</v>
      </c>
      <c r="H1311" s="61">
        <v>1640.3009999999999</v>
      </c>
      <c r="I1311" s="62">
        <v>6.9</v>
      </c>
      <c r="J1311" s="63">
        <v>2.7E-2</v>
      </c>
      <c r="K1311" s="68">
        <v>8.5609999999999999</v>
      </c>
      <c r="L1311" s="65">
        <v>39.442999999999998</v>
      </c>
      <c r="M1311" s="50">
        <v>5.508</v>
      </c>
      <c r="N1311" s="66">
        <v>1.4999999999999999E-2</v>
      </c>
      <c r="O1311" s="57">
        <v>61.34</v>
      </c>
      <c r="P1311" s="67">
        <v>5.3999999999999999E-2</v>
      </c>
      <c r="Q1311" s="96"/>
    </row>
    <row r="1312" spans="1:17" ht="14.25" customHeight="1" x14ac:dyDescent="0.35">
      <c r="A1312" s="1">
        <v>2021</v>
      </c>
      <c r="B1312" s="1" t="s">
        <v>30</v>
      </c>
      <c r="C1312" s="1">
        <v>3</v>
      </c>
      <c r="D1312" s="49">
        <v>113.14100000000001</v>
      </c>
      <c r="E1312" s="12">
        <f t="shared" si="26"/>
        <v>141.42625000000001</v>
      </c>
      <c r="F1312" s="50">
        <v>96.188000000000002</v>
      </c>
      <c r="G1312" s="60">
        <v>84.361000000000004</v>
      </c>
      <c r="H1312" s="61">
        <v>1735.808</v>
      </c>
      <c r="I1312" s="62">
        <v>6.9</v>
      </c>
      <c r="J1312" s="63">
        <v>2.7E-2</v>
      </c>
      <c r="K1312" s="68">
        <v>8.6859999999999999</v>
      </c>
      <c r="L1312" s="65">
        <v>41.718000000000004</v>
      </c>
      <c r="M1312" s="50">
        <v>5.5019999999999998</v>
      </c>
      <c r="N1312" s="66">
        <v>1.4999999999999999E-2</v>
      </c>
      <c r="O1312" s="57">
        <v>62.091999999999999</v>
      </c>
      <c r="P1312" s="67">
        <v>6.0999999999999999E-2</v>
      </c>
      <c r="Q1312" s="96"/>
    </row>
    <row r="1313" spans="1:17" ht="14.25" customHeight="1" x14ac:dyDescent="0.35">
      <c r="A1313" s="1">
        <v>2021</v>
      </c>
      <c r="B1313" s="1" t="s">
        <v>30</v>
      </c>
      <c r="C1313" s="1">
        <v>4</v>
      </c>
      <c r="D1313" s="49">
        <v>115.01600000000001</v>
      </c>
      <c r="E1313" s="12">
        <f t="shared" si="26"/>
        <v>143.77000000000001</v>
      </c>
      <c r="F1313" s="50">
        <v>97.875</v>
      </c>
      <c r="G1313" s="60">
        <v>84.515000000000001</v>
      </c>
      <c r="H1313" s="61">
        <v>1767.7760000000001</v>
      </c>
      <c r="I1313" s="62">
        <v>6.9</v>
      </c>
      <c r="J1313" s="63">
        <v>2.7E-2</v>
      </c>
      <c r="K1313" s="68">
        <v>8.4190000000000005</v>
      </c>
      <c r="L1313" s="65">
        <v>41.643999999999998</v>
      </c>
      <c r="M1313" s="50">
        <v>5.4729999999999999</v>
      </c>
      <c r="N1313" s="66">
        <v>1.4999999999999999E-2</v>
      </c>
      <c r="O1313" s="57">
        <v>66.489000000000004</v>
      </c>
      <c r="P1313" s="67">
        <v>5.8999999999999997E-2</v>
      </c>
      <c r="Q1313" s="96"/>
    </row>
    <row r="1314" spans="1:17" ht="14.25" customHeight="1" x14ac:dyDescent="0.35">
      <c r="A1314" s="1">
        <v>2021</v>
      </c>
      <c r="B1314" s="1" t="s">
        <v>30</v>
      </c>
      <c r="C1314" s="1">
        <v>5</v>
      </c>
      <c r="D1314" s="49">
        <v>110.76600000000001</v>
      </c>
      <c r="E1314" s="12">
        <f t="shared" si="26"/>
        <v>138.45750000000001</v>
      </c>
      <c r="F1314" s="50">
        <v>94.218999999999994</v>
      </c>
      <c r="G1314" s="60">
        <v>84.54</v>
      </c>
      <c r="H1314" s="61">
        <v>1735.7139999999999</v>
      </c>
      <c r="I1314" s="62">
        <v>6.9</v>
      </c>
      <c r="J1314" s="63">
        <v>2.7E-2</v>
      </c>
      <c r="K1314" s="68">
        <v>8.4619999999999997</v>
      </c>
      <c r="L1314" s="65">
        <v>39.93</v>
      </c>
      <c r="M1314" s="50">
        <v>5.4660000000000002</v>
      </c>
      <c r="N1314" s="66">
        <v>1.4999999999999999E-2</v>
      </c>
      <c r="O1314" s="57">
        <v>67.484999999999999</v>
      </c>
      <c r="P1314" s="67">
        <v>5.8999999999999997E-2</v>
      </c>
      <c r="Q1314" s="96"/>
    </row>
    <row r="1315" spans="1:17" ht="14.25" customHeight="1" x14ac:dyDescent="0.35">
      <c r="A1315" s="1">
        <v>2021</v>
      </c>
      <c r="B1315" s="1" t="s">
        <v>30</v>
      </c>
      <c r="C1315" s="1">
        <v>6</v>
      </c>
      <c r="D1315" s="49">
        <v>112.15600000000001</v>
      </c>
      <c r="E1315" s="12">
        <f t="shared" si="26"/>
        <v>140.19499999999999</v>
      </c>
      <c r="F1315" s="50">
        <v>95.281000000000006</v>
      </c>
      <c r="G1315" s="60">
        <v>84.225999999999999</v>
      </c>
      <c r="H1315" s="61">
        <v>1745.9749999999999</v>
      </c>
      <c r="I1315" s="62">
        <v>6.9</v>
      </c>
      <c r="J1315" s="63">
        <v>2.7E-2</v>
      </c>
      <c r="K1315" s="68">
        <v>8.6720000000000006</v>
      </c>
      <c r="L1315" s="65">
        <v>41.542000000000002</v>
      </c>
      <c r="M1315" s="50">
        <v>5.5049999999999999</v>
      </c>
      <c r="N1315" s="66">
        <v>1.6E-2</v>
      </c>
      <c r="O1315" s="57">
        <v>61.598999999999997</v>
      </c>
      <c r="P1315" s="67">
        <v>6.0999999999999999E-2</v>
      </c>
      <c r="Q1315" s="96"/>
    </row>
    <row r="1316" spans="1:17" ht="14.25" customHeight="1" x14ac:dyDescent="0.35">
      <c r="A1316" s="1">
        <v>2021</v>
      </c>
      <c r="B1316" s="1" t="s">
        <v>30</v>
      </c>
      <c r="C1316" s="1">
        <v>7</v>
      </c>
      <c r="D1316" s="49">
        <v>110.71899999999999</v>
      </c>
      <c r="E1316" s="12">
        <f t="shared" si="26"/>
        <v>138.39875000000001</v>
      </c>
      <c r="F1316" s="50">
        <v>94.188000000000002</v>
      </c>
      <c r="G1316" s="60">
        <v>84.263999999999996</v>
      </c>
      <c r="H1316" s="61">
        <v>1717.5550000000001</v>
      </c>
      <c r="I1316" s="62">
        <v>6.9</v>
      </c>
      <c r="J1316" s="63">
        <v>2.7E-2</v>
      </c>
      <c r="K1316" s="68">
        <v>8.5120000000000005</v>
      </c>
      <c r="L1316" s="65">
        <v>40.887</v>
      </c>
      <c r="M1316" s="50">
        <v>5.5140000000000002</v>
      </c>
      <c r="N1316" s="66">
        <v>1.6E-2</v>
      </c>
      <c r="O1316" s="57">
        <v>60.293999999999997</v>
      </c>
      <c r="P1316" s="67">
        <v>5.8000000000000003E-2</v>
      </c>
      <c r="Q1316" s="96"/>
    </row>
    <row r="1317" spans="1:17" ht="14.25" customHeight="1" x14ac:dyDescent="0.35">
      <c r="A1317" s="1">
        <v>2021</v>
      </c>
      <c r="B1317" s="1" t="s">
        <v>30</v>
      </c>
      <c r="C1317" s="1">
        <v>8</v>
      </c>
      <c r="D1317" s="49">
        <v>107.65600000000001</v>
      </c>
      <c r="E1317" s="12">
        <f t="shared" si="26"/>
        <v>134.57</v>
      </c>
      <c r="F1317" s="50">
        <v>91.593999999999994</v>
      </c>
      <c r="G1317" s="60">
        <v>84.421000000000006</v>
      </c>
      <c r="H1317" s="69">
        <v>1657.7719999999999</v>
      </c>
      <c r="I1317" s="62">
        <v>6.9</v>
      </c>
      <c r="J1317" s="63">
        <v>2.8000000000000001E-2</v>
      </c>
      <c r="K1317" s="71">
        <v>8.3290000000000006</v>
      </c>
      <c r="L1317" s="65">
        <v>41.015999999999998</v>
      </c>
      <c r="M1317" s="50">
        <v>5.4969999999999999</v>
      </c>
      <c r="N1317" s="66">
        <v>1.6E-2</v>
      </c>
      <c r="O1317" s="57">
        <v>63.003</v>
      </c>
      <c r="P1317" s="70">
        <v>5.3999999999999999E-2</v>
      </c>
      <c r="Q1317" s="96"/>
    </row>
    <row r="1318" spans="1:17" ht="14.25" customHeight="1" x14ac:dyDescent="0.35">
      <c r="A1318" s="1">
        <v>2021</v>
      </c>
      <c r="B1318" s="1" t="s">
        <v>30</v>
      </c>
      <c r="C1318" s="1">
        <v>9</v>
      </c>
      <c r="D1318" s="49">
        <v>97.5</v>
      </c>
      <c r="E1318" s="12">
        <f t="shared" si="26"/>
        <v>121.875</v>
      </c>
      <c r="F1318" s="50">
        <v>82.906000000000006</v>
      </c>
      <c r="G1318" s="60">
        <v>84.317999999999998</v>
      </c>
      <c r="H1318" s="61">
        <v>1631.414</v>
      </c>
      <c r="I1318" s="62">
        <v>6.899</v>
      </c>
      <c r="J1318" s="63">
        <v>2.8000000000000001E-2</v>
      </c>
      <c r="K1318" s="68">
        <v>8.548</v>
      </c>
      <c r="L1318" s="65">
        <v>39.978999999999999</v>
      </c>
      <c r="M1318" s="50">
        <v>5.5</v>
      </c>
      <c r="N1318" s="66">
        <v>1.6E-2</v>
      </c>
      <c r="O1318" s="57">
        <v>62.305999999999997</v>
      </c>
      <c r="P1318" s="67">
        <v>5.5E-2</v>
      </c>
      <c r="Q1318" s="96"/>
    </row>
    <row r="1319" spans="1:17" ht="14.25" customHeight="1" x14ac:dyDescent="0.35">
      <c r="A1319" s="1">
        <v>2021</v>
      </c>
      <c r="B1319" s="1" t="s">
        <v>30</v>
      </c>
      <c r="C1319" s="1">
        <v>10</v>
      </c>
      <c r="D1319" s="49">
        <v>80.203000000000003</v>
      </c>
      <c r="E1319" s="12">
        <f t="shared" si="26"/>
        <v>100.25375</v>
      </c>
      <c r="F1319" s="50">
        <v>67.718999999999994</v>
      </c>
      <c r="G1319" s="72">
        <v>84.652000000000001</v>
      </c>
      <c r="H1319" s="61">
        <v>1728.29</v>
      </c>
      <c r="I1319" s="62">
        <v>6.9</v>
      </c>
      <c r="J1319" s="63">
        <v>2.9000000000000001E-2</v>
      </c>
      <c r="K1319" s="76">
        <v>8.4849999999999994</v>
      </c>
      <c r="L1319" s="65">
        <v>40.667000000000002</v>
      </c>
      <c r="M1319" s="50">
        <v>5.47</v>
      </c>
      <c r="N1319" s="74">
        <v>1.6E-2</v>
      </c>
      <c r="O1319" s="57">
        <v>66.781999999999996</v>
      </c>
      <c r="P1319" s="75">
        <v>0.06</v>
      </c>
      <c r="Q1319" s="96"/>
    </row>
    <row r="1320" spans="1:17" ht="14.25" customHeight="1" x14ac:dyDescent="0.35">
      <c r="A1320" s="1">
        <v>2021</v>
      </c>
      <c r="B1320" s="1" t="s">
        <v>30</v>
      </c>
      <c r="C1320" s="1">
        <v>11</v>
      </c>
      <c r="D1320" s="49">
        <v>61.094000000000001</v>
      </c>
      <c r="E1320" s="12">
        <f t="shared" si="26"/>
        <v>76.367500000000007</v>
      </c>
      <c r="F1320" s="50">
        <v>51.530999999999999</v>
      </c>
      <c r="G1320" s="72">
        <v>84.853999999999999</v>
      </c>
      <c r="H1320" s="61">
        <v>1743.299</v>
      </c>
      <c r="I1320" s="62">
        <v>6.9</v>
      </c>
      <c r="J1320" s="63">
        <v>3.1E-2</v>
      </c>
      <c r="K1320" s="76">
        <v>8.2289999999999992</v>
      </c>
      <c r="L1320" s="65">
        <v>44.039000000000001</v>
      </c>
      <c r="M1320" s="50">
        <v>5.4790000000000001</v>
      </c>
      <c r="N1320" s="74">
        <v>1.7000000000000001E-2</v>
      </c>
      <c r="O1320" s="57">
        <v>65.456000000000003</v>
      </c>
      <c r="P1320" s="75">
        <v>6.0999999999999999E-2</v>
      </c>
      <c r="Q1320" s="96"/>
    </row>
    <row r="1321" spans="1:17" ht="14.25" customHeight="1" x14ac:dyDescent="0.35">
      <c r="A1321" s="1">
        <v>2021</v>
      </c>
      <c r="B1321" s="1" t="s">
        <v>30</v>
      </c>
      <c r="C1321" s="1">
        <v>12</v>
      </c>
      <c r="D1321" s="49">
        <v>51.469000000000001</v>
      </c>
      <c r="E1321" s="12">
        <f t="shared" si="26"/>
        <v>64.336250000000007</v>
      </c>
      <c r="F1321" s="50">
        <v>43.530999999999999</v>
      </c>
      <c r="G1321" s="72">
        <v>85.13</v>
      </c>
      <c r="H1321" s="61">
        <v>1720.01</v>
      </c>
      <c r="I1321" s="62">
        <v>6.9</v>
      </c>
      <c r="J1321" s="63">
        <v>3.5000000000000003E-2</v>
      </c>
      <c r="K1321" s="76">
        <v>8.2639999999999993</v>
      </c>
      <c r="L1321" s="65">
        <v>45.426000000000002</v>
      </c>
      <c r="M1321" s="50">
        <v>5.49</v>
      </c>
      <c r="N1321" s="74">
        <v>1.7999999999999999E-2</v>
      </c>
      <c r="O1321" s="57">
        <v>63.835999999999999</v>
      </c>
      <c r="P1321" s="75">
        <v>6.4000000000000001E-2</v>
      </c>
      <c r="Q1321" s="96"/>
    </row>
    <row r="1322" spans="1:17" ht="14.25" customHeight="1" x14ac:dyDescent="0.35">
      <c r="A1322" s="1">
        <v>2021</v>
      </c>
      <c r="B1322" s="1" t="s">
        <v>30</v>
      </c>
      <c r="C1322" s="1">
        <v>13</v>
      </c>
      <c r="D1322" s="49">
        <v>35.578000000000003</v>
      </c>
      <c r="E1322" s="12">
        <f t="shared" si="26"/>
        <v>44.472500000000004</v>
      </c>
      <c r="F1322" s="50">
        <v>30.155999999999999</v>
      </c>
      <c r="G1322" s="78">
        <v>85.097999999999999</v>
      </c>
      <c r="H1322" s="61">
        <v>1703.308</v>
      </c>
      <c r="I1322" s="62">
        <v>6.9</v>
      </c>
      <c r="J1322" s="63">
        <v>0.03</v>
      </c>
      <c r="K1322" s="81">
        <v>8.2850000000000001</v>
      </c>
      <c r="L1322" s="65">
        <v>44.927</v>
      </c>
      <c r="M1322" s="50">
        <v>5.4729999999999999</v>
      </c>
      <c r="N1322" s="66">
        <v>1.9E-2</v>
      </c>
      <c r="O1322" s="57">
        <v>67.012</v>
      </c>
      <c r="P1322" s="80">
        <v>6.7000000000000004E-2</v>
      </c>
      <c r="Q1322" s="96"/>
    </row>
    <row r="1323" spans="1:17" ht="14.25" customHeight="1" x14ac:dyDescent="0.35">
      <c r="A1323" s="1">
        <v>2021</v>
      </c>
      <c r="B1323" s="1" t="s">
        <v>30</v>
      </c>
      <c r="C1323" s="1">
        <v>14</v>
      </c>
      <c r="D1323" s="49">
        <v>20.234000000000002</v>
      </c>
      <c r="E1323" s="12">
        <f t="shared" si="26"/>
        <v>25.292500000000004</v>
      </c>
      <c r="F1323" s="50">
        <v>17.312999999999999</v>
      </c>
      <c r="G1323" s="60">
        <v>84.965999999999994</v>
      </c>
      <c r="H1323" s="61">
        <v>1699.2429999999999</v>
      </c>
      <c r="I1323" s="62">
        <v>6.899</v>
      </c>
      <c r="J1323" s="63">
        <v>0.03</v>
      </c>
      <c r="K1323" s="81">
        <v>8.359</v>
      </c>
      <c r="L1323" s="82">
        <v>44.106999999999999</v>
      </c>
      <c r="M1323" s="50">
        <v>5.5860000000000003</v>
      </c>
      <c r="N1323" s="66">
        <v>1.7999999999999999E-2</v>
      </c>
      <c r="O1323" s="57">
        <v>51.664000000000001</v>
      </c>
      <c r="P1323" s="80">
        <v>7.3999999999999996E-2</v>
      </c>
      <c r="Q1323" s="96"/>
    </row>
    <row r="1324" spans="1:17" ht="14.25" customHeight="1" x14ac:dyDescent="0.35">
      <c r="A1324" s="1">
        <v>2021</v>
      </c>
      <c r="B1324" s="1" t="s">
        <v>30</v>
      </c>
      <c r="C1324" s="1">
        <v>15</v>
      </c>
      <c r="D1324" s="49">
        <v>9.266</v>
      </c>
      <c r="E1324" s="12">
        <f t="shared" si="26"/>
        <v>11.5825</v>
      </c>
      <c r="F1324" s="50">
        <v>8</v>
      </c>
      <c r="G1324" s="60">
        <v>81.668000000000006</v>
      </c>
      <c r="H1324" s="61">
        <v>1314.48</v>
      </c>
      <c r="I1324" s="62">
        <v>6.944</v>
      </c>
      <c r="J1324" s="63">
        <v>0.21299999999999999</v>
      </c>
      <c r="K1324" s="76">
        <v>8.4309999999999992</v>
      </c>
      <c r="L1324" s="65">
        <v>60.000999999999998</v>
      </c>
      <c r="M1324" s="50">
        <v>6.1959999999999997</v>
      </c>
      <c r="N1324" s="66">
        <v>3.2000000000000001E-2</v>
      </c>
      <c r="O1324" s="57">
        <v>28.51</v>
      </c>
      <c r="P1324" s="75">
        <v>7.0999999999999994E-2</v>
      </c>
      <c r="Q1324" s="96"/>
    </row>
    <row r="1325" spans="1:17" ht="14.25" customHeight="1" x14ac:dyDescent="0.35">
      <c r="A1325" s="1">
        <v>2021</v>
      </c>
      <c r="B1325" s="1" t="s">
        <v>30</v>
      </c>
      <c r="C1325" s="1">
        <v>16</v>
      </c>
      <c r="D1325" s="49">
        <v>0</v>
      </c>
      <c r="E1325" s="12">
        <f t="shared" si="26"/>
        <v>0</v>
      </c>
      <c r="F1325" s="50">
        <v>0</v>
      </c>
      <c r="G1325" s="60">
        <v>0</v>
      </c>
      <c r="H1325" s="61">
        <v>0</v>
      </c>
      <c r="I1325" s="62">
        <v>0</v>
      </c>
      <c r="J1325" s="63">
        <v>0</v>
      </c>
      <c r="K1325" s="81">
        <v>0</v>
      </c>
      <c r="L1325" s="61">
        <v>0</v>
      </c>
      <c r="M1325" s="62">
        <v>0</v>
      </c>
      <c r="N1325" s="66">
        <v>0</v>
      </c>
      <c r="O1325" s="57">
        <v>0</v>
      </c>
      <c r="P1325" s="80">
        <v>0</v>
      </c>
      <c r="Q1325" s="96"/>
    </row>
    <row r="1326" spans="1:17" ht="14.25" customHeight="1" x14ac:dyDescent="0.35">
      <c r="A1326" s="1">
        <v>2021</v>
      </c>
      <c r="B1326" s="1" t="s">
        <v>30</v>
      </c>
      <c r="C1326" s="1">
        <v>17</v>
      </c>
      <c r="D1326" s="49">
        <v>0</v>
      </c>
      <c r="E1326" s="12">
        <f t="shared" si="26"/>
        <v>0</v>
      </c>
      <c r="F1326" s="50">
        <v>0</v>
      </c>
      <c r="G1326" s="60">
        <v>0</v>
      </c>
      <c r="H1326" s="61">
        <v>0</v>
      </c>
      <c r="I1326" s="62">
        <v>0</v>
      </c>
      <c r="J1326" s="63">
        <v>0</v>
      </c>
      <c r="K1326" s="68">
        <v>0</v>
      </c>
      <c r="L1326" s="65">
        <v>0</v>
      </c>
      <c r="M1326" s="50">
        <v>0</v>
      </c>
      <c r="N1326" s="66">
        <v>0</v>
      </c>
      <c r="O1326" s="57">
        <v>0</v>
      </c>
      <c r="P1326" s="67">
        <v>0</v>
      </c>
      <c r="Q1326" s="96"/>
    </row>
    <row r="1327" spans="1:17" ht="14.25" customHeight="1" x14ac:dyDescent="0.35">
      <c r="A1327" s="1">
        <v>2021</v>
      </c>
      <c r="B1327" s="1" t="s">
        <v>30</v>
      </c>
      <c r="C1327" s="1">
        <v>18</v>
      </c>
      <c r="D1327" s="49">
        <v>0</v>
      </c>
      <c r="E1327" s="12">
        <f t="shared" si="26"/>
        <v>0</v>
      </c>
      <c r="F1327" s="50">
        <v>0</v>
      </c>
      <c r="G1327" s="60">
        <v>0</v>
      </c>
      <c r="H1327" s="61">
        <v>0</v>
      </c>
      <c r="I1327" s="62">
        <v>0</v>
      </c>
      <c r="J1327" s="63">
        <v>0</v>
      </c>
      <c r="K1327" s="68">
        <v>0</v>
      </c>
      <c r="L1327" s="65">
        <v>0</v>
      </c>
      <c r="M1327" s="50">
        <v>0</v>
      </c>
      <c r="N1327" s="66">
        <v>0</v>
      </c>
      <c r="O1327" s="57">
        <v>0</v>
      </c>
      <c r="P1327" s="67">
        <v>0</v>
      </c>
      <c r="Q1327" s="96"/>
    </row>
    <row r="1328" spans="1:17" ht="14.25" customHeight="1" x14ac:dyDescent="0.35">
      <c r="A1328" s="1">
        <v>2021</v>
      </c>
      <c r="B1328" s="1" t="s">
        <v>30</v>
      </c>
      <c r="C1328" s="1">
        <v>19</v>
      </c>
      <c r="D1328" s="49">
        <v>0</v>
      </c>
      <c r="E1328" s="12">
        <f t="shared" si="26"/>
        <v>0</v>
      </c>
      <c r="F1328" s="50">
        <v>0</v>
      </c>
      <c r="G1328" s="60">
        <v>0</v>
      </c>
      <c r="H1328" s="61">
        <v>0</v>
      </c>
      <c r="I1328" s="62">
        <v>0</v>
      </c>
      <c r="J1328" s="63">
        <v>0</v>
      </c>
      <c r="K1328" s="68">
        <v>0</v>
      </c>
      <c r="L1328" s="65">
        <v>0</v>
      </c>
      <c r="M1328" s="50">
        <v>0</v>
      </c>
      <c r="N1328" s="66">
        <v>0</v>
      </c>
      <c r="O1328" s="57">
        <v>0</v>
      </c>
      <c r="P1328" s="67">
        <v>0</v>
      </c>
      <c r="Q1328" s="96"/>
    </row>
    <row r="1329" spans="1:17" ht="14.25" customHeight="1" x14ac:dyDescent="0.35">
      <c r="A1329" s="1">
        <v>2021</v>
      </c>
      <c r="B1329" s="1" t="s">
        <v>30</v>
      </c>
      <c r="C1329" s="1">
        <v>20</v>
      </c>
      <c r="D1329" s="49">
        <v>0</v>
      </c>
      <c r="E1329" s="12">
        <f t="shared" si="26"/>
        <v>0</v>
      </c>
      <c r="F1329" s="50">
        <v>0</v>
      </c>
      <c r="G1329" s="60">
        <v>0</v>
      </c>
      <c r="H1329" s="61">
        <v>0</v>
      </c>
      <c r="I1329" s="62">
        <v>0</v>
      </c>
      <c r="J1329" s="63">
        <v>0</v>
      </c>
      <c r="K1329" s="68">
        <v>0</v>
      </c>
      <c r="L1329" s="61">
        <v>0</v>
      </c>
      <c r="M1329" s="62">
        <v>0</v>
      </c>
      <c r="N1329" s="66">
        <v>0</v>
      </c>
      <c r="O1329" s="57">
        <v>0</v>
      </c>
      <c r="P1329" s="67">
        <v>0</v>
      </c>
      <c r="Q1329" s="96"/>
    </row>
    <row r="1330" spans="1:17" ht="14.25" customHeight="1" x14ac:dyDescent="0.35">
      <c r="A1330" s="1">
        <v>2021</v>
      </c>
      <c r="B1330" s="1" t="s">
        <v>30</v>
      </c>
      <c r="C1330" s="1">
        <v>21</v>
      </c>
      <c r="D1330" s="49">
        <v>0</v>
      </c>
      <c r="E1330" s="12">
        <f t="shared" si="26"/>
        <v>0</v>
      </c>
      <c r="F1330" s="50">
        <v>0</v>
      </c>
      <c r="G1330" s="60">
        <v>0</v>
      </c>
      <c r="H1330" s="61">
        <v>0</v>
      </c>
      <c r="I1330" s="62">
        <v>0</v>
      </c>
      <c r="J1330" s="63">
        <v>0</v>
      </c>
      <c r="K1330" s="68">
        <v>0</v>
      </c>
      <c r="L1330" s="65">
        <v>0</v>
      </c>
      <c r="M1330" s="50">
        <v>0</v>
      </c>
      <c r="N1330" s="66">
        <v>0</v>
      </c>
      <c r="O1330" s="57">
        <v>0</v>
      </c>
      <c r="P1330" s="67">
        <v>0</v>
      </c>
      <c r="Q1330" s="96"/>
    </row>
    <row r="1331" spans="1:17" ht="14.25" customHeight="1" x14ac:dyDescent="0.35">
      <c r="A1331" s="1">
        <v>2021</v>
      </c>
      <c r="B1331" s="1" t="s">
        <v>30</v>
      </c>
      <c r="C1331" s="1">
        <v>22</v>
      </c>
      <c r="D1331" s="49">
        <v>0</v>
      </c>
      <c r="E1331" s="12">
        <f t="shared" si="26"/>
        <v>0</v>
      </c>
      <c r="F1331" s="50">
        <v>0</v>
      </c>
      <c r="G1331" s="60">
        <v>0</v>
      </c>
      <c r="H1331" s="61">
        <v>0</v>
      </c>
      <c r="I1331" s="62">
        <v>0</v>
      </c>
      <c r="J1331" s="63">
        <v>0</v>
      </c>
      <c r="K1331" s="68">
        <v>0</v>
      </c>
      <c r="L1331" s="61">
        <v>0</v>
      </c>
      <c r="M1331" s="62">
        <v>0</v>
      </c>
      <c r="N1331" s="66">
        <v>0</v>
      </c>
      <c r="O1331" s="57">
        <v>0</v>
      </c>
      <c r="P1331" s="67">
        <v>0</v>
      </c>
      <c r="Q1331" s="96"/>
    </row>
    <row r="1332" spans="1:17" ht="14.25" customHeight="1" x14ac:dyDescent="0.35">
      <c r="A1332" s="1">
        <v>2021</v>
      </c>
      <c r="B1332" s="1" t="s">
        <v>30</v>
      </c>
      <c r="C1332" s="1">
        <v>23</v>
      </c>
      <c r="D1332" s="49">
        <v>0</v>
      </c>
      <c r="E1332" s="12">
        <f t="shared" si="26"/>
        <v>0</v>
      </c>
      <c r="F1332" s="50">
        <v>0</v>
      </c>
      <c r="G1332" s="60">
        <v>0</v>
      </c>
      <c r="H1332" s="61">
        <v>0</v>
      </c>
      <c r="I1332" s="62">
        <v>0</v>
      </c>
      <c r="J1332" s="63">
        <v>0</v>
      </c>
      <c r="K1332" s="68">
        <v>0</v>
      </c>
      <c r="L1332" s="65">
        <v>0</v>
      </c>
      <c r="M1332" s="50">
        <v>0</v>
      </c>
      <c r="N1332" s="66">
        <v>0</v>
      </c>
      <c r="O1332" s="57">
        <v>0</v>
      </c>
      <c r="P1332" s="67">
        <v>0</v>
      </c>
      <c r="Q1332" s="96"/>
    </row>
    <row r="1333" spans="1:17" ht="14.25" customHeight="1" x14ac:dyDescent="0.35">
      <c r="A1333" s="1">
        <v>2021</v>
      </c>
      <c r="B1333" s="1" t="s">
        <v>30</v>
      </c>
      <c r="C1333" s="1">
        <v>24</v>
      </c>
      <c r="D1333" s="49">
        <v>0</v>
      </c>
      <c r="E1333" s="12">
        <f t="shared" si="26"/>
        <v>0</v>
      </c>
      <c r="F1333" s="50">
        <v>0</v>
      </c>
      <c r="G1333" s="60">
        <v>0</v>
      </c>
      <c r="H1333" s="61">
        <v>0</v>
      </c>
      <c r="I1333" s="62">
        <v>0</v>
      </c>
      <c r="J1333" s="63">
        <v>0</v>
      </c>
      <c r="K1333" s="68">
        <v>0</v>
      </c>
      <c r="L1333" s="61">
        <v>0</v>
      </c>
      <c r="M1333" s="62">
        <v>0</v>
      </c>
      <c r="N1333" s="66">
        <v>0</v>
      </c>
      <c r="O1333" s="57">
        <v>0</v>
      </c>
      <c r="P1333" s="67">
        <v>0</v>
      </c>
      <c r="Q1333" s="96"/>
    </row>
    <row r="1334" spans="1:17" ht="14.25" customHeight="1" x14ac:dyDescent="0.35">
      <c r="A1334" s="1">
        <v>2021</v>
      </c>
      <c r="B1334" s="1" t="s">
        <v>30</v>
      </c>
      <c r="C1334" s="1">
        <v>25</v>
      </c>
      <c r="D1334" s="49">
        <v>0</v>
      </c>
      <c r="E1334" s="12">
        <f t="shared" si="26"/>
        <v>0</v>
      </c>
      <c r="F1334" s="50">
        <v>0</v>
      </c>
      <c r="G1334" s="60">
        <v>0</v>
      </c>
      <c r="H1334" s="61">
        <v>0</v>
      </c>
      <c r="I1334" s="62">
        <v>0</v>
      </c>
      <c r="J1334" s="63">
        <v>0</v>
      </c>
      <c r="K1334" s="68">
        <v>0</v>
      </c>
      <c r="L1334" s="65">
        <v>0</v>
      </c>
      <c r="M1334" s="50">
        <v>0</v>
      </c>
      <c r="N1334" s="66">
        <v>0</v>
      </c>
      <c r="O1334" s="57">
        <v>0</v>
      </c>
      <c r="P1334" s="67">
        <v>0</v>
      </c>
      <c r="Q1334" s="96"/>
    </row>
    <row r="1335" spans="1:17" ht="14.25" customHeight="1" x14ac:dyDescent="0.35">
      <c r="A1335" s="1">
        <v>2021</v>
      </c>
      <c r="B1335" s="1" t="s">
        <v>30</v>
      </c>
      <c r="C1335" s="1">
        <v>26</v>
      </c>
      <c r="D1335" s="49">
        <v>0</v>
      </c>
      <c r="E1335" s="12">
        <f t="shared" si="26"/>
        <v>0</v>
      </c>
      <c r="F1335" s="50">
        <v>0</v>
      </c>
      <c r="G1335" s="60">
        <v>0</v>
      </c>
      <c r="H1335" s="61">
        <v>0</v>
      </c>
      <c r="I1335" s="62">
        <v>0</v>
      </c>
      <c r="J1335" s="63">
        <v>0</v>
      </c>
      <c r="K1335" s="68">
        <v>0</v>
      </c>
      <c r="L1335" s="61">
        <v>0</v>
      </c>
      <c r="M1335" s="62">
        <v>0</v>
      </c>
      <c r="N1335" s="66">
        <v>0</v>
      </c>
      <c r="O1335" s="57">
        <v>0</v>
      </c>
      <c r="P1335" s="67">
        <v>0</v>
      </c>
      <c r="Q1335" s="96"/>
    </row>
    <row r="1336" spans="1:17" ht="14.25" customHeight="1" x14ac:dyDescent="0.35">
      <c r="A1336" s="1">
        <v>2021</v>
      </c>
      <c r="B1336" s="1" t="s">
        <v>30</v>
      </c>
      <c r="C1336" s="1">
        <v>27</v>
      </c>
      <c r="D1336" s="49">
        <v>0</v>
      </c>
      <c r="E1336" s="12">
        <f t="shared" si="26"/>
        <v>0</v>
      </c>
      <c r="F1336" s="50">
        <v>0</v>
      </c>
      <c r="G1336" s="60">
        <v>0</v>
      </c>
      <c r="H1336" s="61">
        <v>0</v>
      </c>
      <c r="I1336" s="62">
        <v>0</v>
      </c>
      <c r="J1336" s="63">
        <v>0</v>
      </c>
      <c r="K1336" s="68">
        <v>0</v>
      </c>
      <c r="L1336" s="65">
        <v>0</v>
      </c>
      <c r="M1336" s="50">
        <v>0</v>
      </c>
      <c r="N1336" s="66">
        <v>0</v>
      </c>
      <c r="O1336" s="57">
        <v>0</v>
      </c>
      <c r="P1336" s="67">
        <v>0</v>
      </c>
      <c r="Q1336" s="96"/>
    </row>
    <row r="1337" spans="1:17" ht="14.25" customHeight="1" x14ac:dyDescent="0.35">
      <c r="A1337" s="1">
        <v>2021</v>
      </c>
      <c r="B1337" s="1" t="s">
        <v>30</v>
      </c>
      <c r="C1337" s="1">
        <v>28</v>
      </c>
      <c r="D1337" s="49">
        <v>0</v>
      </c>
      <c r="E1337" s="12">
        <f t="shared" si="26"/>
        <v>0</v>
      </c>
      <c r="F1337" s="50">
        <v>0</v>
      </c>
      <c r="G1337" s="60">
        <v>0</v>
      </c>
      <c r="H1337" s="61">
        <v>0</v>
      </c>
      <c r="I1337" s="62">
        <v>0</v>
      </c>
      <c r="J1337" s="63">
        <v>0</v>
      </c>
      <c r="K1337" s="68">
        <v>0</v>
      </c>
      <c r="L1337" s="61">
        <v>0</v>
      </c>
      <c r="M1337" s="62">
        <v>0</v>
      </c>
      <c r="N1337" s="66">
        <v>0</v>
      </c>
      <c r="O1337" s="57">
        <v>0</v>
      </c>
      <c r="P1337" s="67">
        <v>0</v>
      </c>
      <c r="Q1337" s="96"/>
    </row>
    <row r="1338" spans="1:17" ht="14.25" customHeight="1" x14ac:dyDescent="0.35">
      <c r="A1338" s="1">
        <v>2021</v>
      </c>
      <c r="B1338" s="1" t="s">
        <v>30</v>
      </c>
      <c r="C1338" s="1">
        <v>29</v>
      </c>
      <c r="D1338" s="49">
        <v>0</v>
      </c>
      <c r="E1338" s="12">
        <f t="shared" si="26"/>
        <v>0</v>
      </c>
      <c r="F1338" s="50">
        <v>0</v>
      </c>
      <c r="G1338" s="83">
        <v>0</v>
      </c>
      <c r="H1338" s="69">
        <v>0</v>
      </c>
      <c r="I1338" s="50">
        <v>0</v>
      </c>
      <c r="J1338" s="66">
        <v>0</v>
      </c>
      <c r="K1338" s="117">
        <v>0</v>
      </c>
      <c r="L1338" s="61">
        <v>0</v>
      </c>
      <c r="M1338" s="62">
        <v>0</v>
      </c>
      <c r="N1338" s="66">
        <v>0</v>
      </c>
      <c r="O1338" s="57">
        <v>0</v>
      </c>
      <c r="P1338" s="84">
        <v>0</v>
      </c>
      <c r="Q1338" s="96"/>
    </row>
    <row r="1339" spans="1:17" ht="14.25" customHeight="1" x14ac:dyDescent="0.35">
      <c r="A1339" s="1">
        <v>2021</v>
      </c>
      <c r="B1339" s="1" t="s">
        <v>30</v>
      </c>
      <c r="C1339" s="1">
        <v>30</v>
      </c>
      <c r="D1339" s="49">
        <v>0</v>
      </c>
      <c r="E1339" s="12">
        <f t="shared" si="26"/>
        <v>0</v>
      </c>
      <c r="F1339" s="50">
        <v>0</v>
      </c>
      <c r="G1339" s="83">
        <v>0</v>
      </c>
      <c r="H1339" s="69">
        <v>0</v>
      </c>
      <c r="I1339" s="50">
        <v>0</v>
      </c>
      <c r="J1339" s="66">
        <v>0</v>
      </c>
      <c r="K1339" s="117">
        <v>0</v>
      </c>
      <c r="L1339" s="61">
        <v>0</v>
      </c>
      <c r="M1339" s="62">
        <v>0</v>
      </c>
      <c r="N1339" s="66">
        <v>0</v>
      </c>
      <c r="O1339" s="57">
        <v>0</v>
      </c>
      <c r="P1339" s="84">
        <v>0</v>
      </c>
      <c r="Q1339" s="96"/>
    </row>
    <row r="1340" spans="1:17" ht="14.25" customHeight="1" x14ac:dyDescent="0.35">
      <c r="A1340" s="1">
        <v>2021</v>
      </c>
      <c r="B1340" s="1" t="s">
        <v>30</v>
      </c>
      <c r="C1340" s="1">
        <v>31</v>
      </c>
      <c r="D1340" s="104">
        <v>0</v>
      </c>
      <c r="E1340" s="12">
        <f t="shared" si="26"/>
        <v>0</v>
      </c>
      <c r="F1340" s="105">
        <v>0</v>
      </c>
      <c r="G1340" s="87">
        <v>0</v>
      </c>
      <c r="H1340" s="88">
        <v>0</v>
      </c>
      <c r="I1340" s="89">
        <v>0</v>
      </c>
      <c r="J1340" s="90">
        <v>0</v>
      </c>
      <c r="K1340" s="131">
        <v>0</v>
      </c>
      <c r="L1340" s="61">
        <v>0</v>
      </c>
      <c r="M1340" s="64">
        <v>0</v>
      </c>
      <c r="N1340" s="66">
        <v>0</v>
      </c>
      <c r="O1340" s="57">
        <v>0</v>
      </c>
      <c r="P1340" s="66">
        <v>0</v>
      </c>
      <c r="Q1340" s="96"/>
    </row>
    <row r="1341" spans="1:17" ht="14.25" customHeight="1" x14ac:dyDescent="0.35">
      <c r="A1341" s="1">
        <v>2021</v>
      </c>
      <c r="B1341" s="1" t="s">
        <v>31</v>
      </c>
      <c r="C1341" s="1">
        <v>1</v>
      </c>
      <c r="D1341" s="49">
        <v>18.547000000000001</v>
      </c>
      <c r="E1341" s="12">
        <f t="shared" si="26"/>
        <v>23.18375</v>
      </c>
      <c r="F1341" s="50">
        <v>0</v>
      </c>
      <c r="G1341" s="51">
        <v>0</v>
      </c>
      <c r="H1341" s="52">
        <v>0</v>
      </c>
      <c r="I1341" s="53">
        <v>0</v>
      </c>
      <c r="J1341" s="54">
        <v>0</v>
      </c>
      <c r="K1341" s="59">
        <v>0</v>
      </c>
      <c r="L1341" s="52">
        <v>0</v>
      </c>
      <c r="M1341" s="55">
        <v>0</v>
      </c>
      <c r="N1341" s="56">
        <v>0</v>
      </c>
      <c r="O1341" s="57">
        <v>0</v>
      </c>
      <c r="P1341" s="58">
        <v>0</v>
      </c>
      <c r="Q1341" s="142">
        <v>0</v>
      </c>
    </row>
    <row r="1342" spans="1:17" ht="14.25" customHeight="1" x14ac:dyDescent="0.35">
      <c r="A1342" s="1">
        <v>2021</v>
      </c>
      <c r="B1342" s="1" t="s">
        <v>31</v>
      </c>
      <c r="C1342" s="1">
        <v>2</v>
      </c>
      <c r="D1342" s="49">
        <v>54.921999999999997</v>
      </c>
      <c r="E1342" s="12">
        <f t="shared" si="26"/>
        <v>68.652500000000003</v>
      </c>
      <c r="F1342" s="50">
        <v>47.375</v>
      </c>
      <c r="G1342" s="60">
        <v>84.328999999999994</v>
      </c>
      <c r="H1342" s="61">
        <v>1758.12</v>
      </c>
      <c r="I1342" s="62">
        <v>6.9</v>
      </c>
      <c r="J1342" s="63">
        <v>2.3E-2</v>
      </c>
      <c r="K1342" s="76">
        <v>8.4309999999999992</v>
      </c>
      <c r="L1342" s="65">
        <v>47.5</v>
      </c>
      <c r="M1342" s="50">
        <v>5.6580000000000004</v>
      </c>
      <c r="N1342" s="66">
        <v>1.4999999999999999E-2</v>
      </c>
      <c r="O1342" s="57">
        <v>43.252000000000002</v>
      </c>
      <c r="P1342" s="67">
        <v>7.6999999999999999E-2</v>
      </c>
      <c r="Q1342" s="143">
        <v>96.555000000000007</v>
      </c>
    </row>
    <row r="1343" spans="1:17" ht="14.25" customHeight="1" x14ac:dyDescent="0.35">
      <c r="A1343" s="1">
        <v>2021</v>
      </c>
      <c r="B1343" s="1" t="s">
        <v>31</v>
      </c>
      <c r="C1343" s="1">
        <v>3</v>
      </c>
      <c r="D1343" s="49">
        <v>80.281000000000006</v>
      </c>
      <c r="E1343" s="12">
        <f t="shared" si="26"/>
        <v>100.35125000000001</v>
      </c>
      <c r="F1343" s="50">
        <v>68.718999999999994</v>
      </c>
      <c r="G1343" s="60">
        <v>84.316999999999993</v>
      </c>
      <c r="H1343" s="61">
        <v>1766.8920000000001</v>
      </c>
      <c r="I1343" s="62">
        <v>6.9</v>
      </c>
      <c r="J1343" s="63">
        <v>2.9000000000000001E-2</v>
      </c>
      <c r="K1343" s="76">
        <v>8.4049999999999994</v>
      </c>
      <c r="L1343" s="65">
        <v>46.134999999999998</v>
      </c>
      <c r="M1343" s="50">
        <v>5.6340000000000003</v>
      </c>
      <c r="N1343" s="66">
        <v>1.4E-2</v>
      </c>
      <c r="O1343" s="57">
        <v>45.783999999999999</v>
      </c>
      <c r="P1343" s="67">
        <v>8.2000000000000003E-2</v>
      </c>
      <c r="Q1343" s="143">
        <v>96.585999999999999</v>
      </c>
    </row>
    <row r="1344" spans="1:17" ht="14.25" customHeight="1" x14ac:dyDescent="0.35">
      <c r="A1344" s="1">
        <v>2021</v>
      </c>
      <c r="B1344" s="1" t="s">
        <v>31</v>
      </c>
      <c r="C1344" s="1">
        <v>4</v>
      </c>
      <c r="D1344" s="49">
        <v>97.781000000000006</v>
      </c>
      <c r="E1344" s="12">
        <f t="shared" si="26"/>
        <v>122.22625000000001</v>
      </c>
      <c r="F1344" s="50">
        <v>83.468999999999994</v>
      </c>
      <c r="G1344" s="60">
        <v>84.518000000000001</v>
      </c>
      <c r="H1344" s="61">
        <v>1723.3150000000001</v>
      </c>
      <c r="I1344" s="62">
        <v>6.9</v>
      </c>
      <c r="J1344" s="63">
        <v>2.5000000000000001E-2</v>
      </c>
      <c r="K1344" s="76">
        <v>8.2330000000000005</v>
      </c>
      <c r="L1344" s="65">
        <v>44.335000000000001</v>
      </c>
      <c r="M1344" s="50">
        <v>5.6059999999999999</v>
      </c>
      <c r="N1344" s="66">
        <v>1.4E-2</v>
      </c>
      <c r="O1344" s="57">
        <v>48.817999999999998</v>
      </c>
      <c r="P1344" s="67">
        <v>7.0999999999999994E-2</v>
      </c>
      <c r="Q1344" s="143">
        <v>96.436999999999998</v>
      </c>
    </row>
    <row r="1345" spans="1:17" ht="14.25" customHeight="1" x14ac:dyDescent="0.35">
      <c r="A1345" s="1">
        <v>2021</v>
      </c>
      <c r="B1345" s="1" t="s">
        <v>31</v>
      </c>
      <c r="C1345" s="1">
        <v>5</v>
      </c>
      <c r="D1345" s="49">
        <v>99.171999999999997</v>
      </c>
      <c r="E1345" s="12">
        <f t="shared" si="26"/>
        <v>123.965</v>
      </c>
      <c r="F1345" s="50">
        <v>84.5</v>
      </c>
      <c r="G1345" s="60">
        <v>84.44</v>
      </c>
      <c r="H1345" s="61">
        <v>1620.019</v>
      </c>
      <c r="I1345" s="62">
        <v>6.9</v>
      </c>
      <c r="J1345" s="63">
        <v>2.4E-2</v>
      </c>
      <c r="K1345" s="76">
        <v>8.0549999999999997</v>
      </c>
      <c r="L1345" s="65">
        <v>40.533999999999999</v>
      </c>
      <c r="M1345" s="50">
        <v>5.5759999999999996</v>
      </c>
      <c r="N1345" s="66">
        <v>1.4E-2</v>
      </c>
      <c r="O1345" s="57">
        <v>52.353000000000002</v>
      </c>
      <c r="P1345" s="67">
        <v>5.6000000000000001E-2</v>
      </c>
      <c r="Q1345" s="143">
        <v>97.465999999999994</v>
      </c>
    </row>
    <row r="1346" spans="1:17" ht="14.25" customHeight="1" x14ac:dyDescent="0.35">
      <c r="A1346" s="1">
        <v>2021</v>
      </c>
      <c r="B1346" s="1" t="s">
        <v>31</v>
      </c>
      <c r="C1346" s="1">
        <v>6</v>
      </c>
      <c r="D1346" s="49">
        <v>100.297</v>
      </c>
      <c r="E1346" s="12">
        <f t="shared" si="26"/>
        <v>125.37125</v>
      </c>
      <c r="F1346" s="50">
        <v>85.563000000000002</v>
      </c>
      <c r="G1346" s="60">
        <v>84.268000000000001</v>
      </c>
      <c r="H1346" s="61">
        <v>1567.5609999999999</v>
      </c>
      <c r="I1346" s="62">
        <v>6.9</v>
      </c>
      <c r="J1346" s="63">
        <v>2.3E-2</v>
      </c>
      <c r="K1346" s="76">
        <v>7.9909999999999997</v>
      </c>
      <c r="L1346" s="65">
        <v>39.087000000000003</v>
      </c>
      <c r="M1346" s="50">
        <v>5.5810000000000004</v>
      </c>
      <c r="N1346" s="66">
        <v>1.4E-2</v>
      </c>
      <c r="O1346" s="57">
        <v>51.655000000000001</v>
      </c>
      <c r="P1346" s="67">
        <v>5.2999999999999999E-2</v>
      </c>
      <c r="Q1346" s="143">
        <v>97.950999999999993</v>
      </c>
    </row>
    <row r="1347" spans="1:17" ht="14.25" customHeight="1" x14ac:dyDescent="0.35">
      <c r="A1347" s="1">
        <v>2021</v>
      </c>
      <c r="B1347" s="1" t="s">
        <v>31</v>
      </c>
      <c r="C1347" s="1">
        <v>7</v>
      </c>
      <c r="D1347" s="49">
        <v>104.703</v>
      </c>
      <c r="E1347" s="32">
        <v>131.12</v>
      </c>
      <c r="F1347" s="50">
        <v>89.188000000000002</v>
      </c>
      <c r="G1347" s="60">
        <v>84.656000000000006</v>
      </c>
      <c r="H1347" s="61">
        <v>1567.731</v>
      </c>
      <c r="I1347" s="62">
        <v>6.9</v>
      </c>
      <c r="J1347" s="63">
        <v>2.3E-2</v>
      </c>
      <c r="K1347" s="76">
        <v>8.5939999999999994</v>
      </c>
      <c r="L1347" s="65">
        <v>37.665999999999997</v>
      </c>
      <c r="M1347" s="50">
        <v>5.5709999999999997</v>
      </c>
      <c r="N1347" s="66">
        <v>1.4E-2</v>
      </c>
      <c r="O1347" s="57">
        <v>53.039000000000001</v>
      </c>
      <c r="P1347" s="67">
        <v>5.7000000000000002E-2</v>
      </c>
      <c r="Q1347" s="143">
        <v>96.968000000000004</v>
      </c>
    </row>
    <row r="1348" spans="1:17" ht="14.25" customHeight="1" x14ac:dyDescent="0.35">
      <c r="A1348" s="1">
        <v>2021</v>
      </c>
      <c r="B1348" s="1" t="s">
        <v>31</v>
      </c>
      <c r="C1348" s="1">
        <v>8</v>
      </c>
      <c r="D1348" s="49">
        <v>104.96899999999999</v>
      </c>
      <c r="E1348" s="12">
        <f t="shared" ref="E1348:E1392" si="27">D1348*1.25</f>
        <v>131.21125000000001</v>
      </c>
      <c r="F1348" s="50">
        <v>89.343999999999994</v>
      </c>
      <c r="G1348" s="60">
        <v>84.667000000000002</v>
      </c>
      <c r="H1348" s="69">
        <v>1676.701</v>
      </c>
      <c r="I1348" s="62">
        <v>6.8970000000000002</v>
      </c>
      <c r="J1348" s="63">
        <v>2.3E-2</v>
      </c>
      <c r="K1348" s="132">
        <v>8.7319999999999993</v>
      </c>
      <c r="L1348" s="65">
        <v>38.734999999999999</v>
      </c>
      <c r="M1348" s="50">
        <v>5.5350000000000001</v>
      </c>
      <c r="N1348" s="66">
        <v>1.4E-2</v>
      </c>
      <c r="O1348" s="57">
        <v>57.755000000000003</v>
      </c>
      <c r="P1348" s="70">
        <v>6.4000000000000001E-2</v>
      </c>
      <c r="Q1348" s="143">
        <v>96.468999999999994</v>
      </c>
    </row>
    <row r="1349" spans="1:17" ht="14.25" customHeight="1" x14ac:dyDescent="0.35">
      <c r="A1349" s="1">
        <v>2021</v>
      </c>
      <c r="B1349" s="1" t="s">
        <v>31</v>
      </c>
      <c r="C1349" s="1">
        <v>9</v>
      </c>
      <c r="D1349" s="49">
        <v>102.28100000000001</v>
      </c>
      <c r="E1349" s="12">
        <f t="shared" si="27"/>
        <v>127.85125000000001</v>
      </c>
      <c r="F1349" s="50">
        <v>86.843999999999994</v>
      </c>
      <c r="G1349" s="60">
        <v>84.975999999999999</v>
      </c>
      <c r="H1349" s="61">
        <v>1725.9269999999999</v>
      </c>
      <c r="I1349" s="62">
        <v>6.9</v>
      </c>
      <c r="J1349" s="63">
        <v>2.4E-2</v>
      </c>
      <c r="K1349" s="76">
        <v>8.5869999999999997</v>
      </c>
      <c r="L1349" s="65">
        <v>40.402000000000001</v>
      </c>
      <c r="M1349" s="50">
        <v>5.516</v>
      </c>
      <c r="N1349" s="66">
        <v>1.4E-2</v>
      </c>
      <c r="O1349" s="57">
        <v>60.134</v>
      </c>
      <c r="P1349" s="67">
        <v>6.6000000000000003E-2</v>
      </c>
      <c r="Q1349" s="143">
        <v>96.581999999999994</v>
      </c>
    </row>
    <row r="1350" spans="1:17" ht="14.25" customHeight="1" x14ac:dyDescent="0.35">
      <c r="A1350" s="1">
        <v>2021</v>
      </c>
      <c r="B1350" s="1" t="s">
        <v>31</v>
      </c>
      <c r="C1350" s="1">
        <v>10</v>
      </c>
      <c r="D1350" s="49">
        <v>103.23399999999999</v>
      </c>
      <c r="E1350" s="12">
        <f t="shared" si="27"/>
        <v>129.04249999999999</v>
      </c>
      <c r="F1350" s="50">
        <v>87.688000000000002</v>
      </c>
      <c r="G1350" s="72">
        <v>84.840999999999994</v>
      </c>
      <c r="H1350" s="61">
        <v>1722.7639999999999</v>
      </c>
      <c r="I1350" s="62">
        <v>6.9</v>
      </c>
      <c r="J1350" s="63">
        <v>2.3E-2</v>
      </c>
      <c r="K1350" s="76">
        <v>8.39</v>
      </c>
      <c r="L1350" s="65">
        <v>40.238</v>
      </c>
      <c r="M1350" s="50">
        <v>5.5709999999999997</v>
      </c>
      <c r="N1350" s="74">
        <v>1.4E-2</v>
      </c>
      <c r="O1350" s="57">
        <v>53.701000000000001</v>
      </c>
      <c r="P1350" s="75">
        <v>6.6000000000000003E-2</v>
      </c>
      <c r="Q1350" s="143">
        <v>96.457999999999998</v>
      </c>
    </row>
    <row r="1351" spans="1:17" ht="14.25" customHeight="1" x14ac:dyDescent="0.35">
      <c r="A1351" s="1">
        <v>2021</v>
      </c>
      <c r="B1351" s="1" t="s">
        <v>31</v>
      </c>
      <c r="C1351" s="1">
        <v>11</v>
      </c>
      <c r="D1351" s="49">
        <v>106.313</v>
      </c>
      <c r="E1351" s="12">
        <f t="shared" si="27"/>
        <v>132.89125000000001</v>
      </c>
      <c r="F1351" s="50">
        <v>90.313000000000002</v>
      </c>
      <c r="G1351" s="72">
        <v>84.971000000000004</v>
      </c>
      <c r="H1351" s="61">
        <v>1715.452</v>
      </c>
      <c r="I1351" s="62">
        <v>6.9</v>
      </c>
      <c r="J1351" s="63">
        <v>2.3E-2</v>
      </c>
      <c r="K1351" s="76">
        <v>8.5210000000000008</v>
      </c>
      <c r="L1351" s="65">
        <v>40.317999999999998</v>
      </c>
      <c r="M1351" s="50">
        <v>5.5750000000000002</v>
      </c>
      <c r="N1351" s="74">
        <v>1.4E-2</v>
      </c>
      <c r="O1351" s="57">
        <v>52.591000000000001</v>
      </c>
      <c r="P1351" s="75">
        <v>6.6000000000000003E-2</v>
      </c>
      <c r="Q1351" s="143">
        <v>96.314999999999998</v>
      </c>
    </row>
    <row r="1352" spans="1:17" ht="14.25" customHeight="1" x14ac:dyDescent="0.35">
      <c r="A1352" s="1">
        <v>2021</v>
      </c>
      <c r="B1352" s="1" t="s">
        <v>31</v>
      </c>
      <c r="C1352" s="1">
        <v>12</v>
      </c>
      <c r="D1352" s="49">
        <v>105.84399999999999</v>
      </c>
      <c r="E1352" s="12">
        <f t="shared" si="27"/>
        <v>132.30500000000001</v>
      </c>
      <c r="F1352" s="50">
        <v>90</v>
      </c>
      <c r="G1352" s="72">
        <v>84.682000000000002</v>
      </c>
      <c r="H1352" s="61">
        <v>1651.7909999999999</v>
      </c>
      <c r="I1352" s="62">
        <v>6.9</v>
      </c>
      <c r="J1352" s="63">
        <v>2.3E-2</v>
      </c>
      <c r="K1352" s="76">
        <v>8.4030000000000005</v>
      </c>
      <c r="L1352" s="65">
        <v>37.634</v>
      </c>
      <c r="M1352" s="50">
        <v>5.5670000000000002</v>
      </c>
      <c r="N1352" s="74">
        <v>1.4E-2</v>
      </c>
      <c r="O1352" s="57">
        <v>53.606999999999999</v>
      </c>
      <c r="P1352" s="75">
        <v>5.8999999999999997E-2</v>
      </c>
      <c r="Q1352" s="143">
        <v>97.057000000000002</v>
      </c>
    </row>
    <row r="1353" spans="1:17" ht="14.25" customHeight="1" x14ac:dyDescent="0.35">
      <c r="A1353" s="1">
        <v>2021</v>
      </c>
      <c r="B1353" s="1" t="s">
        <v>31</v>
      </c>
      <c r="C1353" s="1">
        <v>13</v>
      </c>
      <c r="D1353" s="49">
        <v>105.938</v>
      </c>
      <c r="E1353" s="12">
        <f t="shared" si="27"/>
        <v>132.42250000000001</v>
      </c>
      <c r="F1353" s="50">
        <v>90</v>
      </c>
      <c r="G1353" s="78">
        <v>84.236000000000004</v>
      </c>
      <c r="H1353" s="61">
        <v>1622.575</v>
      </c>
      <c r="I1353" s="62">
        <v>6.9</v>
      </c>
      <c r="J1353" s="63">
        <v>2.3E-2</v>
      </c>
      <c r="K1353" s="81">
        <v>8.5730000000000004</v>
      </c>
      <c r="L1353" s="65">
        <v>37.191000000000003</v>
      </c>
      <c r="M1353" s="50">
        <v>5.5629999999999997</v>
      </c>
      <c r="N1353" s="66">
        <v>1.4E-2</v>
      </c>
      <c r="O1353" s="57">
        <v>53.996000000000002</v>
      </c>
      <c r="P1353" s="80">
        <v>5.8999999999999997E-2</v>
      </c>
      <c r="Q1353" s="143">
        <v>97.293999999999997</v>
      </c>
    </row>
    <row r="1354" spans="1:17" ht="14.25" customHeight="1" x14ac:dyDescent="0.35">
      <c r="A1354" s="1">
        <v>2021</v>
      </c>
      <c r="B1354" s="1" t="s">
        <v>31</v>
      </c>
      <c r="C1354" s="1">
        <v>14</v>
      </c>
      <c r="D1354" s="49">
        <v>104.828</v>
      </c>
      <c r="E1354" s="12">
        <f t="shared" si="27"/>
        <v>131.035</v>
      </c>
      <c r="F1354" s="50">
        <v>89.063000000000002</v>
      </c>
      <c r="G1354" s="60">
        <v>84.156000000000006</v>
      </c>
      <c r="H1354" s="61">
        <v>1729.8209999999999</v>
      </c>
      <c r="I1354" s="62">
        <v>6.9</v>
      </c>
      <c r="J1354" s="63">
        <v>2.3E-2</v>
      </c>
      <c r="K1354" s="81">
        <v>8.7710000000000008</v>
      </c>
      <c r="L1354" s="82">
        <v>39.146999999999998</v>
      </c>
      <c r="M1354" s="50">
        <v>5.5670000000000002</v>
      </c>
      <c r="N1354" s="66">
        <v>1.4E-2</v>
      </c>
      <c r="O1354" s="57">
        <v>53.502000000000002</v>
      </c>
      <c r="P1354" s="80">
        <v>6.6000000000000003E-2</v>
      </c>
      <c r="Q1354" s="143">
        <v>96.650999999999996</v>
      </c>
    </row>
    <row r="1355" spans="1:17" ht="14.25" customHeight="1" x14ac:dyDescent="0.35">
      <c r="A1355" s="1">
        <v>2021</v>
      </c>
      <c r="B1355" s="1" t="s">
        <v>31</v>
      </c>
      <c r="C1355" s="1">
        <v>15</v>
      </c>
      <c r="D1355" s="49">
        <v>108.15600000000001</v>
      </c>
      <c r="E1355" s="12">
        <f t="shared" si="27"/>
        <v>135.19499999999999</v>
      </c>
      <c r="F1355" s="50">
        <v>91.875</v>
      </c>
      <c r="G1355" s="60">
        <v>83.98</v>
      </c>
      <c r="H1355" s="61">
        <v>1751.9010000000001</v>
      </c>
      <c r="I1355" s="62">
        <v>6.9</v>
      </c>
      <c r="J1355" s="63">
        <v>2.4E-2</v>
      </c>
      <c r="K1355" s="76">
        <v>8.6189999999999998</v>
      </c>
      <c r="L1355" s="65">
        <v>39.865000000000002</v>
      </c>
      <c r="M1355" s="50">
        <v>5.5739999999999998</v>
      </c>
      <c r="N1355" s="66">
        <v>1.4E-2</v>
      </c>
      <c r="O1355" s="57">
        <v>52.77</v>
      </c>
      <c r="P1355" s="75">
        <v>6.5000000000000002E-2</v>
      </c>
      <c r="Q1355" s="143">
        <v>96.557000000000002</v>
      </c>
    </row>
    <row r="1356" spans="1:17" ht="14.25" customHeight="1" x14ac:dyDescent="0.35">
      <c r="A1356" s="1">
        <v>2021</v>
      </c>
      <c r="B1356" s="1" t="s">
        <v>31</v>
      </c>
      <c r="C1356" s="1">
        <v>16</v>
      </c>
      <c r="D1356" s="49">
        <v>108.39100000000001</v>
      </c>
      <c r="E1356" s="12">
        <f t="shared" si="27"/>
        <v>135.48875000000001</v>
      </c>
      <c r="F1356" s="50">
        <v>92.125</v>
      </c>
      <c r="G1356" s="60">
        <v>83.808999999999997</v>
      </c>
      <c r="H1356" s="61">
        <v>1756.04</v>
      </c>
      <c r="I1356" s="62">
        <v>6.9</v>
      </c>
      <c r="J1356" s="63">
        <v>2.3E-2</v>
      </c>
      <c r="K1356" s="81">
        <v>8.7379999999999995</v>
      </c>
      <c r="L1356" s="61">
        <v>38.933</v>
      </c>
      <c r="M1356" s="62">
        <v>5.5839999999999996</v>
      </c>
      <c r="N1356" s="66">
        <v>1.4E-2</v>
      </c>
      <c r="O1356" s="57">
        <v>51.564</v>
      </c>
      <c r="P1356" s="80">
        <v>8.5999999999999993E-2</v>
      </c>
      <c r="Q1356" s="143">
        <v>96.438999999999993</v>
      </c>
    </row>
    <row r="1357" spans="1:17" ht="14.25" customHeight="1" x14ac:dyDescent="0.35">
      <c r="A1357" s="1">
        <v>2021</v>
      </c>
      <c r="B1357" s="1" t="s">
        <v>31</v>
      </c>
      <c r="C1357" s="1">
        <v>17</v>
      </c>
      <c r="D1357" s="49">
        <v>109.65600000000001</v>
      </c>
      <c r="E1357" s="12">
        <f t="shared" si="27"/>
        <v>137.07</v>
      </c>
      <c r="F1357" s="50">
        <v>93.125</v>
      </c>
      <c r="G1357" s="60">
        <v>83.873999999999995</v>
      </c>
      <c r="H1357" s="61">
        <v>1749.316</v>
      </c>
      <c r="I1357" s="62">
        <v>6.9</v>
      </c>
      <c r="J1357" s="63">
        <v>2.4E-2</v>
      </c>
      <c r="K1357" s="68">
        <v>8.9510000000000005</v>
      </c>
      <c r="L1357" s="65">
        <v>38.517000000000003</v>
      </c>
      <c r="M1357" s="50">
        <v>5.601</v>
      </c>
      <c r="N1357" s="66">
        <v>1.4E-2</v>
      </c>
      <c r="O1357" s="57">
        <v>49.805999999999997</v>
      </c>
      <c r="P1357" s="67">
        <v>7.0000000000000007E-2</v>
      </c>
      <c r="Q1357" s="143">
        <v>96.405000000000001</v>
      </c>
    </row>
    <row r="1358" spans="1:17" ht="14.25" customHeight="1" x14ac:dyDescent="0.35">
      <c r="A1358" s="1">
        <v>2021</v>
      </c>
      <c r="B1358" s="1" t="s">
        <v>31</v>
      </c>
      <c r="C1358" s="1">
        <v>18</v>
      </c>
      <c r="D1358" s="49">
        <v>109.047</v>
      </c>
      <c r="E1358" s="12">
        <f t="shared" si="27"/>
        <v>136.30875</v>
      </c>
      <c r="F1358" s="50">
        <v>92.625</v>
      </c>
      <c r="G1358" s="60">
        <v>83.695999999999998</v>
      </c>
      <c r="H1358" s="61">
        <v>1722.905</v>
      </c>
      <c r="I1358" s="62">
        <v>6.9</v>
      </c>
      <c r="J1358" s="63">
        <v>2.3E-2</v>
      </c>
      <c r="K1358" s="68">
        <v>8.9849999999999994</v>
      </c>
      <c r="L1358" s="61">
        <v>38.436</v>
      </c>
      <c r="M1358" s="62">
        <v>5.6189999999999998</v>
      </c>
      <c r="N1358" s="66">
        <v>1.4E-2</v>
      </c>
      <c r="O1358" s="57">
        <v>47.668999999999997</v>
      </c>
      <c r="P1358" s="67">
        <v>6.2E-2</v>
      </c>
      <c r="Q1358" s="143">
        <v>96.477999999999994</v>
      </c>
    </row>
    <row r="1359" spans="1:17" ht="14.25" customHeight="1" x14ac:dyDescent="0.35">
      <c r="A1359" s="1">
        <v>2021</v>
      </c>
      <c r="B1359" s="1" t="s">
        <v>31</v>
      </c>
      <c r="C1359" s="1">
        <v>19</v>
      </c>
      <c r="D1359" s="49">
        <v>109.46899999999999</v>
      </c>
      <c r="E1359" s="12">
        <f t="shared" si="27"/>
        <v>136.83625000000001</v>
      </c>
      <c r="F1359" s="50">
        <v>92.968999999999994</v>
      </c>
      <c r="G1359" s="60">
        <v>83.543999999999997</v>
      </c>
      <c r="H1359" s="61">
        <v>1629.675</v>
      </c>
      <c r="I1359" s="62">
        <v>6.9</v>
      </c>
      <c r="J1359" s="63">
        <v>2.3E-2</v>
      </c>
      <c r="K1359" s="68">
        <v>8.7650000000000006</v>
      </c>
      <c r="L1359" s="65">
        <v>36.194000000000003</v>
      </c>
      <c r="M1359" s="50">
        <v>5.6210000000000004</v>
      </c>
      <c r="N1359" s="66">
        <v>1.4E-2</v>
      </c>
      <c r="O1359" s="57">
        <v>47.417000000000002</v>
      </c>
      <c r="P1359" s="67">
        <v>5.7000000000000002E-2</v>
      </c>
      <c r="Q1359" s="143">
        <v>96.507000000000005</v>
      </c>
    </row>
    <row r="1360" spans="1:17" ht="14.25" customHeight="1" x14ac:dyDescent="0.35">
      <c r="A1360" s="1">
        <v>2021</v>
      </c>
      <c r="B1360" s="1" t="s">
        <v>31</v>
      </c>
      <c r="C1360" s="1">
        <v>20</v>
      </c>
      <c r="D1360" s="49">
        <v>111.688</v>
      </c>
      <c r="E1360" s="12">
        <f t="shared" si="27"/>
        <v>139.61000000000001</v>
      </c>
      <c r="F1360" s="50">
        <v>94.968999999999994</v>
      </c>
      <c r="G1360" s="60">
        <v>83.730999999999995</v>
      </c>
      <c r="H1360" s="61">
        <v>1608.9580000000001</v>
      </c>
      <c r="I1360" s="62">
        <v>6.9009999999999998</v>
      </c>
      <c r="J1360" s="63">
        <v>2.1999999999999999E-2</v>
      </c>
      <c r="K1360" s="68">
        <v>8.8610000000000007</v>
      </c>
      <c r="L1360" s="61">
        <v>36.049999999999997</v>
      </c>
      <c r="M1360" s="62">
        <v>5.633</v>
      </c>
      <c r="N1360" s="66">
        <v>1.4E-2</v>
      </c>
      <c r="O1360" s="57">
        <v>46.223999999999997</v>
      </c>
      <c r="P1360" s="67">
        <v>5.8000000000000003E-2</v>
      </c>
      <c r="Q1360" s="143">
        <v>96.606999999999999</v>
      </c>
    </row>
    <row r="1361" spans="1:17" ht="14.25" customHeight="1" x14ac:dyDescent="0.35">
      <c r="A1361" s="1">
        <v>2021</v>
      </c>
      <c r="B1361" s="1" t="s">
        <v>31</v>
      </c>
      <c r="C1361" s="1">
        <v>21</v>
      </c>
      <c r="D1361" s="49">
        <v>111.64100000000001</v>
      </c>
      <c r="E1361" s="12">
        <f t="shared" si="27"/>
        <v>139.55125000000001</v>
      </c>
      <c r="F1361" s="50">
        <v>94.968999999999994</v>
      </c>
      <c r="G1361" s="60">
        <v>84.6</v>
      </c>
      <c r="H1361" s="61">
        <v>1725.5229999999999</v>
      </c>
      <c r="I1361" s="62">
        <v>6.899</v>
      </c>
      <c r="J1361" s="63">
        <v>2.3E-2</v>
      </c>
      <c r="K1361" s="68">
        <v>8.9529999999999994</v>
      </c>
      <c r="L1361" s="65">
        <v>38.923999999999999</v>
      </c>
      <c r="M1361" s="50">
        <v>5.6369999999999996</v>
      </c>
      <c r="N1361" s="66">
        <v>1.4E-2</v>
      </c>
      <c r="O1361" s="57">
        <v>45.661999999999999</v>
      </c>
      <c r="P1361" s="67">
        <v>6.5000000000000002E-2</v>
      </c>
      <c r="Q1361" s="143">
        <v>96.566000000000003</v>
      </c>
    </row>
    <row r="1362" spans="1:17" ht="14.25" customHeight="1" x14ac:dyDescent="0.35">
      <c r="A1362" s="1">
        <v>2021</v>
      </c>
      <c r="B1362" s="1" t="s">
        <v>31</v>
      </c>
      <c r="C1362" s="1">
        <v>22</v>
      </c>
      <c r="D1362" s="49">
        <v>112.65600000000001</v>
      </c>
      <c r="E1362" s="12">
        <f t="shared" si="27"/>
        <v>140.82</v>
      </c>
      <c r="F1362" s="50">
        <v>95.75</v>
      </c>
      <c r="G1362" s="60">
        <v>84.75</v>
      </c>
      <c r="H1362" s="61">
        <v>1757.5509999999999</v>
      </c>
      <c r="I1362" s="62">
        <v>6.9</v>
      </c>
      <c r="J1362" s="63">
        <v>4.7E-2</v>
      </c>
      <c r="K1362" s="68">
        <v>8.7070000000000007</v>
      </c>
      <c r="L1362" s="61">
        <v>39.640999999999998</v>
      </c>
      <c r="M1362" s="62">
        <v>5.6239999999999997</v>
      </c>
      <c r="N1362" s="66">
        <v>1.4E-2</v>
      </c>
      <c r="O1362" s="57">
        <v>47.198</v>
      </c>
      <c r="P1362" s="67">
        <v>6.7000000000000004E-2</v>
      </c>
      <c r="Q1362" s="143">
        <v>96.683000000000007</v>
      </c>
    </row>
    <row r="1363" spans="1:17" ht="14.25" customHeight="1" x14ac:dyDescent="0.35">
      <c r="A1363" s="1">
        <v>2021</v>
      </c>
      <c r="B1363" s="1" t="s">
        <v>31</v>
      </c>
      <c r="C1363" s="1">
        <v>23</v>
      </c>
      <c r="D1363" s="49">
        <v>111.813</v>
      </c>
      <c r="E1363" s="12">
        <f t="shared" si="27"/>
        <v>139.76625000000001</v>
      </c>
      <c r="F1363" s="50">
        <v>94.968999999999994</v>
      </c>
      <c r="G1363" s="60">
        <v>84.147000000000006</v>
      </c>
      <c r="H1363" s="61">
        <v>1755.1469999999999</v>
      </c>
      <c r="I1363" s="62">
        <v>6.9</v>
      </c>
      <c r="J1363" s="63">
        <v>2.1999999999999999E-2</v>
      </c>
      <c r="K1363" s="68">
        <v>8.7799999999999994</v>
      </c>
      <c r="L1363" s="65">
        <v>39.612000000000002</v>
      </c>
      <c r="M1363" s="50">
        <v>5.6239999999999997</v>
      </c>
      <c r="N1363" s="66">
        <v>1.4E-2</v>
      </c>
      <c r="O1363" s="57">
        <v>47.064</v>
      </c>
      <c r="P1363" s="67">
        <v>6.6000000000000003E-2</v>
      </c>
      <c r="Q1363" s="143">
        <v>96.753</v>
      </c>
    </row>
    <row r="1364" spans="1:17" ht="14.25" customHeight="1" x14ac:dyDescent="0.35">
      <c r="A1364" s="1">
        <v>2021</v>
      </c>
      <c r="B1364" s="1" t="s">
        <v>31</v>
      </c>
      <c r="C1364" s="1">
        <v>24</v>
      </c>
      <c r="D1364" s="49">
        <v>112.90600000000001</v>
      </c>
      <c r="E1364" s="12">
        <f t="shared" si="27"/>
        <v>141.13249999999999</v>
      </c>
      <c r="F1364" s="50">
        <v>95.968999999999994</v>
      </c>
      <c r="G1364" s="60">
        <v>83.706000000000003</v>
      </c>
      <c r="H1364" s="61">
        <v>1757.511</v>
      </c>
      <c r="I1364" s="62">
        <v>6.9</v>
      </c>
      <c r="J1364" s="63">
        <v>2.1999999999999999E-2</v>
      </c>
      <c r="K1364" s="68">
        <v>8.6560000000000006</v>
      </c>
      <c r="L1364" s="61">
        <v>39.137999999999998</v>
      </c>
      <c r="M1364" s="62">
        <v>5.6050000000000004</v>
      </c>
      <c r="N1364" s="66">
        <v>1.4E-2</v>
      </c>
      <c r="O1364" s="57">
        <v>49.058</v>
      </c>
      <c r="P1364" s="67">
        <v>6.3E-2</v>
      </c>
      <c r="Q1364" s="143">
        <v>96.748000000000005</v>
      </c>
    </row>
    <row r="1365" spans="1:17" ht="14.25" customHeight="1" x14ac:dyDescent="0.35">
      <c r="A1365" s="1">
        <v>2021</v>
      </c>
      <c r="B1365" s="1" t="s">
        <v>31</v>
      </c>
      <c r="C1365" s="1">
        <v>25</v>
      </c>
      <c r="D1365" s="49">
        <v>113.875</v>
      </c>
      <c r="E1365" s="12">
        <f t="shared" si="27"/>
        <v>142.34375</v>
      </c>
      <c r="F1365" s="50">
        <v>96.781000000000006</v>
      </c>
      <c r="G1365" s="60">
        <v>83.647999999999996</v>
      </c>
      <c r="H1365" s="61">
        <v>1718.6</v>
      </c>
      <c r="I1365" s="62">
        <v>6.9</v>
      </c>
      <c r="J1365" s="63">
        <v>2.1999999999999999E-2</v>
      </c>
      <c r="K1365" s="68">
        <v>8.6259999999999994</v>
      </c>
      <c r="L1365" s="65">
        <v>38.302</v>
      </c>
      <c r="M1365" s="50">
        <v>5.5869999999999997</v>
      </c>
      <c r="N1365" s="66">
        <v>1.4E-2</v>
      </c>
      <c r="O1365" s="57">
        <v>50.954999999999998</v>
      </c>
      <c r="P1365" s="67">
        <v>0.06</v>
      </c>
      <c r="Q1365" s="143">
        <v>96.972999999999999</v>
      </c>
    </row>
    <row r="1366" spans="1:17" ht="14.25" customHeight="1" x14ac:dyDescent="0.35">
      <c r="A1366" s="1">
        <v>2021</v>
      </c>
      <c r="B1366" s="1" t="s">
        <v>31</v>
      </c>
      <c r="C1366" s="1">
        <v>26</v>
      </c>
      <c r="D1366" s="49">
        <v>110.01600000000001</v>
      </c>
      <c r="E1366" s="12">
        <f t="shared" si="27"/>
        <v>137.52000000000001</v>
      </c>
      <c r="F1366" s="50">
        <v>93.438000000000002</v>
      </c>
      <c r="G1366" s="60">
        <v>83.004999999999995</v>
      </c>
      <c r="H1366" s="61">
        <v>1640.8389999999999</v>
      </c>
      <c r="I1366" s="62">
        <v>6.9</v>
      </c>
      <c r="J1366" s="63">
        <v>2.1999999999999999E-2</v>
      </c>
      <c r="K1366" s="68">
        <v>8.657</v>
      </c>
      <c r="L1366" s="61">
        <v>35.777000000000001</v>
      </c>
      <c r="M1366" s="62">
        <v>5.5919999999999996</v>
      </c>
      <c r="N1366" s="66">
        <v>1.4E-2</v>
      </c>
      <c r="O1366" s="57">
        <v>50.753999999999998</v>
      </c>
      <c r="P1366" s="67">
        <v>5.6000000000000001E-2</v>
      </c>
      <c r="Q1366" s="143">
        <v>96.700999999999993</v>
      </c>
    </row>
    <row r="1367" spans="1:17" ht="14.25" customHeight="1" x14ac:dyDescent="0.35">
      <c r="A1367" s="1">
        <v>2021</v>
      </c>
      <c r="B1367" s="1" t="s">
        <v>31</v>
      </c>
      <c r="C1367" s="1">
        <v>27</v>
      </c>
      <c r="D1367" s="49">
        <v>111.73399999999999</v>
      </c>
      <c r="E1367" s="12">
        <f t="shared" si="27"/>
        <v>139.66749999999999</v>
      </c>
      <c r="F1367" s="50">
        <v>95</v>
      </c>
      <c r="G1367" s="60">
        <v>82.915000000000006</v>
      </c>
      <c r="H1367" s="61">
        <v>1633.2919999999999</v>
      </c>
      <c r="I1367" s="62">
        <v>6.9</v>
      </c>
      <c r="J1367" s="63">
        <v>2.1999999999999999E-2</v>
      </c>
      <c r="K1367" s="68">
        <v>8.8000000000000007</v>
      </c>
      <c r="L1367" s="65">
        <v>36.029000000000003</v>
      </c>
      <c r="M1367" s="50">
        <v>5.609</v>
      </c>
      <c r="N1367" s="66">
        <v>1.4E-2</v>
      </c>
      <c r="O1367" s="57">
        <v>48.743000000000002</v>
      </c>
      <c r="P1367" s="67">
        <v>5.6000000000000001E-2</v>
      </c>
      <c r="Q1367" s="143">
        <v>96.91</v>
      </c>
    </row>
    <row r="1368" spans="1:17" ht="14.25" customHeight="1" x14ac:dyDescent="0.35">
      <c r="A1368" s="1">
        <v>2021</v>
      </c>
      <c r="B1368" s="1" t="s">
        <v>31</v>
      </c>
      <c r="C1368" s="1">
        <v>28</v>
      </c>
      <c r="D1368" s="49">
        <v>111.23399999999999</v>
      </c>
      <c r="E1368" s="12">
        <f t="shared" si="27"/>
        <v>139.04249999999999</v>
      </c>
      <c r="F1368" s="50">
        <v>94.438000000000002</v>
      </c>
      <c r="G1368" s="60">
        <v>83.206000000000003</v>
      </c>
      <c r="H1368" s="61">
        <v>1714.8889999999999</v>
      </c>
      <c r="I1368" s="62">
        <v>6.9</v>
      </c>
      <c r="J1368" s="63">
        <v>2.1999999999999999E-2</v>
      </c>
      <c r="K1368" s="68">
        <v>8.8480000000000008</v>
      </c>
      <c r="L1368" s="61">
        <v>37.442999999999998</v>
      </c>
      <c r="M1368" s="62">
        <v>5.6059999999999999</v>
      </c>
      <c r="N1368" s="66">
        <v>1.4E-2</v>
      </c>
      <c r="O1368" s="57">
        <v>48.933</v>
      </c>
      <c r="P1368" s="67">
        <v>6.0999999999999999E-2</v>
      </c>
      <c r="Q1368" s="143">
        <v>96.54</v>
      </c>
    </row>
    <row r="1369" spans="1:17" ht="14.25" customHeight="1" x14ac:dyDescent="0.35">
      <c r="A1369" s="1">
        <v>2021</v>
      </c>
      <c r="B1369" s="1" t="s">
        <v>31</v>
      </c>
      <c r="C1369" s="1">
        <v>29</v>
      </c>
      <c r="D1369" s="49">
        <v>109.60899999999999</v>
      </c>
      <c r="E1369" s="12">
        <f t="shared" si="27"/>
        <v>137.01124999999999</v>
      </c>
      <c r="F1369" s="50">
        <v>93.093999999999994</v>
      </c>
      <c r="G1369" s="83">
        <v>83.379000000000005</v>
      </c>
      <c r="H1369" s="69">
        <v>1733.4680000000001</v>
      </c>
      <c r="I1369" s="50">
        <v>6.9</v>
      </c>
      <c r="J1369" s="66">
        <v>2.1999999999999999E-2</v>
      </c>
      <c r="K1369" s="117">
        <v>8.6869999999999994</v>
      </c>
      <c r="L1369" s="61">
        <v>37.618000000000002</v>
      </c>
      <c r="M1369" s="62">
        <v>5.5940000000000003</v>
      </c>
      <c r="N1369" s="66">
        <v>1.4E-2</v>
      </c>
      <c r="O1369" s="57">
        <v>50.534999999999997</v>
      </c>
      <c r="P1369" s="84">
        <v>0.06</v>
      </c>
      <c r="Q1369" s="143">
        <v>96.563000000000002</v>
      </c>
    </row>
    <row r="1370" spans="1:17" ht="14.25" customHeight="1" x14ac:dyDescent="0.35">
      <c r="A1370" s="1">
        <v>2021</v>
      </c>
      <c r="B1370" s="1" t="s">
        <v>31</v>
      </c>
      <c r="C1370" s="1">
        <v>30</v>
      </c>
      <c r="D1370" s="104">
        <v>110.65600000000001</v>
      </c>
      <c r="E1370" s="12">
        <f t="shared" si="27"/>
        <v>138.32</v>
      </c>
      <c r="F1370" s="105">
        <v>93.875</v>
      </c>
      <c r="G1370" s="83">
        <v>83.546999999999997</v>
      </c>
      <c r="H1370" s="69">
        <v>1750.0820000000001</v>
      </c>
      <c r="I1370" s="50">
        <v>6.9</v>
      </c>
      <c r="J1370" s="66">
        <v>2.1999999999999999E-2</v>
      </c>
      <c r="K1370" s="117">
        <v>8.5470000000000006</v>
      </c>
      <c r="L1370" s="61">
        <v>38.369999999999997</v>
      </c>
      <c r="M1370" s="62">
        <v>5.5890000000000004</v>
      </c>
      <c r="N1370" s="66">
        <v>1.4E-2</v>
      </c>
      <c r="O1370" s="57">
        <v>50.96</v>
      </c>
      <c r="P1370" s="84">
        <v>6.0999999999999999E-2</v>
      </c>
      <c r="Q1370" s="143">
        <v>96.619</v>
      </c>
    </row>
    <row r="1371" spans="1:17" ht="14.25" customHeight="1" x14ac:dyDescent="0.35">
      <c r="A1371" s="1">
        <v>2021</v>
      </c>
      <c r="B1371" s="1" t="s">
        <v>32</v>
      </c>
      <c r="C1371" s="1">
        <v>1</v>
      </c>
      <c r="D1371" s="12">
        <v>112.953</v>
      </c>
      <c r="E1371" s="12">
        <f t="shared" si="27"/>
        <v>141.19125</v>
      </c>
      <c r="F1371" s="13">
        <v>96</v>
      </c>
      <c r="G1371" s="51">
        <v>83.543999999999997</v>
      </c>
      <c r="H1371" s="52">
        <v>1758.472</v>
      </c>
      <c r="I1371" s="53">
        <v>6.9</v>
      </c>
      <c r="J1371" s="54">
        <v>2.1999999999999999E-2</v>
      </c>
      <c r="K1371" s="59">
        <v>8.3369999999999997</v>
      </c>
      <c r="L1371" s="52">
        <v>38.226999999999997</v>
      </c>
      <c r="M1371" s="55">
        <v>5.5350000000000001</v>
      </c>
      <c r="N1371" s="54">
        <v>1.4E-2</v>
      </c>
      <c r="O1371" s="57">
        <v>57.6</v>
      </c>
      <c r="P1371" s="58">
        <v>6.2E-2</v>
      </c>
      <c r="Q1371" s="96"/>
    </row>
    <row r="1372" spans="1:17" ht="14.25" customHeight="1" x14ac:dyDescent="0.35">
      <c r="A1372" s="1">
        <v>2021</v>
      </c>
      <c r="B1372" s="1" t="s">
        <v>32</v>
      </c>
      <c r="C1372" s="1">
        <v>2</v>
      </c>
      <c r="D1372" s="12">
        <v>114.313</v>
      </c>
      <c r="E1372" s="12">
        <f t="shared" si="27"/>
        <v>142.89125000000001</v>
      </c>
      <c r="F1372" s="13">
        <v>97</v>
      </c>
      <c r="G1372" s="60">
        <v>83.600999999999999</v>
      </c>
      <c r="H1372" s="61">
        <v>1727.5429999999999</v>
      </c>
      <c r="I1372" s="62">
        <v>6.9</v>
      </c>
      <c r="J1372" s="63">
        <v>2.1999999999999999E-2</v>
      </c>
      <c r="K1372" s="68">
        <v>8.1809999999999992</v>
      </c>
      <c r="L1372" s="65">
        <v>38.395000000000003</v>
      </c>
      <c r="M1372" s="50">
        <v>5.5460000000000003</v>
      </c>
      <c r="N1372" s="63">
        <v>1.4E-2</v>
      </c>
      <c r="O1372" s="57">
        <v>56.228999999999999</v>
      </c>
      <c r="P1372" s="67">
        <v>6.2E-2</v>
      </c>
      <c r="Q1372" s="96"/>
    </row>
    <row r="1373" spans="1:17" ht="14.25" customHeight="1" x14ac:dyDescent="0.35">
      <c r="A1373" s="1">
        <v>2021</v>
      </c>
      <c r="B1373" s="1" t="s">
        <v>32</v>
      </c>
      <c r="C1373" s="1">
        <v>3</v>
      </c>
      <c r="D1373" s="12">
        <v>110.078</v>
      </c>
      <c r="E1373" s="12">
        <f t="shared" si="27"/>
        <v>137.5975</v>
      </c>
      <c r="F1373" s="13">
        <v>93.5</v>
      </c>
      <c r="G1373" s="60">
        <v>83.682000000000002</v>
      </c>
      <c r="H1373" s="61">
        <v>1653.117</v>
      </c>
      <c r="I1373" s="62">
        <v>6.9</v>
      </c>
      <c r="J1373" s="63">
        <v>2.1000000000000001E-2</v>
      </c>
      <c r="K1373" s="68">
        <v>8.1609999999999996</v>
      </c>
      <c r="L1373" s="65">
        <v>36.345999999999997</v>
      </c>
      <c r="M1373" s="50">
        <v>5.5439999999999996</v>
      </c>
      <c r="N1373" s="63">
        <v>1.4E-2</v>
      </c>
      <c r="O1373" s="57">
        <v>56.597000000000001</v>
      </c>
      <c r="P1373" s="67">
        <v>5.8000000000000003E-2</v>
      </c>
      <c r="Q1373" s="96"/>
    </row>
    <row r="1374" spans="1:17" ht="14.25" customHeight="1" x14ac:dyDescent="0.35">
      <c r="A1374" s="1">
        <v>2021</v>
      </c>
      <c r="B1374" s="1" t="s">
        <v>32</v>
      </c>
      <c r="C1374" s="1">
        <v>4</v>
      </c>
      <c r="D1374" s="12">
        <v>113.85899999999999</v>
      </c>
      <c r="E1374" s="12">
        <f t="shared" si="27"/>
        <v>142.32374999999999</v>
      </c>
      <c r="F1374" s="13">
        <v>96.718999999999994</v>
      </c>
      <c r="G1374" s="60">
        <v>83.590999999999994</v>
      </c>
      <c r="H1374" s="61">
        <v>1622.1579999999999</v>
      </c>
      <c r="I1374" s="62">
        <v>6.9</v>
      </c>
      <c r="J1374" s="63">
        <v>2.1999999999999999E-2</v>
      </c>
      <c r="K1374" s="68">
        <v>8.4269999999999996</v>
      </c>
      <c r="L1374" s="65">
        <v>35.744</v>
      </c>
      <c r="M1374" s="50">
        <v>5.5670000000000002</v>
      </c>
      <c r="N1374" s="63">
        <v>1.4E-2</v>
      </c>
      <c r="O1374" s="57">
        <v>53.534999999999997</v>
      </c>
      <c r="P1374" s="67">
        <v>5.8000000000000003E-2</v>
      </c>
      <c r="Q1374" s="96"/>
    </row>
    <row r="1375" spans="1:17" ht="14.25" customHeight="1" x14ac:dyDescent="0.35">
      <c r="A1375" s="1">
        <v>2021</v>
      </c>
      <c r="B1375" s="1" t="s">
        <v>32</v>
      </c>
      <c r="C1375" s="1">
        <v>5</v>
      </c>
      <c r="D1375" s="12">
        <v>114.328</v>
      </c>
      <c r="E1375" s="12">
        <f t="shared" si="27"/>
        <v>142.91</v>
      </c>
      <c r="F1375" s="13">
        <v>97.093999999999994</v>
      </c>
      <c r="G1375" s="60">
        <v>83.27</v>
      </c>
      <c r="H1375" s="61">
        <v>1689.2149999999999</v>
      </c>
      <c r="I1375" s="62">
        <v>6.9</v>
      </c>
      <c r="J1375" s="63">
        <v>2.3E-2</v>
      </c>
      <c r="K1375" s="68">
        <v>8.8829999999999991</v>
      </c>
      <c r="L1375" s="65">
        <v>37.015000000000001</v>
      </c>
      <c r="M1375" s="50">
        <v>5.5670000000000002</v>
      </c>
      <c r="N1375" s="63">
        <v>1.4E-2</v>
      </c>
      <c r="O1375" s="57">
        <v>53.404000000000003</v>
      </c>
      <c r="P1375" s="67">
        <v>6.2E-2</v>
      </c>
      <c r="Q1375" s="96"/>
    </row>
    <row r="1376" spans="1:17" ht="14.25" customHeight="1" x14ac:dyDescent="0.35">
      <c r="A1376" s="1">
        <v>2021</v>
      </c>
      <c r="B1376" s="1" t="s">
        <v>32</v>
      </c>
      <c r="C1376" s="1">
        <v>6</v>
      </c>
      <c r="D1376" s="12">
        <v>114.453</v>
      </c>
      <c r="E1376" s="12">
        <f t="shared" si="27"/>
        <v>143.06625</v>
      </c>
      <c r="F1376" s="13">
        <v>97.156000000000006</v>
      </c>
      <c r="G1376" s="60">
        <v>83.379000000000005</v>
      </c>
      <c r="H1376" s="61">
        <v>1720.663</v>
      </c>
      <c r="I1376" s="62">
        <v>6.9</v>
      </c>
      <c r="J1376" s="63">
        <v>2.1999999999999999E-2</v>
      </c>
      <c r="K1376" s="68">
        <v>8.5690000000000008</v>
      </c>
      <c r="L1376" s="65">
        <v>37.850999999999999</v>
      </c>
      <c r="M1376" s="50">
        <v>5.5590000000000002</v>
      </c>
      <c r="N1376" s="63">
        <v>1.4E-2</v>
      </c>
      <c r="O1376" s="57">
        <v>54.661999999999999</v>
      </c>
      <c r="P1376" s="67">
        <v>6.7000000000000004E-2</v>
      </c>
      <c r="Q1376" s="96"/>
    </row>
    <row r="1377" spans="1:17" ht="14.25" customHeight="1" x14ac:dyDescent="0.35">
      <c r="A1377" s="1">
        <v>2021</v>
      </c>
      <c r="B1377" s="1" t="s">
        <v>32</v>
      </c>
      <c r="C1377" s="1">
        <v>7</v>
      </c>
      <c r="D1377" s="12">
        <v>111.813</v>
      </c>
      <c r="E1377" s="12">
        <f t="shared" si="27"/>
        <v>139.76625000000001</v>
      </c>
      <c r="F1377" s="13">
        <v>94.968999999999994</v>
      </c>
      <c r="G1377" s="60">
        <v>83.03</v>
      </c>
      <c r="H1377" s="61">
        <v>1739.066</v>
      </c>
      <c r="I1377" s="62">
        <v>6.9</v>
      </c>
      <c r="J1377" s="63">
        <v>2.1999999999999999E-2</v>
      </c>
      <c r="K1377" s="68">
        <v>8.843</v>
      </c>
      <c r="L1377" s="65">
        <v>38.531999999999996</v>
      </c>
      <c r="M1377" s="50">
        <v>5.5640000000000001</v>
      </c>
      <c r="N1377" s="63">
        <v>1.4E-2</v>
      </c>
      <c r="O1377" s="57">
        <v>54.030999999999999</v>
      </c>
      <c r="P1377" s="67">
        <v>0.06</v>
      </c>
      <c r="Q1377" s="96"/>
    </row>
    <row r="1378" spans="1:17" ht="14.25" customHeight="1" x14ac:dyDescent="0.35">
      <c r="A1378" s="1">
        <v>2021</v>
      </c>
      <c r="B1378" s="1" t="s">
        <v>32</v>
      </c>
      <c r="C1378" s="1">
        <v>8</v>
      </c>
      <c r="D1378" s="12">
        <v>114.578</v>
      </c>
      <c r="E1378" s="12">
        <f t="shared" si="27"/>
        <v>143.2225</v>
      </c>
      <c r="F1378" s="13">
        <v>97.281000000000006</v>
      </c>
      <c r="G1378" s="60">
        <v>83.039000000000001</v>
      </c>
      <c r="H1378" s="69">
        <v>1746.105</v>
      </c>
      <c r="I1378" s="62">
        <v>6.9</v>
      </c>
      <c r="J1378" s="63">
        <v>2.3E-2</v>
      </c>
      <c r="K1378" s="71">
        <v>8.61</v>
      </c>
      <c r="L1378" s="65">
        <v>38.100999999999999</v>
      </c>
      <c r="M1378" s="50">
        <v>5.4649999999999999</v>
      </c>
      <c r="N1378" s="63">
        <v>1.4E-2</v>
      </c>
      <c r="O1378" s="57">
        <v>68.087000000000003</v>
      </c>
      <c r="P1378" s="70">
        <v>5.6000000000000001E-2</v>
      </c>
      <c r="Q1378" s="96"/>
    </row>
    <row r="1379" spans="1:17" ht="14.25" customHeight="1" x14ac:dyDescent="0.35">
      <c r="A1379" s="1">
        <v>2021</v>
      </c>
      <c r="B1379" s="1" t="s">
        <v>32</v>
      </c>
      <c r="C1379" s="1">
        <v>9</v>
      </c>
      <c r="D1379" s="12">
        <v>75.766000000000005</v>
      </c>
      <c r="E1379" s="12">
        <f t="shared" si="27"/>
        <v>94.70750000000001</v>
      </c>
      <c r="F1379" s="13">
        <v>64.343999999999994</v>
      </c>
      <c r="G1379" s="60">
        <v>81.841999999999999</v>
      </c>
      <c r="H1379" s="61">
        <v>1736.357</v>
      </c>
      <c r="I1379" s="62">
        <v>6.91</v>
      </c>
      <c r="J1379" s="63">
        <v>2.1999999999999999E-2</v>
      </c>
      <c r="K1379" s="68">
        <v>7.93</v>
      </c>
      <c r="L1379" s="65">
        <v>36.4</v>
      </c>
      <c r="M1379" s="50">
        <v>5.3940000000000001</v>
      </c>
      <c r="N1379" s="63">
        <v>1.9E-2</v>
      </c>
      <c r="O1379" s="57">
        <v>82.759</v>
      </c>
      <c r="P1379" s="67">
        <v>0.05</v>
      </c>
      <c r="Q1379" s="96"/>
    </row>
    <row r="1380" spans="1:17" ht="14.25" customHeight="1" x14ac:dyDescent="0.35">
      <c r="A1380" s="1">
        <v>2021</v>
      </c>
      <c r="B1380" s="1" t="s">
        <v>32</v>
      </c>
      <c r="C1380" s="1">
        <v>10</v>
      </c>
      <c r="D1380" s="12">
        <v>101.73399999999999</v>
      </c>
      <c r="E1380" s="12">
        <f t="shared" si="27"/>
        <v>127.16749999999999</v>
      </c>
      <c r="F1380" s="13">
        <v>86.406000000000006</v>
      </c>
      <c r="G1380" s="72">
        <v>82.438999999999993</v>
      </c>
      <c r="H1380" s="61">
        <v>1673.5930000000001</v>
      </c>
      <c r="I1380" s="62">
        <v>6.9020000000000001</v>
      </c>
      <c r="J1380" s="63">
        <v>2.1999999999999999E-2</v>
      </c>
      <c r="K1380" s="76">
        <v>8.0259999999999998</v>
      </c>
      <c r="L1380" s="65">
        <v>36.948999999999998</v>
      </c>
      <c r="M1380" s="50">
        <v>5.3639999999999999</v>
      </c>
      <c r="N1380" s="110">
        <v>2.3E-2</v>
      </c>
      <c r="O1380" s="57">
        <v>85.477000000000004</v>
      </c>
      <c r="P1380" s="75">
        <v>5.5E-2</v>
      </c>
      <c r="Q1380" s="96"/>
    </row>
    <row r="1381" spans="1:17" ht="14.25" customHeight="1" x14ac:dyDescent="0.35">
      <c r="A1381" s="1">
        <v>2021</v>
      </c>
      <c r="B1381" s="1" t="s">
        <v>32</v>
      </c>
      <c r="C1381" s="1">
        <v>11</v>
      </c>
      <c r="D1381" s="12">
        <v>113.64100000000001</v>
      </c>
      <c r="E1381" s="12">
        <f t="shared" si="27"/>
        <v>142.05125000000001</v>
      </c>
      <c r="F1381" s="13">
        <v>96.593999999999994</v>
      </c>
      <c r="G1381" s="72">
        <v>81.83</v>
      </c>
      <c r="H1381" s="61">
        <v>1629.509</v>
      </c>
      <c r="I1381" s="62">
        <v>6.9</v>
      </c>
      <c r="J1381" s="63">
        <v>2.1999999999999999E-2</v>
      </c>
      <c r="K1381" s="76">
        <v>8.3469999999999995</v>
      </c>
      <c r="L1381" s="65">
        <v>34.758000000000003</v>
      </c>
      <c r="M1381" s="50">
        <v>5.3630000000000004</v>
      </c>
      <c r="N1381" s="110">
        <v>1.4E-2</v>
      </c>
      <c r="O1381" s="57">
        <v>85.843999999999994</v>
      </c>
      <c r="P1381" s="75">
        <v>5.1999999999999998E-2</v>
      </c>
      <c r="Q1381" s="96"/>
    </row>
    <row r="1382" spans="1:17" ht="14.25" customHeight="1" x14ac:dyDescent="0.35">
      <c r="A1382" s="1">
        <v>2021</v>
      </c>
      <c r="B1382" s="1" t="s">
        <v>32</v>
      </c>
      <c r="C1382" s="1">
        <v>12</v>
      </c>
      <c r="D1382" s="12">
        <v>111.35899999999999</v>
      </c>
      <c r="E1382" s="12">
        <f t="shared" si="27"/>
        <v>139.19874999999999</v>
      </c>
      <c r="F1382" s="13">
        <v>94.718999999999994</v>
      </c>
      <c r="G1382" s="72">
        <v>81.02</v>
      </c>
      <c r="H1382" s="61">
        <v>1725.6120000000001</v>
      </c>
      <c r="I1382" s="62">
        <v>6.9</v>
      </c>
      <c r="J1382" s="63">
        <v>2.1999999999999999E-2</v>
      </c>
      <c r="K1382" s="76">
        <v>8.5589999999999993</v>
      </c>
      <c r="L1382" s="65">
        <v>35.36</v>
      </c>
      <c r="M1382" s="50">
        <v>5.343</v>
      </c>
      <c r="N1382" s="110">
        <v>1.4E-2</v>
      </c>
      <c r="O1382" s="57">
        <v>89.591999999999999</v>
      </c>
      <c r="P1382" s="75">
        <v>5.3999999999999999E-2</v>
      </c>
      <c r="Q1382" s="96"/>
    </row>
    <row r="1383" spans="1:17" ht="14.25" customHeight="1" x14ac:dyDescent="0.35">
      <c r="A1383" s="1">
        <v>2021</v>
      </c>
      <c r="B1383" s="1" t="s">
        <v>32</v>
      </c>
      <c r="C1383" s="1">
        <v>13</v>
      </c>
      <c r="D1383" s="12">
        <v>110.14100000000001</v>
      </c>
      <c r="E1383" s="12">
        <f t="shared" si="27"/>
        <v>137.67625000000001</v>
      </c>
      <c r="F1383" s="13">
        <v>93.718999999999994</v>
      </c>
      <c r="G1383" s="78">
        <v>81.423000000000002</v>
      </c>
      <c r="H1383" s="61">
        <v>1768.921</v>
      </c>
      <c r="I1383" s="62">
        <v>6.9</v>
      </c>
      <c r="J1383" s="63">
        <v>2.1999999999999999E-2</v>
      </c>
      <c r="K1383" s="81">
        <v>8.3119999999999994</v>
      </c>
      <c r="L1383" s="65">
        <v>35.954000000000001</v>
      </c>
      <c r="M1383" s="50">
        <v>5.34</v>
      </c>
      <c r="N1383" s="63">
        <v>1.4E-2</v>
      </c>
      <c r="O1383" s="57">
        <v>90.432000000000002</v>
      </c>
      <c r="P1383" s="80">
        <v>5.6000000000000001E-2</v>
      </c>
      <c r="Q1383" s="96"/>
    </row>
    <row r="1384" spans="1:17" ht="14.25" customHeight="1" x14ac:dyDescent="0.35">
      <c r="A1384" s="1">
        <v>2021</v>
      </c>
      <c r="B1384" s="1" t="s">
        <v>32</v>
      </c>
      <c r="C1384" s="1">
        <v>14</v>
      </c>
      <c r="D1384" s="12">
        <v>109.25</v>
      </c>
      <c r="E1384" s="12">
        <f t="shared" si="27"/>
        <v>136.5625</v>
      </c>
      <c r="F1384" s="13">
        <v>92.968999999999994</v>
      </c>
      <c r="G1384" s="60">
        <v>81.548000000000002</v>
      </c>
      <c r="H1384" s="61">
        <v>1763.5889999999999</v>
      </c>
      <c r="I1384" s="62">
        <v>6.9</v>
      </c>
      <c r="J1384" s="63">
        <v>2.1999999999999999E-2</v>
      </c>
      <c r="K1384" s="81">
        <v>8.4190000000000005</v>
      </c>
      <c r="L1384" s="82">
        <v>35.402999999999999</v>
      </c>
      <c r="M1384" s="50">
        <v>5.3360000000000003</v>
      </c>
      <c r="N1384" s="63">
        <v>1.4E-2</v>
      </c>
      <c r="O1384" s="57">
        <v>91.385000000000005</v>
      </c>
      <c r="P1384" s="80">
        <v>5.6000000000000001E-2</v>
      </c>
      <c r="Q1384" s="96"/>
    </row>
    <row r="1385" spans="1:17" ht="14.25" customHeight="1" x14ac:dyDescent="0.35">
      <c r="A1385" s="1">
        <v>2021</v>
      </c>
      <c r="B1385" s="1" t="s">
        <v>32</v>
      </c>
      <c r="C1385" s="1">
        <v>15</v>
      </c>
      <c r="D1385" s="12">
        <v>110.203</v>
      </c>
      <c r="E1385" s="12">
        <f t="shared" si="27"/>
        <v>137.75375</v>
      </c>
      <c r="F1385" s="13">
        <v>93.688000000000002</v>
      </c>
      <c r="G1385" s="60">
        <v>81.923000000000002</v>
      </c>
      <c r="H1385" s="61">
        <v>1726.0229999999999</v>
      </c>
      <c r="I1385" s="62">
        <v>6.9</v>
      </c>
      <c r="J1385" s="63">
        <v>2.3E-2</v>
      </c>
      <c r="K1385" s="76">
        <v>8.4030000000000005</v>
      </c>
      <c r="L1385" s="65">
        <v>35.625</v>
      </c>
      <c r="M1385" s="50">
        <v>5.1539999999999999</v>
      </c>
      <c r="N1385" s="63">
        <v>1.4E-2</v>
      </c>
      <c r="O1385" s="144">
        <v>142.99199999999999</v>
      </c>
      <c r="P1385" s="75">
        <v>5.2999999999999999E-2</v>
      </c>
      <c r="Q1385" s="96"/>
    </row>
    <row r="1386" spans="1:17" ht="14.25" customHeight="1" x14ac:dyDescent="0.35">
      <c r="A1386" s="1">
        <v>2021</v>
      </c>
      <c r="B1386" s="1" t="s">
        <v>32</v>
      </c>
      <c r="C1386" s="1">
        <v>16</v>
      </c>
      <c r="D1386" s="12">
        <v>112.125</v>
      </c>
      <c r="E1386" s="12">
        <f t="shared" si="27"/>
        <v>140.15625</v>
      </c>
      <c r="F1386" s="13">
        <v>95.313000000000002</v>
      </c>
      <c r="G1386" s="60">
        <v>82.01</v>
      </c>
      <c r="H1386" s="61">
        <v>1705.501</v>
      </c>
      <c r="I1386" s="62">
        <v>6.9</v>
      </c>
      <c r="J1386" s="63">
        <v>2.1999999999999999E-2</v>
      </c>
      <c r="K1386" s="81">
        <v>8.5470000000000006</v>
      </c>
      <c r="L1386" s="61">
        <v>35.354999999999997</v>
      </c>
      <c r="M1386" s="62">
        <v>5.0179999999999998</v>
      </c>
      <c r="N1386" s="63">
        <v>1.4E-2</v>
      </c>
      <c r="O1386" s="57">
        <v>189.38900000000001</v>
      </c>
      <c r="P1386" s="80">
        <v>0.05</v>
      </c>
      <c r="Q1386" s="96"/>
    </row>
    <row r="1387" spans="1:17" ht="14.25" customHeight="1" x14ac:dyDescent="0.35">
      <c r="A1387" s="1">
        <v>2021</v>
      </c>
      <c r="B1387" s="1" t="s">
        <v>32</v>
      </c>
      <c r="C1387" s="1">
        <v>17</v>
      </c>
      <c r="D1387" s="12">
        <v>111.26600000000001</v>
      </c>
      <c r="E1387" s="12">
        <f t="shared" si="27"/>
        <v>139.08250000000001</v>
      </c>
      <c r="F1387" s="13">
        <v>94.563000000000002</v>
      </c>
      <c r="G1387" s="60">
        <v>81.540000000000006</v>
      </c>
      <c r="H1387" s="61">
        <v>1641.212</v>
      </c>
      <c r="I1387" s="62">
        <v>6.9</v>
      </c>
      <c r="J1387" s="63">
        <v>2.1999999999999999E-2</v>
      </c>
      <c r="K1387" s="68">
        <v>8.3550000000000004</v>
      </c>
      <c r="L1387" s="65">
        <v>34.703000000000003</v>
      </c>
      <c r="M1387" s="50">
        <v>5.0309999999999997</v>
      </c>
      <c r="N1387" s="63">
        <v>1.4E-2</v>
      </c>
      <c r="O1387" s="57">
        <v>183.62799999999999</v>
      </c>
      <c r="P1387" s="67">
        <v>4.8000000000000001E-2</v>
      </c>
      <c r="Q1387" s="96"/>
    </row>
    <row r="1388" spans="1:17" ht="14.25" customHeight="1" x14ac:dyDescent="0.35">
      <c r="A1388" s="1">
        <v>2021</v>
      </c>
      <c r="B1388" s="1" t="s">
        <v>32</v>
      </c>
      <c r="C1388" s="1">
        <v>18</v>
      </c>
      <c r="D1388" s="12">
        <v>102.078</v>
      </c>
      <c r="E1388" s="12">
        <f t="shared" si="27"/>
        <v>127.5975</v>
      </c>
      <c r="F1388" s="13">
        <v>86.656000000000006</v>
      </c>
      <c r="G1388" s="60">
        <v>81.001999999999995</v>
      </c>
      <c r="H1388" s="61">
        <v>1573.636</v>
      </c>
      <c r="I1388" s="145">
        <v>6.9</v>
      </c>
      <c r="J1388" s="63">
        <v>2.1000000000000001E-2</v>
      </c>
      <c r="K1388" s="68">
        <v>8.3710000000000004</v>
      </c>
      <c r="L1388" s="61">
        <v>32.371000000000002</v>
      </c>
      <c r="M1388" s="145">
        <v>5.109</v>
      </c>
      <c r="N1388" s="63">
        <v>1.4E-2</v>
      </c>
      <c r="O1388" s="144">
        <v>155.983</v>
      </c>
      <c r="P1388" s="67">
        <v>4.8000000000000001E-2</v>
      </c>
      <c r="Q1388" s="96"/>
    </row>
    <row r="1389" spans="1:17" ht="14.25" customHeight="1" x14ac:dyDescent="0.35">
      <c r="A1389" s="1">
        <v>2021</v>
      </c>
      <c r="B1389" s="1" t="s">
        <v>32</v>
      </c>
      <c r="C1389" s="1">
        <v>19</v>
      </c>
      <c r="D1389" s="12">
        <v>114</v>
      </c>
      <c r="E1389" s="12">
        <f t="shared" si="27"/>
        <v>142.5</v>
      </c>
      <c r="F1389" s="13">
        <v>97.093999999999994</v>
      </c>
      <c r="G1389" s="60">
        <v>81.078999999999994</v>
      </c>
      <c r="H1389" s="61">
        <v>1682.5740000000001</v>
      </c>
      <c r="I1389" s="62">
        <v>6.9</v>
      </c>
      <c r="J1389" s="63">
        <v>2.3E-2</v>
      </c>
      <c r="K1389" s="68">
        <v>8.7080000000000002</v>
      </c>
      <c r="L1389" s="65">
        <v>34.414999999999999</v>
      </c>
      <c r="M1389" s="50">
        <v>5.22</v>
      </c>
      <c r="N1389" s="63">
        <v>1.4E-2</v>
      </c>
      <c r="O1389" s="57">
        <v>119.19</v>
      </c>
      <c r="P1389" s="67">
        <v>5.1999999999999998E-2</v>
      </c>
      <c r="Q1389" s="96"/>
    </row>
    <row r="1390" spans="1:17" ht="14.25" customHeight="1" x14ac:dyDescent="0.35">
      <c r="A1390" s="1">
        <v>2021</v>
      </c>
      <c r="B1390" s="1" t="s">
        <v>32</v>
      </c>
      <c r="C1390" s="1">
        <v>20</v>
      </c>
      <c r="D1390" s="12">
        <v>111.938</v>
      </c>
      <c r="E1390" s="12">
        <f t="shared" si="27"/>
        <v>139.92250000000001</v>
      </c>
      <c r="F1390" s="13">
        <v>95.218999999999994</v>
      </c>
      <c r="G1390" s="60">
        <v>81.14</v>
      </c>
      <c r="H1390" s="61">
        <v>1717.0309999999999</v>
      </c>
      <c r="I1390" s="62">
        <v>6.9</v>
      </c>
      <c r="J1390" s="63">
        <v>2.3E-2</v>
      </c>
      <c r="K1390" s="68">
        <v>8.6950000000000003</v>
      </c>
      <c r="L1390" s="61">
        <v>35.615000000000002</v>
      </c>
      <c r="M1390" s="62">
        <v>5.2249999999999996</v>
      </c>
      <c r="N1390" s="63">
        <v>1.4E-2</v>
      </c>
      <c r="O1390" s="57">
        <v>117.58199999999999</v>
      </c>
      <c r="P1390" s="67">
        <v>5.5E-2</v>
      </c>
      <c r="Q1390" s="96"/>
    </row>
    <row r="1391" spans="1:17" ht="14.25" customHeight="1" x14ac:dyDescent="0.35">
      <c r="A1391" s="1">
        <v>2021</v>
      </c>
      <c r="B1391" s="1" t="s">
        <v>32</v>
      </c>
      <c r="C1391" s="1">
        <v>21</v>
      </c>
      <c r="D1391" s="12">
        <v>111.75</v>
      </c>
      <c r="E1391" s="12">
        <f t="shared" si="27"/>
        <v>139.6875</v>
      </c>
      <c r="F1391" s="13">
        <v>95.093999999999994</v>
      </c>
      <c r="G1391" s="60">
        <v>81.215000000000003</v>
      </c>
      <c r="H1391" s="61">
        <v>1704.0730000000001</v>
      </c>
      <c r="I1391" s="62">
        <v>6.9</v>
      </c>
      <c r="J1391" s="63">
        <v>2.4E-2</v>
      </c>
      <c r="K1391" s="68">
        <v>8.6750000000000007</v>
      </c>
      <c r="L1391" s="65">
        <v>37.106999999999999</v>
      </c>
      <c r="M1391" s="50">
        <v>5.2249999999999996</v>
      </c>
      <c r="N1391" s="63">
        <v>1.4E-2</v>
      </c>
      <c r="O1391" s="57">
        <v>117.277</v>
      </c>
      <c r="P1391" s="67">
        <v>5.3999999999999999E-2</v>
      </c>
      <c r="Q1391" s="96"/>
    </row>
    <row r="1392" spans="1:17" ht="14.25" customHeight="1" x14ac:dyDescent="0.35">
      <c r="A1392" s="1">
        <v>2021</v>
      </c>
      <c r="B1392" s="1" t="s">
        <v>32</v>
      </c>
      <c r="C1392" s="1">
        <v>22</v>
      </c>
      <c r="D1392" s="12">
        <v>108.40600000000001</v>
      </c>
      <c r="E1392" s="12">
        <f t="shared" si="27"/>
        <v>135.50749999999999</v>
      </c>
      <c r="F1392" s="13">
        <v>92.25</v>
      </c>
      <c r="G1392" s="60">
        <v>81.13</v>
      </c>
      <c r="H1392" s="61">
        <v>1719.6980000000001</v>
      </c>
      <c r="I1392" s="62">
        <v>6.9</v>
      </c>
      <c r="J1392" s="63">
        <v>2.3E-2</v>
      </c>
      <c r="K1392" s="68">
        <v>8.5649999999999995</v>
      </c>
      <c r="L1392" s="61">
        <v>36.704000000000001</v>
      </c>
      <c r="M1392" s="62">
        <v>5.4139999999999997</v>
      </c>
      <c r="N1392" s="63">
        <v>1.4E-2</v>
      </c>
      <c r="O1392" s="57">
        <v>84.561000000000007</v>
      </c>
      <c r="P1392" s="67">
        <v>5.2999999999999999E-2</v>
      </c>
      <c r="Q1392" s="96"/>
    </row>
    <row r="1393" spans="1:17" ht="14.25" customHeight="1" x14ac:dyDescent="0.35">
      <c r="A1393" s="1">
        <v>2021</v>
      </c>
      <c r="B1393" s="1" t="s">
        <v>32</v>
      </c>
      <c r="C1393" s="1">
        <v>23</v>
      </c>
      <c r="D1393" s="12">
        <v>112.313</v>
      </c>
      <c r="E1393" s="32">
        <v>140.33000000000001</v>
      </c>
      <c r="F1393" s="13">
        <v>95.625</v>
      </c>
      <c r="G1393" s="60">
        <v>80.876999999999995</v>
      </c>
      <c r="H1393" s="61">
        <v>1704.684</v>
      </c>
      <c r="I1393" s="62">
        <v>6.9</v>
      </c>
      <c r="J1393" s="63">
        <v>2.4E-2</v>
      </c>
      <c r="K1393" s="68">
        <v>8.7919999999999998</v>
      </c>
      <c r="L1393" s="65">
        <v>35.969000000000001</v>
      </c>
      <c r="M1393" s="50">
        <v>5.5730000000000004</v>
      </c>
      <c r="N1393" s="63">
        <v>1.4E-2</v>
      </c>
      <c r="O1393" s="57">
        <v>52.860999999999997</v>
      </c>
      <c r="P1393" s="67">
        <v>5.3999999999999999E-2</v>
      </c>
      <c r="Q1393" s="96"/>
    </row>
    <row r="1394" spans="1:17" ht="14.25" customHeight="1" x14ac:dyDescent="0.35">
      <c r="A1394" s="1">
        <v>2021</v>
      </c>
      <c r="B1394" s="1" t="s">
        <v>32</v>
      </c>
      <c r="C1394" s="1">
        <v>24</v>
      </c>
      <c r="D1394" s="12">
        <v>112.563</v>
      </c>
      <c r="E1394" s="12">
        <f t="shared" ref="E1394:E1430" si="28">D1394*1.25</f>
        <v>140.70375000000001</v>
      </c>
      <c r="F1394" s="13">
        <v>95.688000000000002</v>
      </c>
      <c r="G1394" s="60">
        <v>81.138000000000005</v>
      </c>
      <c r="H1394" s="61">
        <v>1640.06</v>
      </c>
      <c r="I1394" s="62">
        <v>6.9</v>
      </c>
      <c r="J1394" s="63">
        <v>2.3E-2</v>
      </c>
      <c r="K1394" s="68">
        <v>8.6590000000000007</v>
      </c>
      <c r="L1394" s="61">
        <v>36.563000000000002</v>
      </c>
      <c r="M1394" s="62">
        <v>5.5830000000000002</v>
      </c>
      <c r="N1394" s="63">
        <v>1.4E-2</v>
      </c>
      <c r="O1394" s="57">
        <v>51.814999999999998</v>
      </c>
      <c r="P1394" s="67">
        <v>5.3999999999999999E-2</v>
      </c>
      <c r="Q1394" s="96"/>
    </row>
    <row r="1395" spans="1:17" ht="14.25" customHeight="1" x14ac:dyDescent="0.35">
      <c r="A1395" s="1">
        <v>2021</v>
      </c>
      <c r="B1395" s="1" t="s">
        <v>32</v>
      </c>
      <c r="C1395" s="1">
        <v>25</v>
      </c>
      <c r="D1395" s="12">
        <v>111.703</v>
      </c>
      <c r="E1395" s="12">
        <f t="shared" si="28"/>
        <v>139.62875</v>
      </c>
      <c r="F1395" s="13">
        <v>95.093999999999994</v>
      </c>
      <c r="G1395" s="60">
        <v>80.305000000000007</v>
      </c>
      <c r="H1395" s="61">
        <v>1620.7550000000001</v>
      </c>
      <c r="I1395" s="62">
        <v>6.9</v>
      </c>
      <c r="J1395" s="63">
        <v>2.3E-2</v>
      </c>
      <c r="K1395" s="68">
        <v>8.7539999999999996</v>
      </c>
      <c r="L1395" s="65">
        <v>36.74</v>
      </c>
      <c r="M1395" s="50">
        <v>5.5839999999999996</v>
      </c>
      <c r="N1395" s="63">
        <v>1.4E-2</v>
      </c>
      <c r="O1395" s="57">
        <v>51.372999999999998</v>
      </c>
      <c r="P1395" s="67">
        <v>5.3999999999999999E-2</v>
      </c>
      <c r="Q1395" s="96"/>
    </row>
    <row r="1396" spans="1:17" ht="14.25" customHeight="1" x14ac:dyDescent="0.35">
      <c r="A1396" s="1">
        <v>2021</v>
      </c>
      <c r="B1396" s="1" t="s">
        <v>32</v>
      </c>
      <c r="C1396" s="1">
        <v>26</v>
      </c>
      <c r="D1396" s="12">
        <v>110.78100000000001</v>
      </c>
      <c r="E1396" s="12">
        <f t="shared" si="28"/>
        <v>138.47624999999999</v>
      </c>
      <c r="F1396" s="13">
        <v>94.281000000000006</v>
      </c>
      <c r="G1396" s="60">
        <v>80.460999999999999</v>
      </c>
      <c r="H1396" s="61">
        <v>1692.4480000000001</v>
      </c>
      <c r="I1396" s="62">
        <v>6.9</v>
      </c>
      <c r="J1396" s="63">
        <v>2.4E-2</v>
      </c>
      <c r="K1396" s="68">
        <v>8.8520000000000003</v>
      </c>
      <c r="L1396" s="61">
        <v>37.720999999999997</v>
      </c>
      <c r="M1396" s="62">
        <v>5.5919999999999996</v>
      </c>
      <c r="N1396" s="63">
        <v>1.4E-2</v>
      </c>
      <c r="O1396" s="57">
        <v>50.591000000000001</v>
      </c>
      <c r="P1396" s="67">
        <v>5.7000000000000002E-2</v>
      </c>
      <c r="Q1396" s="96"/>
    </row>
    <row r="1397" spans="1:17" ht="14.25" customHeight="1" x14ac:dyDescent="0.35">
      <c r="A1397" s="1">
        <v>2021</v>
      </c>
      <c r="B1397" s="1" t="s">
        <v>32</v>
      </c>
      <c r="C1397" s="1">
        <v>27</v>
      </c>
      <c r="D1397" s="12">
        <v>108.078</v>
      </c>
      <c r="E1397" s="12">
        <f t="shared" si="28"/>
        <v>135.0975</v>
      </c>
      <c r="F1397" s="13">
        <v>91.875</v>
      </c>
      <c r="G1397" s="60">
        <v>80.972999999999999</v>
      </c>
      <c r="H1397" s="61">
        <v>1729.9960000000001</v>
      </c>
      <c r="I1397" s="62">
        <v>6.9009999999999998</v>
      </c>
      <c r="J1397" s="63">
        <v>2.4E-2</v>
      </c>
      <c r="K1397" s="68">
        <v>8.8480000000000008</v>
      </c>
      <c r="L1397" s="65">
        <v>40.832000000000001</v>
      </c>
      <c r="M1397" s="50">
        <v>5.57</v>
      </c>
      <c r="N1397" s="63">
        <v>1.4E-2</v>
      </c>
      <c r="O1397" s="57">
        <v>52.98</v>
      </c>
      <c r="P1397" s="67">
        <v>0.06</v>
      </c>
      <c r="Q1397" s="96"/>
    </row>
    <row r="1398" spans="1:17" ht="14.25" customHeight="1" x14ac:dyDescent="0.35">
      <c r="A1398" s="1">
        <v>2021</v>
      </c>
      <c r="B1398" s="1" t="s">
        <v>32</v>
      </c>
      <c r="C1398" s="1">
        <v>28</v>
      </c>
      <c r="D1398" s="12">
        <v>104.203</v>
      </c>
      <c r="E1398" s="12">
        <f t="shared" si="28"/>
        <v>130.25375</v>
      </c>
      <c r="F1398" s="13">
        <v>88.593999999999994</v>
      </c>
      <c r="G1398" s="60">
        <v>81.412000000000006</v>
      </c>
      <c r="H1398" s="61">
        <v>1730.4949999999999</v>
      </c>
      <c r="I1398" s="62">
        <v>6.9</v>
      </c>
      <c r="J1398" s="63">
        <v>2.4E-2</v>
      </c>
      <c r="K1398" s="68">
        <v>8.8390000000000004</v>
      </c>
      <c r="L1398" s="61">
        <v>41.363</v>
      </c>
      <c r="M1398" s="62">
        <v>5.5330000000000004</v>
      </c>
      <c r="N1398" s="63">
        <v>1.4E-2</v>
      </c>
      <c r="O1398" s="57">
        <v>57.646000000000001</v>
      </c>
      <c r="P1398" s="67">
        <v>6.3E-2</v>
      </c>
      <c r="Q1398" s="96"/>
    </row>
    <row r="1399" spans="1:17" ht="14.25" customHeight="1" x14ac:dyDescent="0.35">
      <c r="A1399" s="1">
        <v>2021</v>
      </c>
      <c r="B1399" s="1" t="s">
        <v>32</v>
      </c>
      <c r="C1399" s="1">
        <v>29</v>
      </c>
      <c r="D1399" s="12">
        <v>96.563000000000002</v>
      </c>
      <c r="E1399" s="12">
        <f t="shared" si="28"/>
        <v>120.70375</v>
      </c>
      <c r="F1399" s="13">
        <v>82</v>
      </c>
      <c r="G1399" s="83">
        <v>81.545000000000002</v>
      </c>
      <c r="H1399" s="69">
        <v>1746.2170000000001</v>
      </c>
      <c r="I1399" s="50">
        <v>6.9</v>
      </c>
      <c r="J1399" s="66">
        <v>2.4E-2</v>
      </c>
      <c r="K1399" s="117">
        <v>8.8480000000000008</v>
      </c>
      <c r="L1399" s="61">
        <v>42.832000000000001</v>
      </c>
      <c r="M1399" s="62">
        <v>5.2380000000000004</v>
      </c>
      <c r="N1399" s="63">
        <v>1.4E-2</v>
      </c>
      <c r="O1399" s="57">
        <v>129.84200000000001</v>
      </c>
      <c r="P1399" s="84">
        <v>6.8000000000000005E-2</v>
      </c>
      <c r="Q1399" s="96"/>
    </row>
    <row r="1400" spans="1:17" ht="14.25" customHeight="1" x14ac:dyDescent="0.35">
      <c r="A1400" s="1">
        <v>2021</v>
      </c>
      <c r="B1400" s="1" t="s">
        <v>32</v>
      </c>
      <c r="C1400" s="1">
        <v>30</v>
      </c>
      <c r="D1400" s="12">
        <v>91.016000000000005</v>
      </c>
      <c r="E1400" s="12">
        <f t="shared" si="28"/>
        <v>113.77000000000001</v>
      </c>
      <c r="F1400" s="13">
        <v>77.343999999999994</v>
      </c>
      <c r="G1400" s="83">
        <v>81.222999999999999</v>
      </c>
      <c r="H1400" s="69">
        <v>1756.4349999999999</v>
      </c>
      <c r="I1400" s="50">
        <v>6.9</v>
      </c>
      <c r="J1400" s="66">
        <v>2.5000000000000001E-2</v>
      </c>
      <c r="K1400" s="117">
        <v>9.2420000000000009</v>
      </c>
      <c r="L1400" s="61">
        <v>43.121000000000002</v>
      </c>
      <c r="M1400" s="62">
        <v>5.085</v>
      </c>
      <c r="N1400" s="63">
        <v>1.4E-2</v>
      </c>
      <c r="O1400" s="57">
        <v>161.90600000000001</v>
      </c>
      <c r="P1400" s="84">
        <v>6.5000000000000002E-2</v>
      </c>
      <c r="Q1400" s="96"/>
    </row>
    <row r="1401" spans="1:17" ht="14.25" customHeight="1" x14ac:dyDescent="0.35">
      <c r="A1401" s="1">
        <v>2021</v>
      </c>
      <c r="B1401" s="1" t="s">
        <v>32</v>
      </c>
      <c r="C1401" s="1">
        <v>31</v>
      </c>
      <c r="D1401" s="85">
        <v>107.46899999999999</v>
      </c>
      <c r="E1401" s="12">
        <f t="shared" si="28"/>
        <v>134.33625000000001</v>
      </c>
      <c r="F1401" s="86">
        <v>91.343999999999994</v>
      </c>
      <c r="G1401" s="87">
        <v>80.626000000000005</v>
      </c>
      <c r="H1401" s="88">
        <v>1674.82</v>
      </c>
      <c r="I1401" s="89">
        <v>6.9</v>
      </c>
      <c r="J1401" s="90">
        <v>2.3E-2</v>
      </c>
      <c r="K1401" s="131">
        <v>8.8879999999999999</v>
      </c>
      <c r="L1401" s="61">
        <v>42.722000000000001</v>
      </c>
      <c r="M1401" s="64">
        <v>5.1100000000000003</v>
      </c>
      <c r="N1401" s="63">
        <v>1.4E-2</v>
      </c>
      <c r="O1401" s="57">
        <v>152.89500000000001</v>
      </c>
      <c r="P1401" s="66">
        <v>5.8999999999999997E-2</v>
      </c>
      <c r="Q1401" s="96"/>
    </row>
    <row r="1402" spans="1:17" ht="14.25" customHeight="1" x14ac:dyDescent="0.35">
      <c r="A1402" s="1">
        <v>2021</v>
      </c>
      <c r="B1402" s="1" t="s">
        <v>33</v>
      </c>
      <c r="C1402" s="1">
        <v>1</v>
      </c>
      <c r="D1402" s="49">
        <v>90.875</v>
      </c>
      <c r="E1402" s="12">
        <f t="shared" si="28"/>
        <v>113.59375</v>
      </c>
      <c r="F1402" s="50">
        <v>77.156000000000006</v>
      </c>
      <c r="G1402" s="51">
        <v>80.254999999999995</v>
      </c>
      <c r="H1402" s="52">
        <v>1621.164</v>
      </c>
      <c r="I1402" s="53">
        <v>6.9</v>
      </c>
      <c r="J1402" s="54">
        <v>2.4E-2</v>
      </c>
      <c r="K1402" s="59">
        <v>8.8710000000000004</v>
      </c>
      <c r="L1402" s="52">
        <v>41.619</v>
      </c>
      <c r="M1402" s="55">
        <v>5.1189999999999998</v>
      </c>
      <c r="N1402" s="54">
        <v>1.4E-2</v>
      </c>
      <c r="O1402" s="57">
        <v>149.78399999999999</v>
      </c>
      <c r="P1402" s="58">
        <v>5.8000000000000003E-2</v>
      </c>
      <c r="Q1402" s="96"/>
    </row>
    <row r="1403" spans="1:17" ht="14.25" customHeight="1" x14ac:dyDescent="0.35">
      <c r="A1403" s="1">
        <v>2021</v>
      </c>
      <c r="B1403" s="1" t="s">
        <v>33</v>
      </c>
      <c r="C1403" s="1">
        <v>2</v>
      </c>
      <c r="D1403" s="49">
        <v>109.547</v>
      </c>
      <c r="E1403" s="12">
        <f t="shared" si="28"/>
        <v>136.93375</v>
      </c>
      <c r="F1403" s="50">
        <v>93.156000000000006</v>
      </c>
      <c r="G1403" s="60">
        <v>80.403999999999996</v>
      </c>
      <c r="H1403" s="61">
        <v>1697.5630000000001</v>
      </c>
      <c r="I1403" s="62">
        <v>6.9</v>
      </c>
      <c r="J1403" s="63">
        <v>2.3E-2</v>
      </c>
      <c r="K1403" s="68">
        <v>9.1039999999999992</v>
      </c>
      <c r="L1403" s="65">
        <v>41.453000000000003</v>
      </c>
      <c r="M1403" s="50">
        <v>5.1120000000000001</v>
      </c>
      <c r="N1403" s="63">
        <v>1.4E-2</v>
      </c>
      <c r="O1403" s="57">
        <v>151.98599999999999</v>
      </c>
      <c r="P1403" s="67">
        <v>6.2E-2</v>
      </c>
      <c r="Q1403" s="96"/>
    </row>
    <row r="1404" spans="1:17" ht="14.25" customHeight="1" x14ac:dyDescent="0.35">
      <c r="A1404" s="1">
        <v>2021</v>
      </c>
      <c r="B1404" s="1" t="s">
        <v>33</v>
      </c>
      <c r="C1404" s="1">
        <v>3</v>
      </c>
      <c r="D1404" s="49">
        <v>112.53100000000001</v>
      </c>
      <c r="E1404" s="12">
        <f t="shared" si="28"/>
        <v>140.66374999999999</v>
      </c>
      <c r="F1404" s="50">
        <v>95.688000000000002</v>
      </c>
      <c r="G1404" s="60">
        <v>80.478999999999999</v>
      </c>
      <c r="H1404" s="61">
        <v>1747.1959999999999</v>
      </c>
      <c r="I1404" s="62">
        <v>6.9</v>
      </c>
      <c r="J1404" s="63">
        <v>2.3E-2</v>
      </c>
      <c r="K1404" s="68">
        <v>9.0210000000000008</v>
      </c>
      <c r="L1404" s="65">
        <v>43.776000000000003</v>
      </c>
      <c r="M1404" s="50">
        <v>5.1029999999999998</v>
      </c>
      <c r="N1404" s="63">
        <v>1.6E-2</v>
      </c>
      <c r="O1404" s="57">
        <v>155.30699999999999</v>
      </c>
      <c r="P1404" s="67">
        <v>6.6000000000000003E-2</v>
      </c>
      <c r="Q1404" s="96"/>
    </row>
    <row r="1405" spans="1:17" ht="14.25" customHeight="1" x14ac:dyDescent="0.35">
      <c r="A1405" s="1">
        <v>2021</v>
      </c>
      <c r="B1405" s="1" t="s">
        <v>33</v>
      </c>
      <c r="C1405" s="1">
        <v>4</v>
      </c>
      <c r="D1405" s="49">
        <v>114.40600000000001</v>
      </c>
      <c r="E1405" s="12">
        <f t="shared" si="28"/>
        <v>143.00749999999999</v>
      </c>
      <c r="F1405" s="50">
        <v>97.438000000000002</v>
      </c>
      <c r="G1405" s="60">
        <v>80.245999999999995</v>
      </c>
      <c r="H1405" s="61">
        <v>1769.0920000000001</v>
      </c>
      <c r="I1405" s="62">
        <v>6.9</v>
      </c>
      <c r="J1405" s="63">
        <v>2.3E-2</v>
      </c>
      <c r="K1405" s="68">
        <v>8.9440000000000008</v>
      </c>
      <c r="L1405" s="65">
        <v>43.908999999999999</v>
      </c>
      <c r="M1405" s="50">
        <v>5.1070000000000002</v>
      </c>
      <c r="N1405" s="63">
        <v>1.4E-2</v>
      </c>
      <c r="O1405" s="57">
        <v>153.75299999999999</v>
      </c>
      <c r="P1405" s="67">
        <v>6.8000000000000005E-2</v>
      </c>
      <c r="Q1405" s="96"/>
    </row>
    <row r="1406" spans="1:17" ht="14.25" customHeight="1" x14ac:dyDescent="0.35">
      <c r="A1406" s="1">
        <v>2021</v>
      </c>
      <c r="B1406" s="1" t="s">
        <v>33</v>
      </c>
      <c r="C1406" s="1">
        <v>5</v>
      </c>
      <c r="D1406" s="49">
        <v>113.10899999999999</v>
      </c>
      <c r="E1406" s="12">
        <f t="shared" si="28"/>
        <v>141.38624999999999</v>
      </c>
      <c r="F1406" s="50">
        <v>96.343999999999994</v>
      </c>
      <c r="G1406" s="60">
        <v>80.183000000000007</v>
      </c>
      <c r="H1406" s="61">
        <v>1797.8889999999999</v>
      </c>
      <c r="I1406" s="62">
        <v>6.9</v>
      </c>
      <c r="J1406" s="63">
        <v>2.3E-2</v>
      </c>
      <c r="K1406" s="68">
        <v>8.7110000000000003</v>
      </c>
      <c r="L1406" s="65">
        <v>44.625999999999998</v>
      </c>
      <c r="M1406" s="50">
        <v>5.1760000000000002</v>
      </c>
      <c r="N1406" s="63">
        <v>1.4E-2</v>
      </c>
      <c r="O1406" s="57">
        <v>132.381</v>
      </c>
      <c r="P1406" s="67">
        <v>6.2E-2</v>
      </c>
      <c r="Q1406" s="96"/>
    </row>
    <row r="1407" spans="1:17" ht="14.25" customHeight="1" x14ac:dyDescent="0.35">
      <c r="A1407" s="1">
        <v>2021</v>
      </c>
      <c r="B1407" s="1" t="s">
        <v>33</v>
      </c>
      <c r="C1407" s="1">
        <v>6</v>
      </c>
      <c r="D1407" s="49">
        <v>110.828</v>
      </c>
      <c r="E1407" s="12">
        <f t="shared" si="28"/>
        <v>138.535</v>
      </c>
      <c r="F1407" s="50">
        <v>94.188000000000002</v>
      </c>
      <c r="G1407" s="60">
        <v>80.021000000000001</v>
      </c>
      <c r="H1407" s="61">
        <v>1791.9</v>
      </c>
      <c r="I1407" s="62">
        <v>6.9</v>
      </c>
      <c r="J1407" s="63">
        <v>2.3E-2</v>
      </c>
      <c r="K1407" s="68">
        <v>8.6809999999999992</v>
      </c>
      <c r="L1407" s="65">
        <v>45.18</v>
      </c>
      <c r="M1407" s="50">
        <v>5.2309999999999999</v>
      </c>
      <c r="N1407" s="63">
        <v>1.4E-2</v>
      </c>
      <c r="O1407" s="57">
        <v>115.572</v>
      </c>
      <c r="P1407" s="67">
        <v>6.0999999999999999E-2</v>
      </c>
      <c r="Q1407" s="96"/>
    </row>
    <row r="1408" spans="1:17" ht="14.25" customHeight="1" x14ac:dyDescent="0.35">
      <c r="A1408" s="1">
        <v>2021</v>
      </c>
      <c r="B1408" s="1" t="s">
        <v>33</v>
      </c>
      <c r="C1408" s="1">
        <v>7</v>
      </c>
      <c r="D1408" s="49">
        <v>115.60899999999999</v>
      </c>
      <c r="E1408" s="12">
        <f t="shared" si="28"/>
        <v>144.51124999999999</v>
      </c>
      <c r="F1408" s="50">
        <v>98.25</v>
      </c>
      <c r="G1408" s="60">
        <v>80.055999999999997</v>
      </c>
      <c r="H1408" s="61">
        <v>1718.895</v>
      </c>
      <c r="I1408" s="62">
        <v>6.9</v>
      </c>
      <c r="J1408" s="63">
        <v>2.1999999999999999E-2</v>
      </c>
      <c r="K1408" s="68">
        <v>8.3670000000000009</v>
      </c>
      <c r="L1408" s="65">
        <v>42.344000000000001</v>
      </c>
      <c r="M1408" s="50">
        <v>5.2080000000000002</v>
      </c>
      <c r="N1408" s="63">
        <v>1.4E-2</v>
      </c>
      <c r="O1408" s="57">
        <v>121.595</v>
      </c>
      <c r="P1408" s="67">
        <v>5.6000000000000001E-2</v>
      </c>
      <c r="Q1408" s="96"/>
    </row>
    <row r="1409" spans="1:17" ht="14.25" customHeight="1" x14ac:dyDescent="0.35">
      <c r="A1409" s="1">
        <v>2021</v>
      </c>
      <c r="B1409" s="1" t="s">
        <v>33</v>
      </c>
      <c r="C1409" s="1">
        <v>8</v>
      </c>
      <c r="D1409" s="49">
        <v>114.203</v>
      </c>
      <c r="E1409" s="12">
        <f t="shared" si="28"/>
        <v>142.75375</v>
      </c>
      <c r="F1409" s="50">
        <v>97.063000000000002</v>
      </c>
      <c r="G1409" s="60">
        <v>79.748000000000005</v>
      </c>
      <c r="H1409" s="69">
        <v>1670.8579999999999</v>
      </c>
      <c r="I1409" s="62">
        <v>6.9</v>
      </c>
      <c r="J1409" s="63">
        <v>2.3E-2</v>
      </c>
      <c r="K1409" s="71">
        <v>8.3360000000000003</v>
      </c>
      <c r="L1409" s="65">
        <v>40.918999999999997</v>
      </c>
      <c r="M1409" s="50">
        <v>5.21</v>
      </c>
      <c r="N1409" s="63">
        <v>1.4E-2</v>
      </c>
      <c r="O1409" s="57">
        <v>121.223</v>
      </c>
      <c r="P1409" s="70">
        <v>5.2999999999999999E-2</v>
      </c>
      <c r="Q1409" s="96"/>
    </row>
    <row r="1410" spans="1:17" ht="14.25" customHeight="1" x14ac:dyDescent="0.35">
      <c r="A1410" s="1">
        <v>2021</v>
      </c>
      <c r="B1410" s="1" t="s">
        <v>33</v>
      </c>
      <c r="C1410" s="1">
        <v>9</v>
      </c>
      <c r="D1410" s="49">
        <v>110.28100000000001</v>
      </c>
      <c r="E1410" s="12">
        <f t="shared" si="28"/>
        <v>137.85124999999999</v>
      </c>
      <c r="F1410" s="50">
        <v>93.688000000000002</v>
      </c>
      <c r="G1410" s="60">
        <v>79.832999999999998</v>
      </c>
      <c r="H1410" s="61">
        <v>1749.74</v>
      </c>
      <c r="I1410" s="62">
        <v>6.9009999999999998</v>
      </c>
      <c r="J1410" s="63">
        <v>2.3E-2</v>
      </c>
      <c r="K1410" s="68">
        <v>8.4090000000000007</v>
      </c>
      <c r="L1410" s="65">
        <v>42.713000000000001</v>
      </c>
      <c r="M1410" s="50">
        <v>5.1959999999999997</v>
      </c>
      <c r="N1410" s="63">
        <v>1.4E-2</v>
      </c>
      <c r="O1410" s="57">
        <v>125.2</v>
      </c>
      <c r="P1410" s="67">
        <v>0.06</v>
      </c>
      <c r="Q1410" s="96"/>
    </row>
    <row r="1411" spans="1:17" ht="14.25" customHeight="1" x14ac:dyDescent="0.35">
      <c r="A1411" s="1">
        <v>2021</v>
      </c>
      <c r="B1411" s="1" t="s">
        <v>33</v>
      </c>
      <c r="C1411" s="1">
        <v>10</v>
      </c>
      <c r="D1411" s="49">
        <v>107.09399999999999</v>
      </c>
      <c r="E1411" s="12">
        <f t="shared" si="28"/>
        <v>133.86750000000001</v>
      </c>
      <c r="F1411" s="50">
        <v>91</v>
      </c>
      <c r="G1411" s="72">
        <v>80.180999999999997</v>
      </c>
      <c r="H1411" s="61">
        <v>1797.896</v>
      </c>
      <c r="I1411" s="62">
        <v>6.899</v>
      </c>
      <c r="J1411" s="63">
        <v>2.4E-2</v>
      </c>
      <c r="K1411" s="76">
        <v>8.3070000000000004</v>
      </c>
      <c r="L1411" s="65">
        <v>43.307000000000002</v>
      </c>
      <c r="M1411" s="50">
        <v>5.1920000000000002</v>
      </c>
      <c r="N1411" s="110">
        <v>1.4E-2</v>
      </c>
      <c r="O1411" s="57">
        <v>126.532</v>
      </c>
      <c r="P1411" s="75">
        <v>5.8999999999999997E-2</v>
      </c>
      <c r="Q1411" s="96"/>
    </row>
    <row r="1412" spans="1:17" ht="14.25" customHeight="1" x14ac:dyDescent="0.35">
      <c r="A1412" s="1">
        <v>2021</v>
      </c>
      <c r="B1412" s="1" t="s">
        <v>33</v>
      </c>
      <c r="C1412" s="1">
        <v>11</v>
      </c>
      <c r="D1412" s="49">
        <v>104.73399999999999</v>
      </c>
      <c r="E1412" s="12">
        <f t="shared" si="28"/>
        <v>130.91749999999999</v>
      </c>
      <c r="F1412" s="50">
        <v>89.093999999999994</v>
      </c>
      <c r="G1412" s="72">
        <v>80.626999999999995</v>
      </c>
      <c r="H1412" s="61">
        <v>1796.4749999999999</v>
      </c>
      <c r="I1412" s="62">
        <v>6.9</v>
      </c>
      <c r="J1412" s="63">
        <v>2.4E-2</v>
      </c>
      <c r="K1412" s="76">
        <v>8.1449999999999996</v>
      </c>
      <c r="L1412" s="65">
        <v>43.911000000000001</v>
      </c>
      <c r="M1412" s="50">
        <v>5.1609999999999996</v>
      </c>
      <c r="N1412" s="110">
        <v>1.4E-2</v>
      </c>
      <c r="O1412" s="57">
        <v>135.96</v>
      </c>
      <c r="P1412" s="75">
        <v>5.8999999999999997E-2</v>
      </c>
      <c r="Q1412" s="96"/>
    </row>
    <row r="1413" spans="1:17" ht="14.25" customHeight="1" x14ac:dyDescent="0.35">
      <c r="A1413" s="1">
        <v>2021</v>
      </c>
      <c r="B1413" s="1" t="s">
        <v>33</v>
      </c>
      <c r="C1413" s="1">
        <v>12</v>
      </c>
      <c r="D1413" s="49">
        <v>104.188</v>
      </c>
      <c r="E1413" s="12">
        <f t="shared" si="28"/>
        <v>130.23500000000001</v>
      </c>
      <c r="F1413" s="50">
        <v>88.563000000000002</v>
      </c>
      <c r="G1413" s="72">
        <v>81.061999999999998</v>
      </c>
      <c r="H1413" s="61">
        <v>1749.605</v>
      </c>
      <c r="I1413" s="62">
        <v>6.9</v>
      </c>
      <c r="J1413" s="63">
        <v>2.3E-2</v>
      </c>
      <c r="K1413" s="76">
        <v>8.125</v>
      </c>
      <c r="L1413" s="65">
        <v>41.314999999999998</v>
      </c>
      <c r="M1413" s="50">
        <v>5.0229999999999997</v>
      </c>
      <c r="N1413" s="110">
        <v>1.4E-2</v>
      </c>
      <c r="O1413" s="57">
        <v>190.107</v>
      </c>
      <c r="P1413" s="75">
        <v>5.6000000000000001E-2</v>
      </c>
      <c r="Q1413" s="96"/>
    </row>
    <row r="1414" spans="1:17" ht="14.25" customHeight="1" x14ac:dyDescent="0.35">
      <c r="A1414" s="1">
        <v>2021</v>
      </c>
      <c r="B1414" s="1" t="s">
        <v>33</v>
      </c>
      <c r="C1414" s="1">
        <v>13</v>
      </c>
      <c r="D1414" s="49">
        <v>102.28100000000001</v>
      </c>
      <c r="E1414" s="12">
        <f t="shared" si="28"/>
        <v>127.85125000000001</v>
      </c>
      <c r="F1414" s="50">
        <v>86.968999999999994</v>
      </c>
      <c r="G1414" s="78">
        <v>81.09</v>
      </c>
      <c r="H1414" s="61">
        <v>1727.269</v>
      </c>
      <c r="I1414" s="62">
        <v>6.9</v>
      </c>
      <c r="J1414" s="63">
        <v>2.3E-2</v>
      </c>
      <c r="K1414" s="81">
        <v>8.0229999999999997</v>
      </c>
      <c r="L1414" s="65">
        <v>39.823999999999998</v>
      </c>
      <c r="M1414" s="50">
        <v>4.9210000000000003</v>
      </c>
      <c r="N1414" s="63">
        <v>1.4E-2</v>
      </c>
      <c r="O1414" s="57">
        <v>236.22800000000001</v>
      </c>
      <c r="P1414" s="80">
        <v>5.6000000000000001E-2</v>
      </c>
      <c r="Q1414" s="96"/>
    </row>
    <row r="1415" spans="1:17" ht="14.25" customHeight="1" x14ac:dyDescent="0.35">
      <c r="A1415" s="1">
        <v>2021</v>
      </c>
      <c r="B1415" s="1" t="s">
        <v>33</v>
      </c>
      <c r="C1415" s="1">
        <v>14</v>
      </c>
      <c r="D1415" s="49">
        <v>98.921999999999997</v>
      </c>
      <c r="E1415" s="12">
        <f t="shared" si="28"/>
        <v>123.6525</v>
      </c>
      <c r="F1415" s="50">
        <v>84.156000000000006</v>
      </c>
      <c r="G1415" s="60">
        <v>80.802000000000007</v>
      </c>
      <c r="H1415" s="61">
        <v>1677.625</v>
      </c>
      <c r="I1415" s="62">
        <v>6.9</v>
      </c>
      <c r="J1415" s="63">
        <v>2.3E-2</v>
      </c>
      <c r="K1415" s="81">
        <v>8.0470000000000006</v>
      </c>
      <c r="L1415" s="82">
        <v>37.593000000000004</v>
      </c>
      <c r="M1415" s="50">
        <v>4.9269999999999996</v>
      </c>
      <c r="N1415" s="63">
        <v>1.4E-2</v>
      </c>
      <c r="O1415" s="57">
        <v>232.751</v>
      </c>
      <c r="P1415" s="80">
        <v>5.0999999999999997E-2</v>
      </c>
      <c r="Q1415" s="96"/>
    </row>
    <row r="1416" spans="1:17" ht="14.25" customHeight="1" x14ac:dyDescent="0.35">
      <c r="A1416" s="1">
        <v>2021</v>
      </c>
      <c r="B1416" s="1" t="s">
        <v>33</v>
      </c>
      <c r="C1416" s="1">
        <v>15</v>
      </c>
      <c r="D1416" s="49">
        <v>103.047</v>
      </c>
      <c r="E1416" s="12">
        <f t="shared" si="28"/>
        <v>128.80875</v>
      </c>
      <c r="F1416" s="50">
        <v>87.625</v>
      </c>
      <c r="G1416" s="60">
        <v>80.459000000000003</v>
      </c>
      <c r="H1416" s="61">
        <v>1614.7729999999999</v>
      </c>
      <c r="I1416" s="62">
        <v>6.9</v>
      </c>
      <c r="J1416" s="63">
        <v>2.3E-2</v>
      </c>
      <c r="K1416" s="76">
        <v>8.4109999999999996</v>
      </c>
      <c r="L1416" s="65">
        <v>36.875</v>
      </c>
      <c r="M1416" s="50">
        <v>5.0110000000000001</v>
      </c>
      <c r="N1416" s="63">
        <v>1.4E-2</v>
      </c>
      <c r="O1416" s="57">
        <v>194.38300000000001</v>
      </c>
      <c r="P1416" s="75">
        <v>5.5E-2</v>
      </c>
      <c r="Q1416" s="96"/>
    </row>
    <row r="1417" spans="1:17" ht="14.25" customHeight="1" x14ac:dyDescent="0.35">
      <c r="A1417" s="1">
        <v>2021</v>
      </c>
      <c r="B1417" s="1" t="s">
        <v>33</v>
      </c>
      <c r="C1417" s="1">
        <v>16</v>
      </c>
      <c r="D1417" s="49">
        <v>102.65600000000001</v>
      </c>
      <c r="E1417" s="12">
        <f t="shared" si="28"/>
        <v>128.32</v>
      </c>
      <c r="F1417" s="50">
        <v>87.313000000000002</v>
      </c>
      <c r="G1417" s="60">
        <v>79.983000000000004</v>
      </c>
      <c r="H1417" s="61">
        <v>1715.835</v>
      </c>
      <c r="I1417" s="62">
        <v>6.9</v>
      </c>
      <c r="J1417" s="63">
        <v>2.3E-2</v>
      </c>
      <c r="K1417" s="81">
        <v>8.5809999999999995</v>
      </c>
      <c r="L1417" s="61">
        <v>38.588999999999999</v>
      </c>
      <c r="M1417" s="62">
        <v>5.0819999999999999</v>
      </c>
      <c r="N1417" s="63">
        <v>1.4E-2</v>
      </c>
      <c r="O1417" s="57">
        <v>162.845</v>
      </c>
      <c r="P1417" s="80">
        <v>0.06</v>
      </c>
      <c r="Q1417" s="96"/>
    </row>
    <row r="1418" spans="1:17" ht="14.25" customHeight="1" x14ac:dyDescent="0.35">
      <c r="A1418" s="1">
        <v>2021</v>
      </c>
      <c r="B1418" s="1" t="s">
        <v>33</v>
      </c>
      <c r="C1418" s="1">
        <v>17</v>
      </c>
      <c r="D1418" s="49">
        <v>101.875</v>
      </c>
      <c r="E1418" s="12">
        <f t="shared" si="28"/>
        <v>127.34375</v>
      </c>
      <c r="F1418" s="50">
        <v>86.781000000000006</v>
      </c>
      <c r="G1418" s="60">
        <v>79.991</v>
      </c>
      <c r="H1418" s="61">
        <v>1735.85</v>
      </c>
      <c r="I1418" s="62">
        <v>6.9</v>
      </c>
      <c r="J1418" s="63">
        <v>2.3E-2</v>
      </c>
      <c r="K1418" s="68">
        <v>8.3689999999999998</v>
      </c>
      <c r="L1418" s="65">
        <v>37.389000000000003</v>
      </c>
      <c r="M1418" s="50">
        <v>5.0529999999999999</v>
      </c>
      <c r="N1418" s="63">
        <v>1.4E-2</v>
      </c>
      <c r="O1418" s="57">
        <v>174.36099999999999</v>
      </c>
      <c r="P1418" s="67">
        <v>5.7000000000000002E-2</v>
      </c>
      <c r="Q1418" s="96"/>
    </row>
    <row r="1419" spans="1:17" ht="14.25" customHeight="1" x14ac:dyDescent="0.35">
      <c r="A1419" s="1">
        <v>2021</v>
      </c>
      <c r="B1419" s="1" t="s">
        <v>33</v>
      </c>
      <c r="C1419" s="1">
        <v>18</v>
      </c>
      <c r="D1419" s="49">
        <v>99.781000000000006</v>
      </c>
      <c r="E1419" s="12">
        <f t="shared" si="28"/>
        <v>124.72625000000001</v>
      </c>
      <c r="F1419" s="50">
        <v>84.781000000000006</v>
      </c>
      <c r="G1419" s="60">
        <v>79.775999999999996</v>
      </c>
      <c r="H1419" s="61">
        <v>1734.722</v>
      </c>
      <c r="I1419" s="62">
        <v>6.9</v>
      </c>
      <c r="J1419" s="63">
        <v>2.4E-2</v>
      </c>
      <c r="K1419" s="68">
        <v>8.2759999999999998</v>
      </c>
      <c r="L1419" s="61">
        <v>36.204999999999998</v>
      </c>
      <c r="M1419" s="62">
        <v>5.0579999999999998</v>
      </c>
      <c r="N1419" s="63">
        <v>1.4E-2</v>
      </c>
      <c r="O1419" s="57">
        <v>172.81800000000001</v>
      </c>
      <c r="P1419" s="67">
        <v>5.3999999999999999E-2</v>
      </c>
      <c r="Q1419" s="96"/>
    </row>
    <row r="1420" spans="1:17" ht="14.25" customHeight="1" x14ac:dyDescent="0.35">
      <c r="A1420" s="1">
        <v>2021</v>
      </c>
      <c r="B1420" s="1" t="s">
        <v>33</v>
      </c>
      <c r="C1420" s="1">
        <v>19</v>
      </c>
      <c r="D1420" s="49">
        <v>111.51600000000001</v>
      </c>
      <c r="E1420" s="12">
        <f t="shared" si="28"/>
        <v>139.39500000000001</v>
      </c>
      <c r="F1420" s="50">
        <v>94.938000000000002</v>
      </c>
      <c r="G1420" s="60">
        <v>79.796000000000006</v>
      </c>
      <c r="H1420" s="61">
        <v>1737.614</v>
      </c>
      <c r="I1420" s="62">
        <v>6.9</v>
      </c>
      <c r="J1420" s="63">
        <v>2.3E-2</v>
      </c>
      <c r="K1420" s="68">
        <v>8.468</v>
      </c>
      <c r="L1420" s="65">
        <v>37.170999999999999</v>
      </c>
      <c r="M1420" s="50">
        <v>5.0979999999999999</v>
      </c>
      <c r="N1420" s="63">
        <v>1.4E-2</v>
      </c>
      <c r="O1420" s="57">
        <v>157.96100000000001</v>
      </c>
      <c r="P1420" s="67">
        <v>0.06</v>
      </c>
      <c r="Q1420" s="96"/>
    </row>
    <row r="1421" spans="1:17" ht="14.25" customHeight="1" x14ac:dyDescent="0.35">
      <c r="A1421" s="1">
        <v>2021</v>
      </c>
      <c r="B1421" s="1" t="s">
        <v>33</v>
      </c>
      <c r="C1421" s="1">
        <v>20</v>
      </c>
      <c r="D1421" s="49">
        <v>107.60899999999999</v>
      </c>
      <c r="E1421" s="12">
        <f t="shared" si="28"/>
        <v>134.51124999999999</v>
      </c>
      <c r="F1421" s="50">
        <v>91.656000000000006</v>
      </c>
      <c r="G1421" s="60">
        <v>79.587999999999994</v>
      </c>
      <c r="H1421" s="61">
        <v>1737.287</v>
      </c>
      <c r="I1421" s="62">
        <v>6.9</v>
      </c>
      <c r="J1421" s="63">
        <v>2.3E-2</v>
      </c>
      <c r="K1421" s="68">
        <v>8.2970000000000006</v>
      </c>
      <c r="L1421" s="61">
        <v>38.124000000000002</v>
      </c>
      <c r="M1421" s="62">
        <v>5.1109999999999998</v>
      </c>
      <c r="N1421" s="63">
        <v>1.4E-2</v>
      </c>
      <c r="O1421" s="57">
        <v>152.631</v>
      </c>
      <c r="P1421" s="67">
        <v>5.6000000000000001E-2</v>
      </c>
      <c r="Q1421" s="96"/>
    </row>
    <row r="1422" spans="1:17" ht="14.25" customHeight="1" x14ac:dyDescent="0.35">
      <c r="A1422" s="1">
        <v>2021</v>
      </c>
      <c r="B1422" s="1" t="s">
        <v>33</v>
      </c>
      <c r="C1422" s="1">
        <v>21</v>
      </c>
      <c r="D1422" s="49">
        <v>106.84399999999999</v>
      </c>
      <c r="E1422" s="12">
        <f t="shared" si="28"/>
        <v>133.55500000000001</v>
      </c>
      <c r="F1422" s="50">
        <v>91.063000000000002</v>
      </c>
      <c r="G1422" s="60">
        <v>79.774000000000001</v>
      </c>
      <c r="H1422" s="61">
        <v>1699.086</v>
      </c>
      <c r="I1422" s="62">
        <v>6.9</v>
      </c>
      <c r="J1422" s="63">
        <v>2.3E-2</v>
      </c>
      <c r="K1422" s="68">
        <v>8.3770000000000007</v>
      </c>
      <c r="L1422" s="65">
        <v>36.734999999999999</v>
      </c>
      <c r="M1422" s="50">
        <v>5.109</v>
      </c>
      <c r="N1422" s="63">
        <v>1.4E-2</v>
      </c>
      <c r="O1422" s="57">
        <v>152.94800000000001</v>
      </c>
      <c r="P1422" s="67">
        <v>0.05</v>
      </c>
      <c r="Q1422" s="96"/>
    </row>
    <row r="1423" spans="1:17" ht="14.25" customHeight="1" x14ac:dyDescent="0.35">
      <c r="A1423" s="1">
        <v>2021</v>
      </c>
      <c r="B1423" s="1" t="s">
        <v>33</v>
      </c>
      <c r="C1423" s="1">
        <v>22</v>
      </c>
      <c r="D1423" s="49">
        <v>107.813</v>
      </c>
      <c r="E1423" s="12">
        <f t="shared" si="28"/>
        <v>134.76625000000001</v>
      </c>
      <c r="F1423" s="50">
        <v>91.875</v>
      </c>
      <c r="G1423" s="60">
        <v>79.903999999999996</v>
      </c>
      <c r="H1423" s="61">
        <v>1638.223</v>
      </c>
      <c r="I1423" s="62">
        <v>6.9</v>
      </c>
      <c r="J1423" s="63">
        <v>2.3E-2</v>
      </c>
      <c r="K1423" s="68">
        <v>8.7289999999999992</v>
      </c>
      <c r="L1423" s="61">
        <v>35.034999999999997</v>
      </c>
      <c r="M1423" s="62">
        <v>5.1059999999999999</v>
      </c>
      <c r="N1423" s="63">
        <v>1.4E-2</v>
      </c>
      <c r="O1423" s="57">
        <v>154.14500000000001</v>
      </c>
      <c r="P1423" s="67">
        <v>0.05</v>
      </c>
      <c r="Q1423" s="96"/>
    </row>
    <row r="1424" spans="1:17" ht="14.25" customHeight="1" x14ac:dyDescent="0.35">
      <c r="A1424" s="1">
        <v>2021</v>
      </c>
      <c r="B1424" s="1" t="s">
        <v>33</v>
      </c>
      <c r="C1424" s="1">
        <v>23</v>
      </c>
      <c r="D1424" s="49">
        <v>111</v>
      </c>
      <c r="E1424" s="12">
        <f t="shared" si="28"/>
        <v>138.75</v>
      </c>
      <c r="F1424" s="50">
        <v>94.625</v>
      </c>
      <c r="G1424" s="60">
        <v>79.94</v>
      </c>
      <c r="H1424" s="61">
        <v>1716.03</v>
      </c>
      <c r="I1424" s="62">
        <v>6.9</v>
      </c>
      <c r="J1424" s="63">
        <v>2.3E-2</v>
      </c>
      <c r="K1424" s="68">
        <v>9.1750000000000007</v>
      </c>
      <c r="L1424" s="65">
        <v>35.959000000000003</v>
      </c>
      <c r="M1424" s="50">
        <v>5.1040000000000001</v>
      </c>
      <c r="N1424" s="63">
        <v>1.4E-2</v>
      </c>
      <c r="O1424" s="57">
        <v>154.96899999999999</v>
      </c>
      <c r="P1424" s="67">
        <v>5.5E-2</v>
      </c>
      <c r="Q1424" s="96"/>
    </row>
    <row r="1425" spans="1:17" ht="14.25" customHeight="1" x14ac:dyDescent="0.35">
      <c r="A1425" s="1">
        <v>2021</v>
      </c>
      <c r="B1425" s="1" t="s">
        <v>33</v>
      </c>
      <c r="C1425" s="1">
        <v>24</v>
      </c>
      <c r="D1425" s="49">
        <v>111.453</v>
      </c>
      <c r="E1425" s="12">
        <f t="shared" si="28"/>
        <v>139.31625</v>
      </c>
      <c r="F1425" s="50">
        <v>95</v>
      </c>
      <c r="G1425" s="60">
        <v>79.606999999999999</v>
      </c>
      <c r="H1425" s="61">
        <v>1760.29</v>
      </c>
      <c r="I1425" s="62">
        <v>6.9</v>
      </c>
      <c r="J1425" s="63">
        <v>2.3E-2</v>
      </c>
      <c r="K1425" s="68">
        <v>9.0869999999999997</v>
      </c>
      <c r="L1425" s="61">
        <v>36.679000000000002</v>
      </c>
      <c r="M1425" s="62">
        <v>5.1580000000000004</v>
      </c>
      <c r="N1425" s="63">
        <v>1.4E-2</v>
      </c>
      <c r="O1425" s="57">
        <v>138.75299999999999</v>
      </c>
      <c r="P1425" s="67">
        <v>5.6000000000000001E-2</v>
      </c>
      <c r="Q1425" s="96"/>
    </row>
    <row r="1426" spans="1:17" ht="14.25" customHeight="1" x14ac:dyDescent="0.35">
      <c r="A1426" s="1">
        <v>2021</v>
      </c>
      <c r="B1426" s="1" t="s">
        <v>33</v>
      </c>
      <c r="C1426" s="1">
        <v>25</v>
      </c>
      <c r="D1426" s="49">
        <v>110.64100000000001</v>
      </c>
      <c r="E1426" s="12">
        <f t="shared" si="28"/>
        <v>138.30125000000001</v>
      </c>
      <c r="F1426" s="50">
        <v>94.313000000000002</v>
      </c>
      <c r="G1426" s="60">
        <v>78.775000000000006</v>
      </c>
      <c r="H1426" s="61">
        <v>1770.6679999999999</v>
      </c>
      <c r="I1426" s="62">
        <v>6.9</v>
      </c>
      <c r="J1426" s="63">
        <v>2.3E-2</v>
      </c>
      <c r="K1426" s="68">
        <v>8.6210000000000004</v>
      </c>
      <c r="L1426" s="65">
        <v>35.232999999999997</v>
      </c>
      <c r="M1426" s="50">
        <v>5.1980000000000004</v>
      </c>
      <c r="N1426" s="63">
        <v>1.4E-2</v>
      </c>
      <c r="O1426" s="57">
        <v>125.099</v>
      </c>
      <c r="P1426" s="67">
        <v>4.8000000000000001E-2</v>
      </c>
      <c r="Q1426" s="96"/>
    </row>
    <row r="1427" spans="1:17" ht="14.25" customHeight="1" x14ac:dyDescent="0.35">
      <c r="A1427" s="1">
        <v>2021</v>
      </c>
      <c r="B1427" s="1" t="s">
        <v>33</v>
      </c>
      <c r="C1427" s="1">
        <v>26</v>
      </c>
      <c r="D1427" s="49">
        <v>106.797</v>
      </c>
      <c r="E1427" s="12">
        <f t="shared" si="28"/>
        <v>133.49625</v>
      </c>
      <c r="F1427" s="50">
        <v>90.968999999999994</v>
      </c>
      <c r="G1427" s="60">
        <v>78.950999999999993</v>
      </c>
      <c r="H1427" s="61">
        <v>1671.6369999999999</v>
      </c>
      <c r="I1427" s="62">
        <v>6.9</v>
      </c>
      <c r="J1427" s="63">
        <v>2.3E-2</v>
      </c>
      <c r="K1427" s="68">
        <v>8.09</v>
      </c>
      <c r="L1427" s="61">
        <v>35.353000000000002</v>
      </c>
      <c r="M1427" s="62">
        <v>5.2069999999999999</v>
      </c>
      <c r="N1427" s="63">
        <v>1.4E-2</v>
      </c>
      <c r="O1427" s="57">
        <v>122.593</v>
      </c>
      <c r="P1427" s="67">
        <v>4.8000000000000001E-2</v>
      </c>
      <c r="Q1427" s="96"/>
    </row>
    <row r="1428" spans="1:17" ht="14.25" customHeight="1" x14ac:dyDescent="0.35">
      <c r="A1428" s="1">
        <v>2021</v>
      </c>
      <c r="B1428" s="1" t="s">
        <v>33</v>
      </c>
      <c r="C1428" s="1">
        <v>27</v>
      </c>
      <c r="D1428" s="49">
        <v>107.125</v>
      </c>
      <c r="E1428" s="12">
        <f t="shared" si="28"/>
        <v>133.90625</v>
      </c>
      <c r="F1428" s="50">
        <v>91.281000000000006</v>
      </c>
      <c r="G1428" s="60">
        <v>78.906999999999996</v>
      </c>
      <c r="H1428" s="61">
        <v>1653.923</v>
      </c>
      <c r="I1428" s="62">
        <v>6.9</v>
      </c>
      <c r="J1428" s="63">
        <v>2.3E-2</v>
      </c>
      <c r="K1428" s="68">
        <v>8.2759999999999998</v>
      </c>
      <c r="L1428" s="65">
        <v>36.231000000000002</v>
      </c>
      <c r="M1428" s="50">
        <v>5.2210000000000001</v>
      </c>
      <c r="N1428" s="63">
        <v>1.4E-2</v>
      </c>
      <c r="O1428" s="57">
        <v>118.316</v>
      </c>
      <c r="P1428" s="67">
        <v>4.8000000000000001E-2</v>
      </c>
      <c r="Q1428" s="96"/>
    </row>
    <row r="1429" spans="1:17" ht="14.25" customHeight="1" x14ac:dyDescent="0.35">
      <c r="A1429" s="1">
        <v>2021</v>
      </c>
      <c r="B1429" s="1" t="s">
        <v>33</v>
      </c>
      <c r="C1429" s="1">
        <v>28</v>
      </c>
      <c r="D1429" s="49">
        <v>106.328</v>
      </c>
      <c r="E1429" s="12">
        <f t="shared" si="28"/>
        <v>132.91</v>
      </c>
      <c r="F1429" s="50">
        <v>90.625</v>
      </c>
      <c r="G1429" s="60">
        <v>78.989000000000004</v>
      </c>
      <c r="H1429" s="61">
        <v>1627.287</v>
      </c>
      <c r="I1429" s="62">
        <v>6.9</v>
      </c>
      <c r="J1429" s="63">
        <v>2.3E-2</v>
      </c>
      <c r="K1429" s="68">
        <v>8.407</v>
      </c>
      <c r="L1429" s="61">
        <v>35.811999999999998</v>
      </c>
      <c r="M1429" s="62">
        <v>5.2190000000000003</v>
      </c>
      <c r="N1429" s="63">
        <v>1.4E-2</v>
      </c>
      <c r="O1429" s="57">
        <v>117.786</v>
      </c>
      <c r="P1429" s="67">
        <v>4.9000000000000002E-2</v>
      </c>
      <c r="Q1429" s="96"/>
    </row>
    <row r="1430" spans="1:17" ht="14.25" customHeight="1" x14ac:dyDescent="0.35">
      <c r="A1430" s="1">
        <v>2021</v>
      </c>
      <c r="B1430" s="1" t="s">
        <v>33</v>
      </c>
      <c r="C1430" s="1">
        <v>29</v>
      </c>
      <c r="D1430" s="49">
        <v>105.703</v>
      </c>
      <c r="E1430" s="12">
        <f t="shared" si="28"/>
        <v>132.12875</v>
      </c>
      <c r="F1430" s="50">
        <v>90</v>
      </c>
      <c r="G1430" s="83">
        <v>78.986000000000004</v>
      </c>
      <c r="H1430" s="69">
        <v>1651.7170000000001</v>
      </c>
      <c r="I1430" s="50">
        <v>6.9</v>
      </c>
      <c r="J1430" s="66">
        <v>2.4E-2</v>
      </c>
      <c r="K1430" s="117">
        <v>8.6809999999999992</v>
      </c>
      <c r="L1430" s="61">
        <v>36.478000000000002</v>
      </c>
      <c r="M1430" s="62">
        <v>5.27</v>
      </c>
      <c r="N1430" s="63">
        <v>1.4E-2</v>
      </c>
      <c r="O1430" s="57">
        <v>106.547</v>
      </c>
      <c r="P1430" s="84">
        <v>5.5E-2</v>
      </c>
      <c r="Q1430" s="96"/>
    </row>
    <row r="1431" spans="1:17" ht="14.25" customHeight="1" x14ac:dyDescent="0.35">
      <c r="A1431" s="1">
        <v>2021</v>
      </c>
      <c r="B1431" s="1" t="s">
        <v>33</v>
      </c>
      <c r="C1431" s="1">
        <v>30</v>
      </c>
      <c r="D1431" s="104">
        <v>105.71899999999999</v>
      </c>
      <c r="E1431" s="32">
        <v>133.12</v>
      </c>
      <c r="F1431" s="105">
        <v>90</v>
      </c>
      <c r="G1431" s="83">
        <v>79.037000000000006</v>
      </c>
      <c r="H1431" s="69">
        <v>1753.4870000000001</v>
      </c>
      <c r="I1431" s="50">
        <v>6.9</v>
      </c>
      <c r="J1431" s="66">
        <v>2.4E-2</v>
      </c>
      <c r="K1431" s="117">
        <v>8.577</v>
      </c>
      <c r="L1431" s="61">
        <v>39.588000000000001</v>
      </c>
      <c r="M1431" s="62">
        <v>5.298</v>
      </c>
      <c r="N1431" s="63">
        <v>1.4E-2</v>
      </c>
      <c r="O1431" s="57">
        <v>99.072999999999993</v>
      </c>
      <c r="P1431" s="84">
        <v>6.0999999999999999E-2</v>
      </c>
      <c r="Q1431" s="96"/>
    </row>
    <row r="1432" spans="1:17" ht="14.25" customHeight="1" x14ac:dyDescent="0.35">
      <c r="A1432" s="1">
        <v>2021</v>
      </c>
      <c r="B1432" s="1" t="s">
        <v>34</v>
      </c>
      <c r="C1432" s="1">
        <v>1</v>
      </c>
      <c r="D1432" s="49">
        <v>105.78100000000001</v>
      </c>
      <c r="E1432" s="12">
        <f t="shared" ref="E1432:E1464" si="29">D1432*1.25</f>
        <v>132.22624999999999</v>
      </c>
      <c r="F1432" s="50">
        <v>90.031000000000006</v>
      </c>
      <c r="G1432" s="51">
        <v>79.015000000000001</v>
      </c>
      <c r="H1432" s="52">
        <v>1752.251</v>
      </c>
      <c r="I1432" s="53">
        <v>6.9</v>
      </c>
      <c r="J1432" s="54">
        <v>2.4E-2</v>
      </c>
      <c r="K1432" s="59">
        <v>8.3379999999999992</v>
      </c>
      <c r="L1432" s="52">
        <v>39.277000000000001</v>
      </c>
      <c r="M1432" s="55">
        <v>5.2839999999999998</v>
      </c>
      <c r="N1432" s="56">
        <v>1.4E-2</v>
      </c>
      <c r="O1432" s="57">
        <v>102.414</v>
      </c>
      <c r="P1432" s="58">
        <v>6.0999999999999999E-2</v>
      </c>
      <c r="Q1432" s="96"/>
    </row>
    <row r="1433" spans="1:17" ht="14.25" customHeight="1" x14ac:dyDescent="0.35">
      <c r="A1433" s="1">
        <v>2021</v>
      </c>
      <c r="B1433" s="1" t="s">
        <v>34</v>
      </c>
      <c r="C1433" s="1">
        <v>2</v>
      </c>
      <c r="D1433" s="49">
        <v>106.34399999999999</v>
      </c>
      <c r="E1433" s="12">
        <f t="shared" si="29"/>
        <v>132.93</v>
      </c>
      <c r="F1433" s="50">
        <v>90.563000000000002</v>
      </c>
      <c r="G1433" s="60">
        <v>78.587000000000003</v>
      </c>
      <c r="H1433" s="61">
        <v>1752.203</v>
      </c>
      <c r="I1433" s="62">
        <v>6.9</v>
      </c>
      <c r="J1433" s="63">
        <v>2.5000000000000001E-2</v>
      </c>
      <c r="K1433" s="68">
        <v>8.4060000000000006</v>
      </c>
      <c r="L1433" s="65">
        <v>37.69</v>
      </c>
      <c r="M1433" s="50">
        <v>5.2830000000000004</v>
      </c>
      <c r="N1433" s="66">
        <v>1.4E-2</v>
      </c>
      <c r="O1433" s="57">
        <v>102.74299999999999</v>
      </c>
      <c r="P1433" s="67">
        <v>5.6000000000000001E-2</v>
      </c>
      <c r="Q1433" s="96"/>
    </row>
    <row r="1434" spans="1:17" ht="14.25" customHeight="1" x14ac:dyDescent="0.35">
      <c r="A1434" s="1">
        <v>2021</v>
      </c>
      <c r="B1434" s="1" t="s">
        <v>34</v>
      </c>
      <c r="C1434" s="1">
        <v>3</v>
      </c>
      <c r="D1434" s="49">
        <v>106.813</v>
      </c>
      <c r="E1434" s="12">
        <f t="shared" si="29"/>
        <v>133.51625000000001</v>
      </c>
      <c r="F1434" s="50">
        <v>90.938000000000002</v>
      </c>
      <c r="G1434" s="60">
        <v>78.608999999999995</v>
      </c>
      <c r="H1434" s="61">
        <v>1763.758</v>
      </c>
      <c r="I1434" s="62">
        <v>6.9</v>
      </c>
      <c r="J1434" s="63">
        <v>2.5000000000000001E-2</v>
      </c>
      <c r="K1434" s="68">
        <v>8.4309999999999992</v>
      </c>
      <c r="L1434" s="65">
        <v>37.201000000000001</v>
      </c>
      <c r="M1434" s="50">
        <v>5.2279999999999998</v>
      </c>
      <c r="N1434" s="66">
        <v>1.4999999999999999E-2</v>
      </c>
      <c r="O1434" s="57">
        <v>117.10899999999999</v>
      </c>
      <c r="P1434" s="67">
        <v>5.5E-2</v>
      </c>
      <c r="Q1434" s="96"/>
    </row>
    <row r="1435" spans="1:17" ht="14.25" customHeight="1" x14ac:dyDescent="0.35">
      <c r="A1435" s="1">
        <v>2021</v>
      </c>
      <c r="B1435" s="1" t="s">
        <v>34</v>
      </c>
      <c r="C1435" s="1">
        <v>4</v>
      </c>
      <c r="D1435" s="49">
        <v>103.203</v>
      </c>
      <c r="E1435" s="12">
        <f t="shared" si="29"/>
        <v>129.00375</v>
      </c>
      <c r="F1435" s="50">
        <v>88</v>
      </c>
      <c r="G1435" s="60">
        <v>78.424999999999997</v>
      </c>
      <c r="H1435" s="61">
        <v>1755.3230000000001</v>
      </c>
      <c r="I1435" s="62">
        <v>6.9</v>
      </c>
      <c r="J1435" s="63">
        <v>2.4E-2</v>
      </c>
      <c r="K1435" s="68">
        <v>8.3450000000000006</v>
      </c>
      <c r="L1435" s="65">
        <v>38.042999999999999</v>
      </c>
      <c r="M1435" s="50">
        <v>5.2089999999999996</v>
      </c>
      <c r="N1435" s="66">
        <v>1.6E-2</v>
      </c>
      <c r="O1435" s="57">
        <v>122.261</v>
      </c>
      <c r="P1435" s="67">
        <v>5.6000000000000001E-2</v>
      </c>
      <c r="Q1435" s="96"/>
    </row>
    <row r="1436" spans="1:17" ht="14.25" customHeight="1" x14ac:dyDescent="0.35">
      <c r="A1436" s="1">
        <v>2021</v>
      </c>
      <c r="B1436" s="1" t="s">
        <v>34</v>
      </c>
      <c r="C1436" s="1">
        <v>5</v>
      </c>
      <c r="D1436" s="49">
        <v>105.96899999999999</v>
      </c>
      <c r="E1436" s="12">
        <f t="shared" si="29"/>
        <v>132.46125000000001</v>
      </c>
      <c r="F1436" s="50">
        <v>90.188000000000002</v>
      </c>
      <c r="G1436" s="60">
        <v>78.168000000000006</v>
      </c>
      <c r="H1436" s="61">
        <v>1693.75</v>
      </c>
      <c r="I1436" s="62">
        <v>6.9</v>
      </c>
      <c r="J1436" s="63">
        <v>2.4E-2</v>
      </c>
      <c r="K1436" s="68">
        <v>8.3059999999999992</v>
      </c>
      <c r="L1436" s="65">
        <v>37.304000000000002</v>
      </c>
      <c r="M1436" s="50">
        <v>5.2110000000000003</v>
      </c>
      <c r="N1436" s="66">
        <v>1.6E-2</v>
      </c>
      <c r="O1436" s="57">
        <v>121.664</v>
      </c>
      <c r="P1436" s="67">
        <v>0.05</v>
      </c>
      <c r="Q1436" s="96"/>
    </row>
    <row r="1437" spans="1:17" ht="14.25" customHeight="1" x14ac:dyDescent="0.35">
      <c r="A1437" s="1">
        <v>2021</v>
      </c>
      <c r="B1437" s="1" t="s">
        <v>34</v>
      </c>
      <c r="C1437" s="1">
        <v>6</v>
      </c>
      <c r="D1437" s="49">
        <v>95.358999999999995</v>
      </c>
      <c r="E1437" s="12">
        <f t="shared" si="29"/>
        <v>119.19874999999999</v>
      </c>
      <c r="F1437" s="50">
        <v>81.156000000000006</v>
      </c>
      <c r="G1437" s="60">
        <v>77.927000000000007</v>
      </c>
      <c r="H1437" s="61">
        <v>1589.1120000000001</v>
      </c>
      <c r="I1437" s="62">
        <v>6.9</v>
      </c>
      <c r="J1437" s="63">
        <v>2.5000000000000001E-2</v>
      </c>
      <c r="K1437" s="68">
        <v>8.3919999999999995</v>
      </c>
      <c r="L1437" s="65">
        <v>34.196800000000003</v>
      </c>
      <c r="M1437" s="50">
        <v>5.2104999999999997</v>
      </c>
      <c r="N1437" s="66">
        <v>1.5599999999999999E-2</v>
      </c>
      <c r="O1437" s="57">
        <v>121.506</v>
      </c>
      <c r="P1437" s="67">
        <v>4.9200000000000001E-2</v>
      </c>
      <c r="Q1437" s="96"/>
    </row>
    <row r="1438" spans="1:17" ht="14.25" customHeight="1" x14ac:dyDescent="0.35">
      <c r="A1438" s="1">
        <v>2021</v>
      </c>
      <c r="B1438" s="1" t="s">
        <v>34</v>
      </c>
      <c r="C1438" s="1">
        <v>7</v>
      </c>
      <c r="D1438" s="49">
        <v>105.53100000000001</v>
      </c>
      <c r="E1438" s="12">
        <f t="shared" si="29"/>
        <v>131.91374999999999</v>
      </c>
      <c r="F1438" s="50">
        <v>89.968999999999994</v>
      </c>
      <c r="G1438" s="60">
        <v>77.873999999999995</v>
      </c>
      <c r="H1438" s="61">
        <v>1712.19</v>
      </c>
      <c r="I1438" s="62">
        <v>6.9</v>
      </c>
      <c r="J1438" s="63">
        <v>2.5999999999999999E-2</v>
      </c>
      <c r="K1438" s="68">
        <v>8.7059999999999995</v>
      </c>
      <c r="L1438" s="65">
        <v>37.365000000000002</v>
      </c>
      <c r="M1438" s="50">
        <v>5.218</v>
      </c>
      <c r="N1438" s="66">
        <v>1.6E-2</v>
      </c>
      <c r="O1438" s="57">
        <v>119.544</v>
      </c>
      <c r="P1438" s="67">
        <v>5.7000000000000002E-2</v>
      </c>
      <c r="Q1438" s="96"/>
    </row>
    <row r="1439" spans="1:17" ht="14.25" customHeight="1" x14ac:dyDescent="0.35">
      <c r="A1439" s="1">
        <v>2021</v>
      </c>
      <c r="B1439" s="1" t="s">
        <v>34</v>
      </c>
      <c r="C1439" s="1">
        <v>8</v>
      </c>
      <c r="D1439" s="49">
        <v>105.51600000000001</v>
      </c>
      <c r="E1439" s="12">
        <f t="shared" si="29"/>
        <v>131.89500000000001</v>
      </c>
      <c r="F1439" s="50">
        <v>90</v>
      </c>
      <c r="G1439" s="60">
        <v>78.320999999999998</v>
      </c>
      <c r="H1439" s="69">
        <v>1768.66</v>
      </c>
      <c r="I1439" s="62">
        <v>6.9</v>
      </c>
      <c r="J1439" s="63">
        <v>2.5999999999999999E-2</v>
      </c>
      <c r="K1439" s="71">
        <v>8.4550000000000001</v>
      </c>
      <c r="L1439" s="65">
        <v>39.603000000000002</v>
      </c>
      <c r="M1439" s="50">
        <v>5.2130000000000001</v>
      </c>
      <c r="N1439" s="66">
        <v>1.6E-2</v>
      </c>
      <c r="O1439" s="57">
        <v>120.87</v>
      </c>
      <c r="P1439" s="70">
        <v>5.8999999999999997E-2</v>
      </c>
      <c r="Q1439" s="96"/>
    </row>
    <row r="1440" spans="1:17" ht="14.25" customHeight="1" x14ac:dyDescent="0.35">
      <c r="A1440" s="1">
        <v>2021</v>
      </c>
      <c r="B1440" s="1" t="s">
        <v>34</v>
      </c>
      <c r="C1440" s="1">
        <v>9</v>
      </c>
      <c r="D1440" s="49">
        <v>43.25</v>
      </c>
      <c r="E1440" s="12">
        <f t="shared" si="29"/>
        <v>54.0625</v>
      </c>
      <c r="F1440" s="50">
        <v>36.625</v>
      </c>
      <c r="G1440" s="60">
        <v>76.311999999999998</v>
      </c>
      <c r="H1440" s="61">
        <v>1789.6369999999999</v>
      </c>
      <c r="I1440" s="62">
        <v>6.9039999999999999</v>
      </c>
      <c r="J1440" s="63">
        <v>5.8999999999999997E-2</v>
      </c>
      <c r="K1440" s="68">
        <v>8.6</v>
      </c>
      <c r="L1440" s="65">
        <v>51.878999999999998</v>
      </c>
      <c r="M1440" s="50">
        <v>5.36</v>
      </c>
      <c r="N1440" s="66">
        <v>2.7E-2</v>
      </c>
      <c r="O1440" s="57">
        <v>90.228999999999999</v>
      </c>
      <c r="P1440" s="67">
        <v>6.5000000000000002E-2</v>
      </c>
      <c r="Q1440" s="96"/>
    </row>
    <row r="1441" spans="1:17" ht="14.25" customHeight="1" x14ac:dyDescent="0.35">
      <c r="A1441" s="1">
        <v>2021</v>
      </c>
      <c r="B1441" s="1" t="s">
        <v>34</v>
      </c>
      <c r="C1441" s="1">
        <v>10</v>
      </c>
      <c r="D1441" s="49">
        <v>108.328</v>
      </c>
      <c r="E1441" s="12">
        <f t="shared" si="29"/>
        <v>135.41</v>
      </c>
      <c r="F1441" s="50">
        <v>92.406000000000006</v>
      </c>
      <c r="G1441" s="72">
        <v>77.554000000000002</v>
      </c>
      <c r="H1441" s="61">
        <v>1723.1389999999999</v>
      </c>
      <c r="I1441" s="62">
        <v>6.9</v>
      </c>
      <c r="J1441" s="63">
        <v>2.4E-2</v>
      </c>
      <c r="K1441" s="76">
        <v>8.3420000000000005</v>
      </c>
      <c r="L1441" s="65">
        <v>38.752000000000002</v>
      </c>
      <c r="M1441" s="50">
        <v>5.101</v>
      </c>
      <c r="N1441" s="74">
        <v>1.6E-2</v>
      </c>
      <c r="O1441" s="57">
        <v>156.84800000000001</v>
      </c>
      <c r="P1441" s="75">
        <v>5.8999999999999997E-2</v>
      </c>
      <c r="Q1441" s="96"/>
    </row>
    <row r="1442" spans="1:17" ht="14.25" customHeight="1" x14ac:dyDescent="0.35">
      <c r="A1442" s="1">
        <v>2021</v>
      </c>
      <c r="B1442" s="1" t="s">
        <v>34</v>
      </c>
      <c r="C1442" s="1">
        <v>11</v>
      </c>
      <c r="D1442" s="49">
        <v>107.313</v>
      </c>
      <c r="E1442" s="12">
        <f t="shared" si="29"/>
        <v>134.14125000000001</v>
      </c>
      <c r="F1442" s="50">
        <v>91.468999999999994</v>
      </c>
      <c r="G1442" s="72">
        <v>77.411000000000001</v>
      </c>
      <c r="H1442" s="61">
        <v>1699.241</v>
      </c>
      <c r="I1442" s="62">
        <v>6.9</v>
      </c>
      <c r="J1442" s="63">
        <v>2.3E-2</v>
      </c>
      <c r="K1442" s="76">
        <v>8.5</v>
      </c>
      <c r="L1442" s="65">
        <v>39.96</v>
      </c>
      <c r="M1442" s="50">
        <v>5.0229999999999997</v>
      </c>
      <c r="N1442" s="74">
        <v>1.4E-2</v>
      </c>
      <c r="O1442" s="57">
        <v>187.572</v>
      </c>
      <c r="P1442" s="75">
        <v>0.06</v>
      </c>
      <c r="Q1442" s="96"/>
    </row>
    <row r="1443" spans="1:17" ht="14.25" customHeight="1" x14ac:dyDescent="0.35">
      <c r="A1443" s="1">
        <v>2021</v>
      </c>
      <c r="B1443" s="1" t="s">
        <v>34</v>
      </c>
      <c r="C1443" s="1">
        <v>12</v>
      </c>
      <c r="D1443" s="49">
        <v>103.922</v>
      </c>
      <c r="E1443" s="12">
        <f t="shared" si="29"/>
        <v>129.9025</v>
      </c>
      <c r="F1443" s="50">
        <v>88.593999999999994</v>
      </c>
      <c r="G1443" s="72">
        <v>77.227000000000004</v>
      </c>
      <c r="H1443" s="61">
        <v>1626.0650000000001</v>
      </c>
      <c r="I1443" s="62">
        <v>6.9</v>
      </c>
      <c r="J1443" s="63">
        <v>2.3E-2</v>
      </c>
      <c r="K1443" s="76">
        <v>8.3829999999999991</v>
      </c>
      <c r="L1443" s="65">
        <v>38.866999999999997</v>
      </c>
      <c r="M1443" s="50">
        <v>5.0199999999999996</v>
      </c>
      <c r="N1443" s="74">
        <v>1.4E-2</v>
      </c>
      <c r="O1443" s="57">
        <v>188.721</v>
      </c>
      <c r="P1443" s="75">
        <v>5.2999999999999999E-2</v>
      </c>
      <c r="Q1443" s="96"/>
    </row>
    <row r="1444" spans="1:17" ht="14.25" customHeight="1" x14ac:dyDescent="0.35">
      <c r="A1444" s="1">
        <v>2021</v>
      </c>
      <c r="B1444" s="1" t="s">
        <v>34</v>
      </c>
      <c r="C1444" s="1">
        <v>13</v>
      </c>
      <c r="D1444" s="49">
        <v>105.563</v>
      </c>
      <c r="E1444" s="12">
        <f t="shared" si="29"/>
        <v>131.95375000000001</v>
      </c>
      <c r="F1444" s="50">
        <v>90</v>
      </c>
      <c r="G1444" s="78">
        <v>76.981999999999999</v>
      </c>
      <c r="H1444" s="61">
        <v>1570.0329999999999</v>
      </c>
      <c r="I1444" s="62">
        <v>6.9</v>
      </c>
      <c r="J1444" s="63">
        <v>2.4E-2</v>
      </c>
      <c r="K1444" s="81">
        <v>8.6679999999999993</v>
      </c>
      <c r="L1444" s="65">
        <v>36.399000000000001</v>
      </c>
      <c r="M1444" s="50">
        <v>5.0140000000000002</v>
      </c>
      <c r="N1444" s="66">
        <v>1.4E-2</v>
      </c>
      <c r="O1444" s="57">
        <v>191.065</v>
      </c>
      <c r="P1444" s="80">
        <v>5.8000000000000003E-2</v>
      </c>
      <c r="Q1444" s="96"/>
    </row>
    <row r="1445" spans="1:17" ht="14.25" customHeight="1" x14ac:dyDescent="0.35">
      <c r="A1445" s="1">
        <v>2021</v>
      </c>
      <c r="B1445" s="1" t="s">
        <v>34</v>
      </c>
      <c r="C1445" s="1">
        <v>14</v>
      </c>
      <c r="D1445" s="49">
        <v>99.358999999999995</v>
      </c>
      <c r="E1445" s="12">
        <f t="shared" si="29"/>
        <v>124.19874999999999</v>
      </c>
      <c r="F1445" s="50">
        <v>84.875</v>
      </c>
      <c r="G1445" s="60">
        <v>75.819999999999993</v>
      </c>
      <c r="H1445" s="61">
        <v>1606.1869999999999</v>
      </c>
      <c r="I1445" s="62">
        <v>6.9</v>
      </c>
      <c r="J1445" s="63">
        <v>2.5000000000000001E-2</v>
      </c>
      <c r="K1445" s="81">
        <v>8.9809999999999999</v>
      </c>
      <c r="L1445" s="82">
        <v>34.061</v>
      </c>
      <c r="M1445" s="50">
        <v>4.9829999999999997</v>
      </c>
      <c r="N1445" s="66">
        <v>1.4E-2</v>
      </c>
      <c r="O1445" s="57">
        <v>204.43600000000001</v>
      </c>
      <c r="P1445" s="80">
        <v>5.6000000000000001E-2</v>
      </c>
      <c r="Q1445" s="96"/>
    </row>
    <row r="1446" spans="1:17" ht="14.25" customHeight="1" x14ac:dyDescent="0.35">
      <c r="A1446" s="1">
        <v>2021</v>
      </c>
      <c r="B1446" s="1" t="s">
        <v>34</v>
      </c>
      <c r="C1446" s="1">
        <v>15</v>
      </c>
      <c r="D1446" s="49">
        <v>97.858999999999995</v>
      </c>
      <c r="E1446" s="12">
        <f t="shared" si="29"/>
        <v>122.32374999999999</v>
      </c>
      <c r="F1446" s="50">
        <v>83.688000000000002</v>
      </c>
      <c r="G1446" s="60">
        <v>75.5</v>
      </c>
      <c r="H1446" s="61">
        <v>1635.01</v>
      </c>
      <c r="I1446" s="62">
        <v>6.9</v>
      </c>
      <c r="J1446" s="63">
        <v>2.5999999999999999E-2</v>
      </c>
      <c r="K1446" s="76">
        <v>8.6560000000000006</v>
      </c>
      <c r="L1446" s="65">
        <v>34.411999999999999</v>
      </c>
      <c r="M1446" s="50">
        <v>4.9950000000000001</v>
      </c>
      <c r="N1446" s="66">
        <v>1.4E-2</v>
      </c>
      <c r="O1446" s="57">
        <v>200.02799999999999</v>
      </c>
      <c r="P1446" s="75">
        <v>5.8000000000000003E-2</v>
      </c>
      <c r="Q1446" s="96"/>
    </row>
    <row r="1447" spans="1:17" ht="14.25" customHeight="1" x14ac:dyDescent="0.35">
      <c r="A1447" s="1">
        <v>2021</v>
      </c>
      <c r="B1447" s="1" t="s">
        <v>34</v>
      </c>
      <c r="C1447" s="1">
        <v>16</v>
      </c>
      <c r="D1447" s="49">
        <v>99.391000000000005</v>
      </c>
      <c r="E1447" s="12">
        <f t="shared" si="29"/>
        <v>124.23875000000001</v>
      </c>
      <c r="F1447" s="50">
        <v>85</v>
      </c>
      <c r="G1447" s="60">
        <v>75.837000000000003</v>
      </c>
      <c r="H1447" s="61">
        <v>1673.7529999999999</v>
      </c>
      <c r="I1447" s="62">
        <v>6.9</v>
      </c>
      <c r="J1447" s="63">
        <v>2.5999999999999999E-2</v>
      </c>
      <c r="K1447" s="81">
        <v>8.5909999999999993</v>
      </c>
      <c r="L1447" s="61">
        <v>35.256</v>
      </c>
      <c r="M1447" s="62">
        <v>4.9889999999999999</v>
      </c>
      <c r="N1447" s="66">
        <v>1.4E-2</v>
      </c>
      <c r="O1447" s="57">
        <v>202.29900000000001</v>
      </c>
      <c r="P1447" s="80">
        <v>5.6000000000000001E-2</v>
      </c>
      <c r="Q1447" s="96"/>
    </row>
    <row r="1448" spans="1:17" ht="14.25" customHeight="1" x14ac:dyDescent="0.35">
      <c r="A1448" s="1">
        <v>2021</v>
      </c>
      <c r="B1448" s="1" t="s">
        <v>34</v>
      </c>
      <c r="C1448" s="1">
        <v>17</v>
      </c>
      <c r="D1448" s="49">
        <v>99.375</v>
      </c>
      <c r="E1448" s="12">
        <f t="shared" si="29"/>
        <v>124.21875</v>
      </c>
      <c r="F1448" s="50">
        <v>84.843999999999994</v>
      </c>
      <c r="G1448" s="60">
        <v>76.319000000000003</v>
      </c>
      <c r="H1448" s="61">
        <v>1683.414</v>
      </c>
      <c r="I1448" s="62">
        <v>6.9</v>
      </c>
      <c r="J1448" s="63">
        <v>2.7E-2</v>
      </c>
      <c r="K1448" s="68">
        <v>8.593</v>
      </c>
      <c r="L1448" s="65">
        <v>35.027000000000001</v>
      </c>
      <c r="M1448" s="50">
        <v>5.032</v>
      </c>
      <c r="N1448" s="66">
        <v>1.4E-2</v>
      </c>
      <c r="O1448" s="57">
        <v>184.14500000000001</v>
      </c>
      <c r="P1448" s="67">
        <v>5.7000000000000002E-2</v>
      </c>
      <c r="Q1448" s="96"/>
    </row>
    <row r="1449" spans="1:17" ht="14.25" customHeight="1" x14ac:dyDescent="0.35">
      <c r="A1449" s="1">
        <v>2021</v>
      </c>
      <c r="B1449" s="1" t="s">
        <v>34</v>
      </c>
      <c r="C1449" s="1">
        <v>18</v>
      </c>
      <c r="D1449" s="49">
        <v>105.75</v>
      </c>
      <c r="E1449" s="12">
        <f t="shared" si="29"/>
        <v>132.1875</v>
      </c>
      <c r="F1449" s="50">
        <v>90.313000000000002</v>
      </c>
      <c r="G1449" s="60">
        <v>76.224000000000004</v>
      </c>
      <c r="H1449" s="61">
        <v>1674.211</v>
      </c>
      <c r="I1449" s="62">
        <v>6.9</v>
      </c>
      <c r="J1449" s="63">
        <v>2.7E-2</v>
      </c>
      <c r="K1449" s="68">
        <v>8.7789999999999999</v>
      </c>
      <c r="L1449" s="61">
        <v>34.281999999999996</v>
      </c>
      <c r="M1449" s="62">
        <v>5.0540000000000003</v>
      </c>
      <c r="N1449" s="66">
        <v>1.4E-2</v>
      </c>
      <c r="O1449" s="57">
        <v>174.167</v>
      </c>
      <c r="P1449" s="67">
        <v>5.6000000000000001E-2</v>
      </c>
      <c r="Q1449" s="96"/>
    </row>
    <row r="1450" spans="1:17" ht="14.25" customHeight="1" x14ac:dyDescent="0.35">
      <c r="A1450" s="1">
        <v>2021</v>
      </c>
      <c r="B1450" s="1" t="s">
        <v>34</v>
      </c>
      <c r="C1450" s="1">
        <v>19</v>
      </c>
      <c r="D1450" s="49">
        <v>105.422</v>
      </c>
      <c r="E1450" s="12">
        <f t="shared" si="29"/>
        <v>131.7775</v>
      </c>
      <c r="F1450" s="50">
        <v>89.968999999999994</v>
      </c>
      <c r="G1450" s="60">
        <v>76.055000000000007</v>
      </c>
      <c r="H1450" s="61">
        <v>1596.7049999999999</v>
      </c>
      <c r="I1450" s="62">
        <v>6.9</v>
      </c>
      <c r="J1450" s="63">
        <v>2.5999999999999999E-2</v>
      </c>
      <c r="K1450" s="68">
        <v>8.7690000000000001</v>
      </c>
      <c r="L1450" s="65">
        <v>32.545999999999999</v>
      </c>
      <c r="M1450" s="50">
        <v>5.0739999999999998</v>
      </c>
      <c r="N1450" s="66">
        <v>1.4E-2</v>
      </c>
      <c r="O1450" s="57">
        <v>166.88399999999999</v>
      </c>
      <c r="P1450" s="67">
        <v>5.0999999999999997E-2</v>
      </c>
      <c r="Q1450" s="96"/>
    </row>
    <row r="1451" spans="1:17" ht="14.25" customHeight="1" x14ac:dyDescent="0.35">
      <c r="A1451" s="1">
        <v>2021</v>
      </c>
      <c r="B1451" s="1" t="s">
        <v>34</v>
      </c>
      <c r="C1451" s="1">
        <v>20</v>
      </c>
      <c r="D1451" s="49">
        <v>105.25</v>
      </c>
      <c r="E1451" s="12">
        <f t="shared" si="29"/>
        <v>131.5625</v>
      </c>
      <c r="F1451" s="50">
        <v>89.875</v>
      </c>
      <c r="G1451" s="60">
        <v>75.903999999999996</v>
      </c>
      <c r="H1451" s="61">
        <v>1546.682</v>
      </c>
      <c r="I1451" s="62">
        <v>6.9</v>
      </c>
      <c r="J1451" s="63">
        <v>2.5999999999999999E-2</v>
      </c>
      <c r="K1451" s="68">
        <v>8.8450000000000006</v>
      </c>
      <c r="L1451" s="61">
        <v>31.628</v>
      </c>
      <c r="M1451" s="62">
        <v>5.0860000000000003</v>
      </c>
      <c r="N1451" s="66">
        <v>1.4E-2</v>
      </c>
      <c r="O1451" s="57">
        <v>161.98699999999999</v>
      </c>
      <c r="P1451" s="67">
        <v>5.5E-2</v>
      </c>
      <c r="Q1451" s="96"/>
    </row>
    <row r="1452" spans="1:17" ht="14.25" customHeight="1" x14ac:dyDescent="0.35">
      <c r="A1452" s="1">
        <v>2021</v>
      </c>
      <c r="B1452" s="1" t="s">
        <v>34</v>
      </c>
      <c r="C1452" s="1">
        <v>21</v>
      </c>
      <c r="D1452" s="49">
        <v>104.26600000000001</v>
      </c>
      <c r="E1452" s="12">
        <f t="shared" si="29"/>
        <v>130.33250000000001</v>
      </c>
      <c r="F1452" s="50">
        <v>89.125</v>
      </c>
      <c r="G1452" s="60">
        <v>76.266000000000005</v>
      </c>
      <c r="H1452" s="61">
        <v>1620.2760000000001</v>
      </c>
      <c r="I1452" s="62">
        <v>6.9</v>
      </c>
      <c r="J1452" s="63">
        <v>2.5999999999999999E-2</v>
      </c>
      <c r="K1452" s="68">
        <v>9.0109999999999992</v>
      </c>
      <c r="L1452" s="65">
        <v>32.119</v>
      </c>
      <c r="M1452" s="50">
        <v>5.202</v>
      </c>
      <c r="N1452" s="66">
        <v>1.4E-2</v>
      </c>
      <c r="O1452" s="57">
        <v>128.35300000000001</v>
      </c>
      <c r="P1452" s="67">
        <v>5.6000000000000001E-2</v>
      </c>
      <c r="Q1452" s="96"/>
    </row>
    <row r="1453" spans="1:17" ht="14.25" customHeight="1" x14ac:dyDescent="0.35">
      <c r="A1453" s="1">
        <v>2021</v>
      </c>
      <c r="B1453" s="1" t="s">
        <v>34</v>
      </c>
      <c r="C1453" s="1">
        <v>22</v>
      </c>
      <c r="D1453" s="49">
        <v>105.25</v>
      </c>
      <c r="E1453" s="12">
        <f t="shared" si="29"/>
        <v>131.5625</v>
      </c>
      <c r="F1453" s="50">
        <v>89.938000000000002</v>
      </c>
      <c r="G1453" s="60">
        <v>76.248000000000005</v>
      </c>
      <c r="H1453" s="61">
        <v>1674.5540000000001</v>
      </c>
      <c r="I1453" s="62">
        <v>6.9</v>
      </c>
      <c r="J1453" s="63">
        <v>2.5999999999999999E-2</v>
      </c>
      <c r="K1453" s="68">
        <v>8.9369999999999994</v>
      </c>
      <c r="L1453" s="61">
        <v>33.402000000000001</v>
      </c>
      <c r="M1453" s="62">
        <v>5.2859999999999996</v>
      </c>
      <c r="N1453" s="66">
        <v>1.4E-2</v>
      </c>
      <c r="O1453" s="57">
        <v>101.79900000000001</v>
      </c>
      <c r="P1453" s="67">
        <v>5.8000000000000003E-2</v>
      </c>
      <c r="Q1453" s="96"/>
    </row>
    <row r="1454" spans="1:17" ht="14.25" customHeight="1" x14ac:dyDescent="0.35">
      <c r="A1454" s="1">
        <v>2021</v>
      </c>
      <c r="B1454" s="1" t="s">
        <v>34</v>
      </c>
      <c r="C1454" s="1">
        <v>23</v>
      </c>
      <c r="D1454" s="49">
        <v>110.922</v>
      </c>
      <c r="E1454" s="12">
        <f t="shared" si="29"/>
        <v>138.6525</v>
      </c>
      <c r="F1454" s="50">
        <v>94.563000000000002</v>
      </c>
      <c r="G1454" s="60">
        <v>75.617000000000004</v>
      </c>
      <c r="H1454" s="61">
        <v>1680.9849999999999</v>
      </c>
      <c r="I1454" s="62">
        <v>6.9</v>
      </c>
      <c r="J1454" s="63">
        <v>2.5999999999999999E-2</v>
      </c>
      <c r="K1454" s="68">
        <v>8.7729999999999997</v>
      </c>
      <c r="L1454" s="65">
        <v>33.808999999999997</v>
      </c>
      <c r="M1454" s="50">
        <v>5.2670000000000003</v>
      </c>
      <c r="N1454" s="66">
        <v>1.4E-2</v>
      </c>
      <c r="O1454" s="57">
        <v>106.39700000000001</v>
      </c>
      <c r="P1454" s="67">
        <v>5.3999999999999999E-2</v>
      </c>
      <c r="Q1454" s="96"/>
    </row>
    <row r="1455" spans="1:17" ht="14.25" customHeight="1" x14ac:dyDescent="0.35">
      <c r="A1455" s="1">
        <v>2021</v>
      </c>
      <c r="B1455" s="1" t="s">
        <v>34</v>
      </c>
      <c r="C1455" s="1">
        <v>24</v>
      </c>
      <c r="D1455" s="49">
        <v>108.563</v>
      </c>
      <c r="E1455" s="12">
        <f t="shared" si="29"/>
        <v>135.70375000000001</v>
      </c>
      <c r="F1455" s="50">
        <v>92.5</v>
      </c>
      <c r="G1455" s="60">
        <v>74.378</v>
      </c>
      <c r="H1455" s="61">
        <v>1478.502</v>
      </c>
      <c r="I1455" s="62">
        <v>6.9</v>
      </c>
      <c r="J1455" s="63">
        <v>2.5999999999999999E-2</v>
      </c>
      <c r="K1455" s="68">
        <v>8.2390000000000008</v>
      </c>
      <c r="L1455" s="61">
        <v>27.259</v>
      </c>
      <c r="M1455" s="62">
        <v>5.258</v>
      </c>
      <c r="N1455" s="66">
        <v>1.4E-2</v>
      </c>
      <c r="O1455" s="57">
        <v>108.82</v>
      </c>
      <c r="P1455" s="67">
        <v>4.9000000000000002E-2</v>
      </c>
      <c r="Q1455" s="96"/>
    </row>
    <row r="1456" spans="1:17" ht="14.25" customHeight="1" x14ac:dyDescent="0.35">
      <c r="A1456" s="1">
        <v>2021</v>
      </c>
      <c r="B1456" s="1" t="s">
        <v>34</v>
      </c>
      <c r="C1456" s="1">
        <v>25</v>
      </c>
      <c r="D1456" s="49">
        <v>105.828</v>
      </c>
      <c r="E1456" s="12">
        <f t="shared" si="29"/>
        <v>132.285</v>
      </c>
      <c r="F1456" s="50">
        <v>90.156000000000006</v>
      </c>
      <c r="G1456" s="60">
        <v>74.372</v>
      </c>
      <c r="H1456" s="61">
        <v>1484.0609999999999</v>
      </c>
      <c r="I1456" s="62">
        <v>6.9009999999999998</v>
      </c>
      <c r="J1456" s="63">
        <v>2.3E-2</v>
      </c>
      <c r="K1456" s="68">
        <v>7.6890000000000001</v>
      </c>
      <c r="L1456" s="65">
        <v>28.221</v>
      </c>
      <c r="M1456" s="50">
        <v>5.2549999999999999</v>
      </c>
      <c r="N1456" s="66">
        <v>1.4E-2</v>
      </c>
      <c r="O1456" s="57">
        <v>109.839</v>
      </c>
      <c r="P1456" s="67">
        <v>0.05</v>
      </c>
      <c r="Q1456" s="96"/>
    </row>
    <row r="1457" spans="1:17" ht="14.25" customHeight="1" x14ac:dyDescent="0.35">
      <c r="A1457" s="1">
        <v>2021</v>
      </c>
      <c r="B1457" s="1" t="s">
        <v>34</v>
      </c>
      <c r="C1457" s="1">
        <v>26</v>
      </c>
      <c r="D1457" s="49">
        <v>102.73399999999999</v>
      </c>
      <c r="E1457" s="12">
        <f t="shared" si="29"/>
        <v>128.41749999999999</v>
      </c>
      <c r="F1457" s="50">
        <v>87.5</v>
      </c>
      <c r="G1457" s="60">
        <v>74.177000000000007</v>
      </c>
      <c r="H1457" s="61">
        <v>1476.944</v>
      </c>
      <c r="I1457" s="62">
        <v>6.9</v>
      </c>
      <c r="J1457" s="63">
        <v>2.5000000000000001E-2</v>
      </c>
      <c r="K1457" s="68">
        <v>7.7830000000000004</v>
      </c>
      <c r="L1457" s="61">
        <v>30.13</v>
      </c>
      <c r="M1457" s="62">
        <v>5.2679999999999998</v>
      </c>
      <c r="N1457" s="66">
        <v>1.4E-2</v>
      </c>
      <c r="O1457" s="57">
        <v>106.476</v>
      </c>
      <c r="P1457" s="67">
        <v>4.3999999999999997E-2</v>
      </c>
      <c r="Q1457" s="96"/>
    </row>
    <row r="1458" spans="1:17" ht="14.25" customHeight="1" x14ac:dyDescent="0.35">
      <c r="A1458" s="1">
        <v>2021</v>
      </c>
      <c r="B1458" s="1" t="s">
        <v>34</v>
      </c>
      <c r="C1458" s="1">
        <v>27</v>
      </c>
      <c r="D1458" s="12">
        <v>99.843999999999994</v>
      </c>
      <c r="E1458" s="12">
        <f t="shared" si="29"/>
        <v>124.80499999999999</v>
      </c>
      <c r="F1458" s="13">
        <v>85.093999999999994</v>
      </c>
      <c r="G1458" s="60">
        <v>74.27</v>
      </c>
      <c r="H1458" s="61">
        <v>1533.3109999999999</v>
      </c>
      <c r="I1458" s="62">
        <v>6.9</v>
      </c>
      <c r="J1458" s="63">
        <v>2.4E-2</v>
      </c>
      <c r="K1458" s="68">
        <v>8.3320000000000007</v>
      </c>
      <c r="L1458" s="65">
        <v>30.408000000000001</v>
      </c>
      <c r="M1458" s="50">
        <v>5.2480000000000002</v>
      </c>
      <c r="N1458" s="66">
        <v>1.4E-2</v>
      </c>
      <c r="O1458" s="57">
        <v>111.274</v>
      </c>
      <c r="P1458" s="67">
        <v>4.9000000000000002E-2</v>
      </c>
      <c r="Q1458" s="96"/>
    </row>
    <row r="1459" spans="1:17" ht="14.25" customHeight="1" x14ac:dyDescent="0.35">
      <c r="A1459" s="1">
        <v>2021</v>
      </c>
      <c r="B1459" s="1" t="s">
        <v>34</v>
      </c>
      <c r="C1459" s="1">
        <v>28</v>
      </c>
      <c r="D1459" s="12">
        <v>99.641000000000005</v>
      </c>
      <c r="E1459" s="12">
        <f t="shared" si="29"/>
        <v>124.55125000000001</v>
      </c>
      <c r="F1459" s="13">
        <v>84.968999999999994</v>
      </c>
      <c r="G1459" s="60">
        <v>74.192999999999998</v>
      </c>
      <c r="H1459" s="61">
        <v>1626.019</v>
      </c>
      <c r="I1459" s="62">
        <v>6.9</v>
      </c>
      <c r="J1459" s="63">
        <v>2.4E-2</v>
      </c>
      <c r="K1459" s="68">
        <v>8.5039999999999996</v>
      </c>
      <c r="L1459" s="61">
        <v>31.43</v>
      </c>
      <c r="M1459" s="62">
        <v>5.2380000000000004</v>
      </c>
      <c r="N1459" s="66">
        <v>1.4E-2</v>
      </c>
      <c r="O1459" s="57">
        <v>114.01600000000001</v>
      </c>
      <c r="P1459" s="67">
        <v>5.3999999999999999E-2</v>
      </c>
      <c r="Q1459" s="96"/>
    </row>
    <row r="1460" spans="1:17" ht="14.25" customHeight="1" x14ac:dyDescent="0.35">
      <c r="A1460" s="1">
        <v>2021</v>
      </c>
      <c r="B1460" s="1" t="s">
        <v>34</v>
      </c>
      <c r="C1460" s="1">
        <v>29</v>
      </c>
      <c r="D1460" s="12">
        <v>99.625</v>
      </c>
      <c r="E1460" s="12">
        <f t="shared" si="29"/>
        <v>124.53125</v>
      </c>
      <c r="F1460" s="13">
        <v>85</v>
      </c>
      <c r="G1460" s="83">
        <v>74.372</v>
      </c>
      <c r="H1460" s="69">
        <v>1656.02</v>
      </c>
      <c r="I1460" s="50">
        <v>6.9</v>
      </c>
      <c r="J1460" s="66">
        <v>2.4E-2</v>
      </c>
      <c r="K1460" s="117">
        <v>8.56</v>
      </c>
      <c r="L1460" s="61">
        <v>32.779000000000003</v>
      </c>
      <c r="M1460" s="62">
        <v>5.2439999999999998</v>
      </c>
      <c r="N1460" s="66">
        <v>1.4999999999999999E-2</v>
      </c>
      <c r="O1460" s="57">
        <v>112.352</v>
      </c>
      <c r="P1460" s="84">
        <v>5.5E-2</v>
      </c>
      <c r="Q1460" s="96"/>
    </row>
    <row r="1461" spans="1:17" ht="14.25" customHeight="1" x14ac:dyDescent="0.35">
      <c r="A1461" s="1">
        <v>2021</v>
      </c>
      <c r="B1461" s="1" t="s">
        <v>34</v>
      </c>
      <c r="C1461" s="1">
        <v>30</v>
      </c>
      <c r="D1461" s="12">
        <v>100.64100000000001</v>
      </c>
      <c r="E1461" s="12">
        <f t="shared" si="29"/>
        <v>125.80125000000001</v>
      </c>
      <c r="F1461" s="13">
        <v>85.875</v>
      </c>
      <c r="G1461" s="83">
        <v>74.072999999999993</v>
      </c>
      <c r="H1461" s="69">
        <v>1614.865</v>
      </c>
      <c r="I1461" s="50">
        <v>6.9</v>
      </c>
      <c r="J1461" s="66">
        <v>2.4E-2</v>
      </c>
      <c r="K1461" s="117">
        <v>8.4049999999999994</v>
      </c>
      <c r="L1461" s="61">
        <v>30.614000000000001</v>
      </c>
      <c r="M1461" s="62">
        <v>5.24</v>
      </c>
      <c r="N1461" s="66">
        <v>1.4E-2</v>
      </c>
      <c r="O1461" s="57">
        <v>113.419</v>
      </c>
      <c r="P1461" s="84">
        <v>0.05</v>
      </c>
      <c r="Q1461" s="96"/>
    </row>
    <row r="1462" spans="1:17" ht="14.25" customHeight="1" x14ac:dyDescent="0.35">
      <c r="A1462" s="1">
        <v>2021</v>
      </c>
      <c r="B1462" s="1" t="s">
        <v>34</v>
      </c>
      <c r="C1462" s="1">
        <v>31</v>
      </c>
      <c r="D1462" s="85">
        <v>104.65600000000001</v>
      </c>
      <c r="E1462" s="12">
        <f t="shared" si="29"/>
        <v>130.82</v>
      </c>
      <c r="F1462" s="86">
        <v>89.218999999999994</v>
      </c>
      <c r="G1462" s="87">
        <v>74.058000000000007</v>
      </c>
      <c r="H1462" s="88">
        <v>1593.704</v>
      </c>
      <c r="I1462" s="89">
        <v>6.9</v>
      </c>
      <c r="J1462" s="90">
        <v>2.4E-2</v>
      </c>
      <c r="K1462" s="131">
        <v>8.3780000000000001</v>
      </c>
      <c r="L1462" s="61">
        <v>29.696999999999999</v>
      </c>
      <c r="M1462" s="64">
        <v>5.2409999999999997</v>
      </c>
      <c r="N1462" s="66">
        <v>1.4E-2</v>
      </c>
      <c r="O1462" s="57">
        <v>113.024</v>
      </c>
      <c r="P1462" s="66">
        <v>5.0999999999999997E-2</v>
      </c>
      <c r="Q1462" s="96"/>
    </row>
    <row r="1463" spans="1:17" ht="14.25" customHeight="1" x14ac:dyDescent="0.35">
      <c r="A1463" s="1">
        <v>2020</v>
      </c>
      <c r="B1463" s="1" t="s">
        <v>22</v>
      </c>
      <c r="C1463" s="1">
        <v>1</v>
      </c>
      <c r="D1463" s="50">
        <v>113.453</v>
      </c>
      <c r="E1463" s="12">
        <f t="shared" si="29"/>
        <v>141.81625</v>
      </c>
      <c r="F1463" s="146">
        <v>96.688000000000002</v>
      </c>
      <c r="G1463" s="147">
        <v>75.117000000000004</v>
      </c>
      <c r="H1463" s="69">
        <v>1653.91</v>
      </c>
      <c r="I1463" s="50">
        <v>6.9</v>
      </c>
      <c r="J1463" s="50">
        <v>0.105</v>
      </c>
      <c r="K1463" s="148">
        <v>7.407</v>
      </c>
      <c r="L1463" s="149">
        <v>28.873000000000001</v>
      </c>
      <c r="M1463" s="50">
        <v>5.4930000000000003</v>
      </c>
      <c r="N1463" s="50">
        <v>5.7000000000000002E-2</v>
      </c>
      <c r="O1463" s="69">
        <v>63.543999999999997</v>
      </c>
      <c r="P1463" s="150">
        <v>3.9E-2</v>
      </c>
      <c r="Q1463" s="96"/>
    </row>
    <row r="1464" spans="1:17" ht="14.25" customHeight="1" x14ac:dyDescent="0.35">
      <c r="A1464" s="1">
        <v>2020</v>
      </c>
      <c r="B1464" s="1" t="s">
        <v>22</v>
      </c>
      <c r="C1464" s="1">
        <v>2</v>
      </c>
      <c r="D1464" s="50">
        <v>112.98399999999999</v>
      </c>
      <c r="E1464" s="12">
        <f t="shared" si="29"/>
        <v>141.22999999999999</v>
      </c>
      <c r="F1464" s="146">
        <v>96.093999999999994</v>
      </c>
      <c r="G1464" s="147">
        <v>75.036000000000001</v>
      </c>
      <c r="H1464" s="69">
        <v>1631.8589999999999</v>
      </c>
      <c r="I1464" s="50">
        <v>6.9</v>
      </c>
      <c r="J1464" s="50">
        <v>0.114</v>
      </c>
      <c r="K1464" s="148">
        <v>7.6829999999999998</v>
      </c>
      <c r="L1464" s="149">
        <v>29.361999999999998</v>
      </c>
      <c r="M1464" s="50">
        <v>5.5060000000000002</v>
      </c>
      <c r="N1464" s="50">
        <v>5.8000000000000003E-2</v>
      </c>
      <c r="O1464" s="69">
        <v>61.447000000000003</v>
      </c>
      <c r="P1464" s="150">
        <v>3.6999999999999998E-2</v>
      </c>
      <c r="Q1464" s="96"/>
    </row>
    <row r="1465" spans="1:17" ht="14.25" customHeight="1" x14ac:dyDescent="0.35">
      <c r="A1465" s="1">
        <v>2020</v>
      </c>
      <c r="B1465" s="1" t="s">
        <v>22</v>
      </c>
      <c r="C1465" s="1">
        <v>3</v>
      </c>
      <c r="D1465" s="50">
        <v>113.59399999999999</v>
      </c>
      <c r="E1465" s="32">
        <v>141.22</v>
      </c>
      <c r="F1465" s="146">
        <v>96.656000000000006</v>
      </c>
      <c r="G1465" s="147">
        <v>75.497</v>
      </c>
      <c r="H1465" s="151">
        <v>1707.4159999999999</v>
      </c>
      <c r="I1465" s="50">
        <v>6.9</v>
      </c>
      <c r="J1465" s="50">
        <v>0.09</v>
      </c>
      <c r="K1465" s="148">
        <v>7.8419999999999996</v>
      </c>
      <c r="L1465" s="149">
        <v>30.181000000000001</v>
      </c>
      <c r="M1465" s="50">
        <v>5.4340000000000002</v>
      </c>
      <c r="N1465" s="50">
        <v>5.6000000000000001E-2</v>
      </c>
      <c r="O1465" s="69">
        <v>72.692999999999998</v>
      </c>
      <c r="P1465" s="150">
        <v>4.2999999999999997E-2</v>
      </c>
      <c r="Q1465" s="96"/>
    </row>
    <row r="1466" spans="1:17" ht="14.25" customHeight="1" x14ac:dyDescent="0.35">
      <c r="A1466" s="1">
        <v>2020</v>
      </c>
      <c r="B1466" s="1" t="s">
        <v>22</v>
      </c>
      <c r="C1466" s="1">
        <v>4</v>
      </c>
      <c r="D1466" s="50">
        <v>114.14100000000001</v>
      </c>
      <c r="E1466" s="12">
        <f t="shared" ref="E1466:E1506" si="30">D1466*1.25</f>
        <v>142.67625000000001</v>
      </c>
      <c r="F1466" s="146">
        <v>97.125</v>
      </c>
      <c r="G1466" s="147">
        <v>75.286000000000001</v>
      </c>
      <c r="H1466" s="69">
        <v>1690.9929999999999</v>
      </c>
      <c r="I1466" s="50">
        <v>6.9</v>
      </c>
      <c r="J1466" s="50">
        <v>7.6999999999999999E-2</v>
      </c>
      <c r="K1466" s="148">
        <v>7.7779999999999996</v>
      </c>
      <c r="L1466" s="149">
        <v>30.06</v>
      </c>
      <c r="M1466" s="50">
        <v>5.41</v>
      </c>
      <c r="N1466" s="50">
        <v>5.2999999999999999E-2</v>
      </c>
      <c r="O1466" s="69">
        <v>76.605999999999995</v>
      </c>
      <c r="P1466" s="150">
        <v>4.2000000000000003E-2</v>
      </c>
      <c r="Q1466" s="96"/>
    </row>
    <row r="1467" spans="1:17" ht="14.25" customHeight="1" x14ac:dyDescent="0.35">
      <c r="A1467" s="1">
        <v>2020</v>
      </c>
      <c r="B1467" s="1" t="s">
        <v>22</v>
      </c>
      <c r="C1467" s="1">
        <v>5</v>
      </c>
      <c r="D1467" s="50">
        <v>113.375</v>
      </c>
      <c r="E1467" s="12">
        <f t="shared" si="30"/>
        <v>141.71875</v>
      </c>
      <c r="F1467" s="146">
        <v>96.406000000000006</v>
      </c>
      <c r="G1467" s="147">
        <v>75.328000000000003</v>
      </c>
      <c r="H1467" s="69">
        <v>1653.7059999999999</v>
      </c>
      <c r="I1467" s="50">
        <v>6.9</v>
      </c>
      <c r="J1467" s="50">
        <v>8.1000000000000003E-2</v>
      </c>
      <c r="K1467" s="148">
        <v>7.9729999999999999</v>
      </c>
      <c r="L1467" s="149">
        <v>28.544</v>
      </c>
      <c r="M1467" s="50">
        <v>5.4039999999999999</v>
      </c>
      <c r="N1467" s="50">
        <v>5.5E-2</v>
      </c>
      <c r="O1467" s="69">
        <v>77.625</v>
      </c>
      <c r="P1467" s="150">
        <v>0.04</v>
      </c>
      <c r="Q1467" s="96"/>
    </row>
    <row r="1468" spans="1:17" ht="14.25" customHeight="1" x14ac:dyDescent="0.35">
      <c r="A1468" s="1">
        <v>2020</v>
      </c>
      <c r="B1468" s="1" t="s">
        <v>22</v>
      </c>
      <c r="C1468" s="1">
        <v>6</v>
      </c>
      <c r="D1468" s="50">
        <v>111.547</v>
      </c>
      <c r="E1468" s="12">
        <f t="shared" si="30"/>
        <v>139.43375</v>
      </c>
      <c r="F1468" s="146">
        <v>94.968999999999994</v>
      </c>
      <c r="G1468" s="147">
        <v>75.537999999999997</v>
      </c>
      <c r="H1468" s="69">
        <v>1641.683</v>
      </c>
      <c r="I1468" s="50">
        <v>6.9</v>
      </c>
      <c r="J1468" s="50">
        <v>7.0999999999999994E-2</v>
      </c>
      <c r="K1468" s="148">
        <v>7.6970000000000001</v>
      </c>
      <c r="L1468" s="149">
        <v>28.361000000000001</v>
      </c>
      <c r="M1468" s="50">
        <v>5.4039999999999999</v>
      </c>
      <c r="N1468" s="50">
        <v>5.8000000000000003E-2</v>
      </c>
      <c r="O1468" s="69">
        <v>77.935000000000002</v>
      </c>
      <c r="P1468" s="150">
        <v>3.7999999999999999E-2</v>
      </c>
      <c r="Q1468" s="96"/>
    </row>
    <row r="1469" spans="1:17" ht="14.25" customHeight="1" x14ac:dyDescent="0.35">
      <c r="A1469" s="1">
        <v>2020</v>
      </c>
      <c r="B1469" s="1" t="s">
        <v>22</v>
      </c>
      <c r="C1469" s="1">
        <v>7</v>
      </c>
      <c r="D1469" s="50">
        <v>111.625</v>
      </c>
      <c r="E1469" s="12">
        <f t="shared" si="30"/>
        <v>139.53125</v>
      </c>
      <c r="F1469" s="146">
        <v>95</v>
      </c>
      <c r="G1469" s="147">
        <v>75.603999999999999</v>
      </c>
      <c r="H1469" s="69">
        <v>1738.2139999999999</v>
      </c>
      <c r="I1469" s="50">
        <v>6.9</v>
      </c>
      <c r="J1469" s="50">
        <v>7.1999999999999995E-2</v>
      </c>
      <c r="K1469" s="148">
        <v>7.8760000000000003</v>
      </c>
      <c r="L1469" s="149">
        <v>30.247</v>
      </c>
      <c r="M1469" s="50">
        <v>5.3979999999999997</v>
      </c>
      <c r="N1469" s="50">
        <v>5.8000000000000003E-2</v>
      </c>
      <c r="O1469" s="69">
        <v>78.676000000000002</v>
      </c>
      <c r="P1469" s="150">
        <v>4.4999999999999998E-2</v>
      </c>
      <c r="Q1469" s="96"/>
    </row>
    <row r="1470" spans="1:17" ht="14.25" customHeight="1" x14ac:dyDescent="0.35">
      <c r="A1470" s="1">
        <v>2020</v>
      </c>
      <c r="B1470" s="1" t="s">
        <v>22</v>
      </c>
      <c r="C1470" s="1">
        <v>8</v>
      </c>
      <c r="D1470" s="50">
        <v>112.64100000000001</v>
      </c>
      <c r="E1470" s="12">
        <f t="shared" si="30"/>
        <v>140.80125000000001</v>
      </c>
      <c r="F1470" s="146">
        <v>95.813000000000002</v>
      </c>
      <c r="G1470" s="147">
        <v>75.325999999999993</v>
      </c>
      <c r="H1470" s="69">
        <v>1780.807</v>
      </c>
      <c r="I1470" s="50">
        <v>6.9</v>
      </c>
      <c r="J1470" s="50">
        <v>7.5999999999999998E-2</v>
      </c>
      <c r="K1470" s="148">
        <v>7.83</v>
      </c>
      <c r="L1470" s="149">
        <v>30.786999999999999</v>
      </c>
      <c r="M1470" s="50">
        <v>5.4009999999999998</v>
      </c>
      <c r="N1470" s="50">
        <v>5.7000000000000002E-2</v>
      </c>
      <c r="O1470" s="69">
        <v>78.292000000000002</v>
      </c>
      <c r="P1470" s="150">
        <v>4.7E-2</v>
      </c>
      <c r="Q1470" s="96"/>
    </row>
    <row r="1471" spans="1:17" ht="14.25" customHeight="1" x14ac:dyDescent="0.35">
      <c r="A1471" s="1">
        <v>2020</v>
      </c>
      <c r="B1471" s="1" t="s">
        <v>22</v>
      </c>
      <c r="C1471" s="1">
        <v>9</v>
      </c>
      <c r="D1471" s="50">
        <v>113.828</v>
      </c>
      <c r="E1471" s="12">
        <f t="shared" si="30"/>
        <v>142.285</v>
      </c>
      <c r="F1471" s="146">
        <v>96.938000000000002</v>
      </c>
      <c r="G1471" s="147">
        <v>75.373999999999995</v>
      </c>
      <c r="H1471" s="69">
        <v>1787.6759999999999</v>
      </c>
      <c r="I1471" s="50">
        <v>6.9</v>
      </c>
      <c r="J1471" s="50">
        <v>7.3999999999999996E-2</v>
      </c>
      <c r="K1471" s="148">
        <v>7.6740000000000004</v>
      </c>
      <c r="L1471" s="149">
        <v>30.585000000000001</v>
      </c>
      <c r="M1471" s="50">
        <v>5.4050000000000002</v>
      </c>
      <c r="N1471" s="50">
        <v>5.6000000000000001E-2</v>
      </c>
      <c r="O1471" s="69">
        <v>77.688000000000002</v>
      </c>
      <c r="P1471" s="150">
        <v>4.2000000000000003E-2</v>
      </c>
      <c r="Q1471" s="96"/>
    </row>
    <row r="1472" spans="1:17" ht="14.25" customHeight="1" x14ac:dyDescent="0.35">
      <c r="A1472" s="1">
        <v>2020</v>
      </c>
      <c r="B1472" s="1" t="s">
        <v>22</v>
      </c>
      <c r="C1472" s="1">
        <v>10</v>
      </c>
      <c r="D1472" s="50">
        <v>117.625</v>
      </c>
      <c r="E1472" s="12">
        <f t="shared" si="30"/>
        <v>147.03125</v>
      </c>
      <c r="F1472" s="146">
        <v>99.968999999999994</v>
      </c>
      <c r="G1472" s="152">
        <v>75.168000000000006</v>
      </c>
      <c r="H1472" s="69">
        <v>1794.557</v>
      </c>
      <c r="I1472" s="50">
        <v>6.9</v>
      </c>
      <c r="J1472" s="50">
        <v>7.3999999999999996E-2</v>
      </c>
      <c r="K1472" s="153">
        <v>7.5979999999999999</v>
      </c>
      <c r="L1472" s="149">
        <v>30.561</v>
      </c>
      <c r="M1472" s="50">
        <v>5.4249999999999998</v>
      </c>
      <c r="N1472" s="77">
        <v>5.6000000000000001E-2</v>
      </c>
      <c r="O1472" s="69">
        <v>74.111000000000004</v>
      </c>
      <c r="P1472" s="154">
        <v>4.2000000000000003E-2</v>
      </c>
      <c r="Q1472" s="96"/>
    </row>
    <row r="1473" spans="1:17" ht="14.25" customHeight="1" x14ac:dyDescent="0.35">
      <c r="A1473" s="1">
        <v>2020</v>
      </c>
      <c r="B1473" s="1" t="s">
        <v>22</v>
      </c>
      <c r="C1473" s="1">
        <v>11</v>
      </c>
      <c r="D1473" s="50">
        <v>114.84399999999999</v>
      </c>
      <c r="E1473" s="12">
        <f t="shared" si="30"/>
        <v>143.55500000000001</v>
      </c>
      <c r="F1473" s="146">
        <v>97.563000000000002</v>
      </c>
      <c r="G1473" s="152">
        <v>74.816999999999993</v>
      </c>
      <c r="H1473" s="69">
        <v>1756.299</v>
      </c>
      <c r="I1473" s="50">
        <v>6.9</v>
      </c>
      <c r="J1473" s="50">
        <v>0.08</v>
      </c>
      <c r="K1473" s="153">
        <v>7.6159999999999997</v>
      </c>
      <c r="L1473" s="149">
        <v>29.707000000000001</v>
      </c>
      <c r="M1473" s="50">
        <v>5.452</v>
      </c>
      <c r="N1473" s="77">
        <v>5.3999999999999999E-2</v>
      </c>
      <c r="O1473" s="69">
        <v>69.427000000000007</v>
      </c>
      <c r="P1473" s="154">
        <v>0.04</v>
      </c>
      <c r="Q1473" s="96"/>
    </row>
    <row r="1474" spans="1:17" ht="14.25" customHeight="1" x14ac:dyDescent="0.35">
      <c r="A1474" s="1">
        <v>2020</v>
      </c>
      <c r="B1474" s="1" t="s">
        <v>22</v>
      </c>
      <c r="C1474" s="1">
        <v>12</v>
      </c>
      <c r="D1474" s="50">
        <v>114.03100000000001</v>
      </c>
      <c r="E1474" s="12">
        <f t="shared" si="30"/>
        <v>142.53874999999999</v>
      </c>
      <c r="F1474" s="146">
        <v>96.843999999999994</v>
      </c>
      <c r="G1474" s="152">
        <v>74.867999999999995</v>
      </c>
      <c r="H1474" s="69">
        <v>1694.577</v>
      </c>
      <c r="I1474" s="50">
        <v>6.9</v>
      </c>
      <c r="J1474" s="50">
        <v>7.9000000000000001E-2</v>
      </c>
      <c r="K1474" s="153">
        <v>7.4569999999999999</v>
      </c>
      <c r="L1474" s="149">
        <v>27.937999999999999</v>
      </c>
      <c r="M1474" s="50">
        <v>5.4450000000000003</v>
      </c>
      <c r="N1474" s="77">
        <v>5.1999999999999998E-2</v>
      </c>
      <c r="O1474" s="69">
        <v>70.731999999999999</v>
      </c>
      <c r="P1474" s="154">
        <v>3.5999999999999997E-2</v>
      </c>
      <c r="Q1474" s="96"/>
    </row>
    <row r="1475" spans="1:17" ht="14.25" customHeight="1" x14ac:dyDescent="0.35">
      <c r="A1475" s="1">
        <v>2020</v>
      </c>
      <c r="B1475" s="1" t="s">
        <v>22</v>
      </c>
      <c r="C1475" s="1">
        <v>13</v>
      </c>
      <c r="D1475" s="50">
        <v>111.59399999999999</v>
      </c>
      <c r="E1475" s="12">
        <f t="shared" si="30"/>
        <v>139.49250000000001</v>
      </c>
      <c r="F1475" s="146">
        <v>94.906000000000006</v>
      </c>
      <c r="G1475" s="152">
        <v>74.864999999999995</v>
      </c>
      <c r="H1475" s="69">
        <v>1675.442</v>
      </c>
      <c r="I1475" s="50">
        <v>6.9</v>
      </c>
      <c r="J1475" s="50">
        <v>8.2000000000000003E-2</v>
      </c>
      <c r="K1475" s="153">
        <v>7.5880000000000001</v>
      </c>
      <c r="L1475" s="149">
        <v>28.242999999999999</v>
      </c>
      <c r="M1475" s="50">
        <v>5.4530000000000003</v>
      </c>
      <c r="N1475" s="50">
        <v>5.6000000000000001E-2</v>
      </c>
      <c r="O1475" s="69">
        <v>69.522999999999996</v>
      </c>
      <c r="P1475" s="154">
        <v>3.5999999999999997E-2</v>
      </c>
      <c r="Q1475" s="96"/>
    </row>
    <row r="1476" spans="1:17" ht="14.25" customHeight="1" x14ac:dyDescent="0.35">
      <c r="A1476" s="1">
        <v>2020</v>
      </c>
      <c r="B1476" s="1" t="s">
        <v>22</v>
      </c>
      <c r="C1476" s="1">
        <v>14</v>
      </c>
      <c r="D1476" s="50">
        <v>111.75</v>
      </c>
      <c r="E1476" s="12">
        <f t="shared" si="30"/>
        <v>139.6875</v>
      </c>
      <c r="F1476" s="146">
        <v>95.063000000000002</v>
      </c>
      <c r="G1476" s="147">
        <v>74.83</v>
      </c>
      <c r="H1476" s="69">
        <v>1742.4079999999999</v>
      </c>
      <c r="I1476" s="50">
        <v>6.9</v>
      </c>
      <c r="J1476" s="50">
        <v>7.9000000000000001E-2</v>
      </c>
      <c r="K1476" s="153">
        <v>8.0329999999999995</v>
      </c>
      <c r="L1476" s="155">
        <v>27.920999999999999</v>
      </c>
      <c r="M1476" s="50">
        <v>5.4390000000000001</v>
      </c>
      <c r="N1476" s="50">
        <v>5.7000000000000002E-2</v>
      </c>
      <c r="O1476" s="69">
        <v>71.86</v>
      </c>
      <c r="P1476" s="154">
        <v>4.2000000000000003E-2</v>
      </c>
      <c r="Q1476" s="96"/>
    </row>
    <row r="1477" spans="1:17" ht="14.25" customHeight="1" x14ac:dyDescent="0.35">
      <c r="A1477" s="1">
        <v>2020</v>
      </c>
      <c r="B1477" s="1" t="s">
        <v>22</v>
      </c>
      <c r="C1477" s="1">
        <v>15</v>
      </c>
      <c r="D1477" s="50">
        <v>111.563</v>
      </c>
      <c r="E1477" s="12">
        <f t="shared" si="30"/>
        <v>139.45375000000001</v>
      </c>
      <c r="F1477" s="146">
        <v>94.875</v>
      </c>
      <c r="G1477" s="147">
        <v>74.963999999999999</v>
      </c>
      <c r="H1477" s="69">
        <v>1752.739</v>
      </c>
      <c r="I1477" s="50">
        <v>6.9</v>
      </c>
      <c r="J1477" s="50">
        <v>7.5999999999999998E-2</v>
      </c>
      <c r="K1477" s="153">
        <v>7.8789999999999996</v>
      </c>
      <c r="L1477" s="149">
        <v>28.917000000000002</v>
      </c>
      <c r="M1477" s="50">
        <v>5.4390000000000001</v>
      </c>
      <c r="N1477" s="50">
        <v>5.5E-2</v>
      </c>
      <c r="O1477" s="69">
        <v>71.539000000000001</v>
      </c>
      <c r="P1477" s="154">
        <v>4.2000000000000003E-2</v>
      </c>
      <c r="Q1477" s="96"/>
    </row>
    <row r="1478" spans="1:17" ht="14.25" customHeight="1" x14ac:dyDescent="0.35">
      <c r="A1478" s="1">
        <v>2020</v>
      </c>
      <c r="B1478" s="1" t="s">
        <v>22</v>
      </c>
      <c r="C1478" s="1">
        <v>16</v>
      </c>
      <c r="D1478" s="50">
        <v>114.21899999999999</v>
      </c>
      <c r="E1478" s="12">
        <f t="shared" si="30"/>
        <v>142.77375000000001</v>
      </c>
      <c r="F1478" s="146">
        <v>97.156000000000006</v>
      </c>
      <c r="G1478" s="147">
        <v>74.941000000000003</v>
      </c>
      <c r="H1478" s="69">
        <v>1757.15</v>
      </c>
      <c r="I1478" s="50">
        <v>6.9</v>
      </c>
      <c r="J1478" s="50">
        <v>7.6999999999999999E-2</v>
      </c>
      <c r="K1478" s="153">
        <v>7.9870000000000001</v>
      </c>
      <c r="L1478" s="149">
        <v>32.587000000000003</v>
      </c>
      <c r="M1478" s="50">
        <v>5.4550000000000001</v>
      </c>
      <c r="N1478" s="50">
        <v>5.7000000000000002E-2</v>
      </c>
      <c r="O1478" s="69">
        <v>69.081999999999994</v>
      </c>
      <c r="P1478" s="154">
        <v>4.3999999999999997E-2</v>
      </c>
      <c r="Q1478" s="96"/>
    </row>
    <row r="1479" spans="1:17" ht="14.25" customHeight="1" x14ac:dyDescent="0.35">
      <c r="A1479" s="1">
        <v>2020</v>
      </c>
      <c r="B1479" s="1" t="s">
        <v>22</v>
      </c>
      <c r="C1479" s="1">
        <v>17</v>
      </c>
      <c r="D1479" s="50">
        <v>114.203</v>
      </c>
      <c r="E1479" s="12">
        <f t="shared" si="30"/>
        <v>142.75375</v>
      </c>
      <c r="F1479" s="146">
        <v>97.093999999999994</v>
      </c>
      <c r="G1479" s="147">
        <v>74.933999999999997</v>
      </c>
      <c r="H1479" s="69">
        <v>1778.9069999999999</v>
      </c>
      <c r="I1479" s="50">
        <v>6.9</v>
      </c>
      <c r="J1479" s="50">
        <v>7.6999999999999999E-2</v>
      </c>
      <c r="K1479" s="148">
        <v>8.1240000000000006</v>
      </c>
      <c r="L1479" s="149">
        <v>30.861000000000001</v>
      </c>
      <c r="M1479" s="50">
        <v>5.4470000000000001</v>
      </c>
      <c r="N1479" s="50">
        <v>0.06</v>
      </c>
      <c r="O1479" s="69">
        <v>70.301000000000002</v>
      </c>
      <c r="P1479" s="150">
        <v>4.3999999999999997E-2</v>
      </c>
      <c r="Q1479" s="96"/>
    </row>
    <row r="1480" spans="1:17" ht="14.25" customHeight="1" x14ac:dyDescent="0.35">
      <c r="A1480" s="1">
        <v>2020</v>
      </c>
      <c r="B1480" s="1" t="s">
        <v>22</v>
      </c>
      <c r="C1480" s="1">
        <v>18</v>
      </c>
      <c r="D1480" s="50">
        <v>112.46899999999999</v>
      </c>
      <c r="E1480" s="12">
        <f t="shared" si="30"/>
        <v>140.58625000000001</v>
      </c>
      <c r="F1480" s="146">
        <v>95.781000000000006</v>
      </c>
      <c r="G1480" s="147">
        <v>74.929000000000002</v>
      </c>
      <c r="H1480" s="69">
        <v>1752.079</v>
      </c>
      <c r="I1480" s="50">
        <v>6.9</v>
      </c>
      <c r="J1480" s="50">
        <v>7.6999999999999999E-2</v>
      </c>
      <c r="K1480" s="148">
        <v>8.2050000000000001</v>
      </c>
      <c r="L1480" s="149">
        <v>31.379000000000001</v>
      </c>
      <c r="M1480" s="50">
        <v>5.45</v>
      </c>
      <c r="N1480" s="50">
        <v>5.8999999999999997E-2</v>
      </c>
      <c r="O1480" s="69">
        <v>69.724000000000004</v>
      </c>
      <c r="P1480" s="150">
        <v>4.2000000000000003E-2</v>
      </c>
      <c r="Q1480" s="96"/>
    </row>
    <row r="1481" spans="1:17" ht="14.25" customHeight="1" x14ac:dyDescent="0.35">
      <c r="A1481" s="1">
        <v>2020</v>
      </c>
      <c r="B1481" s="1" t="s">
        <v>22</v>
      </c>
      <c r="C1481" s="1">
        <v>19</v>
      </c>
      <c r="D1481" s="50">
        <v>111.563</v>
      </c>
      <c r="E1481" s="12">
        <f t="shared" si="30"/>
        <v>139.45375000000001</v>
      </c>
      <c r="F1481" s="146">
        <v>95.031000000000006</v>
      </c>
      <c r="G1481" s="147">
        <v>75.119</v>
      </c>
      <c r="H1481" s="69">
        <v>1680.183</v>
      </c>
      <c r="I1481" s="50">
        <v>6.9</v>
      </c>
      <c r="J1481" s="50">
        <v>0.08</v>
      </c>
      <c r="K1481" s="148">
        <v>7.9249999999999998</v>
      </c>
      <c r="L1481" s="149">
        <v>29.722000000000001</v>
      </c>
      <c r="M1481" s="50">
        <v>5.4459999999999997</v>
      </c>
      <c r="N1481" s="50">
        <v>5.7000000000000002E-2</v>
      </c>
      <c r="O1481" s="69">
        <v>70.251000000000005</v>
      </c>
      <c r="P1481" s="150">
        <v>3.7999999999999999E-2</v>
      </c>
      <c r="Q1481" s="96"/>
    </row>
    <row r="1482" spans="1:17" ht="14.25" customHeight="1" x14ac:dyDescent="0.35">
      <c r="A1482" s="1">
        <v>2020</v>
      </c>
      <c r="B1482" s="1" t="s">
        <v>22</v>
      </c>
      <c r="C1482" s="1">
        <v>20</v>
      </c>
      <c r="D1482" s="50">
        <v>111.453</v>
      </c>
      <c r="E1482" s="12">
        <f t="shared" si="30"/>
        <v>139.31625</v>
      </c>
      <c r="F1482" s="146">
        <v>94.938000000000002</v>
      </c>
      <c r="G1482" s="147">
        <v>75.105000000000004</v>
      </c>
      <c r="H1482" s="69">
        <v>1690.99</v>
      </c>
      <c r="I1482" s="50">
        <v>6.9</v>
      </c>
      <c r="J1482" s="50">
        <v>8.1000000000000003E-2</v>
      </c>
      <c r="K1482" s="148">
        <v>7.9459999999999997</v>
      </c>
      <c r="L1482" s="149">
        <v>30.282</v>
      </c>
      <c r="M1482" s="50">
        <v>5.452</v>
      </c>
      <c r="N1482" s="50">
        <v>5.6000000000000001E-2</v>
      </c>
      <c r="O1482" s="69">
        <v>69.284999999999997</v>
      </c>
      <c r="P1482" s="150">
        <v>3.7999999999999999E-2</v>
      </c>
      <c r="Q1482" s="96"/>
    </row>
    <row r="1483" spans="1:17" ht="14.25" customHeight="1" x14ac:dyDescent="0.35">
      <c r="A1483" s="1">
        <v>2020</v>
      </c>
      <c r="B1483" s="1" t="s">
        <v>22</v>
      </c>
      <c r="C1483" s="1">
        <v>21</v>
      </c>
      <c r="D1483" s="50">
        <v>111.59399999999999</v>
      </c>
      <c r="E1483" s="12">
        <f t="shared" si="30"/>
        <v>139.49250000000001</v>
      </c>
      <c r="F1483" s="146">
        <v>94.938000000000002</v>
      </c>
      <c r="G1483" s="147">
        <v>75.141000000000005</v>
      </c>
      <c r="H1483" s="69">
        <v>1728.1220000000001</v>
      </c>
      <c r="I1483" s="50">
        <v>6.9</v>
      </c>
      <c r="J1483" s="50">
        <v>7.5999999999999998E-2</v>
      </c>
      <c r="K1483" s="148">
        <v>8.2929999999999993</v>
      </c>
      <c r="L1483" s="149">
        <v>29.831</v>
      </c>
      <c r="M1483" s="50">
        <v>5.4459999999999997</v>
      </c>
      <c r="N1483" s="50">
        <v>5.5E-2</v>
      </c>
      <c r="O1483" s="69">
        <v>70.379000000000005</v>
      </c>
      <c r="P1483" s="150">
        <v>4.3999999999999997E-2</v>
      </c>
      <c r="Q1483" s="96"/>
    </row>
    <row r="1484" spans="1:17" ht="14.25" customHeight="1" x14ac:dyDescent="0.35">
      <c r="A1484" s="1">
        <v>2020</v>
      </c>
      <c r="B1484" s="1" t="s">
        <v>22</v>
      </c>
      <c r="C1484" s="1">
        <v>22</v>
      </c>
      <c r="D1484" s="50">
        <v>110.34399999999999</v>
      </c>
      <c r="E1484" s="12">
        <f t="shared" si="30"/>
        <v>137.93</v>
      </c>
      <c r="F1484" s="146">
        <v>93.813000000000002</v>
      </c>
      <c r="G1484" s="147">
        <v>75.212000000000003</v>
      </c>
      <c r="H1484" s="69">
        <v>1796.6110000000001</v>
      </c>
      <c r="I1484" s="50">
        <v>6.9</v>
      </c>
      <c r="J1484" s="50">
        <v>7.2999999999999995E-2</v>
      </c>
      <c r="K1484" s="148">
        <v>7.9550000000000001</v>
      </c>
      <c r="L1484" s="149">
        <v>31.573</v>
      </c>
      <c r="M1484" s="50">
        <v>5.4359999999999999</v>
      </c>
      <c r="N1484" s="50">
        <v>5.5E-2</v>
      </c>
      <c r="O1484" s="69">
        <v>72.278999999999996</v>
      </c>
      <c r="P1484" s="150">
        <v>4.9000000000000002E-2</v>
      </c>
      <c r="Q1484" s="96"/>
    </row>
    <row r="1485" spans="1:17" ht="14.25" customHeight="1" x14ac:dyDescent="0.35">
      <c r="A1485" s="1">
        <v>2020</v>
      </c>
      <c r="B1485" s="1" t="s">
        <v>22</v>
      </c>
      <c r="C1485" s="1">
        <v>23</v>
      </c>
      <c r="D1485" s="50">
        <v>115.422</v>
      </c>
      <c r="E1485" s="12">
        <f t="shared" si="30"/>
        <v>144.2775</v>
      </c>
      <c r="F1485" s="146">
        <v>98.156000000000006</v>
      </c>
      <c r="G1485" s="147">
        <v>75.457999999999998</v>
      </c>
      <c r="H1485" s="69">
        <v>1780.5440000000001</v>
      </c>
      <c r="I1485" s="50">
        <v>6.9</v>
      </c>
      <c r="J1485" s="50">
        <v>7.4999999999999997E-2</v>
      </c>
      <c r="K1485" s="148">
        <v>7.9349999999999996</v>
      </c>
      <c r="L1485" s="149">
        <v>32.345999999999997</v>
      </c>
      <c r="M1485" s="50">
        <v>5.4450000000000003</v>
      </c>
      <c r="N1485" s="50">
        <v>5.3999999999999999E-2</v>
      </c>
      <c r="O1485" s="69">
        <v>70.831999999999994</v>
      </c>
      <c r="P1485" s="150">
        <v>4.3999999999999997E-2</v>
      </c>
      <c r="Q1485" s="96"/>
    </row>
    <row r="1486" spans="1:17" ht="14.25" customHeight="1" x14ac:dyDescent="0.35">
      <c r="A1486" s="1">
        <v>2020</v>
      </c>
      <c r="B1486" s="1" t="s">
        <v>22</v>
      </c>
      <c r="C1486" s="1">
        <v>24</v>
      </c>
      <c r="D1486" s="50">
        <v>113.40600000000001</v>
      </c>
      <c r="E1486" s="12">
        <f t="shared" si="30"/>
        <v>141.75749999999999</v>
      </c>
      <c r="F1486" s="146">
        <v>96.406000000000006</v>
      </c>
      <c r="G1486" s="147">
        <v>75.444000000000003</v>
      </c>
      <c r="H1486" s="69">
        <v>1790.444</v>
      </c>
      <c r="I1486" s="50">
        <v>6.9</v>
      </c>
      <c r="J1486" s="50">
        <v>7.9000000000000001E-2</v>
      </c>
      <c r="K1486" s="148">
        <v>7.9169999999999998</v>
      </c>
      <c r="L1486" s="149">
        <v>32.237000000000002</v>
      </c>
      <c r="M1486" s="50">
        <v>5.4409999999999998</v>
      </c>
      <c r="N1486" s="50">
        <v>0.05</v>
      </c>
      <c r="O1486" s="69">
        <v>71.275000000000006</v>
      </c>
      <c r="P1486" s="150">
        <v>4.4999999999999998E-2</v>
      </c>
      <c r="Q1486" s="96"/>
    </row>
    <row r="1487" spans="1:17" ht="14.25" customHeight="1" x14ac:dyDescent="0.35">
      <c r="A1487" s="1">
        <v>2020</v>
      </c>
      <c r="B1487" s="1" t="s">
        <v>22</v>
      </c>
      <c r="C1487" s="1">
        <v>25</v>
      </c>
      <c r="D1487" s="50">
        <v>112.953</v>
      </c>
      <c r="E1487" s="12">
        <f t="shared" si="30"/>
        <v>141.19125</v>
      </c>
      <c r="F1487" s="146">
        <v>96.093999999999994</v>
      </c>
      <c r="G1487" s="147">
        <v>75.427999999999997</v>
      </c>
      <c r="H1487" s="69">
        <v>1760.126</v>
      </c>
      <c r="I1487" s="50">
        <v>6.9</v>
      </c>
      <c r="J1487" s="50">
        <v>0.08</v>
      </c>
      <c r="K1487" s="148">
        <v>8.0090000000000003</v>
      </c>
      <c r="L1487" s="149">
        <v>31.759</v>
      </c>
      <c r="M1487" s="50">
        <v>5.4420000000000002</v>
      </c>
      <c r="N1487" s="50">
        <v>4.2000000000000003E-2</v>
      </c>
      <c r="O1487" s="69">
        <v>71.156000000000006</v>
      </c>
      <c r="P1487" s="150">
        <v>4.7E-2</v>
      </c>
      <c r="Q1487" s="96"/>
    </row>
    <row r="1488" spans="1:17" ht="14.25" customHeight="1" x14ac:dyDescent="0.35">
      <c r="A1488" s="1">
        <v>2020</v>
      </c>
      <c r="B1488" s="1" t="s">
        <v>22</v>
      </c>
      <c r="C1488" s="1">
        <v>26</v>
      </c>
      <c r="D1488" s="50">
        <v>112.875</v>
      </c>
      <c r="E1488" s="12">
        <f t="shared" si="30"/>
        <v>141.09375</v>
      </c>
      <c r="F1488" s="146">
        <v>95.906000000000006</v>
      </c>
      <c r="G1488" s="147">
        <v>74.932000000000002</v>
      </c>
      <c r="H1488" s="69">
        <v>1678.66</v>
      </c>
      <c r="I1488" s="50">
        <v>6.9</v>
      </c>
      <c r="J1488" s="50">
        <v>8.4000000000000005E-2</v>
      </c>
      <c r="K1488" s="148">
        <v>7.81</v>
      </c>
      <c r="L1488" s="149">
        <v>30.31</v>
      </c>
      <c r="M1488" s="50">
        <v>5.452</v>
      </c>
      <c r="N1488" s="50">
        <v>5.2999999999999999E-2</v>
      </c>
      <c r="O1488" s="69">
        <v>69.608999999999995</v>
      </c>
      <c r="P1488" s="150">
        <v>3.9E-2</v>
      </c>
      <c r="Q1488" s="96"/>
    </row>
    <row r="1489" spans="1:17" ht="14.25" customHeight="1" x14ac:dyDescent="0.35">
      <c r="A1489" s="1">
        <v>2020</v>
      </c>
      <c r="B1489" s="1" t="s">
        <v>22</v>
      </c>
      <c r="C1489" s="1">
        <v>27</v>
      </c>
      <c r="D1489" s="50">
        <v>111.73399999999999</v>
      </c>
      <c r="E1489" s="12">
        <f t="shared" si="30"/>
        <v>139.66749999999999</v>
      </c>
      <c r="F1489" s="146">
        <v>95.031000000000006</v>
      </c>
      <c r="G1489" s="147">
        <v>75.197000000000003</v>
      </c>
      <c r="H1489" s="69">
        <v>1610.578</v>
      </c>
      <c r="I1489" s="50">
        <v>6.9</v>
      </c>
      <c r="J1489" s="50">
        <v>8.5999999999999993E-2</v>
      </c>
      <c r="K1489" s="148">
        <v>7.8959999999999999</v>
      </c>
      <c r="L1489" s="149">
        <v>29.132000000000001</v>
      </c>
      <c r="M1489" s="50">
        <v>5.4560000000000004</v>
      </c>
      <c r="N1489" s="50">
        <v>4.2000000000000003E-2</v>
      </c>
      <c r="O1489" s="69">
        <v>69.006</v>
      </c>
      <c r="P1489" s="150">
        <v>3.5000000000000003E-2</v>
      </c>
      <c r="Q1489" s="96"/>
    </row>
    <row r="1490" spans="1:17" ht="14.25" customHeight="1" x14ac:dyDescent="0.35">
      <c r="A1490" s="1">
        <v>2020</v>
      </c>
      <c r="B1490" s="1" t="s">
        <v>22</v>
      </c>
      <c r="C1490" s="1">
        <v>28</v>
      </c>
      <c r="D1490" s="50">
        <v>111.65600000000001</v>
      </c>
      <c r="E1490" s="12">
        <f t="shared" si="30"/>
        <v>139.57</v>
      </c>
      <c r="F1490" s="146">
        <v>94.875</v>
      </c>
      <c r="G1490" s="147">
        <v>75.497</v>
      </c>
      <c r="H1490" s="69">
        <v>1704.441</v>
      </c>
      <c r="I1490" s="50">
        <v>6.9</v>
      </c>
      <c r="J1490" s="50">
        <v>7.5999999999999998E-2</v>
      </c>
      <c r="K1490" s="148">
        <v>8.1829999999999998</v>
      </c>
      <c r="L1490" s="149">
        <v>30.318999999999999</v>
      </c>
      <c r="M1490" s="50">
        <v>5.44</v>
      </c>
      <c r="N1490" s="50">
        <v>5.1999999999999998E-2</v>
      </c>
      <c r="O1490" s="69">
        <v>71.352999999999994</v>
      </c>
      <c r="P1490" s="150">
        <v>4.8000000000000001E-2</v>
      </c>
      <c r="Q1490" s="96"/>
    </row>
    <row r="1491" spans="1:17" ht="14.25" customHeight="1" x14ac:dyDescent="0.35">
      <c r="A1491" s="1">
        <v>2020</v>
      </c>
      <c r="B1491" s="1" t="s">
        <v>22</v>
      </c>
      <c r="C1491" s="1">
        <v>29</v>
      </c>
      <c r="D1491" s="50">
        <v>112.48399999999999</v>
      </c>
      <c r="E1491" s="12">
        <f t="shared" si="30"/>
        <v>140.60499999999999</v>
      </c>
      <c r="F1491" s="146">
        <v>95.625</v>
      </c>
      <c r="G1491" s="147">
        <v>75.534999999999997</v>
      </c>
      <c r="H1491" s="69">
        <v>1747.7270000000001</v>
      </c>
      <c r="I1491" s="50">
        <v>6.9</v>
      </c>
      <c r="J1491" s="50">
        <v>7.9000000000000001E-2</v>
      </c>
      <c r="K1491" s="148">
        <v>8.0670000000000002</v>
      </c>
      <c r="L1491" s="149">
        <v>31.637</v>
      </c>
      <c r="M1491" s="50">
        <v>5.4359999999999999</v>
      </c>
      <c r="N1491" s="50">
        <v>5.7000000000000002E-2</v>
      </c>
      <c r="O1491" s="69">
        <v>72.125</v>
      </c>
      <c r="P1491" s="150">
        <v>4.4999999999999998E-2</v>
      </c>
      <c r="Q1491" s="96"/>
    </row>
    <row r="1492" spans="1:17" ht="14.25" customHeight="1" x14ac:dyDescent="0.35">
      <c r="A1492" s="1">
        <v>2020</v>
      </c>
      <c r="B1492" s="1" t="s">
        <v>22</v>
      </c>
      <c r="C1492" s="1">
        <v>30</v>
      </c>
      <c r="D1492" s="50">
        <v>112.672</v>
      </c>
      <c r="E1492" s="12">
        <f t="shared" si="30"/>
        <v>140.84</v>
      </c>
      <c r="F1492" s="146">
        <v>95.781000000000006</v>
      </c>
      <c r="G1492" s="147">
        <v>75.366</v>
      </c>
      <c r="H1492" s="69">
        <v>1788.4659999999999</v>
      </c>
      <c r="I1492" s="50">
        <v>6.9</v>
      </c>
      <c r="J1492" s="50">
        <v>0.08</v>
      </c>
      <c r="K1492" s="148">
        <v>8.2309999999999999</v>
      </c>
      <c r="L1492" s="149">
        <v>32.741999999999997</v>
      </c>
      <c r="M1492" s="50">
        <v>5.4349999999999996</v>
      </c>
      <c r="N1492" s="50">
        <v>6.2E-2</v>
      </c>
      <c r="O1492" s="69">
        <v>72.159000000000006</v>
      </c>
      <c r="P1492" s="150">
        <v>0.05</v>
      </c>
      <c r="Q1492" s="96"/>
    </row>
    <row r="1493" spans="1:17" ht="14.25" customHeight="1" x14ac:dyDescent="0.35">
      <c r="A1493" s="1">
        <v>2020</v>
      </c>
      <c r="B1493" s="1" t="s">
        <v>22</v>
      </c>
      <c r="C1493" s="1">
        <v>31</v>
      </c>
      <c r="D1493" s="50">
        <v>114.25</v>
      </c>
      <c r="E1493" s="12">
        <f t="shared" si="30"/>
        <v>142.8125</v>
      </c>
      <c r="F1493" s="146">
        <v>97.063000000000002</v>
      </c>
      <c r="G1493" s="147">
        <v>75.754999999999995</v>
      </c>
      <c r="H1493" s="69">
        <v>1799.9749999999999</v>
      </c>
      <c r="I1493" s="50">
        <v>6.9</v>
      </c>
      <c r="J1493" s="50">
        <v>7.9000000000000001E-2</v>
      </c>
      <c r="K1493" s="148">
        <v>7.9050000000000002</v>
      </c>
      <c r="L1493" s="149">
        <v>34.22</v>
      </c>
      <c r="M1493" s="50">
        <v>5.4119999999999999</v>
      </c>
      <c r="N1493" s="50">
        <v>6.0999999999999999E-2</v>
      </c>
      <c r="O1493" s="69">
        <v>76.016000000000005</v>
      </c>
      <c r="P1493" s="150">
        <v>4.7E-2</v>
      </c>
      <c r="Q1493" s="96"/>
    </row>
    <row r="1494" spans="1:17" ht="14.25" customHeight="1" x14ac:dyDescent="0.35">
      <c r="A1494" s="1">
        <v>2020</v>
      </c>
      <c r="B1494" s="1" t="s">
        <v>23</v>
      </c>
      <c r="C1494" s="1">
        <v>1</v>
      </c>
      <c r="D1494" s="12">
        <v>114.09399999999999</v>
      </c>
      <c r="E1494" s="12">
        <f t="shared" si="30"/>
        <v>142.61750000000001</v>
      </c>
      <c r="F1494" s="13">
        <v>97.093999999999994</v>
      </c>
      <c r="G1494" s="156">
        <v>76</v>
      </c>
      <c r="H1494" s="157">
        <v>1767.749</v>
      </c>
      <c r="I1494" s="44">
        <v>6.9</v>
      </c>
      <c r="J1494" s="45">
        <v>8.5999999999999993E-2</v>
      </c>
      <c r="K1494" s="158">
        <v>8.1150000000000002</v>
      </c>
      <c r="L1494" s="157">
        <v>34.372</v>
      </c>
      <c r="M1494" s="45">
        <v>5.4020000000000001</v>
      </c>
      <c r="N1494" s="159">
        <v>5.8999999999999997E-2</v>
      </c>
      <c r="O1494" s="15">
        <v>78.203000000000003</v>
      </c>
      <c r="P1494" s="160">
        <v>4.7E-2</v>
      </c>
      <c r="Q1494" s="96"/>
    </row>
    <row r="1495" spans="1:17" ht="14.25" customHeight="1" x14ac:dyDescent="0.35">
      <c r="A1495" s="1">
        <v>2020</v>
      </c>
      <c r="B1495" s="1" t="s">
        <v>24</v>
      </c>
      <c r="C1495" s="1">
        <v>2</v>
      </c>
      <c r="D1495" s="12">
        <v>113.797</v>
      </c>
      <c r="E1495" s="12">
        <f t="shared" si="30"/>
        <v>142.24625</v>
      </c>
      <c r="F1495" s="13">
        <v>96.875</v>
      </c>
      <c r="G1495" s="161">
        <v>75.555000000000007</v>
      </c>
      <c r="H1495" s="162">
        <v>1683.231</v>
      </c>
      <c r="I1495" s="163">
        <v>6.9</v>
      </c>
      <c r="J1495" s="16">
        <v>9.2999999999999999E-2</v>
      </c>
      <c r="K1495" s="164">
        <v>7.9340000000000002</v>
      </c>
      <c r="L1495" s="165">
        <v>32.924999999999997</v>
      </c>
      <c r="M1495" s="13">
        <v>5.4109999999999996</v>
      </c>
      <c r="N1495" s="166">
        <v>5.1999999999999998E-2</v>
      </c>
      <c r="O1495" s="15">
        <v>76.200999999999993</v>
      </c>
      <c r="P1495" s="167">
        <v>4.2000000000000003E-2</v>
      </c>
      <c r="Q1495" s="96"/>
    </row>
    <row r="1496" spans="1:17" ht="14.25" customHeight="1" x14ac:dyDescent="0.35">
      <c r="A1496" s="1">
        <v>2020</v>
      </c>
      <c r="B1496" s="1" t="s">
        <v>23</v>
      </c>
      <c r="C1496" s="1">
        <v>3</v>
      </c>
      <c r="D1496" s="12">
        <v>111.64100000000001</v>
      </c>
      <c r="E1496" s="12">
        <f t="shared" si="30"/>
        <v>139.55125000000001</v>
      </c>
      <c r="F1496" s="13">
        <v>95</v>
      </c>
      <c r="G1496" s="161">
        <v>74.67</v>
      </c>
      <c r="H1496" s="162">
        <v>1609.0029999999999</v>
      </c>
      <c r="I1496" s="163">
        <v>6.9</v>
      </c>
      <c r="J1496" s="16">
        <v>8.3000000000000004E-2</v>
      </c>
      <c r="K1496" s="164">
        <v>7.8019999999999996</v>
      </c>
      <c r="L1496" s="165">
        <v>30.988</v>
      </c>
      <c r="M1496" s="13">
        <v>5.4130000000000003</v>
      </c>
      <c r="N1496" s="166">
        <v>5.5E-2</v>
      </c>
      <c r="O1496" s="15">
        <v>75.906000000000006</v>
      </c>
      <c r="P1496" s="167">
        <v>0.04</v>
      </c>
      <c r="Q1496" s="96"/>
    </row>
    <row r="1497" spans="1:17" ht="14.25" customHeight="1" x14ac:dyDescent="0.35">
      <c r="A1497" s="1">
        <v>2020</v>
      </c>
      <c r="B1497" s="1" t="s">
        <v>23</v>
      </c>
      <c r="C1497" s="1">
        <v>4</v>
      </c>
      <c r="D1497" s="12">
        <v>19.734000000000002</v>
      </c>
      <c r="E1497" s="12">
        <f t="shared" si="30"/>
        <v>24.667500000000004</v>
      </c>
      <c r="F1497" s="13">
        <v>16.594000000000001</v>
      </c>
      <c r="G1497" s="161">
        <v>70.67</v>
      </c>
      <c r="H1497" s="162">
        <v>1679.7670000000001</v>
      </c>
      <c r="I1497" s="163">
        <v>6.8860000000000001</v>
      </c>
      <c r="J1497" s="16">
        <v>0.109</v>
      </c>
      <c r="K1497" s="164">
        <v>8.5549999999999997</v>
      </c>
      <c r="L1497" s="165">
        <v>57.706000000000003</v>
      </c>
      <c r="M1497" s="13">
        <v>6.0469999999999997</v>
      </c>
      <c r="N1497" s="166">
        <v>5.3999999999999999E-2</v>
      </c>
      <c r="O1497" s="15">
        <v>28.074999999999999</v>
      </c>
      <c r="P1497" s="167">
        <v>4.5999999999999999E-2</v>
      </c>
      <c r="Q1497" s="96"/>
    </row>
    <row r="1498" spans="1:17" ht="14.25" customHeight="1" x14ac:dyDescent="0.35">
      <c r="A1498" s="1">
        <v>2020</v>
      </c>
      <c r="B1498" s="1" t="s">
        <v>23</v>
      </c>
      <c r="C1498" s="1">
        <v>5</v>
      </c>
      <c r="D1498" s="12">
        <v>33.984000000000002</v>
      </c>
      <c r="E1498" s="12">
        <f t="shared" si="30"/>
        <v>42.480000000000004</v>
      </c>
      <c r="F1498" s="13">
        <v>28.844000000000001</v>
      </c>
      <c r="G1498" s="161">
        <v>70.81</v>
      </c>
      <c r="H1498" s="162">
        <v>1726.7629999999999</v>
      </c>
      <c r="I1498" s="163">
        <v>6.8570000000000002</v>
      </c>
      <c r="J1498" s="16">
        <v>7.5999999999999998E-2</v>
      </c>
      <c r="K1498" s="164">
        <v>8.7390000000000008</v>
      </c>
      <c r="L1498" s="165">
        <v>52.052</v>
      </c>
      <c r="M1498" s="13">
        <v>5.9139999999999997</v>
      </c>
      <c r="N1498" s="166">
        <v>5.8000000000000003E-2</v>
      </c>
      <c r="O1498" s="15">
        <v>42.274000000000001</v>
      </c>
      <c r="P1498" s="167">
        <v>0.04</v>
      </c>
      <c r="Q1498" s="96"/>
    </row>
    <row r="1499" spans="1:17" ht="14.25" customHeight="1" x14ac:dyDescent="0.35">
      <c r="A1499" s="1">
        <v>2020</v>
      </c>
      <c r="B1499" s="1" t="s">
        <v>23</v>
      </c>
      <c r="C1499" s="1">
        <v>6</v>
      </c>
      <c r="D1499" s="12">
        <v>115.172</v>
      </c>
      <c r="E1499" s="12">
        <f t="shared" si="30"/>
        <v>143.965</v>
      </c>
      <c r="F1499" s="13">
        <v>97.906000000000006</v>
      </c>
      <c r="G1499" s="161">
        <v>74.634</v>
      </c>
      <c r="H1499" s="162">
        <v>1773.508</v>
      </c>
      <c r="I1499" s="163">
        <v>6.9</v>
      </c>
      <c r="J1499" s="16">
        <v>8.5000000000000006E-2</v>
      </c>
      <c r="K1499" s="164">
        <v>8.1389999999999993</v>
      </c>
      <c r="L1499" s="165">
        <v>33.99</v>
      </c>
      <c r="M1499" s="13">
        <v>5.3869999999999996</v>
      </c>
      <c r="N1499" s="166">
        <v>0.06</v>
      </c>
      <c r="O1499" s="15">
        <v>80.900000000000006</v>
      </c>
      <c r="P1499" s="167">
        <v>4.1000000000000002E-2</v>
      </c>
      <c r="Q1499" s="96"/>
    </row>
    <row r="1500" spans="1:17" ht="14.25" customHeight="1" x14ac:dyDescent="0.35">
      <c r="A1500" s="1">
        <v>2020</v>
      </c>
      <c r="B1500" s="1" t="s">
        <v>23</v>
      </c>
      <c r="C1500" s="1">
        <v>7</v>
      </c>
      <c r="D1500" s="12">
        <v>117.578</v>
      </c>
      <c r="E1500" s="12">
        <f t="shared" si="30"/>
        <v>146.9725</v>
      </c>
      <c r="F1500" s="13">
        <v>100</v>
      </c>
      <c r="G1500" s="161">
        <v>75.063999999999993</v>
      </c>
      <c r="H1500" s="162">
        <v>1777.9090000000001</v>
      </c>
      <c r="I1500" s="163">
        <v>6.9</v>
      </c>
      <c r="J1500" s="16">
        <v>8.5999999999999993E-2</v>
      </c>
      <c r="K1500" s="164">
        <v>8.1159999999999997</v>
      </c>
      <c r="L1500" s="165">
        <v>31.896000000000001</v>
      </c>
      <c r="M1500" s="13">
        <v>5.4690000000000003</v>
      </c>
      <c r="N1500" s="166">
        <v>5.7000000000000002E-2</v>
      </c>
      <c r="O1500" s="15">
        <v>67.772999999999996</v>
      </c>
      <c r="P1500" s="167">
        <v>4.2999999999999997E-2</v>
      </c>
      <c r="Q1500" s="96"/>
    </row>
    <row r="1501" spans="1:17" ht="14.25" customHeight="1" x14ac:dyDescent="0.35">
      <c r="A1501" s="1">
        <v>2020</v>
      </c>
      <c r="B1501" s="1" t="s">
        <v>23</v>
      </c>
      <c r="C1501" s="1">
        <v>8</v>
      </c>
      <c r="D1501" s="12">
        <v>113.15600000000001</v>
      </c>
      <c r="E1501" s="12">
        <f t="shared" si="30"/>
        <v>141.44499999999999</v>
      </c>
      <c r="F1501" s="13">
        <v>96.281000000000006</v>
      </c>
      <c r="G1501" s="161">
        <v>75.024000000000001</v>
      </c>
      <c r="H1501" s="22">
        <v>1716.1320000000001</v>
      </c>
      <c r="I1501" s="163">
        <v>6.9</v>
      </c>
      <c r="J1501" s="16">
        <v>9.5000000000000001E-2</v>
      </c>
      <c r="K1501" s="168">
        <v>8.2200000000000006</v>
      </c>
      <c r="L1501" s="165">
        <v>30.936</v>
      </c>
      <c r="M1501" s="13">
        <v>5.53</v>
      </c>
      <c r="N1501" s="166">
        <v>5.6000000000000001E-2</v>
      </c>
      <c r="O1501" s="15">
        <v>58.066000000000003</v>
      </c>
      <c r="P1501" s="167">
        <v>4.2000000000000003E-2</v>
      </c>
      <c r="Q1501" s="96"/>
    </row>
    <row r="1502" spans="1:17" ht="14.25" customHeight="1" x14ac:dyDescent="0.35">
      <c r="A1502" s="1">
        <v>2020</v>
      </c>
      <c r="B1502" s="1" t="s">
        <v>23</v>
      </c>
      <c r="C1502" s="1">
        <v>9</v>
      </c>
      <c r="D1502" s="12">
        <v>111.922</v>
      </c>
      <c r="E1502" s="12">
        <f t="shared" si="30"/>
        <v>139.9025</v>
      </c>
      <c r="F1502" s="13">
        <v>95.093999999999994</v>
      </c>
      <c r="G1502" s="161">
        <v>74.436000000000007</v>
      </c>
      <c r="H1502" s="162">
        <v>1625.0319999999999</v>
      </c>
      <c r="I1502" s="163">
        <v>6.9</v>
      </c>
      <c r="J1502" s="16">
        <v>8.7999999999999995E-2</v>
      </c>
      <c r="K1502" s="164">
        <v>7.9820000000000002</v>
      </c>
      <c r="L1502" s="165">
        <v>29.606999999999999</v>
      </c>
      <c r="M1502" s="13">
        <v>5.5350000000000001</v>
      </c>
      <c r="N1502" s="166">
        <v>5.5E-2</v>
      </c>
      <c r="O1502" s="15">
        <v>57.447000000000003</v>
      </c>
      <c r="P1502" s="167">
        <v>3.6999999999999998E-2</v>
      </c>
      <c r="Q1502" s="96"/>
    </row>
    <row r="1503" spans="1:17" ht="14.25" customHeight="1" x14ac:dyDescent="0.35">
      <c r="A1503" s="1">
        <v>2020</v>
      </c>
      <c r="B1503" s="1" t="s">
        <v>23</v>
      </c>
      <c r="C1503" s="1">
        <v>10</v>
      </c>
      <c r="D1503" s="12">
        <v>111.85899999999999</v>
      </c>
      <c r="E1503" s="12">
        <f t="shared" si="30"/>
        <v>139.82374999999999</v>
      </c>
      <c r="F1503" s="13">
        <v>94.843999999999994</v>
      </c>
      <c r="G1503" s="169">
        <v>74.61</v>
      </c>
      <c r="H1503" s="162">
        <v>1553.8130000000001</v>
      </c>
      <c r="I1503" s="163">
        <v>6.9</v>
      </c>
      <c r="J1503" s="16">
        <v>7.0000000000000007E-2</v>
      </c>
      <c r="K1503" s="170">
        <v>8.1080000000000005</v>
      </c>
      <c r="L1503" s="165">
        <v>28.585000000000001</v>
      </c>
      <c r="M1503" s="13">
        <v>5.5350000000000001</v>
      </c>
      <c r="N1503" s="171">
        <v>5.5E-2</v>
      </c>
      <c r="O1503" s="15">
        <v>57.26</v>
      </c>
      <c r="P1503" s="172">
        <v>3.6999999999999998E-2</v>
      </c>
      <c r="Q1503" s="96"/>
    </row>
    <row r="1504" spans="1:17" ht="14.25" customHeight="1" x14ac:dyDescent="0.35">
      <c r="A1504" s="1">
        <v>2020</v>
      </c>
      <c r="B1504" s="1" t="s">
        <v>23</v>
      </c>
      <c r="C1504" s="1">
        <v>11</v>
      </c>
      <c r="D1504" s="12">
        <v>111.65600000000001</v>
      </c>
      <c r="E1504" s="12">
        <f t="shared" si="30"/>
        <v>139.57</v>
      </c>
      <c r="F1504" s="13">
        <v>94.968999999999994</v>
      </c>
      <c r="G1504" s="169">
        <v>75.072000000000003</v>
      </c>
      <c r="H1504" s="162">
        <v>1670.5170000000001</v>
      </c>
      <c r="I1504" s="163">
        <v>6.9</v>
      </c>
      <c r="J1504" s="16">
        <v>8.3000000000000004E-2</v>
      </c>
      <c r="K1504" s="170">
        <v>8.5660000000000007</v>
      </c>
      <c r="L1504" s="165">
        <v>31.300999999999998</v>
      </c>
      <c r="M1504" s="13">
        <v>5.5339999999999998</v>
      </c>
      <c r="N1504" s="171">
        <v>5.2999999999999999E-2</v>
      </c>
      <c r="O1504" s="15">
        <v>57.564</v>
      </c>
      <c r="P1504" s="172">
        <v>4.4999999999999998E-2</v>
      </c>
      <c r="Q1504" s="96"/>
    </row>
    <row r="1505" spans="1:17" ht="14.25" customHeight="1" x14ac:dyDescent="0.35">
      <c r="A1505" s="1">
        <v>2020</v>
      </c>
      <c r="B1505" s="1" t="s">
        <v>23</v>
      </c>
      <c r="C1505" s="1">
        <v>12</v>
      </c>
      <c r="D1505" s="12">
        <v>112.46899999999999</v>
      </c>
      <c r="E1505" s="12">
        <f t="shared" si="30"/>
        <v>140.58625000000001</v>
      </c>
      <c r="F1505" s="13">
        <v>95.656000000000006</v>
      </c>
      <c r="G1505" s="169">
        <v>75.17</v>
      </c>
      <c r="H1505" s="162">
        <v>1746.116</v>
      </c>
      <c r="I1505" s="163">
        <v>6.9</v>
      </c>
      <c r="J1505" s="16">
        <v>8.7999999999999995E-2</v>
      </c>
      <c r="K1505" s="170">
        <v>8.5210000000000008</v>
      </c>
      <c r="L1505" s="165">
        <v>32.567999999999998</v>
      </c>
      <c r="M1505" s="13">
        <v>5.5270000000000001</v>
      </c>
      <c r="N1505" s="171">
        <v>5.3999999999999999E-2</v>
      </c>
      <c r="O1505" s="15">
        <v>58.530999999999999</v>
      </c>
      <c r="P1505" s="172">
        <v>4.3999999999999997E-2</v>
      </c>
      <c r="Q1505" s="96"/>
    </row>
    <row r="1506" spans="1:17" ht="14.25" customHeight="1" x14ac:dyDescent="0.35">
      <c r="A1506" s="1">
        <v>2020</v>
      </c>
      <c r="B1506" s="1" t="s">
        <v>23</v>
      </c>
      <c r="C1506" s="1">
        <v>13</v>
      </c>
      <c r="D1506" s="12">
        <v>115.797</v>
      </c>
      <c r="E1506" s="12">
        <f t="shared" si="30"/>
        <v>144.74625</v>
      </c>
      <c r="F1506" s="13">
        <v>98.531000000000006</v>
      </c>
      <c r="G1506" s="173">
        <v>75.233999999999995</v>
      </c>
      <c r="H1506" s="162">
        <v>1702.396</v>
      </c>
      <c r="I1506" s="163">
        <v>6.9</v>
      </c>
      <c r="J1506" s="16">
        <v>9.0999999999999998E-2</v>
      </c>
      <c r="K1506" s="174">
        <v>8.3810000000000002</v>
      </c>
      <c r="L1506" s="165">
        <v>31.677</v>
      </c>
      <c r="M1506" s="13">
        <v>5.5389999999999997</v>
      </c>
      <c r="N1506" s="166">
        <v>5.6000000000000001E-2</v>
      </c>
      <c r="O1506" s="15">
        <v>56.843000000000004</v>
      </c>
      <c r="P1506" s="175">
        <v>4.3999999999999997E-2</v>
      </c>
      <c r="Q1506" s="96"/>
    </row>
    <row r="1507" spans="1:17" ht="14.25" customHeight="1" x14ac:dyDescent="0.35">
      <c r="A1507" s="1">
        <v>2020</v>
      </c>
      <c r="B1507" s="1" t="s">
        <v>23</v>
      </c>
      <c r="C1507" s="1">
        <v>14</v>
      </c>
      <c r="D1507" s="12">
        <v>114.01600000000001</v>
      </c>
      <c r="E1507" s="32">
        <v>141.22999999999999</v>
      </c>
      <c r="F1507" s="13">
        <v>97</v>
      </c>
      <c r="G1507" s="161">
        <v>75.146000000000001</v>
      </c>
      <c r="H1507" s="162">
        <v>1702.662</v>
      </c>
      <c r="I1507" s="163">
        <v>6.9</v>
      </c>
      <c r="J1507" s="16">
        <v>9.2999999999999999E-2</v>
      </c>
      <c r="K1507" s="174">
        <v>8.4019999999999992</v>
      </c>
      <c r="L1507" s="176">
        <v>30.995999999999999</v>
      </c>
      <c r="M1507" s="13">
        <v>5.5119999999999996</v>
      </c>
      <c r="N1507" s="166">
        <v>4.9000000000000002E-2</v>
      </c>
      <c r="O1507" s="15">
        <v>60.533999999999999</v>
      </c>
      <c r="P1507" s="175">
        <v>4.1000000000000002E-2</v>
      </c>
      <c r="Q1507" s="96"/>
    </row>
    <row r="1508" spans="1:17" ht="14.25" customHeight="1" x14ac:dyDescent="0.35">
      <c r="A1508" s="1">
        <v>2020</v>
      </c>
      <c r="B1508" s="1" t="s">
        <v>23</v>
      </c>
      <c r="C1508" s="1">
        <v>15</v>
      </c>
      <c r="D1508" s="12">
        <v>114.625</v>
      </c>
      <c r="E1508" s="12">
        <f t="shared" ref="E1508:E1539" si="31">D1508*1.25</f>
        <v>143.28125</v>
      </c>
      <c r="F1508" s="13">
        <v>97.375</v>
      </c>
      <c r="G1508" s="161">
        <v>75.180999999999997</v>
      </c>
      <c r="H1508" s="162">
        <v>1705.048</v>
      </c>
      <c r="I1508" s="163">
        <v>6.9</v>
      </c>
      <c r="J1508" s="16">
        <v>0.1</v>
      </c>
      <c r="K1508" s="170">
        <v>8.4309999999999992</v>
      </c>
      <c r="L1508" s="165">
        <v>31.475999999999999</v>
      </c>
      <c r="M1508" s="13">
        <v>5.49</v>
      </c>
      <c r="N1508" s="166">
        <v>4.9000000000000002E-2</v>
      </c>
      <c r="O1508" s="15">
        <v>63.877000000000002</v>
      </c>
      <c r="P1508" s="172">
        <v>4.1000000000000002E-2</v>
      </c>
      <c r="Q1508" s="96"/>
    </row>
    <row r="1509" spans="1:17" ht="14.25" customHeight="1" x14ac:dyDescent="0.35">
      <c r="A1509" s="1">
        <v>2020</v>
      </c>
      <c r="B1509" s="1" t="s">
        <v>23</v>
      </c>
      <c r="C1509" s="1">
        <v>16</v>
      </c>
      <c r="D1509" s="12">
        <v>113.10899999999999</v>
      </c>
      <c r="E1509" s="12">
        <f t="shared" si="31"/>
        <v>141.38624999999999</v>
      </c>
      <c r="F1509" s="13">
        <v>96.156000000000006</v>
      </c>
      <c r="G1509" s="161">
        <v>75.253</v>
      </c>
      <c r="H1509" s="162">
        <v>1633.9380000000001</v>
      </c>
      <c r="I1509" s="163">
        <v>6.9</v>
      </c>
      <c r="J1509" s="16">
        <v>0.10199999999999999</v>
      </c>
      <c r="K1509" s="174">
        <v>8.3529999999999998</v>
      </c>
      <c r="L1509" s="162">
        <v>30.207999999999998</v>
      </c>
      <c r="M1509" s="163">
        <v>5.5</v>
      </c>
      <c r="N1509" s="166">
        <v>4.2000000000000003E-2</v>
      </c>
      <c r="O1509" s="15">
        <v>62.253</v>
      </c>
      <c r="P1509" s="172">
        <v>3.7999999999999999E-2</v>
      </c>
      <c r="Q1509" s="96"/>
    </row>
    <row r="1510" spans="1:17" ht="14.25" customHeight="1" x14ac:dyDescent="0.35">
      <c r="A1510" s="1">
        <v>2020</v>
      </c>
      <c r="B1510" s="1" t="s">
        <v>23</v>
      </c>
      <c r="C1510" s="1">
        <v>17</v>
      </c>
      <c r="D1510" s="12">
        <v>111.813</v>
      </c>
      <c r="E1510" s="12">
        <f t="shared" si="31"/>
        <v>139.76625000000001</v>
      </c>
      <c r="F1510" s="13">
        <v>94.968999999999994</v>
      </c>
      <c r="G1510" s="161">
        <v>75.227000000000004</v>
      </c>
      <c r="H1510" s="162">
        <v>1602.404</v>
      </c>
      <c r="I1510" s="163">
        <v>6.9</v>
      </c>
      <c r="J1510" s="16">
        <v>9.8000000000000004E-2</v>
      </c>
      <c r="K1510" s="164">
        <v>8.3070000000000004</v>
      </c>
      <c r="L1510" s="165">
        <v>29.085000000000001</v>
      </c>
      <c r="M1510" s="13">
        <v>5.4980000000000002</v>
      </c>
      <c r="N1510" s="166">
        <v>4.7E-2</v>
      </c>
      <c r="O1510" s="15">
        <v>62.427999999999997</v>
      </c>
      <c r="P1510" s="167">
        <v>3.6999999999999998E-2</v>
      </c>
      <c r="Q1510" s="96"/>
    </row>
    <row r="1511" spans="1:17" ht="14.25" customHeight="1" x14ac:dyDescent="0.35">
      <c r="A1511" s="1">
        <v>2020</v>
      </c>
      <c r="B1511" s="1" t="s">
        <v>23</v>
      </c>
      <c r="C1511" s="1">
        <v>18</v>
      </c>
      <c r="D1511" s="12">
        <v>111.73399999999999</v>
      </c>
      <c r="E1511" s="12">
        <f t="shared" si="31"/>
        <v>139.66749999999999</v>
      </c>
      <c r="F1511" s="13">
        <v>94.906000000000006</v>
      </c>
      <c r="G1511" s="161">
        <v>75.567999999999998</v>
      </c>
      <c r="H1511" s="162">
        <v>1686.2190000000001</v>
      </c>
      <c r="I1511" s="163">
        <v>6.9</v>
      </c>
      <c r="J1511" s="16">
        <v>9.8000000000000004E-2</v>
      </c>
      <c r="K1511" s="164">
        <v>9.0530000000000008</v>
      </c>
      <c r="L1511" s="162">
        <v>29.635000000000002</v>
      </c>
      <c r="M1511" s="163">
        <v>5.484</v>
      </c>
      <c r="N1511" s="166">
        <v>3.7999999999999999E-2</v>
      </c>
      <c r="O1511" s="15">
        <v>64.447000000000003</v>
      </c>
      <c r="P1511" s="167">
        <v>4.9000000000000002E-2</v>
      </c>
      <c r="Q1511" s="96"/>
    </row>
    <row r="1512" spans="1:17" ht="14.25" customHeight="1" x14ac:dyDescent="0.35">
      <c r="A1512" s="1">
        <v>2020</v>
      </c>
      <c r="B1512" s="1" t="s">
        <v>23</v>
      </c>
      <c r="C1512" s="1">
        <v>19</v>
      </c>
      <c r="D1512" s="12">
        <v>110.438</v>
      </c>
      <c r="E1512" s="12">
        <f t="shared" si="31"/>
        <v>138.04750000000001</v>
      </c>
      <c r="F1512" s="13">
        <v>93.938000000000002</v>
      </c>
      <c r="G1512" s="161">
        <v>75.844999999999999</v>
      </c>
      <c r="H1512" s="162">
        <v>1723.1569999999999</v>
      </c>
      <c r="I1512" s="163">
        <v>6.9</v>
      </c>
      <c r="J1512" s="16">
        <v>8.8999999999999996E-2</v>
      </c>
      <c r="K1512" s="164">
        <v>8.5239999999999991</v>
      </c>
      <c r="L1512" s="165">
        <v>31.120999999999999</v>
      </c>
      <c r="M1512" s="13">
        <v>5.4880000000000004</v>
      </c>
      <c r="N1512" s="166">
        <v>3.5000000000000003E-2</v>
      </c>
      <c r="O1512" s="15">
        <v>63.954999999999998</v>
      </c>
      <c r="P1512" s="167">
        <v>4.3999999999999997E-2</v>
      </c>
      <c r="Q1512" s="96"/>
    </row>
    <row r="1513" spans="1:17" ht="14.25" customHeight="1" x14ac:dyDescent="0.35">
      <c r="A1513" s="1">
        <v>2020</v>
      </c>
      <c r="B1513" s="1" t="s">
        <v>23</v>
      </c>
      <c r="C1513" s="1">
        <v>20</v>
      </c>
      <c r="D1513" s="12">
        <v>111.53100000000001</v>
      </c>
      <c r="E1513" s="12">
        <f t="shared" si="31"/>
        <v>139.41374999999999</v>
      </c>
      <c r="F1513" s="13">
        <v>94.906000000000006</v>
      </c>
      <c r="G1513" s="161">
        <v>76.087999999999994</v>
      </c>
      <c r="H1513" s="162">
        <v>1701.922</v>
      </c>
      <c r="I1513" s="163">
        <v>6.9</v>
      </c>
      <c r="J1513" s="16">
        <v>8.8999999999999996E-2</v>
      </c>
      <c r="K1513" s="164">
        <v>8.56</v>
      </c>
      <c r="L1513" s="162">
        <v>30.91</v>
      </c>
      <c r="M1513" s="163">
        <v>5.4889999999999999</v>
      </c>
      <c r="N1513" s="166">
        <v>3.4000000000000002E-2</v>
      </c>
      <c r="O1513" s="15">
        <v>63.972999999999999</v>
      </c>
      <c r="P1513" s="167">
        <v>4.4999999999999998E-2</v>
      </c>
      <c r="Q1513" s="96"/>
    </row>
    <row r="1514" spans="1:17" ht="14.25" customHeight="1" x14ac:dyDescent="0.35">
      <c r="A1514" s="1">
        <v>2020</v>
      </c>
      <c r="B1514" s="1" t="s">
        <v>23</v>
      </c>
      <c r="C1514" s="1">
        <v>21</v>
      </c>
      <c r="D1514" s="12">
        <v>112.90600000000001</v>
      </c>
      <c r="E1514" s="12">
        <f t="shared" si="31"/>
        <v>141.13249999999999</v>
      </c>
      <c r="F1514" s="13">
        <v>95.938000000000002</v>
      </c>
      <c r="G1514" s="161">
        <v>75.989000000000004</v>
      </c>
      <c r="H1514" s="162">
        <v>1719.691</v>
      </c>
      <c r="I1514" s="163">
        <v>6.9</v>
      </c>
      <c r="J1514" s="16">
        <v>0.09</v>
      </c>
      <c r="K1514" s="164">
        <v>8.5860000000000003</v>
      </c>
      <c r="L1514" s="165">
        <v>31.878</v>
      </c>
      <c r="M1514" s="13">
        <v>5.4889999999999999</v>
      </c>
      <c r="N1514" s="166">
        <v>5.1999999999999998E-2</v>
      </c>
      <c r="O1514" s="15">
        <v>63.997</v>
      </c>
      <c r="P1514" s="167">
        <v>4.4999999999999998E-2</v>
      </c>
      <c r="Q1514" s="96"/>
    </row>
    <row r="1515" spans="1:17" ht="14.25" customHeight="1" x14ac:dyDescent="0.35">
      <c r="A1515" s="1">
        <v>2020</v>
      </c>
      <c r="B1515" s="1" t="s">
        <v>23</v>
      </c>
      <c r="C1515" s="1">
        <v>22</v>
      </c>
      <c r="D1515" s="12">
        <v>113.40600000000001</v>
      </c>
      <c r="E1515" s="12">
        <f t="shared" si="31"/>
        <v>141.75749999999999</v>
      </c>
      <c r="F1515" s="13">
        <v>96.531000000000006</v>
      </c>
      <c r="G1515" s="161">
        <v>75.816999999999993</v>
      </c>
      <c r="H1515" s="162">
        <v>1693.4770000000001</v>
      </c>
      <c r="I1515" s="163">
        <v>6.9</v>
      </c>
      <c r="J1515" s="16">
        <v>8.5999999999999993E-2</v>
      </c>
      <c r="K1515" s="164">
        <v>8.3160000000000007</v>
      </c>
      <c r="L1515" s="162">
        <v>31.173999999999999</v>
      </c>
      <c r="M1515" s="163">
        <v>5.48</v>
      </c>
      <c r="N1515" s="166">
        <v>6.0999999999999999E-2</v>
      </c>
      <c r="O1515" s="15">
        <v>65.087999999999994</v>
      </c>
      <c r="P1515" s="167">
        <v>4.2999999999999997E-2</v>
      </c>
      <c r="Q1515" s="96"/>
    </row>
    <row r="1516" spans="1:17" ht="14.25" customHeight="1" x14ac:dyDescent="0.35">
      <c r="A1516" s="1">
        <v>2020</v>
      </c>
      <c r="B1516" s="1" t="s">
        <v>23</v>
      </c>
      <c r="C1516" s="1">
        <v>23</v>
      </c>
      <c r="D1516" s="12">
        <v>111.672</v>
      </c>
      <c r="E1516" s="12">
        <f t="shared" si="31"/>
        <v>139.59</v>
      </c>
      <c r="F1516" s="13">
        <v>94.938000000000002</v>
      </c>
      <c r="G1516" s="161">
        <v>75.558000000000007</v>
      </c>
      <c r="H1516" s="162">
        <v>1606.05</v>
      </c>
      <c r="I1516" s="163">
        <v>6.9</v>
      </c>
      <c r="J1516" s="16">
        <v>0.08</v>
      </c>
      <c r="K1516" s="164">
        <v>8.0869999999999997</v>
      </c>
      <c r="L1516" s="165">
        <v>30.010999999999999</v>
      </c>
      <c r="M1516" s="13">
        <v>5.4829999999999997</v>
      </c>
      <c r="N1516" s="166">
        <v>6.2E-2</v>
      </c>
      <c r="O1516" s="15">
        <v>64.811999999999998</v>
      </c>
      <c r="P1516" s="167">
        <v>3.7999999999999999E-2</v>
      </c>
      <c r="Q1516" s="96"/>
    </row>
    <row r="1517" spans="1:17" ht="14.25" customHeight="1" x14ac:dyDescent="0.35">
      <c r="A1517" s="1">
        <v>2020</v>
      </c>
      <c r="B1517" s="1" t="s">
        <v>23</v>
      </c>
      <c r="C1517" s="1">
        <v>24</v>
      </c>
      <c r="D1517" s="12">
        <v>111.65600000000001</v>
      </c>
      <c r="E1517" s="12">
        <f t="shared" si="31"/>
        <v>139.57</v>
      </c>
      <c r="F1517" s="13">
        <v>94.968999999999994</v>
      </c>
      <c r="G1517" s="161">
        <v>75.721000000000004</v>
      </c>
      <c r="H1517" s="162">
        <v>1570.3320000000001</v>
      </c>
      <c r="I1517" s="163">
        <v>6.9</v>
      </c>
      <c r="J1517" s="16">
        <v>8.5000000000000006E-2</v>
      </c>
      <c r="K1517" s="164">
        <v>8.1419999999999995</v>
      </c>
      <c r="L1517" s="162">
        <v>29.381</v>
      </c>
      <c r="M1517" s="163">
        <v>5.4779999999999998</v>
      </c>
      <c r="N1517" s="166">
        <v>5.8999999999999997E-2</v>
      </c>
      <c r="O1517" s="15">
        <v>65.405000000000001</v>
      </c>
      <c r="P1517" s="167">
        <v>3.7999999999999999E-2</v>
      </c>
      <c r="Q1517" s="96"/>
    </row>
    <row r="1518" spans="1:17" ht="14.25" customHeight="1" x14ac:dyDescent="0.35">
      <c r="A1518" s="1">
        <v>2020</v>
      </c>
      <c r="B1518" s="1" t="s">
        <v>23</v>
      </c>
      <c r="C1518" s="1">
        <v>25</v>
      </c>
      <c r="D1518" s="12">
        <v>109.313</v>
      </c>
      <c r="E1518" s="12">
        <f t="shared" si="31"/>
        <v>136.64125000000001</v>
      </c>
      <c r="F1518" s="13">
        <v>92.813000000000002</v>
      </c>
      <c r="G1518" s="161">
        <v>76.009</v>
      </c>
      <c r="H1518" s="162">
        <v>1664.4010000000001</v>
      </c>
      <c r="I1518" s="163">
        <v>6.9</v>
      </c>
      <c r="J1518" s="16">
        <v>0.09</v>
      </c>
      <c r="K1518" s="164">
        <v>8.423</v>
      </c>
      <c r="L1518" s="165">
        <v>31.48</v>
      </c>
      <c r="M1518" s="13">
        <v>5.492</v>
      </c>
      <c r="N1518" s="166">
        <v>6.0999999999999999E-2</v>
      </c>
      <c r="O1518" s="15">
        <v>63.267000000000003</v>
      </c>
      <c r="P1518" s="167">
        <v>4.4999999999999998E-2</v>
      </c>
      <c r="Q1518" s="96"/>
    </row>
    <row r="1519" spans="1:17" ht="14.25" customHeight="1" x14ac:dyDescent="0.35">
      <c r="A1519" s="1">
        <v>2020</v>
      </c>
      <c r="B1519" s="1" t="s">
        <v>23</v>
      </c>
      <c r="C1519" s="1">
        <v>26</v>
      </c>
      <c r="D1519" s="12">
        <v>107.453</v>
      </c>
      <c r="E1519" s="12">
        <f t="shared" si="31"/>
        <v>134.31625</v>
      </c>
      <c r="F1519" s="13">
        <v>91.406000000000006</v>
      </c>
      <c r="G1519" s="161">
        <v>76.462000000000003</v>
      </c>
      <c r="H1519" s="162">
        <v>1740.1669999999999</v>
      </c>
      <c r="I1519" s="163">
        <v>6.9</v>
      </c>
      <c r="J1519" s="16">
        <v>0.123</v>
      </c>
      <c r="K1519" s="164">
        <v>8.6940000000000008</v>
      </c>
      <c r="L1519" s="162">
        <v>31.94</v>
      </c>
      <c r="M1519" s="163">
        <v>5.4859999999999998</v>
      </c>
      <c r="N1519" s="166">
        <v>6.0999999999999999E-2</v>
      </c>
      <c r="O1519" s="15">
        <v>64.313999999999993</v>
      </c>
      <c r="P1519" s="167">
        <v>4.7E-2</v>
      </c>
      <c r="Q1519" s="96"/>
    </row>
    <row r="1520" spans="1:17" ht="14.25" customHeight="1" x14ac:dyDescent="0.35">
      <c r="A1520" s="1">
        <v>2020</v>
      </c>
      <c r="B1520" s="1" t="s">
        <v>23</v>
      </c>
      <c r="C1520" s="1">
        <v>27</v>
      </c>
      <c r="D1520" s="12">
        <v>106.71899999999999</v>
      </c>
      <c r="E1520" s="12">
        <f t="shared" si="31"/>
        <v>133.39875000000001</v>
      </c>
      <c r="F1520" s="13">
        <v>90.625</v>
      </c>
      <c r="G1520" s="161">
        <v>76.486999999999995</v>
      </c>
      <c r="H1520" s="162">
        <v>1744.11</v>
      </c>
      <c r="I1520" s="163">
        <v>6.9</v>
      </c>
      <c r="J1520" s="16">
        <v>9.2999999999999999E-2</v>
      </c>
      <c r="K1520" s="164">
        <v>8.4280000000000008</v>
      </c>
      <c r="L1520" s="165">
        <v>32.024000000000001</v>
      </c>
      <c r="M1520" s="13">
        <v>5.4909999999999997</v>
      </c>
      <c r="N1520" s="166">
        <v>0.06</v>
      </c>
      <c r="O1520" s="15">
        <v>63.585999999999999</v>
      </c>
      <c r="P1520" s="167">
        <v>4.4999999999999998E-2</v>
      </c>
      <c r="Q1520" s="96"/>
    </row>
    <row r="1521" spans="1:17" ht="14.25" customHeight="1" x14ac:dyDescent="0.35">
      <c r="A1521" s="1">
        <v>2020</v>
      </c>
      <c r="B1521" s="1" t="s">
        <v>23</v>
      </c>
      <c r="C1521" s="1">
        <v>28</v>
      </c>
      <c r="D1521" s="42">
        <v>109.188</v>
      </c>
      <c r="E1521" s="12">
        <f t="shared" si="31"/>
        <v>136.48500000000001</v>
      </c>
      <c r="F1521" s="43">
        <v>92.813000000000002</v>
      </c>
      <c r="G1521" s="161">
        <v>76.917000000000002</v>
      </c>
      <c r="H1521" s="162">
        <v>1764.9659999999999</v>
      </c>
      <c r="I1521" s="163">
        <v>6.9</v>
      </c>
      <c r="J1521" s="16">
        <v>0.115</v>
      </c>
      <c r="K1521" s="164">
        <v>8.1950000000000003</v>
      </c>
      <c r="L1521" s="162">
        <v>32.972999999999999</v>
      </c>
      <c r="M1521" s="163">
        <v>5.4889999999999999</v>
      </c>
      <c r="N1521" s="166">
        <v>6.3E-2</v>
      </c>
      <c r="O1521" s="15">
        <v>63.82</v>
      </c>
      <c r="P1521" s="167">
        <v>4.5999999999999999E-2</v>
      </c>
      <c r="Q1521" s="96"/>
    </row>
    <row r="1522" spans="1:17" ht="14.25" customHeight="1" x14ac:dyDescent="0.35">
      <c r="A1522" s="1">
        <v>2021</v>
      </c>
      <c r="B1522" s="1" t="s">
        <v>23</v>
      </c>
      <c r="C1522" s="1">
        <v>29</v>
      </c>
      <c r="D1522" s="85">
        <v>108.922</v>
      </c>
      <c r="E1522" s="12">
        <f t="shared" si="31"/>
        <v>136.1525</v>
      </c>
      <c r="F1522" s="86">
        <v>92.593999999999994</v>
      </c>
      <c r="G1522" s="161">
        <v>76.378</v>
      </c>
      <c r="H1522" s="177">
        <v>1752</v>
      </c>
      <c r="I1522" s="163">
        <v>6.9</v>
      </c>
      <c r="J1522" s="16">
        <v>0.14399999999999999</v>
      </c>
      <c r="K1522" s="164">
        <v>8.3529999999999998</v>
      </c>
      <c r="L1522" s="177">
        <v>33</v>
      </c>
      <c r="M1522" s="163">
        <v>5.4859999999999998</v>
      </c>
      <c r="N1522" s="166">
        <v>6.2E-2</v>
      </c>
      <c r="O1522" s="15">
        <v>64.233999999999995</v>
      </c>
      <c r="P1522" s="167">
        <v>4.5999999999999999E-2</v>
      </c>
      <c r="Q1522" s="96"/>
    </row>
    <row r="1523" spans="1:17" ht="14.25" customHeight="1" x14ac:dyDescent="0.35">
      <c r="A1523" s="1">
        <v>2020</v>
      </c>
      <c r="B1523" s="1" t="s">
        <v>25</v>
      </c>
      <c r="C1523" s="1">
        <v>1</v>
      </c>
      <c r="D1523" s="12">
        <v>109.59399999999999</v>
      </c>
      <c r="E1523" s="12">
        <f t="shared" si="31"/>
        <v>136.99250000000001</v>
      </c>
      <c r="F1523" s="13">
        <v>93.168000000000006</v>
      </c>
      <c r="G1523" s="156">
        <v>75.542000000000002</v>
      </c>
      <c r="H1523" s="157">
        <v>1714.0509999999999</v>
      </c>
      <c r="I1523" s="44">
        <v>6.9</v>
      </c>
      <c r="J1523" s="45">
        <v>0.14000000000000001</v>
      </c>
      <c r="K1523" s="158">
        <v>8.2520000000000007</v>
      </c>
      <c r="L1523" s="157">
        <v>31.065000000000001</v>
      </c>
      <c r="M1523" s="45">
        <v>5.4790000000000001</v>
      </c>
      <c r="N1523" s="159">
        <v>6.0999999999999999E-2</v>
      </c>
      <c r="O1523" s="15">
        <v>65.355000000000004</v>
      </c>
      <c r="P1523" s="160">
        <v>0.04</v>
      </c>
      <c r="Q1523" s="96"/>
    </row>
    <row r="1524" spans="1:17" ht="14.25" customHeight="1" x14ac:dyDescent="0.35">
      <c r="A1524" s="1">
        <v>2020</v>
      </c>
      <c r="B1524" s="1" t="s">
        <v>25</v>
      </c>
      <c r="C1524" s="1">
        <v>2</v>
      </c>
      <c r="D1524" s="12">
        <v>108.26600000000001</v>
      </c>
      <c r="E1524" s="12">
        <f t="shared" si="31"/>
        <v>135.33250000000001</v>
      </c>
      <c r="F1524" s="13">
        <v>92.125</v>
      </c>
      <c r="G1524" s="161">
        <v>75.536000000000001</v>
      </c>
      <c r="H1524" s="162">
        <v>1653.6559999999999</v>
      </c>
      <c r="I1524" s="163">
        <v>6.9</v>
      </c>
      <c r="J1524" s="16">
        <v>0.11799999999999999</v>
      </c>
      <c r="K1524" s="164">
        <v>8.1829999999999998</v>
      </c>
      <c r="L1524" s="165">
        <v>28.861000000000001</v>
      </c>
      <c r="M1524" s="13">
        <v>5.4880000000000004</v>
      </c>
      <c r="N1524" s="166">
        <v>0.06</v>
      </c>
      <c r="O1524" s="15">
        <v>64.025999999999996</v>
      </c>
      <c r="P1524" s="167">
        <v>0.04</v>
      </c>
      <c r="Q1524" s="96"/>
    </row>
    <row r="1525" spans="1:17" ht="14.25" customHeight="1" x14ac:dyDescent="0.35">
      <c r="A1525" s="1">
        <v>2020</v>
      </c>
      <c r="B1525" s="1" t="s">
        <v>25</v>
      </c>
      <c r="C1525" s="1">
        <v>3</v>
      </c>
      <c r="D1525" s="12">
        <v>109.938</v>
      </c>
      <c r="E1525" s="12">
        <f t="shared" si="31"/>
        <v>137.42250000000001</v>
      </c>
      <c r="F1525" s="13">
        <v>93.406000000000006</v>
      </c>
      <c r="G1525" s="161">
        <v>76.006</v>
      </c>
      <c r="H1525" s="162">
        <v>1756.874</v>
      </c>
      <c r="I1525" s="163">
        <v>6.9009999999999998</v>
      </c>
      <c r="J1525" s="16">
        <v>0.128</v>
      </c>
      <c r="K1525" s="164">
        <v>8.4239999999999995</v>
      </c>
      <c r="L1525" s="165">
        <v>30.655000000000001</v>
      </c>
      <c r="M1525" s="13">
        <v>5.4850000000000003</v>
      </c>
      <c r="N1525" s="166">
        <v>5.6000000000000001E-2</v>
      </c>
      <c r="O1525" s="15">
        <v>64.459999999999994</v>
      </c>
      <c r="P1525" s="167">
        <v>4.2999999999999997E-2</v>
      </c>
      <c r="Q1525" s="96"/>
    </row>
    <row r="1526" spans="1:17" ht="14.25" customHeight="1" x14ac:dyDescent="0.35">
      <c r="A1526" s="1">
        <v>2020</v>
      </c>
      <c r="B1526" s="1" t="s">
        <v>25</v>
      </c>
      <c r="C1526" s="1">
        <v>4</v>
      </c>
      <c r="D1526" s="12">
        <v>108.688</v>
      </c>
      <c r="E1526" s="12">
        <f t="shared" si="31"/>
        <v>135.86000000000001</v>
      </c>
      <c r="F1526" s="13">
        <v>92.438000000000002</v>
      </c>
      <c r="G1526" s="161">
        <v>76.385999999999996</v>
      </c>
      <c r="H1526" s="162">
        <v>1777.28</v>
      </c>
      <c r="I1526" s="163">
        <v>6.9</v>
      </c>
      <c r="J1526" s="16">
        <v>0.13700000000000001</v>
      </c>
      <c r="K1526" s="164">
        <v>8.4740000000000002</v>
      </c>
      <c r="L1526" s="165">
        <v>32.421999999999997</v>
      </c>
      <c r="M1526" s="13">
        <v>5.4870000000000001</v>
      </c>
      <c r="N1526" s="166">
        <v>5.6000000000000001E-2</v>
      </c>
      <c r="O1526" s="15">
        <v>64.153000000000006</v>
      </c>
      <c r="P1526" s="167">
        <v>4.4999999999999998E-2</v>
      </c>
      <c r="Q1526" s="96"/>
    </row>
    <row r="1527" spans="1:17" ht="14.25" customHeight="1" x14ac:dyDescent="0.35">
      <c r="A1527" s="1">
        <v>2020</v>
      </c>
      <c r="B1527" s="1" t="s">
        <v>25</v>
      </c>
      <c r="C1527" s="1">
        <v>5</v>
      </c>
      <c r="D1527" s="12">
        <v>101.125</v>
      </c>
      <c r="E1527" s="12">
        <f t="shared" si="31"/>
        <v>126.40625</v>
      </c>
      <c r="F1527" s="13">
        <v>86.063000000000002</v>
      </c>
      <c r="G1527" s="178">
        <v>76.603999999999999</v>
      </c>
      <c r="H1527" s="179">
        <v>1804.6120000000001</v>
      </c>
      <c r="I1527" s="180">
        <v>6.9</v>
      </c>
      <c r="J1527" s="180">
        <v>0.14199999999999999</v>
      </c>
      <c r="K1527" s="181">
        <v>8.5630000000000006</v>
      </c>
      <c r="L1527" s="182">
        <v>33.549999999999997</v>
      </c>
      <c r="M1527" s="180">
        <v>5.4909999999999997</v>
      </c>
      <c r="N1527" s="180">
        <v>5.7000000000000002E-2</v>
      </c>
      <c r="O1527" s="179">
        <v>63.616999999999997</v>
      </c>
      <c r="P1527" s="183">
        <v>4.3999999999999997E-2</v>
      </c>
      <c r="Q1527" s="96"/>
    </row>
    <row r="1528" spans="1:17" ht="14.25" customHeight="1" x14ac:dyDescent="0.35">
      <c r="A1528" s="1">
        <v>2020</v>
      </c>
      <c r="B1528" s="1" t="s">
        <v>25</v>
      </c>
      <c r="C1528" s="1">
        <v>6</v>
      </c>
      <c r="D1528" s="12">
        <v>108.26600000000001</v>
      </c>
      <c r="E1528" s="12">
        <f t="shared" si="31"/>
        <v>135.33250000000001</v>
      </c>
      <c r="F1528" s="13">
        <v>91.938000000000002</v>
      </c>
      <c r="G1528" s="169">
        <v>76.582999999999998</v>
      </c>
      <c r="H1528" s="184">
        <v>1844.31</v>
      </c>
      <c r="I1528" s="185">
        <v>6.9</v>
      </c>
      <c r="J1528" s="180">
        <v>0.113</v>
      </c>
      <c r="K1528" s="170">
        <v>8.8699999999999992</v>
      </c>
      <c r="L1528" s="186">
        <v>32.948</v>
      </c>
      <c r="M1528" s="28">
        <v>5.4690000000000003</v>
      </c>
      <c r="N1528" s="171">
        <v>5.2999999999999999E-2</v>
      </c>
      <c r="O1528" s="179">
        <v>66.870999999999995</v>
      </c>
      <c r="P1528" s="172">
        <v>4.2999999999999997E-2</v>
      </c>
      <c r="Q1528" s="96"/>
    </row>
    <row r="1529" spans="1:17" ht="14.25" customHeight="1" x14ac:dyDescent="0.35">
      <c r="A1529" s="1">
        <v>2020</v>
      </c>
      <c r="B1529" s="1" t="s">
        <v>25</v>
      </c>
      <c r="C1529" s="1">
        <v>7</v>
      </c>
      <c r="D1529" s="12">
        <v>109.21899999999999</v>
      </c>
      <c r="E1529" s="12">
        <f t="shared" si="31"/>
        <v>136.52375000000001</v>
      </c>
      <c r="F1529" s="13">
        <v>92.968999999999994</v>
      </c>
      <c r="G1529" s="169">
        <v>76.344999999999999</v>
      </c>
      <c r="H1529" s="184">
        <v>1813.1510000000001</v>
      </c>
      <c r="I1529" s="185">
        <v>6.9</v>
      </c>
      <c r="J1529" s="180">
        <v>9.8000000000000004E-2</v>
      </c>
      <c r="K1529" s="170">
        <v>8.8439999999999994</v>
      </c>
      <c r="L1529" s="186">
        <v>32.965000000000003</v>
      </c>
      <c r="M1529" s="28">
        <v>5.4880000000000004</v>
      </c>
      <c r="N1529" s="171">
        <v>5.6000000000000001E-2</v>
      </c>
      <c r="O1529" s="179">
        <v>64.006</v>
      </c>
      <c r="P1529" s="172">
        <v>4.2999999999999997E-2</v>
      </c>
      <c r="Q1529" s="96"/>
    </row>
    <row r="1530" spans="1:17" ht="14.25" customHeight="1" x14ac:dyDescent="0.35">
      <c r="A1530" s="1">
        <v>2020</v>
      </c>
      <c r="B1530" s="1" t="s">
        <v>25</v>
      </c>
      <c r="C1530" s="1">
        <v>8</v>
      </c>
      <c r="D1530" s="12">
        <v>103.10899999999999</v>
      </c>
      <c r="E1530" s="12">
        <f t="shared" si="31"/>
        <v>128.88624999999999</v>
      </c>
      <c r="F1530" s="13">
        <v>87.718999999999994</v>
      </c>
      <c r="G1530" s="161">
        <v>76.268000000000001</v>
      </c>
      <c r="H1530" s="22">
        <v>1706.617</v>
      </c>
      <c r="I1530" s="163">
        <v>6.9</v>
      </c>
      <c r="J1530" s="16">
        <v>8.8999999999999996E-2</v>
      </c>
      <c r="K1530" s="168">
        <v>8.76</v>
      </c>
      <c r="L1530" s="165">
        <v>30.207999999999998</v>
      </c>
      <c r="M1530" s="13">
        <v>5.4889999999999999</v>
      </c>
      <c r="N1530" s="166">
        <v>7.0000000000000007E-2</v>
      </c>
      <c r="O1530" s="15">
        <v>63.898000000000003</v>
      </c>
      <c r="P1530" s="167">
        <v>4.5999999999999999E-2</v>
      </c>
      <c r="Q1530" s="96"/>
    </row>
    <row r="1531" spans="1:17" ht="14.25" customHeight="1" x14ac:dyDescent="0.35">
      <c r="A1531" s="1">
        <v>2020</v>
      </c>
      <c r="B1531" s="1" t="s">
        <v>25</v>
      </c>
      <c r="C1531" s="1">
        <v>9</v>
      </c>
      <c r="D1531" s="12">
        <v>109.10899999999999</v>
      </c>
      <c r="E1531" s="12">
        <f t="shared" si="31"/>
        <v>136.38624999999999</v>
      </c>
      <c r="F1531" s="13">
        <v>92.781000000000006</v>
      </c>
      <c r="G1531" s="161">
        <v>76.222999999999999</v>
      </c>
      <c r="H1531" s="162">
        <v>1628.5309999999999</v>
      </c>
      <c r="I1531" s="163">
        <v>6.9</v>
      </c>
      <c r="J1531" s="16">
        <v>8.2000000000000003E-2</v>
      </c>
      <c r="K1531" s="164">
        <v>9.0429999999999993</v>
      </c>
      <c r="L1531" s="165">
        <v>27.861999999999998</v>
      </c>
      <c r="M1531" s="13">
        <v>5.492</v>
      </c>
      <c r="N1531" s="166">
        <v>6.8000000000000005E-2</v>
      </c>
      <c r="O1531" s="15">
        <v>63.429000000000002</v>
      </c>
      <c r="P1531" s="167">
        <v>4.3999999999999997E-2</v>
      </c>
      <c r="Q1531" s="96"/>
    </row>
    <row r="1532" spans="1:17" ht="14.25" customHeight="1" x14ac:dyDescent="0.35">
      <c r="A1532" s="1">
        <v>2020</v>
      </c>
      <c r="B1532" s="1" t="s">
        <v>25</v>
      </c>
      <c r="C1532" s="1">
        <v>10</v>
      </c>
      <c r="D1532" s="12">
        <v>103.828</v>
      </c>
      <c r="E1532" s="12">
        <f t="shared" si="31"/>
        <v>129.785</v>
      </c>
      <c r="F1532" s="13">
        <v>88.125</v>
      </c>
      <c r="G1532" s="169">
        <v>76.293999999999997</v>
      </c>
      <c r="H1532" s="162">
        <v>1747.211</v>
      </c>
      <c r="I1532" s="163">
        <v>6.9009999999999998</v>
      </c>
      <c r="J1532" s="16">
        <v>8.1000000000000003E-2</v>
      </c>
      <c r="K1532" s="170">
        <v>8.8510000000000009</v>
      </c>
      <c r="L1532" s="165">
        <v>31.942</v>
      </c>
      <c r="M1532" s="13">
        <v>5.5049999999999999</v>
      </c>
      <c r="N1532" s="171">
        <v>6.0999999999999999E-2</v>
      </c>
      <c r="O1532" s="15">
        <v>61.37</v>
      </c>
      <c r="P1532" s="172">
        <v>4.8000000000000001E-2</v>
      </c>
      <c r="Q1532" s="96"/>
    </row>
    <row r="1533" spans="1:17" ht="14.25" customHeight="1" x14ac:dyDescent="0.35">
      <c r="A1533" s="1">
        <v>2020</v>
      </c>
      <c r="B1533" s="1" t="s">
        <v>25</v>
      </c>
      <c r="C1533" s="1">
        <v>11</v>
      </c>
      <c r="D1533" s="12">
        <v>111.60899999999999</v>
      </c>
      <c r="E1533" s="12">
        <f t="shared" si="31"/>
        <v>139.51124999999999</v>
      </c>
      <c r="F1533" s="13">
        <v>94.906000000000006</v>
      </c>
      <c r="G1533" s="169">
        <v>76.864000000000004</v>
      </c>
      <c r="H1533" s="162">
        <v>1825.6110000000001</v>
      </c>
      <c r="I1533" s="163">
        <v>6.9</v>
      </c>
      <c r="J1533" s="16">
        <v>7.3999999999999996E-2</v>
      </c>
      <c r="K1533" s="170">
        <v>8.9459999999999997</v>
      </c>
      <c r="L1533" s="165">
        <v>33.046999999999997</v>
      </c>
      <c r="M1533" s="13">
        <v>5.5030000000000001</v>
      </c>
      <c r="N1533" s="171">
        <v>6.3E-2</v>
      </c>
      <c r="O1533" s="15">
        <v>62.106000000000002</v>
      </c>
      <c r="P1533" s="172">
        <v>4.7E-2</v>
      </c>
      <c r="Q1533" s="96"/>
    </row>
    <row r="1534" spans="1:17" ht="14.25" customHeight="1" x14ac:dyDescent="0.35">
      <c r="A1534" s="1">
        <v>2020</v>
      </c>
      <c r="B1534" s="1" t="s">
        <v>25</v>
      </c>
      <c r="C1534" s="1">
        <v>12</v>
      </c>
      <c r="D1534" s="12">
        <v>112.23399999999999</v>
      </c>
      <c r="E1534" s="12">
        <f t="shared" si="31"/>
        <v>140.29249999999999</v>
      </c>
      <c r="F1534" s="13">
        <v>95.438000000000002</v>
      </c>
      <c r="G1534" s="169">
        <v>76.388000000000005</v>
      </c>
      <c r="H1534" s="162">
        <v>1771.3920000000001</v>
      </c>
      <c r="I1534" s="163">
        <v>6.899</v>
      </c>
      <c r="J1534" s="16">
        <v>7.2999999999999995E-2</v>
      </c>
      <c r="K1534" s="170">
        <v>8.6649999999999991</v>
      </c>
      <c r="L1534" s="165">
        <v>31.587</v>
      </c>
      <c r="M1534" s="13">
        <v>5.4930000000000003</v>
      </c>
      <c r="N1534" s="171">
        <v>0.06</v>
      </c>
      <c r="O1534" s="15">
        <v>63.344999999999999</v>
      </c>
      <c r="P1534" s="172">
        <v>4.3999999999999997E-2</v>
      </c>
      <c r="Q1534" s="96"/>
    </row>
    <row r="1535" spans="1:17" ht="14.25" customHeight="1" x14ac:dyDescent="0.35">
      <c r="A1535" s="1">
        <v>2020</v>
      </c>
      <c r="B1535" s="1" t="s">
        <v>25</v>
      </c>
      <c r="C1535" s="1">
        <v>13</v>
      </c>
      <c r="D1535" s="12">
        <v>112.73399999999999</v>
      </c>
      <c r="E1535" s="12">
        <f t="shared" si="31"/>
        <v>140.91749999999999</v>
      </c>
      <c r="F1535" s="13">
        <v>95.938000000000002</v>
      </c>
      <c r="G1535" s="173">
        <v>75.171000000000006</v>
      </c>
      <c r="H1535" s="162">
        <v>1644.8810000000001</v>
      </c>
      <c r="I1535" s="163">
        <v>6.9</v>
      </c>
      <c r="J1535" s="16">
        <v>9.0999999999999998E-2</v>
      </c>
      <c r="K1535" s="174">
        <v>8.0229999999999997</v>
      </c>
      <c r="L1535" s="165">
        <v>30.183</v>
      </c>
      <c r="M1535" s="13">
        <v>5.5519999999999996</v>
      </c>
      <c r="N1535" s="166">
        <v>5.7000000000000002E-2</v>
      </c>
      <c r="O1535" s="15">
        <v>56.027000000000001</v>
      </c>
      <c r="P1535" s="175">
        <v>0.04</v>
      </c>
      <c r="Q1535" s="96"/>
    </row>
    <row r="1536" spans="1:17" ht="14.25" customHeight="1" x14ac:dyDescent="0.35">
      <c r="A1536" s="1">
        <v>2020</v>
      </c>
      <c r="B1536" s="1" t="s">
        <v>25</v>
      </c>
      <c r="C1536" s="1">
        <v>14</v>
      </c>
      <c r="D1536" s="12">
        <v>110.063</v>
      </c>
      <c r="E1536" s="12">
        <f t="shared" si="31"/>
        <v>137.57875000000001</v>
      </c>
      <c r="F1536" s="13">
        <v>93.625</v>
      </c>
      <c r="G1536" s="161">
        <v>75.350999999999999</v>
      </c>
      <c r="H1536" s="162">
        <v>1683.952</v>
      </c>
      <c r="I1536" s="163">
        <v>6.9</v>
      </c>
      <c r="J1536" s="16">
        <v>0.10100000000000001</v>
      </c>
      <c r="K1536" s="174">
        <v>8.1069999999999993</v>
      </c>
      <c r="L1536" s="176">
        <v>33.631999999999998</v>
      </c>
      <c r="M1536" s="13">
        <v>5.5960000000000001</v>
      </c>
      <c r="N1536" s="166">
        <v>5.5E-2</v>
      </c>
      <c r="O1536" s="15">
        <v>49.981000000000002</v>
      </c>
      <c r="P1536" s="175">
        <v>3.9E-2</v>
      </c>
      <c r="Q1536" s="96"/>
    </row>
    <row r="1537" spans="1:17" ht="14.25" customHeight="1" x14ac:dyDescent="0.35">
      <c r="A1537" s="1">
        <v>2020</v>
      </c>
      <c r="B1537" s="1" t="s">
        <v>25</v>
      </c>
      <c r="C1537" s="1">
        <v>15</v>
      </c>
      <c r="D1537" s="12">
        <v>107.922</v>
      </c>
      <c r="E1537" s="12">
        <f t="shared" si="31"/>
        <v>134.9025</v>
      </c>
      <c r="F1537" s="13">
        <v>91.718999999999994</v>
      </c>
      <c r="G1537" s="161">
        <v>75.774000000000001</v>
      </c>
      <c r="H1537" s="162">
        <v>1635.0609999999999</v>
      </c>
      <c r="I1537" s="163">
        <v>6.9</v>
      </c>
      <c r="J1537" s="16">
        <v>9.6000000000000002E-2</v>
      </c>
      <c r="K1537" s="170">
        <v>7.9539999999999997</v>
      </c>
      <c r="L1537" s="165">
        <v>32.313000000000002</v>
      </c>
      <c r="M1537" s="13">
        <v>5.5869999999999997</v>
      </c>
      <c r="N1537" s="166">
        <v>5.3999999999999999E-2</v>
      </c>
      <c r="O1537" s="15">
        <v>51.076000000000001</v>
      </c>
      <c r="P1537" s="172">
        <v>3.7999999999999999E-2</v>
      </c>
      <c r="Q1537" s="96"/>
    </row>
    <row r="1538" spans="1:17" ht="14.25" customHeight="1" x14ac:dyDescent="0.35">
      <c r="A1538" s="1">
        <v>2020</v>
      </c>
      <c r="B1538" s="1" t="s">
        <v>25</v>
      </c>
      <c r="C1538" s="1">
        <v>16</v>
      </c>
      <c r="D1538" s="12">
        <v>107.297</v>
      </c>
      <c r="E1538" s="12">
        <f t="shared" si="31"/>
        <v>134.12125</v>
      </c>
      <c r="F1538" s="13">
        <v>91.218999999999994</v>
      </c>
      <c r="G1538" s="161">
        <v>75.492000000000004</v>
      </c>
      <c r="H1538" s="162">
        <v>1641.1669999999999</v>
      </c>
      <c r="I1538" s="163">
        <v>6.9</v>
      </c>
      <c r="J1538" s="16">
        <v>0.10100000000000001</v>
      </c>
      <c r="K1538" s="174">
        <v>8.0389999999999997</v>
      </c>
      <c r="L1538" s="162">
        <v>32.292000000000002</v>
      </c>
      <c r="M1538" s="163">
        <v>5.5869999999999997</v>
      </c>
      <c r="N1538" s="166">
        <v>5.5E-2</v>
      </c>
      <c r="O1538" s="15">
        <v>51.014000000000003</v>
      </c>
      <c r="P1538" s="175">
        <v>3.6999999999999998E-2</v>
      </c>
      <c r="Q1538" s="96"/>
    </row>
    <row r="1539" spans="1:17" ht="14.25" customHeight="1" x14ac:dyDescent="0.35">
      <c r="A1539" s="1">
        <v>2020</v>
      </c>
      <c r="B1539" s="1" t="s">
        <v>25</v>
      </c>
      <c r="C1539" s="1">
        <v>17</v>
      </c>
      <c r="D1539" s="12">
        <v>108.59399999999999</v>
      </c>
      <c r="E1539" s="12">
        <f t="shared" si="31"/>
        <v>135.74250000000001</v>
      </c>
      <c r="F1539" s="13">
        <v>92.375</v>
      </c>
      <c r="G1539" s="161">
        <v>74.981999999999999</v>
      </c>
      <c r="H1539" s="162">
        <v>1779.2239999999999</v>
      </c>
      <c r="I1539" s="163">
        <v>6.9</v>
      </c>
      <c r="J1539" s="16">
        <v>0.105</v>
      </c>
      <c r="K1539" s="164">
        <v>8.266</v>
      </c>
      <c r="L1539" s="165">
        <v>35.692</v>
      </c>
      <c r="M1539" s="13">
        <v>5.593</v>
      </c>
      <c r="N1539" s="166">
        <v>5.8999999999999997E-2</v>
      </c>
      <c r="O1539" s="15">
        <v>50.311999999999998</v>
      </c>
      <c r="P1539" s="167">
        <v>4.2000000000000003E-2</v>
      </c>
      <c r="Q1539" s="96"/>
    </row>
    <row r="1540" spans="1:17" ht="14.25" customHeight="1" x14ac:dyDescent="0.35">
      <c r="A1540" s="1">
        <v>2020</v>
      </c>
      <c r="B1540" s="1" t="s">
        <v>25</v>
      </c>
      <c r="C1540" s="1">
        <v>18</v>
      </c>
      <c r="D1540" s="12">
        <v>109.65600000000001</v>
      </c>
      <c r="E1540" s="32">
        <v>135.24</v>
      </c>
      <c r="F1540" s="13">
        <v>93.25</v>
      </c>
      <c r="G1540" s="161">
        <v>74.947000000000003</v>
      </c>
      <c r="H1540" s="162">
        <v>1850.27</v>
      </c>
      <c r="I1540" s="163">
        <v>6.9</v>
      </c>
      <c r="J1540" s="16">
        <v>0.112</v>
      </c>
      <c r="K1540" s="164">
        <v>8.4760000000000009</v>
      </c>
      <c r="L1540" s="162">
        <v>34.442</v>
      </c>
      <c r="M1540" s="163">
        <v>5.577</v>
      </c>
      <c r="N1540" s="166">
        <v>5.8000000000000003E-2</v>
      </c>
      <c r="O1540" s="15">
        <v>52.261000000000003</v>
      </c>
      <c r="P1540" s="167">
        <v>4.2999999999999997E-2</v>
      </c>
      <c r="Q1540" s="96"/>
    </row>
    <row r="1541" spans="1:17" ht="14.25" customHeight="1" x14ac:dyDescent="0.35">
      <c r="A1541" s="1">
        <v>2020</v>
      </c>
      <c r="B1541" s="1" t="s">
        <v>25</v>
      </c>
      <c r="C1541" s="1">
        <v>19</v>
      </c>
      <c r="D1541" s="12">
        <v>106.75</v>
      </c>
      <c r="E1541" s="12">
        <f t="shared" ref="E1541:E1605" si="32">D1541*1.25</f>
        <v>133.4375</v>
      </c>
      <c r="F1541" s="13">
        <v>90.968999999999994</v>
      </c>
      <c r="G1541" s="161">
        <v>75.331000000000003</v>
      </c>
      <c r="H1541" s="162">
        <v>1844.171</v>
      </c>
      <c r="I1541" s="163">
        <v>6.9</v>
      </c>
      <c r="J1541" s="16">
        <v>0.11</v>
      </c>
      <c r="K1541" s="164">
        <v>8.2850000000000001</v>
      </c>
      <c r="L1541" s="165">
        <v>34.08</v>
      </c>
      <c r="M1541" s="13">
        <v>5.5739999999999998</v>
      </c>
      <c r="N1541" s="166">
        <v>5.7000000000000002E-2</v>
      </c>
      <c r="O1541" s="15">
        <v>52.536999999999999</v>
      </c>
      <c r="P1541" s="167">
        <v>4.1000000000000002E-2</v>
      </c>
      <c r="Q1541" s="96"/>
    </row>
    <row r="1542" spans="1:17" ht="14.25" customHeight="1" x14ac:dyDescent="0.35">
      <c r="A1542" s="1">
        <v>2020</v>
      </c>
      <c r="B1542" s="1" t="s">
        <v>25</v>
      </c>
      <c r="C1542" s="1">
        <v>20</v>
      </c>
      <c r="D1542" s="12">
        <v>108.375</v>
      </c>
      <c r="E1542" s="12">
        <f t="shared" si="32"/>
        <v>135.46875</v>
      </c>
      <c r="F1542" s="13">
        <v>92.281000000000006</v>
      </c>
      <c r="G1542" s="161">
        <v>75.332999999999998</v>
      </c>
      <c r="H1542" s="162">
        <v>1828.846</v>
      </c>
      <c r="I1542" s="163">
        <v>6.9</v>
      </c>
      <c r="J1542" s="16">
        <v>0.112</v>
      </c>
      <c r="K1542" s="164">
        <v>8.1739999999999995</v>
      </c>
      <c r="L1542" s="165">
        <v>32.548000000000002</v>
      </c>
      <c r="M1542" s="13">
        <v>5.52</v>
      </c>
      <c r="N1542" s="166">
        <v>5.3999999999999999E-2</v>
      </c>
      <c r="O1542" s="15">
        <v>59.533000000000001</v>
      </c>
      <c r="P1542" s="167">
        <v>0.04</v>
      </c>
      <c r="Q1542" s="96"/>
    </row>
    <row r="1543" spans="1:17" ht="14.25" customHeight="1" x14ac:dyDescent="0.35">
      <c r="A1543" s="1">
        <v>2020</v>
      </c>
      <c r="B1543" s="1" t="s">
        <v>25</v>
      </c>
      <c r="C1543" s="1">
        <v>21</v>
      </c>
      <c r="D1543" s="12">
        <v>107.73399999999999</v>
      </c>
      <c r="E1543" s="12">
        <f t="shared" si="32"/>
        <v>134.66749999999999</v>
      </c>
      <c r="F1543" s="13">
        <v>91.718999999999994</v>
      </c>
      <c r="G1543" s="161">
        <v>75.566000000000003</v>
      </c>
      <c r="H1543" s="162">
        <v>1760.643</v>
      </c>
      <c r="I1543" s="163">
        <v>6.9</v>
      </c>
      <c r="J1543" s="16">
        <v>0.108</v>
      </c>
      <c r="K1543" s="164">
        <v>8.14</v>
      </c>
      <c r="L1543" s="165">
        <v>30.628</v>
      </c>
      <c r="M1543" s="13">
        <v>5.4850000000000003</v>
      </c>
      <c r="N1543" s="166">
        <v>5.6000000000000001E-2</v>
      </c>
      <c r="O1543" s="15">
        <v>64.558000000000007</v>
      </c>
      <c r="P1543" s="167">
        <v>3.9E-2</v>
      </c>
      <c r="Q1543" s="96"/>
    </row>
    <row r="1544" spans="1:17" ht="14.25" customHeight="1" x14ac:dyDescent="0.35">
      <c r="A1544" s="1">
        <v>2020</v>
      </c>
      <c r="B1544" s="1" t="s">
        <v>25</v>
      </c>
      <c r="C1544" s="1">
        <v>22</v>
      </c>
      <c r="D1544" s="12">
        <v>105.60899999999999</v>
      </c>
      <c r="E1544" s="12">
        <f t="shared" si="32"/>
        <v>132.01124999999999</v>
      </c>
      <c r="F1544" s="13">
        <v>89.906000000000006</v>
      </c>
      <c r="G1544" s="161">
        <v>75.594999999999999</v>
      </c>
      <c r="H1544" s="162">
        <v>1647.88</v>
      </c>
      <c r="I1544" s="163">
        <v>6.9</v>
      </c>
      <c r="J1544" s="16">
        <v>0.11</v>
      </c>
      <c r="K1544" s="164">
        <v>8.14</v>
      </c>
      <c r="L1544" s="162">
        <v>28.341000000000001</v>
      </c>
      <c r="M1544" s="163">
        <v>5.4960000000000004</v>
      </c>
      <c r="N1544" s="166">
        <v>5.6000000000000001E-2</v>
      </c>
      <c r="O1544" s="15">
        <v>62.997</v>
      </c>
      <c r="P1544" s="167">
        <v>3.6999999999999998E-2</v>
      </c>
      <c r="Q1544" s="96"/>
    </row>
    <row r="1545" spans="1:17" ht="14.25" customHeight="1" x14ac:dyDescent="0.35">
      <c r="A1545" s="1">
        <v>2020</v>
      </c>
      <c r="B1545" s="1" t="s">
        <v>25</v>
      </c>
      <c r="C1545" s="1">
        <v>23</v>
      </c>
      <c r="D1545" s="12">
        <v>111.51600000000001</v>
      </c>
      <c r="E1545" s="12">
        <f t="shared" si="32"/>
        <v>139.39500000000001</v>
      </c>
      <c r="F1545" s="13">
        <v>94.843999999999994</v>
      </c>
      <c r="G1545" s="161">
        <v>74.915000000000006</v>
      </c>
      <c r="H1545" s="162">
        <v>1570.819</v>
      </c>
      <c r="I1545" s="163">
        <v>6.9</v>
      </c>
      <c r="J1545" s="16">
        <v>0.105</v>
      </c>
      <c r="K1545" s="164">
        <v>7.9539999999999997</v>
      </c>
      <c r="L1545" s="165">
        <v>26.555</v>
      </c>
      <c r="M1545" s="13">
        <v>5.49</v>
      </c>
      <c r="N1545" s="166">
        <v>5.2999999999999999E-2</v>
      </c>
      <c r="O1545" s="15">
        <v>63.844999999999999</v>
      </c>
      <c r="P1545" s="167">
        <v>3.4000000000000002E-2</v>
      </c>
      <c r="Q1545" s="96"/>
    </row>
    <row r="1546" spans="1:17" ht="14.25" customHeight="1" x14ac:dyDescent="0.35">
      <c r="A1546" s="1">
        <v>2020</v>
      </c>
      <c r="B1546" s="1" t="s">
        <v>25</v>
      </c>
      <c r="C1546" s="1">
        <v>24</v>
      </c>
      <c r="D1546" s="12">
        <v>111.422</v>
      </c>
      <c r="E1546" s="12">
        <f t="shared" si="32"/>
        <v>139.2775</v>
      </c>
      <c r="F1546" s="13">
        <v>94.781000000000006</v>
      </c>
      <c r="G1546" s="161">
        <v>74.92</v>
      </c>
      <c r="H1546" s="162">
        <v>1666.5550000000001</v>
      </c>
      <c r="I1546" s="163">
        <v>6.9</v>
      </c>
      <c r="J1546" s="16">
        <v>0.104</v>
      </c>
      <c r="K1546" s="164">
        <v>7.9539999999999997</v>
      </c>
      <c r="L1546" s="162">
        <v>28.152000000000001</v>
      </c>
      <c r="M1546" s="163">
        <v>5.4809999999999999</v>
      </c>
      <c r="N1546" s="166">
        <v>5.3999999999999999E-2</v>
      </c>
      <c r="O1546" s="15">
        <v>64.995000000000005</v>
      </c>
      <c r="P1546" s="167">
        <v>0.04</v>
      </c>
      <c r="Q1546" s="96"/>
    </row>
    <row r="1547" spans="1:17" ht="14.25" customHeight="1" x14ac:dyDescent="0.35">
      <c r="A1547" s="1">
        <v>2020</v>
      </c>
      <c r="B1547" s="1" t="s">
        <v>25</v>
      </c>
      <c r="C1547" s="1">
        <v>25</v>
      </c>
      <c r="D1547" s="12">
        <v>108.73399999999999</v>
      </c>
      <c r="E1547" s="12">
        <f t="shared" si="32"/>
        <v>135.91749999999999</v>
      </c>
      <c r="F1547" s="13">
        <v>92.531000000000006</v>
      </c>
      <c r="G1547" s="161">
        <v>75.168999999999997</v>
      </c>
      <c r="H1547" s="162">
        <v>1690.8510000000001</v>
      </c>
      <c r="I1547" s="163">
        <v>6.9</v>
      </c>
      <c r="J1547" s="16">
        <v>0.10299999999999999</v>
      </c>
      <c r="K1547" s="164">
        <v>7.7220000000000004</v>
      </c>
      <c r="L1547" s="165">
        <v>28.949000000000002</v>
      </c>
      <c r="M1547" s="13">
        <v>5.4870000000000001</v>
      </c>
      <c r="N1547" s="166">
        <v>5.3999999999999999E-2</v>
      </c>
      <c r="O1547" s="15">
        <v>64.177000000000007</v>
      </c>
      <c r="P1547" s="167">
        <v>3.7999999999999999E-2</v>
      </c>
      <c r="Q1547" s="96"/>
    </row>
    <row r="1548" spans="1:17" ht="14.25" customHeight="1" x14ac:dyDescent="0.35">
      <c r="A1548" s="1">
        <v>2020</v>
      </c>
      <c r="B1548" s="1" t="s">
        <v>25</v>
      </c>
      <c r="C1548" s="1">
        <v>26</v>
      </c>
      <c r="D1548" s="12">
        <v>111.64100000000001</v>
      </c>
      <c r="E1548" s="12">
        <f t="shared" si="32"/>
        <v>139.55125000000001</v>
      </c>
      <c r="F1548" s="13">
        <v>95</v>
      </c>
      <c r="G1548" s="161">
        <v>75.024000000000001</v>
      </c>
      <c r="H1548" s="162">
        <v>1710.048</v>
      </c>
      <c r="I1548" s="163">
        <v>6.9</v>
      </c>
      <c r="J1548" s="16">
        <v>0.105</v>
      </c>
      <c r="K1548" s="164">
        <v>7.8330000000000002</v>
      </c>
      <c r="L1548" s="162">
        <v>28.471</v>
      </c>
      <c r="M1548" s="163">
        <v>5.4779999999999998</v>
      </c>
      <c r="N1548" s="166">
        <v>5.3999999999999999E-2</v>
      </c>
      <c r="O1548" s="15">
        <v>65.738</v>
      </c>
      <c r="P1548" s="167">
        <v>3.6999999999999998E-2</v>
      </c>
      <c r="Q1548" s="96"/>
    </row>
    <row r="1549" spans="1:17" ht="14.25" customHeight="1" x14ac:dyDescent="0.35">
      <c r="A1549" s="1">
        <v>2020</v>
      </c>
      <c r="B1549" s="1" t="s">
        <v>25</v>
      </c>
      <c r="C1549" s="1">
        <v>27</v>
      </c>
      <c r="D1549" s="12">
        <v>111.688</v>
      </c>
      <c r="E1549" s="12">
        <f t="shared" si="32"/>
        <v>139.61000000000001</v>
      </c>
      <c r="F1549" s="13">
        <v>95</v>
      </c>
      <c r="G1549" s="161">
        <v>74.676000000000002</v>
      </c>
      <c r="H1549" s="162">
        <v>1705.258</v>
      </c>
      <c r="I1549" s="163">
        <v>6.9</v>
      </c>
      <c r="J1549" s="16">
        <v>0.10100000000000001</v>
      </c>
      <c r="K1549" s="164">
        <v>7.6539999999999999</v>
      </c>
      <c r="L1549" s="165">
        <v>29.574999999999999</v>
      </c>
      <c r="M1549" s="13">
        <v>5.5449999999999999</v>
      </c>
      <c r="N1549" s="166">
        <v>5.3999999999999999E-2</v>
      </c>
      <c r="O1549" s="15">
        <v>57.668999999999997</v>
      </c>
      <c r="P1549" s="167">
        <v>3.7999999999999999E-2</v>
      </c>
      <c r="Q1549" s="96"/>
    </row>
    <row r="1550" spans="1:17" ht="14.25" customHeight="1" x14ac:dyDescent="0.35">
      <c r="A1550" s="1">
        <v>2020</v>
      </c>
      <c r="B1550" s="1" t="s">
        <v>25</v>
      </c>
      <c r="C1550" s="1">
        <v>28</v>
      </c>
      <c r="D1550" s="12">
        <v>110.813</v>
      </c>
      <c r="E1550" s="12">
        <f t="shared" si="32"/>
        <v>138.51625000000001</v>
      </c>
      <c r="F1550" s="13">
        <v>94.375</v>
      </c>
      <c r="G1550" s="161">
        <v>75.204999999999998</v>
      </c>
      <c r="H1550" s="162">
        <v>1673.4849999999999</v>
      </c>
      <c r="I1550" s="163">
        <v>6.9</v>
      </c>
      <c r="J1550" s="16">
        <v>9.4E-2</v>
      </c>
      <c r="K1550" s="170">
        <v>7.8230000000000004</v>
      </c>
      <c r="L1550" s="162">
        <v>30.538</v>
      </c>
      <c r="M1550" s="163">
        <v>5.6349999999999998</v>
      </c>
      <c r="N1550" s="166">
        <v>5.3999999999999999E-2</v>
      </c>
      <c r="O1550" s="15">
        <v>45.786999999999999</v>
      </c>
      <c r="P1550" s="167">
        <v>3.7999999999999999E-2</v>
      </c>
      <c r="Q1550" s="96"/>
    </row>
    <row r="1551" spans="1:17" ht="14.25" customHeight="1" x14ac:dyDescent="0.35">
      <c r="A1551" s="1">
        <v>2020</v>
      </c>
      <c r="B1551" s="1" t="s">
        <v>25</v>
      </c>
      <c r="C1551" s="1">
        <v>29</v>
      </c>
      <c r="D1551" s="12">
        <v>109.703</v>
      </c>
      <c r="E1551" s="12">
        <f t="shared" si="32"/>
        <v>137.12875</v>
      </c>
      <c r="F1551" s="13">
        <v>93.343999999999994</v>
      </c>
      <c r="G1551" s="187">
        <v>75.314999999999998</v>
      </c>
      <c r="H1551" s="22">
        <v>1620.1890000000001</v>
      </c>
      <c r="I1551" s="13">
        <v>6.9</v>
      </c>
      <c r="J1551" s="166">
        <v>9.1999999999999998E-2</v>
      </c>
      <c r="K1551" s="188">
        <v>7.7759999999999998</v>
      </c>
      <c r="L1551" s="162">
        <v>29.050999999999998</v>
      </c>
      <c r="M1551" s="163">
        <v>5.6260000000000003</v>
      </c>
      <c r="N1551" s="166">
        <v>5.6000000000000001E-2</v>
      </c>
      <c r="O1551" s="15">
        <v>46.646999999999998</v>
      </c>
      <c r="P1551" s="167">
        <v>3.3000000000000002E-2</v>
      </c>
      <c r="Q1551" s="96"/>
    </row>
    <row r="1552" spans="1:17" ht="14.25" customHeight="1" x14ac:dyDescent="0.35">
      <c r="A1552" s="1">
        <v>2020</v>
      </c>
      <c r="B1552" s="1" t="s">
        <v>25</v>
      </c>
      <c r="C1552" s="1">
        <v>30</v>
      </c>
      <c r="D1552" s="12">
        <v>111.625</v>
      </c>
      <c r="E1552" s="12">
        <f t="shared" si="32"/>
        <v>139.53125</v>
      </c>
      <c r="F1552" s="13">
        <v>95</v>
      </c>
      <c r="G1552" s="187">
        <v>75.72</v>
      </c>
      <c r="H1552" s="22">
        <v>1592.146</v>
      </c>
      <c r="I1552" s="13">
        <v>6.9</v>
      </c>
      <c r="J1552" s="166">
        <v>8.8999999999999996E-2</v>
      </c>
      <c r="K1552" s="188">
        <v>7.8730000000000002</v>
      </c>
      <c r="L1552" s="162">
        <v>28.437000000000001</v>
      </c>
      <c r="M1552" s="163">
        <v>5.6319999999999997</v>
      </c>
      <c r="N1552" s="166">
        <v>5.6000000000000001E-2</v>
      </c>
      <c r="O1552" s="15">
        <v>45.962000000000003</v>
      </c>
      <c r="P1552" s="167">
        <v>3.3000000000000002E-2</v>
      </c>
      <c r="Q1552" s="96"/>
    </row>
    <row r="1553" spans="1:17" ht="14.25" customHeight="1" x14ac:dyDescent="0.35">
      <c r="A1553" s="1">
        <v>2020</v>
      </c>
      <c r="B1553" s="1" t="s">
        <v>25</v>
      </c>
      <c r="C1553" s="1">
        <v>31</v>
      </c>
      <c r="D1553" s="85">
        <v>110.5</v>
      </c>
      <c r="E1553" s="12">
        <f t="shared" si="32"/>
        <v>138.125</v>
      </c>
      <c r="F1553" s="86">
        <v>93.968999999999994</v>
      </c>
      <c r="G1553" s="189">
        <v>76.016999999999996</v>
      </c>
      <c r="H1553" s="37">
        <v>1645.89</v>
      </c>
      <c r="I1553" s="35">
        <v>6.9</v>
      </c>
      <c r="J1553" s="190">
        <v>8.3000000000000004E-2</v>
      </c>
      <c r="K1553" s="191">
        <v>7.931</v>
      </c>
      <c r="L1553" s="165">
        <v>29.361999999999998</v>
      </c>
      <c r="M1553" s="13">
        <v>5.6310000000000002</v>
      </c>
      <c r="N1553" s="166">
        <v>5.8000000000000003E-2</v>
      </c>
      <c r="O1553" s="15">
        <v>46.19</v>
      </c>
      <c r="P1553" s="167">
        <v>3.7999999999999999E-2</v>
      </c>
      <c r="Q1553" s="96"/>
    </row>
    <row r="1554" spans="1:17" ht="14.25" customHeight="1" x14ac:dyDescent="0.35">
      <c r="A1554" s="1">
        <v>2020</v>
      </c>
      <c r="B1554" s="1" t="s">
        <v>26</v>
      </c>
      <c r="C1554" s="1">
        <v>1</v>
      </c>
      <c r="D1554" s="12">
        <v>108.64100000000001</v>
      </c>
      <c r="E1554" s="12">
        <f t="shared" si="32"/>
        <v>135.80125000000001</v>
      </c>
      <c r="F1554" s="13">
        <v>92.375</v>
      </c>
      <c r="G1554" s="156">
        <v>76.197999999999993</v>
      </c>
      <c r="H1554" s="157">
        <v>1667.124</v>
      </c>
      <c r="I1554" s="44">
        <v>6.9</v>
      </c>
      <c r="J1554" s="45">
        <v>8.5999999999999993E-2</v>
      </c>
      <c r="K1554" s="158">
        <v>7.8940000000000001</v>
      </c>
      <c r="L1554" s="157">
        <v>30.422999999999998</v>
      </c>
      <c r="M1554" s="45">
        <v>5.63</v>
      </c>
      <c r="N1554" s="159">
        <v>5.8000000000000003E-2</v>
      </c>
      <c r="O1554" s="15">
        <v>46.203000000000003</v>
      </c>
      <c r="P1554" s="160">
        <v>4.1000000000000002E-2</v>
      </c>
      <c r="Q1554" s="96"/>
    </row>
    <row r="1555" spans="1:17" ht="14.25" customHeight="1" x14ac:dyDescent="0.35">
      <c r="A1555" s="1">
        <v>2020</v>
      </c>
      <c r="B1555" s="1" t="s">
        <v>26</v>
      </c>
      <c r="C1555" s="1">
        <v>2</v>
      </c>
      <c r="D1555" s="12">
        <v>111.65600000000001</v>
      </c>
      <c r="E1555" s="12">
        <f t="shared" si="32"/>
        <v>139.57</v>
      </c>
      <c r="F1555" s="13">
        <v>95</v>
      </c>
      <c r="G1555" s="161">
        <v>76.123000000000005</v>
      </c>
      <c r="H1555" s="162">
        <v>1655.194</v>
      </c>
      <c r="I1555" s="163">
        <v>6.9</v>
      </c>
      <c r="J1555" s="16">
        <v>8.5999999999999993E-2</v>
      </c>
      <c r="K1555" s="164">
        <v>7.9180000000000001</v>
      </c>
      <c r="L1555" s="165">
        <v>29.914000000000001</v>
      </c>
      <c r="M1555" s="13">
        <v>5.6360000000000001</v>
      </c>
      <c r="N1555" s="166">
        <v>5.7000000000000002E-2</v>
      </c>
      <c r="O1555" s="15">
        <v>45.738999999999997</v>
      </c>
      <c r="P1555" s="167">
        <v>0.04</v>
      </c>
      <c r="Q1555" s="96"/>
    </row>
    <row r="1556" spans="1:17" ht="14.25" customHeight="1" x14ac:dyDescent="0.35">
      <c r="A1556" s="1">
        <v>2020</v>
      </c>
      <c r="B1556" s="1" t="s">
        <v>26</v>
      </c>
      <c r="C1556" s="1">
        <v>3</v>
      </c>
      <c r="D1556" s="12">
        <v>112.172</v>
      </c>
      <c r="E1556" s="12">
        <f t="shared" si="32"/>
        <v>140.215</v>
      </c>
      <c r="F1556" s="13">
        <v>95.5</v>
      </c>
      <c r="G1556" s="161">
        <v>76.128</v>
      </c>
      <c r="H1556" s="162">
        <v>1656.298</v>
      </c>
      <c r="I1556" s="163">
        <v>6.9</v>
      </c>
      <c r="J1556" s="16">
        <v>8.4000000000000005E-2</v>
      </c>
      <c r="K1556" s="164">
        <v>8</v>
      </c>
      <c r="L1556" s="165">
        <v>29.84</v>
      </c>
      <c r="M1556" s="13">
        <v>5.5279999999999996</v>
      </c>
      <c r="N1556" s="166">
        <v>5.6000000000000001E-2</v>
      </c>
      <c r="O1556" s="15">
        <v>59.179000000000002</v>
      </c>
      <c r="P1556" s="167">
        <v>0.04</v>
      </c>
      <c r="Q1556" s="96"/>
    </row>
    <row r="1557" spans="1:17" ht="14.25" customHeight="1" x14ac:dyDescent="0.35">
      <c r="A1557" s="1">
        <v>2020</v>
      </c>
      <c r="B1557" s="1" t="s">
        <v>26</v>
      </c>
      <c r="C1557" s="1">
        <v>4</v>
      </c>
      <c r="D1557" s="12">
        <v>111.047</v>
      </c>
      <c r="E1557" s="12">
        <f t="shared" si="32"/>
        <v>138.80875</v>
      </c>
      <c r="F1557" s="13">
        <v>94.593999999999994</v>
      </c>
      <c r="G1557" s="161">
        <v>76.176000000000002</v>
      </c>
      <c r="H1557" s="162">
        <v>1636.068</v>
      </c>
      <c r="I1557" s="163">
        <v>6.9</v>
      </c>
      <c r="J1557" s="16">
        <v>8.5000000000000006E-2</v>
      </c>
      <c r="K1557" s="164">
        <v>8.0609999999999999</v>
      </c>
      <c r="L1557" s="165">
        <v>28.67</v>
      </c>
      <c r="M1557" s="13">
        <v>5.4610000000000003</v>
      </c>
      <c r="N1557" s="166">
        <v>5.8999999999999997E-2</v>
      </c>
      <c r="O1557" s="15">
        <v>68.435000000000002</v>
      </c>
      <c r="P1557" s="167">
        <v>3.7999999999999999E-2</v>
      </c>
      <c r="Q1557" s="96"/>
    </row>
    <row r="1558" spans="1:17" ht="14.25" customHeight="1" x14ac:dyDescent="0.35">
      <c r="A1558" s="1">
        <v>2020</v>
      </c>
      <c r="B1558" s="1" t="s">
        <v>26</v>
      </c>
      <c r="C1558" s="1">
        <v>5</v>
      </c>
      <c r="D1558" s="12">
        <v>108.10899999999999</v>
      </c>
      <c r="E1558" s="12">
        <f t="shared" si="32"/>
        <v>135.13624999999999</v>
      </c>
      <c r="F1558" s="13">
        <v>91.968999999999994</v>
      </c>
      <c r="G1558" s="161">
        <v>75.838999999999999</v>
      </c>
      <c r="H1558" s="162">
        <v>1591.7270000000001</v>
      </c>
      <c r="I1558" s="163">
        <v>6.9</v>
      </c>
      <c r="J1558" s="16">
        <v>8.5999999999999993E-2</v>
      </c>
      <c r="K1558" s="164">
        <v>8.1069999999999993</v>
      </c>
      <c r="L1558" s="165">
        <v>27.814</v>
      </c>
      <c r="M1558" s="13">
        <v>5.4530000000000003</v>
      </c>
      <c r="N1558" s="166">
        <v>0.06</v>
      </c>
      <c r="O1558" s="15">
        <v>69.777000000000001</v>
      </c>
      <c r="P1558" s="167">
        <v>3.6999999999999998E-2</v>
      </c>
      <c r="Q1558" s="96"/>
    </row>
    <row r="1559" spans="1:17" ht="14.25" customHeight="1" x14ac:dyDescent="0.35">
      <c r="A1559" s="1">
        <v>2020</v>
      </c>
      <c r="B1559" s="1" t="s">
        <v>26</v>
      </c>
      <c r="C1559" s="1">
        <v>6</v>
      </c>
      <c r="D1559" s="12">
        <v>111.46899999999999</v>
      </c>
      <c r="E1559" s="12">
        <f t="shared" si="32"/>
        <v>139.33625000000001</v>
      </c>
      <c r="F1559" s="13">
        <v>94.906000000000006</v>
      </c>
      <c r="G1559" s="161">
        <v>75.227000000000004</v>
      </c>
      <c r="H1559" s="162">
        <v>1560.25</v>
      </c>
      <c r="I1559" s="163">
        <v>6.9</v>
      </c>
      <c r="J1559" s="16">
        <v>8.4000000000000005E-2</v>
      </c>
      <c r="K1559" s="164">
        <v>7.9130000000000003</v>
      </c>
      <c r="L1559" s="165">
        <v>26.768000000000001</v>
      </c>
      <c r="M1559" s="13">
        <v>5.452</v>
      </c>
      <c r="N1559" s="166">
        <v>5.8999999999999997E-2</v>
      </c>
      <c r="O1559" s="15">
        <v>69.721999999999994</v>
      </c>
      <c r="P1559" s="167">
        <v>3.3000000000000002E-2</v>
      </c>
      <c r="Q1559" s="96"/>
    </row>
    <row r="1560" spans="1:17" ht="14.25" customHeight="1" x14ac:dyDescent="0.35">
      <c r="A1560" s="1">
        <v>2020</v>
      </c>
      <c r="B1560" s="1" t="s">
        <v>26</v>
      </c>
      <c r="C1560" s="1">
        <v>7</v>
      </c>
      <c r="D1560" s="12">
        <v>111.03100000000001</v>
      </c>
      <c r="E1560" s="12">
        <f t="shared" si="32"/>
        <v>138.78874999999999</v>
      </c>
      <c r="F1560" s="13">
        <v>94.5</v>
      </c>
      <c r="G1560" s="161">
        <v>75.001999999999995</v>
      </c>
      <c r="H1560" s="162">
        <v>1600.838</v>
      </c>
      <c r="I1560" s="163">
        <v>6.9</v>
      </c>
      <c r="J1560" s="16">
        <v>8.4000000000000005E-2</v>
      </c>
      <c r="K1560" s="164">
        <v>7.7560000000000002</v>
      </c>
      <c r="L1560" s="165">
        <v>27.454000000000001</v>
      </c>
      <c r="M1560" s="13">
        <v>5.4489999999999998</v>
      </c>
      <c r="N1560" s="166">
        <v>5.6000000000000001E-2</v>
      </c>
      <c r="O1560" s="15">
        <v>70.198999999999998</v>
      </c>
      <c r="P1560" s="167">
        <v>3.6999999999999998E-2</v>
      </c>
      <c r="Q1560" s="96"/>
    </row>
    <row r="1561" spans="1:17" ht="14.25" customHeight="1" x14ac:dyDescent="0.35">
      <c r="A1561" s="1">
        <v>2020</v>
      </c>
      <c r="B1561" s="1" t="s">
        <v>26</v>
      </c>
      <c r="C1561" s="1">
        <v>8</v>
      </c>
      <c r="D1561" s="12">
        <v>112.703</v>
      </c>
      <c r="E1561" s="12">
        <f t="shared" si="32"/>
        <v>140.87875</v>
      </c>
      <c r="F1561" s="13">
        <v>95.843999999999994</v>
      </c>
      <c r="G1561" s="161">
        <v>74.935000000000002</v>
      </c>
      <c r="H1561" s="22">
        <v>1644.85</v>
      </c>
      <c r="I1561" s="163">
        <v>6.9</v>
      </c>
      <c r="J1561" s="16">
        <v>8.2000000000000003E-2</v>
      </c>
      <c r="K1561" s="168">
        <v>7.76</v>
      </c>
      <c r="L1561" s="165">
        <v>27.292000000000002</v>
      </c>
      <c r="M1561" s="13">
        <v>5.4420000000000002</v>
      </c>
      <c r="N1561" s="166">
        <v>5.8000000000000003E-2</v>
      </c>
      <c r="O1561" s="15">
        <v>71.314999999999998</v>
      </c>
      <c r="P1561" s="192">
        <v>3.5999999999999997E-2</v>
      </c>
      <c r="Q1561" s="96"/>
    </row>
    <row r="1562" spans="1:17" ht="14.25" customHeight="1" x14ac:dyDescent="0.35">
      <c r="A1562" s="1">
        <v>2020</v>
      </c>
      <c r="B1562" s="1" t="s">
        <v>26</v>
      </c>
      <c r="C1562" s="1">
        <v>9</v>
      </c>
      <c r="D1562" s="12">
        <v>112.09399999999999</v>
      </c>
      <c r="E1562" s="12">
        <f t="shared" si="32"/>
        <v>140.11750000000001</v>
      </c>
      <c r="F1562" s="13">
        <v>95.406000000000006</v>
      </c>
      <c r="G1562" s="161">
        <v>74.593999999999994</v>
      </c>
      <c r="H1562" s="162">
        <v>1678.749</v>
      </c>
      <c r="I1562" s="163">
        <v>6.9</v>
      </c>
      <c r="J1562" s="16">
        <v>8.3000000000000004E-2</v>
      </c>
      <c r="K1562" s="164">
        <v>8.1630000000000003</v>
      </c>
      <c r="L1562" s="165">
        <v>27.978000000000002</v>
      </c>
      <c r="M1562" s="13">
        <v>5.4329999999999998</v>
      </c>
      <c r="N1562" s="166">
        <v>5.8000000000000003E-2</v>
      </c>
      <c r="O1562" s="15">
        <v>72.602999999999994</v>
      </c>
      <c r="P1562" s="167">
        <v>3.5000000000000003E-2</v>
      </c>
      <c r="Q1562" s="96"/>
    </row>
    <row r="1563" spans="1:17" ht="14.25" customHeight="1" x14ac:dyDescent="0.35">
      <c r="A1563" s="1">
        <v>2020</v>
      </c>
      <c r="B1563" s="1" t="s">
        <v>26</v>
      </c>
      <c r="C1563" s="1">
        <v>10</v>
      </c>
      <c r="D1563" s="12">
        <v>110.453</v>
      </c>
      <c r="E1563" s="12">
        <f t="shared" si="32"/>
        <v>138.06625</v>
      </c>
      <c r="F1563" s="13">
        <v>94.093999999999994</v>
      </c>
      <c r="G1563" s="169">
        <v>74.012</v>
      </c>
      <c r="H1563" s="162">
        <v>1628.75</v>
      </c>
      <c r="I1563" s="163">
        <v>6.9</v>
      </c>
      <c r="J1563" s="16">
        <v>8.1000000000000003E-2</v>
      </c>
      <c r="K1563" s="170">
        <v>7.2919999999999998</v>
      </c>
      <c r="L1563" s="165">
        <v>25.859000000000002</v>
      </c>
      <c r="M1563" s="13">
        <v>5.4249999999999998</v>
      </c>
      <c r="N1563" s="171">
        <v>5.5500000000000001E-2</v>
      </c>
      <c r="O1563" s="15">
        <v>73.75</v>
      </c>
      <c r="P1563" s="172">
        <v>3.4000000000000002E-2</v>
      </c>
      <c r="Q1563" s="96"/>
    </row>
    <row r="1564" spans="1:17" ht="14.25" customHeight="1" x14ac:dyDescent="0.35">
      <c r="A1564" s="1">
        <v>2020</v>
      </c>
      <c r="B1564" s="1" t="s">
        <v>26</v>
      </c>
      <c r="C1564" s="1">
        <v>11</v>
      </c>
      <c r="D1564" s="12">
        <v>109.047</v>
      </c>
      <c r="E1564" s="12">
        <f t="shared" si="32"/>
        <v>136.30875</v>
      </c>
      <c r="F1564" s="13">
        <v>92.813000000000002</v>
      </c>
      <c r="G1564" s="169">
        <v>74.700999999999993</v>
      </c>
      <c r="H1564" s="162">
        <v>1713.953</v>
      </c>
      <c r="I1564" s="163">
        <v>6.9</v>
      </c>
      <c r="J1564" s="16">
        <v>7.1999999999999995E-2</v>
      </c>
      <c r="K1564" s="170">
        <v>7.5519999999999996</v>
      </c>
      <c r="L1564" s="165">
        <v>27.635999999999999</v>
      </c>
      <c r="M1564" s="13">
        <v>5.42</v>
      </c>
      <c r="N1564" s="171">
        <v>5.1999999999999998E-2</v>
      </c>
      <c r="O1564" s="15">
        <v>74.938000000000002</v>
      </c>
      <c r="P1564" s="172">
        <v>3.5999999999999997E-2</v>
      </c>
      <c r="Q1564" s="96"/>
    </row>
    <row r="1565" spans="1:17" ht="14.25" customHeight="1" x14ac:dyDescent="0.35">
      <c r="A1565" s="1">
        <v>2020</v>
      </c>
      <c r="B1565" s="1" t="s">
        <v>26</v>
      </c>
      <c r="C1565" s="1">
        <v>12</v>
      </c>
      <c r="D1565" s="12">
        <v>111.65600000000001</v>
      </c>
      <c r="E1565" s="12">
        <f t="shared" si="32"/>
        <v>139.57</v>
      </c>
      <c r="F1565" s="13">
        <v>95.031000000000006</v>
      </c>
      <c r="G1565" s="169">
        <v>75.111999999999995</v>
      </c>
      <c r="H1565" s="162">
        <v>1714.29</v>
      </c>
      <c r="I1565" s="163">
        <v>6.9</v>
      </c>
      <c r="J1565" s="16">
        <v>7.5999999999999998E-2</v>
      </c>
      <c r="K1565" s="170">
        <v>7.5</v>
      </c>
      <c r="L1565" s="165">
        <v>28.818999999999999</v>
      </c>
      <c r="M1565" s="13">
        <v>5.4169999999999998</v>
      </c>
      <c r="N1565" s="171">
        <v>4.5999999999999999E-2</v>
      </c>
      <c r="O1565" s="15">
        <v>75.666600000000003</v>
      </c>
      <c r="P1565" s="172">
        <v>3.5999999999999997E-2</v>
      </c>
      <c r="Q1565" s="96"/>
    </row>
    <row r="1566" spans="1:17" ht="14.25" customHeight="1" x14ac:dyDescent="0.35">
      <c r="A1566" s="1">
        <v>2020</v>
      </c>
      <c r="B1566" s="1" t="s">
        <v>26</v>
      </c>
      <c r="C1566" s="1">
        <v>13</v>
      </c>
      <c r="D1566" s="12">
        <v>111.46899999999999</v>
      </c>
      <c r="E1566" s="12">
        <f t="shared" si="32"/>
        <v>139.33625000000001</v>
      </c>
      <c r="F1566" s="13">
        <v>94.906000000000006</v>
      </c>
      <c r="G1566" s="173">
        <v>75.150000000000006</v>
      </c>
      <c r="H1566" s="162">
        <v>1690.6179999999999</v>
      </c>
      <c r="I1566" s="163">
        <v>6.9</v>
      </c>
      <c r="J1566" s="16">
        <v>7.8E-2</v>
      </c>
      <c r="K1566" s="174">
        <v>7.3440000000000003</v>
      </c>
      <c r="L1566" s="165">
        <v>29.23</v>
      </c>
      <c r="M1566" s="13">
        <v>5.4329999999999998</v>
      </c>
      <c r="N1566" s="166">
        <v>3.9E-2</v>
      </c>
      <c r="O1566" s="15">
        <v>72.804000000000002</v>
      </c>
      <c r="P1566" s="175">
        <v>3.3000000000000002E-2</v>
      </c>
      <c r="Q1566" s="96"/>
    </row>
    <row r="1567" spans="1:17" ht="14.25" customHeight="1" x14ac:dyDescent="0.35">
      <c r="A1567" s="1">
        <v>2020</v>
      </c>
      <c r="B1567" s="1" t="s">
        <v>26</v>
      </c>
      <c r="C1567" s="1">
        <v>14</v>
      </c>
      <c r="D1567" s="12">
        <v>111.65600000000001</v>
      </c>
      <c r="E1567" s="12">
        <f t="shared" si="32"/>
        <v>139.57</v>
      </c>
      <c r="F1567" s="13">
        <v>95</v>
      </c>
      <c r="G1567" s="161">
        <v>76.001999999999995</v>
      </c>
      <c r="H1567" s="162">
        <v>1789.499</v>
      </c>
      <c r="I1567" s="163">
        <v>6.9</v>
      </c>
      <c r="J1567" s="16">
        <v>7.6999999999999999E-2</v>
      </c>
      <c r="K1567" s="174">
        <v>7.516</v>
      </c>
      <c r="L1567" s="176">
        <v>30.545000000000002</v>
      </c>
      <c r="M1567" s="13">
        <v>5.4370000000000003</v>
      </c>
      <c r="N1567" s="166">
        <v>4.5999999999999999E-2</v>
      </c>
      <c r="O1567" s="15">
        <v>72.123999999999995</v>
      </c>
      <c r="P1567" s="175">
        <v>3.7999999999999999E-2</v>
      </c>
      <c r="Q1567" s="96"/>
    </row>
    <row r="1568" spans="1:17" ht="14.25" customHeight="1" x14ac:dyDescent="0.35">
      <c r="A1568" s="1">
        <v>2020</v>
      </c>
      <c r="B1568" s="1" t="s">
        <v>26</v>
      </c>
      <c r="C1568" s="1">
        <v>15</v>
      </c>
      <c r="D1568" s="12">
        <v>110.297</v>
      </c>
      <c r="E1568" s="12">
        <f t="shared" si="32"/>
        <v>137.87125</v>
      </c>
      <c r="F1568" s="13">
        <v>93.938000000000002</v>
      </c>
      <c r="G1568" s="161">
        <v>76.664000000000001</v>
      </c>
      <c r="H1568" s="162">
        <v>1834.761</v>
      </c>
      <c r="I1568" s="163">
        <v>6.9</v>
      </c>
      <c r="J1568" s="16">
        <v>8.2000000000000003E-2</v>
      </c>
      <c r="K1568" s="170">
        <v>7.6319999999999997</v>
      </c>
      <c r="L1568" s="165">
        <v>31.731000000000002</v>
      </c>
      <c r="M1568" s="13">
        <v>5.4429999999999996</v>
      </c>
      <c r="N1568" s="166">
        <v>5.0999999999999997E-2</v>
      </c>
      <c r="O1568" s="15">
        <v>70.95</v>
      </c>
      <c r="P1568" s="172">
        <v>3.9E-2</v>
      </c>
      <c r="Q1568" s="96"/>
    </row>
    <row r="1569" spans="1:17" ht="14.25" customHeight="1" x14ac:dyDescent="0.35">
      <c r="A1569" s="1">
        <v>2020</v>
      </c>
      <c r="B1569" s="1" t="s">
        <v>26</v>
      </c>
      <c r="C1569" s="1">
        <v>16</v>
      </c>
      <c r="D1569" s="12">
        <v>112.203</v>
      </c>
      <c r="E1569" s="12">
        <f t="shared" si="32"/>
        <v>140.25375</v>
      </c>
      <c r="F1569" s="13">
        <v>95.438000000000002</v>
      </c>
      <c r="G1569" s="161">
        <v>76.472999999999999</v>
      </c>
      <c r="H1569" s="162">
        <v>1876.663</v>
      </c>
      <c r="I1569" s="163">
        <v>6.9</v>
      </c>
      <c r="J1569" s="16">
        <v>9.5000000000000001E-2</v>
      </c>
      <c r="K1569" s="174">
        <v>7.7409999999999997</v>
      </c>
      <c r="L1569" s="162">
        <v>32.22</v>
      </c>
      <c r="M1569" s="163">
        <v>5.4429999999999996</v>
      </c>
      <c r="N1569" s="166">
        <v>4.9000000000000002E-2</v>
      </c>
      <c r="O1569" s="15">
        <v>71.015000000000001</v>
      </c>
      <c r="P1569" s="175">
        <v>0.04</v>
      </c>
      <c r="Q1569" s="96"/>
    </row>
    <row r="1570" spans="1:17" ht="14.25" customHeight="1" x14ac:dyDescent="0.35">
      <c r="A1570" s="1">
        <v>2020</v>
      </c>
      <c r="B1570" s="1" t="s">
        <v>26</v>
      </c>
      <c r="C1570" s="1">
        <v>17</v>
      </c>
      <c r="D1570" s="12">
        <v>110.14100000000001</v>
      </c>
      <c r="E1570" s="12">
        <f t="shared" si="32"/>
        <v>137.67625000000001</v>
      </c>
      <c r="F1570" s="13">
        <v>93.75</v>
      </c>
      <c r="G1570" s="161">
        <v>76.248999999999995</v>
      </c>
      <c r="H1570" s="162">
        <v>1902.2619999999999</v>
      </c>
      <c r="I1570" s="163">
        <v>6.9</v>
      </c>
      <c r="J1570" s="16">
        <v>9.0999999999999998E-2</v>
      </c>
      <c r="K1570" s="164">
        <v>7.6289999999999996</v>
      </c>
      <c r="L1570" s="165">
        <v>33.746000000000002</v>
      </c>
      <c r="M1570" s="13">
        <v>5.3949999999999996</v>
      </c>
      <c r="N1570" s="166">
        <v>4.3999999999999997E-2</v>
      </c>
      <c r="O1570" s="15">
        <v>79.325000000000003</v>
      </c>
      <c r="P1570" s="167">
        <v>3.9E-2</v>
      </c>
      <c r="Q1570" s="96"/>
    </row>
    <row r="1571" spans="1:17" ht="14.25" customHeight="1" x14ac:dyDescent="0.35">
      <c r="A1571" s="1">
        <v>2020</v>
      </c>
      <c r="B1571" s="1" t="s">
        <v>26</v>
      </c>
      <c r="C1571" s="1">
        <v>18</v>
      </c>
      <c r="D1571" s="12">
        <v>108.48399999999999</v>
      </c>
      <c r="E1571" s="12">
        <f t="shared" si="32"/>
        <v>135.60499999999999</v>
      </c>
      <c r="F1571" s="13">
        <v>92.313000000000002</v>
      </c>
      <c r="G1571" s="161">
        <v>76.531999999999996</v>
      </c>
      <c r="H1571" s="162">
        <v>1892.798</v>
      </c>
      <c r="I1571" s="163">
        <v>6.9</v>
      </c>
      <c r="J1571" s="16">
        <v>8.5999999999999993E-2</v>
      </c>
      <c r="K1571" s="164">
        <v>7.5609999999999999</v>
      </c>
      <c r="L1571" s="162">
        <v>33.722000000000001</v>
      </c>
      <c r="M1571" s="163">
        <v>5.3559999999999999</v>
      </c>
      <c r="N1571" s="166">
        <v>5.0999999999999997E-2</v>
      </c>
      <c r="O1571" s="15">
        <v>86.661000000000001</v>
      </c>
      <c r="P1571" s="167">
        <v>3.9E-2</v>
      </c>
      <c r="Q1571" s="96"/>
    </row>
    <row r="1572" spans="1:17" ht="14.25" customHeight="1" x14ac:dyDescent="0.35">
      <c r="A1572" s="1">
        <v>2020</v>
      </c>
      <c r="B1572" s="1" t="s">
        <v>26</v>
      </c>
      <c r="C1572" s="1">
        <v>19</v>
      </c>
      <c r="D1572" s="12">
        <v>108.938</v>
      </c>
      <c r="E1572" s="12">
        <f t="shared" si="32"/>
        <v>136.17250000000001</v>
      </c>
      <c r="F1572" s="13">
        <v>92.688000000000002</v>
      </c>
      <c r="G1572" s="161">
        <v>76.353999999999999</v>
      </c>
      <c r="H1572" s="162">
        <v>1829.8440000000001</v>
      </c>
      <c r="I1572" s="163">
        <v>6.9</v>
      </c>
      <c r="J1572" s="16">
        <v>8.3000000000000004E-2</v>
      </c>
      <c r="K1572" s="164">
        <v>7.6050000000000004</v>
      </c>
      <c r="L1572" s="165">
        <v>32.401000000000003</v>
      </c>
      <c r="M1572" s="13">
        <v>5.3559999999999999</v>
      </c>
      <c r="N1572" s="166">
        <v>5.2999999999999999E-2</v>
      </c>
      <c r="O1572" s="15">
        <v>87.016999999999996</v>
      </c>
      <c r="P1572" s="167">
        <v>3.9E-2</v>
      </c>
      <c r="Q1572" s="96"/>
    </row>
    <row r="1573" spans="1:17" ht="14.25" customHeight="1" x14ac:dyDescent="0.35">
      <c r="A1573" s="1">
        <v>2020</v>
      </c>
      <c r="B1573" s="1" t="s">
        <v>26</v>
      </c>
      <c r="C1573" s="1">
        <v>20</v>
      </c>
      <c r="D1573" s="12">
        <v>108.063</v>
      </c>
      <c r="E1573" s="12">
        <f t="shared" si="32"/>
        <v>135.07875000000001</v>
      </c>
      <c r="F1573" s="13">
        <v>91.938000000000002</v>
      </c>
      <c r="G1573" s="161">
        <v>76.337000000000003</v>
      </c>
      <c r="H1573" s="162">
        <v>1737.7850000000001</v>
      </c>
      <c r="I1573" s="163">
        <v>6.9</v>
      </c>
      <c r="J1573" s="16">
        <v>8.3000000000000004E-2</v>
      </c>
      <c r="K1573" s="164">
        <v>7.4489999999999998</v>
      </c>
      <c r="L1573" s="162">
        <v>31.044</v>
      </c>
      <c r="M1573" s="163">
        <v>5.3630000000000004</v>
      </c>
      <c r="N1573" s="166">
        <v>5.0999999999999997E-2</v>
      </c>
      <c r="O1573" s="15">
        <v>85.775999999999996</v>
      </c>
      <c r="P1573" s="167">
        <v>3.6999999999999998E-2</v>
      </c>
      <c r="Q1573" s="96"/>
    </row>
    <row r="1574" spans="1:17" ht="14.25" customHeight="1" x14ac:dyDescent="0.35">
      <c r="A1574" s="1">
        <v>2020</v>
      </c>
      <c r="B1574" s="1" t="s">
        <v>26</v>
      </c>
      <c r="C1574" s="1">
        <v>21</v>
      </c>
      <c r="D1574" s="12">
        <v>86.391000000000005</v>
      </c>
      <c r="E1574" s="12">
        <f t="shared" si="32"/>
        <v>107.98875000000001</v>
      </c>
      <c r="F1574" s="13">
        <v>73.406000000000006</v>
      </c>
      <c r="G1574" s="161">
        <v>76.86</v>
      </c>
      <c r="H1574" s="162">
        <v>1819.1220000000001</v>
      </c>
      <c r="I1574" s="163">
        <v>6.9</v>
      </c>
      <c r="J1574" s="16">
        <v>8.3000000000000004E-2</v>
      </c>
      <c r="K1574" s="164">
        <v>7.6390000000000002</v>
      </c>
      <c r="L1574" s="165">
        <v>33.180999999999997</v>
      </c>
      <c r="M1574" s="13">
        <v>5.3609999999999998</v>
      </c>
      <c r="N1574" s="166">
        <v>4.8000000000000001E-2</v>
      </c>
      <c r="O1574" s="15">
        <v>85.697000000000003</v>
      </c>
      <c r="P1574" s="167">
        <v>4.2999999999999997E-2</v>
      </c>
      <c r="Q1574" s="96"/>
    </row>
    <row r="1575" spans="1:17" ht="14.25" customHeight="1" x14ac:dyDescent="0.35">
      <c r="A1575" s="1">
        <v>2020</v>
      </c>
      <c r="B1575" s="1" t="s">
        <v>26</v>
      </c>
      <c r="C1575" s="1">
        <v>22</v>
      </c>
      <c r="D1575" s="12">
        <v>71.078000000000003</v>
      </c>
      <c r="E1575" s="12">
        <f t="shared" si="32"/>
        <v>88.847499999999997</v>
      </c>
      <c r="F1575" s="13">
        <v>60.313000000000002</v>
      </c>
      <c r="G1575" s="161">
        <v>77.38</v>
      </c>
      <c r="H1575" s="162">
        <v>1843.42</v>
      </c>
      <c r="I1575" s="163">
        <v>6.9</v>
      </c>
      <c r="J1575" s="16">
        <v>7.9000000000000001E-2</v>
      </c>
      <c r="K1575" s="164">
        <v>7.5039999999999996</v>
      </c>
      <c r="L1575" s="162">
        <v>35.421999999999997</v>
      </c>
      <c r="M1575" s="163">
        <v>5.3639999999999999</v>
      </c>
      <c r="N1575" s="166">
        <v>0.05</v>
      </c>
      <c r="O1575" s="15">
        <v>85.129000000000005</v>
      </c>
      <c r="P1575" s="167">
        <v>4.7E-2</v>
      </c>
      <c r="Q1575" s="96"/>
    </row>
    <row r="1576" spans="1:17" ht="14.25" customHeight="1" x14ac:dyDescent="0.35">
      <c r="A1576" s="1">
        <v>2020</v>
      </c>
      <c r="B1576" s="1" t="s">
        <v>26</v>
      </c>
      <c r="C1576" s="1">
        <v>23</v>
      </c>
      <c r="D1576" s="12">
        <v>56.078000000000003</v>
      </c>
      <c r="E1576" s="12">
        <f t="shared" si="32"/>
        <v>70.097499999999997</v>
      </c>
      <c r="F1576" s="13">
        <v>47.75</v>
      </c>
      <c r="G1576" s="161">
        <v>77.888999999999996</v>
      </c>
      <c r="H1576" s="162">
        <v>1853.0160000000001</v>
      </c>
      <c r="I1576" s="163">
        <v>6.9</v>
      </c>
      <c r="J1576" s="16">
        <v>7.8E-2</v>
      </c>
      <c r="K1576" s="164">
        <v>7.5629999999999997</v>
      </c>
      <c r="L1576" s="165">
        <v>36.590000000000003</v>
      </c>
      <c r="M1576" s="13">
        <v>5.37</v>
      </c>
      <c r="N1576" s="166">
        <v>4.9000000000000002E-2</v>
      </c>
      <c r="O1576" s="15">
        <v>83.757000000000005</v>
      </c>
      <c r="P1576" s="167">
        <v>4.5999999999999999E-2</v>
      </c>
      <c r="Q1576" s="96"/>
    </row>
    <row r="1577" spans="1:17" ht="14.25" customHeight="1" x14ac:dyDescent="0.35">
      <c r="A1577" s="1">
        <v>2020</v>
      </c>
      <c r="B1577" s="1" t="s">
        <v>26</v>
      </c>
      <c r="C1577" s="1">
        <v>24</v>
      </c>
      <c r="D1577" s="12">
        <v>33.655999999999999</v>
      </c>
      <c r="E1577" s="12">
        <f t="shared" si="32"/>
        <v>42.07</v>
      </c>
      <c r="F1577" s="13">
        <v>28.812999999999999</v>
      </c>
      <c r="G1577" s="161">
        <v>78.367000000000004</v>
      </c>
      <c r="H1577" s="162">
        <v>1866.038</v>
      </c>
      <c r="I1577" s="163">
        <v>6.9</v>
      </c>
      <c r="J1577" s="16">
        <v>8.2000000000000003E-2</v>
      </c>
      <c r="K1577" s="68">
        <v>7.9569999999999999</v>
      </c>
      <c r="L1577" s="162">
        <v>36.176000000000002</v>
      </c>
      <c r="M1577" s="163">
        <v>5.3159999999999998</v>
      </c>
      <c r="N1577" s="166">
        <v>0.05</v>
      </c>
      <c r="O1577" s="15">
        <v>95.944999999999993</v>
      </c>
      <c r="P1577" s="167">
        <v>4.7E-2</v>
      </c>
      <c r="Q1577" s="96"/>
    </row>
    <row r="1578" spans="1:17" ht="14.25" customHeight="1" x14ac:dyDescent="0.35">
      <c r="A1578" s="1">
        <v>2020</v>
      </c>
      <c r="B1578" s="1" t="s">
        <v>26</v>
      </c>
      <c r="C1578" s="1">
        <v>25</v>
      </c>
      <c r="D1578" s="12">
        <v>24.640999999999998</v>
      </c>
      <c r="E1578" s="12">
        <f t="shared" si="32"/>
        <v>30.801249999999996</v>
      </c>
      <c r="F1578" s="13">
        <v>20.875</v>
      </c>
      <c r="G1578" s="161">
        <v>78.201999999999998</v>
      </c>
      <c r="H1578" s="162">
        <v>1856.952</v>
      </c>
      <c r="I1578" s="163">
        <v>6.899</v>
      </c>
      <c r="J1578" s="16">
        <v>8.2000000000000003E-2</v>
      </c>
      <c r="K1578" s="68">
        <v>7.9370000000000003</v>
      </c>
      <c r="L1578" s="165">
        <v>36.320999999999998</v>
      </c>
      <c r="M1578" s="13">
        <v>5.23</v>
      </c>
      <c r="N1578" s="166">
        <v>4.8000000000000001E-2</v>
      </c>
      <c r="O1578" s="15">
        <v>116.08499999999999</v>
      </c>
      <c r="P1578" s="167">
        <v>4.8000000000000001E-2</v>
      </c>
      <c r="Q1578" s="96"/>
    </row>
    <row r="1579" spans="1:17" ht="14.25" customHeight="1" x14ac:dyDescent="0.35">
      <c r="A1579" s="1">
        <v>2020</v>
      </c>
      <c r="B1579" s="1" t="s">
        <v>26</v>
      </c>
      <c r="C1579" s="1">
        <v>26</v>
      </c>
      <c r="D1579" s="12">
        <v>20.5</v>
      </c>
      <c r="E1579" s="12">
        <f t="shared" si="32"/>
        <v>25.625</v>
      </c>
      <c r="F1579" s="13">
        <v>17.312999999999999</v>
      </c>
      <c r="G1579" s="161">
        <v>77.971000000000004</v>
      </c>
      <c r="H1579" s="162">
        <v>1773.79</v>
      </c>
      <c r="I1579" s="163">
        <v>6.8520000000000003</v>
      </c>
      <c r="J1579" s="16">
        <v>0.09</v>
      </c>
      <c r="K1579" s="68">
        <v>7.9649999999999999</v>
      </c>
      <c r="L1579" s="162">
        <v>35.122999999999998</v>
      </c>
      <c r="M1579" s="163">
        <v>5.2130000000000001</v>
      </c>
      <c r="N1579" s="166">
        <v>5.1999999999999998E-2</v>
      </c>
      <c r="O1579" s="15">
        <v>120.562</v>
      </c>
      <c r="P1579" s="167">
        <v>4.7E-2</v>
      </c>
      <c r="Q1579" s="96"/>
    </row>
    <row r="1580" spans="1:17" ht="14.25" customHeight="1" x14ac:dyDescent="0.35">
      <c r="A1580" s="1">
        <v>2020</v>
      </c>
      <c r="B1580" s="1" t="s">
        <v>26</v>
      </c>
      <c r="C1580" s="1">
        <v>27</v>
      </c>
      <c r="D1580" s="12">
        <v>3.1E-2</v>
      </c>
      <c r="E1580" s="12">
        <f t="shared" si="32"/>
        <v>3.875E-2</v>
      </c>
      <c r="F1580" s="13">
        <v>0</v>
      </c>
      <c r="G1580" s="193" t="s">
        <v>35</v>
      </c>
      <c r="H1580" s="194" t="s">
        <v>35</v>
      </c>
      <c r="I1580" s="195" t="s">
        <v>35</v>
      </c>
      <c r="J1580" s="196" t="s">
        <v>35</v>
      </c>
      <c r="K1580" s="197" t="s">
        <v>35</v>
      </c>
      <c r="L1580" s="198" t="s">
        <v>35</v>
      </c>
      <c r="M1580" s="199" t="s">
        <v>35</v>
      </c>
      <c r="N1580" s="200" t="s">
        <v>35</v>
      </c>
      <c r="O1580" s="201" t="s">
        <v>35</v>
      </c>
      <c r="P1580" s="202" t="s">
        <v>35</v>
      </c>
      <c r="Q1580" s="96"/>
    </row>
    <row r="1581" spans="1:17" ht="14.25" customHeight="1" x14ac:dyDescent="0.35">
      <c r="A1581" s="1">
        <v>2020</v>
      </c>
      <c r="B1581" s="1" t="s">
        <v>26</v>
      </c>
      <c r="C1581" s="1">
        <v>28</v>
      </c>
      <c r="D1581" s="12">
        <v>0</v>
      </c>
      <c r="E1581" s="12">
        <f t="shared" si="32"/>
        <v>0</v>
      </c>
      <c r="F1581" s="13">
        <v>0</v>
      </c>
      <c r="G1581" s="193" t="s">
        <v>35</v>
      </c>
      <c r="H1581" s="194" t="s">
        <v>35</v>
      </c>
      <c r="I1581" s="195" t="s">
        <v>35</v>
      </c>
      <c r="J1581" s="196" t="s">
        <v>35</v>
      </c>
      <c r="K1581" s="197" t="s">
        <v>35</v>
      </c>
      <c r="L1581" s="198" t="s">
        <v>35</v>
      </c>
      <c r="M1581" s="199" t="s">
        <v>35</v>
      </c>
      <c r="N1581" s="200" t="s">
        <v>35</v>
      </c>
      <c r="O1581" s="201" t="s">
        <v>35</v>
      </c>
      <c r="P1581" s="202" t="s">
        <v>35</v>
      </c>
      <c r="Q1581" s="96"/>
    </row>
    <row r="1582" spans="1:17" ht="14.25" customHeight="1" x14ac:dyDescent="0.35">
      <c r="A1582" s="1">
        <v>2020</v>
      </c>
      <c r="B1582" s="1" t="s">
        <v>26</v>
      </c>
      <c r="C1582" s="1">
        <v>29</v>
      </c>
      <c r="D1582" s="12">
        <v>0</v>
      </c>
      <c r="E1582" s="12">
        <f t="shared" si="32"/>
        <v>0</v>
      </c>
      <c r="F1582" s="13">
        <v>0</v>
      </c>
      <c r="G1582" s="193" t="s">
        <v>35</v>
      </c>
      <c r="H1582" s="194" t="s">
        <v>35</v>
      </c>
      <c r="I1582" s="195" t="s">
        <v>35</v>
      </c>
      <c r="J1582" s="196" t="s">
        <v>35</v>
      </c>
      <c r="K1582" s="197" t="s">
        <v>35</v>
      </c>
      <c r="L1582" s="198" t="s">
        <v>35</v>
      </c>
      <c r="M1582" s="199" t="s">
        <v>35</v>
      </c>
      <c r="N1582" s="200" t="s">
        <v>35</v>
      </c>
      <c r="O1582" s="201" t="s">
        <v>35</v>
      </c>
      <c r="P1582" s="202" t="s">
        <v>35</v>
      </c>
      <c r="Q1582" s="96"/>
    </row>
    <row r="1583" spans="1:17" ht="14.25" customHeight="1" x14ac:dyDescent="0.35">
      <c r="A1583" s="1">
        <v>2020</v>
      </c>
      <c r="B1583" s="1" t="s">
        <v>26</v>
      </c>
      <c r="C1583" s="1">
        <v>30</v>
      </c>
      <c r="D1583" s="85">
        <v>0</v>
      </c>
      <c r="E1583" s="12">
        <f t="shared" si="32"/>
        <v>0</v>
      </c>
      <c r="F1583" s="86">
        <v>0</v>
      </c>
      <c r="G1583" s="203" t="s">
        <v>35</v>
      </c>
      <c r="H1583" s="204" t="s">
        <v>35</v>
      </c>
      <c r="I1583" s="205" t="s">
        <v>35</v>
      </c>
      <c r="J1583" s="206" t="s">
        <v>35</v>
      </c>
      <c r="K1583" s="207" t="s">
        <v>35</v>
      </c>
      <c r="L1583" s="208" t="s">
        <v>35</v>
      </c>
      <c r="M1583" s="209" t="s">
        <v>35</v>
      </c>
      <c r="N1583" s="206" t="s">
        <v>35</v>
      </c>
      <c r="O1583" s="210" t="s">
        <v>35</v>
      </c>
      <c r="P1583" s="211" t="s">
        <v>35</v>
      </c>
      <c r="Q1583" s="96"/>
    </row>
    <row r="1584" spans="1:17" ht="14.25" customHeight="1" x14ac:dyDescent="0.35">
      <c r="A1584" s="1">
        <v>2020</v>
      </c>
      <c r="B1584" s="1" t="s">
        <v>27</v>
      </c>
      <c r="C1584" s="1">
        <v>1</v>
      </c>
      <c r="D1584" s="49">
        <v>0</v>
      </c>
      <c r="E1584" s="12">
        <f t="shared" si="32"/>
        <v>0</v>
      </c>
      <c r="F1584" s="50">
        <v>0</v>
      </c>
      <c r="G1584" s="203" t="s">
        <v>35</v>
      </c>
      <c r="H1584" s="204" t="s">
        <v>35</v>
      </c>
      <c r="I1584" s="212" t="s">
        <v>35</v>
      </c>
      <c r="J1584" s="206" t="s">
        <v>35</v>
      </c>
      <c r="K1584" s="207" t="s">
        <v>35</v>
      </c>
      <c r="L1584" s="208" t="s">
        <v>35</v>
      </c>
      <c r="M1584" s="209" t="s">
        <v>35</v>
      </c>
      <c r="N1584" s="206" t="s">
        <v>35</v>
      </c>
      <c r="O1584" s="210" t="s">
        <v>35</v>
      </c>
      <c r="P1584" s="211" t="s">
        <v>35</v>
      </c>
      <c r="Q1584" s="96"/>
    </row>
    <row r="1585" spans="1:17" ht="14.25" customHeight="1" x14ac:dyDescent="0.35">
      <c r="A1585" s="1">
        <v>2020</v>
      </c>
      <c r="B1585" s="1" t="s">
        <v>27</v>
      </c>
      <c r="C1585" s="1">
        <v>2</v>
      </c>
      <c r="D1585" s="49">
        <v>0</v>
      </c>
      <c r="E1585" s="12">
        <f t="shared" si="32"/>
        <v>0</v>
      </c>
      <c r="F1585" s="50">
        <v>0</v>
      </c>
      <c r="G1585" s="213" t="s">
        <v>35</v>
      </c>
      <c r="H1585" s="213" t="s">
        <v>35</v>
      </c>
      <c r="I1585" s="213" t="s">
        <v>35</v>
      </c>
      <c r="J1585" s="213" t="s">
        <v>35</v>
      </c>
      <c r="K1585" s="214" t="s">
        <v>35</v>
      </c>
      <c r="L1585" s="213" t="s">
        <v>35</v>
      </c>
      <c r="M1585" s="213" t="s">
        <v>35</v>
      </c>
      <c r="N1585" s="213" t="s">
        <v>35</v>
      </c>
      <c r="O1585" s="213" t="s">
        <v>35</v>
      </c>
      <c r="P1585" s="214" t="s">
        <v>35</v>
      </c>
      <c r="Q1585" s="96"/>
    </row>
    <row r="1586" spans="1:17" ht="14.25" customHeight="1" x14ac:dyDescent="0.35">
      <c r="A1586" s="1">
        <v>2020</v>
      </c>
      <c r="B1586" s="1" t="s">
        <v>27</v>
      </c>
      <c r="C1586" s="1">
        <v>3</v>
      </c>
      <c r="D1586" s="49">
        <v>0</v>
      </c>
      <c r="E1586" s="12">
        <f t="shared" si="32"/>
        <v>0</v>
      </c>
      <c r="F1586" s="50">
        <v>0</v>
      </c>
      <c r="G1586" s="213" t="s">
        <v>35</v>
      </c>
      <c r="H1586" s="213" t="s">
        <v>35</v>
      </c>
      <c r="I1586" s="213" t="s">
        <v>35</v>
      </c>
      <c r="J1586" s="213" t="s">
        <v>35</v>
      </c>
      <c r="K1586" s="215" t="s">
        <v>35</v>
      </c>
      <c r="L1586" s="216" t="s">
        <v>35</v>
      </c>
      <c r="M1586" s="213" t="s">
        <v>35</v>
      </c>
      <c r="N1586" s="213" t="s">
        <v>35</v>
      </c>
      <c r="O1586" s="213" t="s">
        <v>35</v>
      </c>
      <c r="P1586" s="214" t="s">
        <v>35</v>
      </c>
      <c r="Q1586" s="96"/>
    </row>
    <row r="1587" spans="1:17" ht="14.25" customHeight="1" x14ac:dyDescent="0.35">
      <c r="A1587" s="1">
        <v>2020</v>
      </c>
      <c r="B1587" s="1" t="s">
        <v>27</v>
      </c>
      <c r="C1587" s="1">
        <v>4</v>
      </c>
      <c r="D1587" s="49">
        <v>0</v>
      </c>
      <c r="E1587" s="12">
        <f t="shared" si="32"/>
        <v>0</v>
      </c>
      <c r="F1587" s="50">
        <v>0</v>
      </c>
      <c r="G1587" s="213" t="s">
        <v>35</v>
      </c>
      <c r="H1587" s="213" t="s">
        <v>35</v>
      </c>
      <c r="I1587" s="213" t="s">
        <v>35</v>
      </c>
      <c r="J1587" s="213" t="s">
        <v>35</v>
      </c>
      <c r="K1587" s="215" t="s">
        <v>35</v>
      </c>
      <c r="L1587" s="216" t="s">
        <v>35</v>
      </c>
      <c r="M1587" s="213" t="s">
        <v>35</v>
      </c>
      <c r="N1587" s="213" t="s">
        <v>35</v>
      </c>
      <c r="O1587" s="213" t="s">
        <v>35</v>
      </c>
      <c r="P1587" s="214" t="s">
        <v>35</v>
      </c>
      <c r="Q1587" s="96"/>
    </row>
    <row r="1588" spans="1:17" ht="14.25" customHeight="1" x14ac:dyDescent="0.35">
      <c r="A1588" s="1">
        <v>2020</v>
      </c>
      <c r="B1588" s="1" t="s">
        <v>27</v>
      </c>
      <c r="C1588" s="1">
        <v>5</v>
      </c>
      <c r="D1588" s="49">
        <v>0</v>
      </c>
      <c r="E1588" s="12">
        <f t="shared" si="32"/>
        <v>0</v>
      </c>
      <c r="F1588" s="50">
        <v>0</v>
      </c>
      <c r="G1588" s="213" t="s">
        <v>35</v>
      </c>
      <c r="H1588" s="213" t="s">
        <v>35</v>
      </c>
      <c r="I1588" s="213" t="s">
        <v>35</v>
      </c>
      <c r="J1588" s="213" t="s">
        <v>35</v>
      </c>
      <c r="K1588" s="213" t="s">
        <v>35</v>
      </c>
      <c r="L1588" s="213" t="s">
        <v>35</v>
      </c>
      <c r="M1588" s="213" t="s">
        <v>35</v>
      </c>
      <c r="N1588" s="213" t="s">
        <v>35</v>
      </c>
      <c r="O1588" s="213" t="s">
        <v>35</v>
      </c>
      <c r="P1588" s="213" t="s">
        <v>35</v>
      </c>
      <c r="Q1588" s="96"/>
    </row>
    <row r="1589" spans="1:17" ht="14.25" customHeight="1" x14ac:dyDescent="0.35">
      <c r="A1589" s="1">
        <v>2020</v>
      </c>
      <c r="B1589" s="1" t="s">
        <v>27</v>
      </c>
      <c r="C1589" s="1">
        <v>6</v>
      </c>
      <c r="D1589" s="49">
        <v>0</v>
      </c>
      <c r="E1589" s="12">
        <f t="shared" si="32"/>
        <v>0</v>
      </c>
      <c r="F1589" s="50">
        <v>0</v>
      </c>
      <c r="G1589" s="193" t="s">
        <v>35</v>
      </c>
      <c r="H1589" s="194" t="s">
        <v>35</v>
      </c>
      <c r="I1589" s="195" t="s">
        <v>35</v>
      </c>
      <c r="J1589" s="196" t="s">
        <v>35</v>
      </c>
      <c r="K1589" s="197" t="s">
        <v>35</v>
      </c>
      <c r="L1589" s="198" t="s">
        <v>35</v>
      </c>
      <c r="M1589" s="199" t="s">
        <v>35</v>
      </c>
      <c r="N1589" s="200" t="s">
        <v>35</v>
      </c>
      <c r="O1589" s="201" t="s">
        <v>35</v>
      </c>
      <c r="P1589" s="202" t="s">
        <v>35</v>
      </c>
      <c r="Q1589" s="96"/>
    </row>
    <row r="1590" spans="1:17" ht="14.25" customHeight="1" x14ac:dyDescent="0.35">
      <c r="A1590" s="1">
        <v>2020</v>
      </c>
      <c r="B1590" s="1" t="s">
        <v>27</v>
      </c>
      <c r="C1590" s="1">
        <v>7</v>
      </c>
      <c r="D1590" s="49">
        <v>0</v>
      </c>
      <c r="E1590" s="12">
        <f t="shared" si="32"/>
        <v>0</v>
      </c>
      <c r="F1590" s="50">
        <v>0</v>
      </c>
      <c r="G1590" s="213" t="s">
        <v>35</v>
      </c>
      <c r="H1590" s="213" t="s">
        <v>35</v>
      </c>
      <c r="I1590" s="213" t="s">
        <v>35</v>
      </c>
      <c r="J1590" s="213" t="s">
        <v>35</v>
      </c>
      <c r="K1590" s="215" t="s">
        <v>35</v>
      </c>
      <c r="L1590" s="216" t="s">
        <v>35</v>
      </c>
      <c r="M1590" s="213" t="s">
        <v>35</v>
      </c>
      <c r="N1590" s="213" t="s">
        <v>35</v>
      </c>
      <c r="O1590" s="213" t="s">
        <v>35</v>
      </c>
      <c r="P1590" s="217" t="s">
        <v>35</v>
      </c>
      <c r="Q1590" s="96"/>
    </row>
    <row r="1591" spans="1:17" ht="14.25" customHeight="1" x14ac:dyDescent="0.35">
      <c r="A1591" s="1">
        <v>2020</v>
      </c>
      <c r="B1591" s="1" t="s">
        <v>27</v>
      </c>
      <c r="C1591" s="1">
        <v>8</v>
      </c>
      <c r="D1591" s="49">
        <v>0</v>
      </c>
      <c r="E1591" s="12">
        <f t="shared" si="32"/>
        <v>0</v>
      </c>
      <c r="F1591" s="50">
        <v>0</v>
      </c>
      <c r="G1591" s="193" t="s">
        <v>35</v>
      </c>
      <c r="H1591" s="218" t="s">
        <v>35</v>
      </c>
      <c r="I1591" s="195" t="s">
        <v>35</v>
      </c>
      <c r="J1591" s="196" t="s">
        <v>35</v>
      </c>
      <c r="K1591" s="219" t="s">
        <v>35</v>
      </c>
      <c r="L1591" s="198" t="s">
        <v>35</v>
      </c>
      <c r="M1591" s="199" t="s">
        <v>35</v>
      </c>
      <c r="N1591" s="200" t="s">
        <v>35</v>
      </c>
      <c r="O1591" s="201" t="s">
        <v>35</v>
      </c>
      <c r="P1591" s="220" t="s">
        <v>35</v>
      </c>
      <c r="Q1591" s="96"/>
    </row>
    <row r="1592" spans="1:17" ht="14.25" customHeight="1" x14ac:dyDescent="0.35">
      <c r="A1592" s="1">
        <v>2020</v>
      </c>
      <c r="B1592" s="1" t="s">
        <v>27</v>
      </c>
      <c r="C1592" s="1">
        <v>9</v>
      </c>
      <c r="D1592" s="49">
        <v>0</v>
      </c>
      <c r="E1592" s="12">
        <f t="shared" si="32"/>
        <v>0</v>
      </c>
      <c r="F1592" s="50">
        <v>0</v>
      </c>
      <c r="G1592" s="193" t="s">
        <v>35</v>
      </c>
      <c r="H1592" s="194" t="s">
        <v>35</v>
      </c>
      <c r="I1592" s="195" t="s">
        <v>35</v>
      </c>
      <c r="J1592" s="196" t="s">
        <v>35</v>
      </c>
      <c r="K1592" s="197" t="s">
        <v>35</v>
      </c>
      <c r="L1592" s="198" t="s">
        <v>35</v>
      </c>
      <c r="M1592" s="199" t="s">
        <v>35</v>
      </c>
      <c r="N1592" s="200" t="s">
        <v>35</v>
      </c>
      <c r="O1592" s="201" t="s">
        <v>35</v>
      </c>
      <c r="P1592" s="202" t="s">
        <v>35</v>
      </c>
      <c r="Q1592" s="96"/>
    </row>
    <row r="1593" spans="1:17" ht="14.25" customHeight="1" x14ac:dyDescent="0.35">
      <c r="A1593" s="1">
        <v>2020</v>
      </c>
      <c r="B1593" s="1" t="s">
        <v>27</v>
      </c>
      <c r="C1593" s="1">
        <v>10</v>
      </c>
      <c r="D1593" s="49">
        <v>0</v>
      </c>
      <c r="E1593" s="12">
        <f t="shared" si="32"/>
        <v>0</v>
      </c>
      <c r="F1593" s="50">
        <v>0</v>
      </c>
      <c r="G1593" s="221" t="s">
        <v>35</v>
      </c>
      <c r="H1593" s="194" t="s">
        <v>35</v>
      </c>
      <c r="I1593" s="195" t="s">
        <v>35</v>
      </c>
      <c r="J1593" s="196" t="s">
        <v>35</v>
      </c>
      <c r="K1593" s="222" t="s">
        <v>35</v>
      </c>
      <c r="L1593" s="198" t="s">
        <v>35</v>
      </c>
      <c r="M1593" s="199" t="s">
        <v>35</v>
      </c>
      <c r="N1593" s="206" t="s">
        <v>35</v>
      </c>
      <c r="O1593" s="201" t="s">
        <v>35</v>
      </c>
      <c r="P1593" s="223" t="s">
        <v>35</v>
      </c>
      <c r="Q1593" s="96"/>
    </row>
    <row r="1594" spans="1:17" ht="14.25" customHeight="1" x14ac:dyDescent="0.35">
      <c r="A1594" s="1">
        <v>2020</v>
      </c>
      <c r="B1594" s="1" t="s">
        <v>27</v>
      </c>
      <c r="C1594" s="1">
        <v>11</v>
      </c>
      <c r="D1594" s="49">
        <v>19.905999999999999</v>
      </c>
      <c r="E1594" s="12">
        <f t="shared" si="32"/>
        <v>24.8825</v>
      </c>
      <c r="F1594" s="50">
        <v>12.063000000000001</v>
      </c>
      <c r="G1594" s="221" t="s">
        <v>35</v>
      </c>
      <c r="H1594" s="208" t="s">
        <v>35</v>
      </c>
      <c r="I1594" s="209" t="s">
        <v>35</v>
      </c>
      <c r="J1594" s="224" t="s">
        <v>35</v>
      </c>
      <c r="K1594" s="222" t="s">
        <v>35</v>
      </c>
      <c r="L1594" s="225" t="s">
        <v>35</v>
      </c>
      <c r="M1594" s="205" t="s">
        <v>35</v>
      </c>
      <c r="N1594" s="206" t="s">
        <v>35</v>
      </c>
      <c r="O1594" s="201" t="s">
        <v>35</v>
      </c>
      <c r="P1594" s="223" t="s">
        <v>35</v>
      </c>
      <c r="Q1594" s="96"/>
    </row>
    <row r="1595" spans="1:17" ht="14.25" customHeight="1" x14ac:dyDescent="0.35">
      <c r="A1595" s="1">
        <v>2020</v>
      </c>
      <c r="B1595" s="1" t="s">
        <v>27</v>
      </c>
      <c r="C1595" s="1">
        <v>12</v>
      </c>
      <c r="D1595" s="49">
        <v>63.125</v>
      </c>
      <c r="E1595" s="12">
        <f t="shared" si="32"/>
        <v>78.90625</v>
      </c>
      <c r="F1595" s="50">
        <v>53.655999999999999</v>
      </c>
      <c r="G1595" s="169">
        <v>78.959999999999994</v>
      </c>
      <c r="H1595" s="162">
        <v>1781.8109999999999</v>
      </c>
      <c r="I1595" s="163">
        <v>6.9</v>
      </c>
      <c r="J1595" s="16">
        <v>0.151</v>
      </c>
      <c r="K1595" s="170">
        <v>7.6639999999999997</v>
      </c>
      <c r="L1595" s="165">
        <v>37.968000000000004</v>
      </c>
      <c r="M1595" s="13">
        <v>5.258</v>
      </c>
      <c r="N1595" s="171">
        <v>4.4999999999999998E-2</v>
      </c>
      <c r="O1595" s="15">
        <v>108.46299999999999</v>
      </c>
      <c r="P1595" s="172">
        <v>5.1999999999999998E-2</v>
      </c>
      <c r="Q1595" s="96"/>
    </row>
    <row r="1596" spans="1:17" ht="14.25" customHeight="1" x14ac:dyDescent="0.35">
      <c r="A1596" s="1">
        <v>2020</v>
      </c>
      <c r="B1596" s="1" t="s">
        <v>27</v>
      </c>
      <c r="C1596" s="1">
        <v>13</v>
      </c>
      <c r="D1596" s="49">
        <v>89.921999999999997</v>
      </c>
      <c r="E1596" s="12">
        <f t="shared" si="32"/>
        <v>112.4025</v>
      </c>
      <c r="F1596" s="50">
        <v>76.375</v>
      </c>
      <c r="G1596" s="173">
        <v>79.323999999999998</v>
      </c>
      <c r="H1596" s="162">
        <v>1839.82</v>
      </c>
      <c r="I1596" s="163">
        <v>6.9</v>
      </c>
      <c r="J1596" s="16">
        <v>0.14000000000000001</v>
      </c>
      <c r="K1596" s="174">
        <v>7.6429999999999998</v>
      </c>
      <c r="L1596" s="165">
        <v>38.848999999999997</v>
      </c>
      <c r="M1596" s="13">
        <v>5.2679999999999998</v>
      </c>
      <c r="N1596" s="166">
        <v>7.1999999999999995E-2</v>
      </c>
      <c r="O1596" s="15">
        <v>105.7754</v>
      </c>
      <c r="P1596" s="175">
        <v>0.05</v>
      </c>
      <c r="Q1596" s="96"/>
    </row>
    <row r="1597" spans="1:17" ht="14.25" customHeight="1" x14ac:dyDescent="0.35">
      <c r="A1597" s="1">
        <v>2020</v>
      </c>
      <c r="B1597" s="1" t="s">
        <v>27</v>
      </c>
      <c r="C1597" s="1">
        <v>14</v>
      </c>
      <c r="D1597" s="49">
        <v>112.922</v>
      </c>
      <c r="E1597" s="12">
        <f t="shared" si="32"/>
        <v>141.1525</v>
      </c>
      <c r="F1597" s="50">
        <v>96.093999999999994</v>
      </c>
      <c r="G1597" s="161">
        <v>79.655000000000001</v>
      </c>
      <c r="H1597" s="162">
        <v>1839.796</v>
      </c>
      <c r="I1597" s="163">
        <v>6.9</v>
      </c>
      <c r="J1597" s="16">
        <v>0.13700000000000001</v>
      </c>
      <c r="K1597" s="174">
        <v>7.6840000000000002</v>
      </c>
      <c r="L1597" s="176">
        <v>36.372999999999998</v>
      </c>
      <c r="M1597" s="13">
        <v>5.27</v>
      </c>
      <c r="N1597" s="166">
        <v>7.6999999999999999E-2</v>
      </c>
      <c r="O1597" s="15">
        <v>105.90900000000001</v>
      </c>
      <c r="P1597" s="175">
        <v>4.8000000000000001E-2</v>
      </c>
      <c r="Q1597" s="96"/>
    </row>
    <row r="1598" spans="1:17" ht="14.25" customHeight="1" x14ac:dyDescent="0.35">
      <c r="A1598" s="1">
        <v>2020</v>
      </c>
      <c r="B1598" s="1" t="s">
        <v>27</v>
      </c>
      <c r="C1598" s="1">
        <v>15</v>
      </c>
      <c r="D1598" s="49">
        <v>112.375</v>
      </c>
      <c r="E1598" s="12">
        <f t="shared" si="32"/>
        <v>140.46875</v>
      </c>
      <c r="F1598" s="50">
        <v>95.5</v>
      </c>
      <c r="G1598" s="161">
        <v>79.471999999999994</v>
      </c>
      <c r="H1598" s="162">
        <v>1820.6659999999999</v>
      </c>
      <c r="I1598" s="163">
        <v>6.9</v>
      </c>
      <c r="J1598" s="16">
        <v>0.126</v>
      </c>
      <c r="K1598" s="170">
        <v>7.7889999999999997</v>
      </c>
      <c r="L1598" s="165">
        <v>35.927</v>
      </c>
      <c r="M1598" s="13">
        <v>5.3079999999999998</v>
      </c>
      <c r="N1598" s="166">
        <v>7.6999999999999999E-2</v>
      </c>
      <c r="O1598" s="15">
        <v>97.590999999999994</v>
      </c>
      <c r="P1598" s="172">
        <v>0.05</v>
      </c>
      <c r="Q1598" s="96"/>
    </row>
    <row r="1599" spans="1:17" ht="14.25" customHeight="1" x14ac:dyDescent="0.35">
      <c r="A1599" s="1">
        <v>2020</v>
      </c>
      <c r="B1599" s="1" t="s">
        <v>27</v>
      </c>
      <c r="C1599" s="1">
        <v>16</v>
      </c>
      <c r="D1599" s="49">
        <v>111.813</v>
      </c>
      <c r="E1599" s="12">
        <f t="shared" si="32"/>
        <v>139.76625000000001</v>
      </c>
      <c r="F1599" s="50">
        <v>95</v>
      </c>
      <c r="G1599" s="161">
        <v>79.828000000000003</v>
      </c>
      <c r="H1599" s="162">
        <v>1761.4190000000001</v>
      </c>
      <c r="I1599" s="163">
        <v>6.9</v>
      </c>
      <c r="J1599" s="16">
        <v>0.12</v>
      </c>
      <c r="K1599" s="174">
        <v>7.6630000000000003</v>
      </c>
      <c r="L1599" s="162">
        <v>34.139000000000003</v>
      </c>
      <c r="M1599" s="163">
        <v>5.3310000000000004</v>
      </c>
      <c r="N1599" s="166">
        <v>8.1000000000000003E-2</v>
      </c>
      <c r="O1599" s="15">
        <v>91.9</v>
      </c>
      <c r="P1599" s="175">
        <v>4.7E-2</v>
      </c>
      <c r="Q1599" s="96"/>
    </row>
    <row r="1600" spans="1:17" ht="14.25" customHeight="1" x14ac:dyDescent="0.35">
      <c r="A1600" s="1">
        <v>2020</v>
      </c>
      <c r="B1600" s="1" t="s">
        <v>27</v>
      </c>
      <c r="C1600" s="1">
        <v>17</v>
      </c>
      <c r="D1600" s="49">
        <v>105.96899999999999</v>
      </c>
      <c r="E1600" s="12">
        <f t="shared" si="32"/>
        <v>132.46125000000001</v>
      </c>
      <c r="F1600" s="50">
        <v>90.031000000000006</v>
      </c>
      <c r="G1600" s="161">
        <v>79.626999999999995</v>
      </c>
      <c r="H1600" s="162">
        <v>1682.0920000000001</v>
      </c>
      <c r="I1600" s="163">
        <v>6.9</v>
      </c>
      <c r="J1600" s="16">
        <v>0.12</v>
      </c>
      <c r="K1600" s="164">
        <v>7.4409999999999998</v>
      </c>
      <c r="L1600" s="165">
        <v>33.523000000000003</v>
      </c>
      <c r="M1600" s="13">
        <v>5.34</v>
      </c>
      <c r="N1600" s="166">
        <v>8.4000000000000005E-2</v>
      </c>
      <c r="O1600" s="15">
        <v>90.510999999999996</v>
      </c>
      <c r="P1600" s="167">
        <v>4.2999999999999997E-2</v>
      </c>
      <c r="Q1600" s="96"/>
    </row>
    <row r="1601" spans="1:17" ht="14.25" customHeight="1" x14ac:dyDescent="0.35">
      <c r="A1601" s="1">
        <v>2020</v>
      </c>
      <c r="B1601" s="1" t="s">
        <v>27</v>
      </c>
      <c r="C1601" s="1">
        <v>18</v>
      </c>
      <c r="D1601" s="49">
        <v>109.84399999999999</v>
      </c>
      <c r="E1601" s="12">
        <f t="shared" si="32"/>
        <v>137.30500000000001</v>
      </c>
      <c r="F1601" s="50">
        <v>93.375</v>
      </c>
      <c r="G1601" s="161">
        <v>79.194999999999993</v>
      </c>
      <c r="H1601" s="162">
        <v>1626.319</v>
      </c>
      <c r="I1601" s="163">
        <v>6.9</v>
      </c>
      <c r="J1601" s="16">
        <v>0.115</v>
      </c>
      <c r="K1601" s="164">
        <v>7.492</v>
      </c>
      <c r="L1601" s="162">
        <v>31.891999999999999</v>
      </c>
      <c r="M1601" s="163">
        <v>5.3380000000000001</v>
      </c>
      <c r="N1601" s="166">
        <v>8.7999999999999995E-2</v>
      </c>
      <c r="O1601" s="15">
        <v>90.468999999999994</v>
      </c>
      <c r="P1601" s="167">
        <v>4.1000000000000002E-2</v>
      </c>
      <c r="Q1601" s="96"/>
    </row>
    <row r="1602" spans="1:17" ht="14.25" customHeight="1" x14ac:dyDescent="0.35">
      <c r="A1602" s="1">
        <v>2020</v>
      </c>
      <c r="B1602" s="1" t="s">
        <v>27</v>
      </c>
      <c r="C1602" s="1">
        <v>19</v>
      </c>
      <c r="D1602" s="49">
        <v>111.672</v>
      </c>
      <c r="E1602" s="12">
        <f t="shared" si="32"/>
        <v>139.59</v>
      </c>
      <c r="F1602" s="50">
        <v>95</v>
      </c>
      <c r="G1602" s="161">
        <v>79.075000000000003</v>
      </c>
      <c r="H1602" s="162">
        <v>1781.732</v>
      </c>
      <c r="I1602" s="163">
        <v>6.9</v>
      </c>
      <c r="J1602" s="16">
        <v>9.8000000000000004E-2</v>
      </c>
      <c r="K1602" s="164">
        <v>7.782</v>
      </c>
      <c r="L1602" s="165">
        <v>34.103000000000002</v>
      </c>
      <c r="M1602" s="13">
        <v>5.3289999999999997</v>
      </c>
      <c r="N1602" s="166">
        <v>9.0999999999999998E-2</v>
      </c>
      <c r="O1602" s="15">
        <v>92.344999999999999</v>
      </c>
      <c r="P1602" s="167">
        <v>4.5999999999999999E-2</v>
      </c>
      <c r="Q1602" s="96"/>
    </row>
    <row r="1603" spans="1:17" ht="14.25" customHeight="1" x14ac:dyDescent="0.35">
      <c r="A1603" s="1">
        <v>2020</v>
      </c>
      <c r="B1603" s="1" t="s">
        <v>27</v>
      </c>
      <c r="C1603" s="1">
        <v>20</v>
      </c>
      <c r="D1603" s="49">
        <v>110.203</v>
      </c>
      <c r="E1603" s="12">
        <f t="shared" si="32"/>
        <v>137.75375</v>
      </c>
      <c r="F1603" s="50">
        <v>93.843999999999994</v>
      </c>
      <c r="G1603" s="161">
        <v>79.352999999999994</v>
      </c>
      <c r="H1603" s="162">
        <v>1817.5170000000001</v>
      </c>
      <c r="I1603" s="163">
        <v>6.9</v>
      </c>
      <c r="J1603" s="16">
        <v>0.10100000000000001</v>
      </c>
      <c r="K1603" s="164">
        <v>7.5880000000000001</v>
      </c>
      <c r="L1603" s="162">
        <v>35.197000000000003</v>
      </c>
      <c r="M1603" s="163">
        <v>5.3369999999999997</v>
      </c>
      <c r="N1603" s="166">
        <v>9.1999999999999998E-2</v>
      </c>
      <c r="O1603" s="15">
        <v>91.146000000000001</v>
      </c>
      <c r="P1603" s="167">
        <v>4.7E-2</v>
      </c>
      <c r="Q1603" s="96"/>
    </row>
    <row r="1604" spans="1:17" ht="14.25" customHeight="1" x14ac:dyDescent="0.35">
      <c r="A1604" s="1">
        <v>2020</v>
      </c>
      <c r="B1604" s="1" t="s">
        <v>27</v>
      </c>
      <c r="C1604" s="1">
        <v>21</v>
      </c>
      <c r="D1604" s="49">
        <v>113.46899999999999</v>
      </c>
      <c r="E1604" s="12">
        <f t="shared" si="32"/>
        <v>141.83625000000001</v>
      </c>
      <c r="F1604" s="50">
        <v>96.625</v>
      </c>
      <c r="G1604" s="161">
        <v>79.828000000000003</v>
      </c>
      <c r="H1604" s="162">
        <v>1819.9079999999999</v>
      </c>
      <c r="I1604" s="163">
        <v>6.899</v>
      </c>
      <c r="J1604" s="16">
        <v>0.10299999999999999</v>
      </c>
      <c r="K1604" s="164">
        <v>7.4359999999999999</v>
      </c>
      <c r="L1604" s="165">
        <v>35.148000000000003</v>
      </c>
      <c r="M1604" s="13">
        <v>5.45</v>
      </c>
      <c r="N1604" s="166">
        <v>9.1999999999999998E-2</v>
      </c>
      <c r="O1604" s="15">
        <v>72.397000000000006</v>
      </c>
      <c r="P1604" s="167">
        <v>4.4999999999999998E-2</v>
      </c>
      <c r="Q1604" s="96"/>
    </row>
    <row r="1605" spans="1:17" ht="14.25" customHeight="1" x14ac:dyDescent="0.35">
      <c r="A1605" s="1">
        <v>2020</v>
      </c>
      <c r="B1605" s="1" t="s">
        <v>27</v>
      </c>
      <c r="C1605" s="1">
        <v>22</v>
      </c>
      <c r="D1605" s="49">
        <v>111.73399999999999</v>
      </c>
      <c r="E1605" s="12">
        <f t="shared" si="32"/>
        <v>139.66749999999999</v>
      </c>
      <c r="F1605" s="50">
        <v>95.093999999999994</v>
      </c>
      <c r="G1605" s="161">
        <v>79.641000000000005</v>
      </c>
      <c r="H1605" s="162">
        <v>1786.6980000000001</v>
      </c>
      <c r="I1605" s="163">
        <v>6.9</v>
      </c>
      <c r="J1605" s="16">
        <v>0.105</v>
      </c>
      <c r="K1605" s="164">
        <v>7.2889999999999997</v>
      </c>
      <c r="L1605" s="162">
        <v>34.204999999999998</v>
      </c>
      <c r="M1605" s="163">
        <v>5.5149999999999997</v>
      </c>
      <c r="N1605" s="166">
        <v>9.4E-2</v>
      </c>
      <c r="O1605" s="15">
        <v>60.344000000000001</v>
      </c>
      <c r="P1605" s="167">
        <v>4.4999999999999998E-2</v>
      </c>
      <c r="Q1605" s="96"/>
    </row>
    <row r="1606" spans="1:17" ht="14.25" customHeight="1" x14ac:dyDescent="0.35">
      <c r="A1606" s="1">
        <v>2020</v>
      </c>
      <c r="B1606" s="1" t="s">
        <v>27</v>
      </c>
      <c r="C1606" s="1">
        <v>23</v>
      </c>
      <c r="D1606" s="49">
        <v>108.98399999999999</v>
      </c>
      <c r="E1606" s="32">
        <v>138.34</v>
      </c>
      <c r="F1606" s="50">
        <v>92.781000000000006</v>
      </c>
      <c r="G1606" s="161">
        <v>79.346999999999994</v>
      </c>
      <c r="H1606" s="162">
        <v>1736.23</v>
      </c>
      <c r="I1606" s="163">
        <v>6.9</v>
      </c>
      <c r="J1606" s="16">
        <v>0.113</v>
      </c>
      <c r="K1606" s="164">
        <v>7.2690000000000001</v>
      </c>
      <c r="L1606" s="165">
        <v>34.234999999999999</v>
      </c>
      <c r="M1606" s="13">
        <v>5.5119999999999996</v>
      </c>
      <c r="N1606" s="166">
        <v>9.6000000000000002E-2</v>
      </c>
      <c r="O1606" s="15">
        <v>60.639000000000003</v>
      </c>
      <c r="P1606" s="167">
        <v>4.3999999999999997E-2</v>
      </c>
      <c r="Q1606" s="96"/>
    </row>
    <row r="1607" spans="1:17" ht="14.25" customHeight="1" x14ac:dyDescent="0.35">
      <c r="A1607" s="1">
        <v>2020</v>
      </c>
      <c r="B1607" s="1" t="s">
        <v>27</v>
      </c>
      <c r="C1607" s="1">
        <v>24</v>
      </c>
      <c r="D1607" s="49">
        <v>106.047</v>
      </c>
      <c r="E1607" s="12">
        <f t="shared" ref="E1607:E1654" si="33">D1607*1.25</f>
        <v>132.55875</v>
      </c>
      <c r="F1607" s="50">
        <v>90.375</v>
      </c>
      <c r="G1607" s="161">
        <v>79.709000000000003</v>
      </c>
      <c r="H1607" s="162">
        <v>1651.424</v>
      </c>
      <c r="I1607" s="163">
        <v>6.9</v>
      </c>
      <c r="J1607" s="16">
        <v>0.109</v>
      </c>
      <c r="K1607" s="164">
        <v>7.1180000000000003</v>
      </c>
      <c r="L1607" s="162">
        <v>34.296999999999997</v>
      </c>
      <c r="M1607" s="163">
        <v>5.524</v>
      </c>
      <c r="N1607" s="166">
        <v>9.7000000000000003E-2</v>
      </c>
      <c r="O1607" s="15">
        <v>59.134999999999998</v>
      </c>
      <c r="P1607" s="167">
        <v>4.2999999999999997E-2</v>
      </c>
      <c r="Q1607" s="96"/>
    </row>
    <row r="1608" spans="1:17" ht="14.25" customHeight="1" x14ac:dyDescent="0.35">
      <c r="A1608" s="1">
        <v>2020</v>
      </c>
      <c r="B1608" s="1" t="s">
        <v>27</v>
      </c>
      <c r="C1608" s="1">
        <v>25</v>
      </c>
      <c r="D1608" s="49">
        <v>105.953</v>
      </c>
      <c r="E1608" s="12">
        <f t="shared" si="33"/>
        <v>132.44125</v>
      </c>
      <c r="F1608" s="50">
        <v>90.156000000000006</v>
      </c>
      <c r="G1608" s="161">
        <v>79.924999999999997</v>
      </c>
      <c r="H1608" s="162">
        <v>1623.0350000000001</v>
      </c>
      <c r="I1608" s="163">
        <v>6.9</v>
      </c>
      <c r="J1608" s="16">
        <v>0.112</v>
      </c>
      <c r="K1608" s="164">
        <v>7.0990000000000002</v>
      </c>
      <c r="L1608" s="165">
        <v>34.354999999999997</v>
      </c>
      <c r="M1608" s="13">
        <v>5.5350000000000001</v>
      </c>
      <c r="N1608" s="166">
        <v>9.4E-2</v>
      </c>
      <c r="O1608" s="15">
        <v>57.948999999999998</v>
      </c>
      <c r="P1608" s="167">
        <v>4.1000000000000002E-2</v>
      </c>
      <c r="Q1608" s="96"/>
    </row>
    <row r="1609" spans="1:17" ht="14.25" customHeight="1" x14ac:dyDescent="0.35">
      <c r="A1609" s="1">
        <v>2020</v>
      </c>
      <c r="B1609" s="1" t="s">
        <v>27</v>
      </c>
      <c r="C1609" s="1">
        <v>26</v>
      </c>
      <c r="D1609" s="49">
        <v>107.703</v>
      </c>
      <c r="E1609" s="12">
        <f t="shared" si="33"/>
        <v>134.62875</v>
      </c>
      <c r="F1609" s="50">
        <v>91.688000000000002</v>
      </c>
      <c r="G1609" s="161">
        <v>80.122</v>
      </c>
      <c r="H1609" s="162">
        <v>1624.34</v>
      </c>
      <c r="I1609" s="163">
        <v>6.9</v>
      </c>
      <c r="J1609" s="16">
        <v>0.111</v>
      </c>
      <c r="K1609" s="164">
        <v>7.4349999999999996</v>
      </c>
      <c r="L1609" s="162">
        <v>36.601999999999997</v>
      </c>
      <c r="M1609" s="163">
        <v>5.55</v>
      </c>
      <c r="N1609" s="166">
        <v>9.6000000000000002E-2</v>
      </c>
      <c r="O1609" s="15">
        <v>55.738999999999997</v>
      </c>
      <c r="P1609" s="167">
        <v>4.4999999999999998E-2</v>
      </c>
      <c r="Q1609" s="96"/>
    </row>
    <row r="1610" spans="1:17" ht="14.25" customHeight="1" x14ac:dyDescent="0.35">
      <c r="A1610" s="1">
        <v>2020</v>
      </c>
      <c r="B1610" s="1" t="s">
        <v>27</v>
      </c>
      <c r="C1610" s="1">
        <v>27</v>
      </c>
      <c r="D1610" s="49">
        <v>109.96899999999999</v>
      </c>
      <c r="E1610" s="12">
        <f t="shared" si="33"/>
        <v>137.46125000000001</v>
      </c>
      <c r="F1610" s="50">
        <v>93.593999999999994</v>
      </c>
      <c r="G1610" s="161">
        <v>80.182000000000002</v>
      </c>
      <c r="H1610" s="162">
        <v>1763.3589999999999</v>
      </c>
      <c r="I1610" s="163">
        <v>6.9</v>
      </c>
      <c r="J1610" s="16">
        <v>0.105</v>
      </c>
      <c r="K1610" s="164">
        <v>7.5369999999999999</v>
      </c>
      <c r="L1610" s="165">
        <v>38.094999999999999</v>
      </c>
      <c r="M1610" s="13">
        <v>5.5270000000000001</v>
      </c>
      <c r="N1610" s="166">
        <v>8.1000000000000003E-2</v>
      </c>
      <c r="O1610" s="15">
        <v>58.567999999999998</v>
      </c>
      <c r="P1610" s="167">
        <v>5.5E-2</v>
      </c>
      <c r="Q1610" s="96"/>
    </row>
    <row r="1611" spans="1:17" ht="14.25" customHeight="1" x14ac:dyDescent="0.35">
      <c r="A1611" s="1">
        <v>2020</v>
      </c>
      <c r="B1611" s="1" t="s">
        <v>27</v>
      </c>
      <c r="C1611" s="1">
        <v>28</v>
      </c>
      <c r="D1611" s="49">
        <v>110.422</v>
      </c>
      <c r="E1611" s="12">
        <f t="shared" si="33"/>
        <v>138.0275</v>
      </c>
      <c r="F1611" s="50">
        <v>93.968999999999994</v>
      </c>
      <c r="G1611" s="161">
        <v>80.201999999999998</v>
      </c>
      <c r="H1611" s="162">
        <v>1818.7739999999999</v>
      </c>
      <c r="I1611" s="163">
        <v>6.9</v>
      </c>
      <c r="J1611" s="16">
        <v>0.112</v>
      </c>
      <c r="K1611" s="164">
        <v>7.4329999999999998</v>
      </c>
      <c r="L1611" s="162">
        <v>39.802</v>
      </c>
      <c r="M1611" s="163">
        <v>5.5270000000000001</v>
      </c>
      <c r="N1611" s="226">
        <v>0.04</v>
      </c>
      <c r="O1611" s="15">
        <v>58.680999999999997</v>
      </c>
      <c r="P1611" s="167">
        <v>5.1999999999999998E-2</v>
      </c>
      <c r="Q1611" s="96"/>
    </row>
    <row r="1612" spans="1:17" ht="14.25" customHeight="1" x14ac:dyDescent="0.35">
      <c r="A1612" s="1">
        <v>2020</v>
      </c>
      <c r="B1612" s="1" t="s">
        <v>27</v>
      </c>
      <c r="C1612" s="1">
        <v>29</v>
      </c>
      <c r="D1612" s="49">
        <v>108.313</v>
      </c>
      <c r="E1612" s="12">
        <f t="shared" si="33"/>
        <v>135.39125000000001</v>
      </c>
      <c r="F1612" s="50">
        <v>92.063000000000002</v>
      </c>
      <c r="G1612" s="187">
        <v>80.13</v>
      </c>
      <c r="H1612" s="22">
        <v>1828.0340000000001</v>
      </c>
      <c r="I1612" s="13">
        <v>6.9</v>
      </c>
      <c r="J1612" s="166">
        <v>0.11600000000000001</v>
      </c>
      <c r="K1612" s="188">
        <v>7.4359999999999999</v>
      </c>
      <c r="L1612" s="162">
        <v>40.281999999999996</v>
      </c>
      <c r="M1612" s="163">
        <v>5.5430000000000001</v>
      </c>
      <c r="N1612" s="166">
        <v>1.2E-2</v>
      </c>
      <c r="O1612" s="15">
        <v>56.866999999999997</v>
      </c>
      <c r="P1612" s="227">
        <v>5.1999999999999998E-2</v>
      </c>
      <c r="Q1612" s="96"/>
    </row>
    <row r="1613" spans="1:17" ht="14.25" customHeight="1" x14ac:dyDescent="0.35">
      <c r="A1613" s="1">
        <v>2020</v>
      </c>
      <c r="B1613" s="1" t="s">
        <v>27</v>
      </c>
      <c r="C1613" s="1">
        <v>30</v>
      </c>
      <c r="D1613" s="49">
        <v>106.90600000000001</v>
      </c>
      <c r="E1613" s="12">
        <f t="shared" si="33"/>
        <v>133.63249999999999</v>
      </c>
      <c r="F1613" s="50">
        <v>90.938000000000002</v>
      </c>
      <c r="G1613" s="187">
        <v>80.204999999999998</v>
      </c>
      <c r="H1613" s="22">
        <v>1749.0830000000001</v>
      </c>
      <c r="I1613" s="13">
        <v>6.9</v>
      </c>
      <c r="J1613" s="166">
        <v>0.109</v>
      </c>
      <c r="K1613" s="188">
        <v>7.2930000000000001</v>
      </c>
      <c r="L1613" s="162">
        <v>39.003999999999998</v>
      </c>
      <c r="M1613" s="163">
        <v>5.5570000000000004</v>
      </c>
      <c r="N1613" s="166">
        <v>1.0999999999999999E-2</v>
      </c>
      <c r="O1613" s="15">
        <v>55.067</v>
      </c>
      <c r="P1613" s="227">
        <v>0.06</v>
      </c>
      <c r="Q1613" s="96"/>
    </row>
    <row r="1614" spans="1:17" ht="14.25" customHeight="1" x14ac:dyDescent="0.35">
      <c r="A1614" s="1">
        <v>2020</v>
      </c>
      <c r="B1614" s="1" t="s">
        <v>27</v>
      </c>
      <c r="C1614" s="1">
        <v>31</v>
      </c>
      <c r="D1614" s="104">
        <v>105.90600000000001</v>
      </c>
      <c r="E1614" s="12">
        <f t="shared" si="33"/>
        <v>132.38249999999999</v>
      </c>
      <c r="F1614" s="105">
        <v>90.188000000000002</v>
      </c>
      <c r="G1614" s="228">
        <v>80.111999999999995</v>
      </c>
      <c r="H1614" s="229">
        <v>1647.1569999999999</v>
      </c>
      <c r="I1614" s="230">
        <v>6.9</v>
      </c>
      <c r="J1614" s="231">
        <v>0.114</v>
      </c>
      <c r="K1614" s="232">
        <v>7.38</v>
      </c>
      <c r="L1614" s="162">
        <v>36.368000000000002</v>
      </c>
      <c r="M1614" s="16">
        <v>5.5609999999999999</v>
      </c>
      <c r="N1614" s="166">
        <v>1.0999999999999999E-2</v>
      </c>
      <c r="O1614" s="15">
        <v>54.381999999999998</v>
      </c>
      <c r="P1614" s="233">
        <v>5.1999999999999998E-2</v>
      </c>
      <c r="Q1614" s="96"/>
    </row>
    <row r="1615" spans="1:17" ht="14.25" customHeight="1" x14ac:dyDescent="0.35">
      <c r="A1615" s="1">
        <v>2020</v>
      </c>
      <c r="B1615" s="1" t="s">
        <v>28</v>
      </c>
      <c r="C1615" s="1">
        <v>1</v>
      </c>
      <c r="D1615" s="49">
        <v>104.797</v>
      </c>
      <c r="E1615" s="12">
        <f t="shared" si="33"/>
        <v>130.99625</v>
      </c>
      <c r="F1615" s="50">
        <v>89.188000000000002</v>
      </c>
      <c r="G1615" s="156">
        <v>80.414000000000001</v>
      </c>
      <c r="H1615" s="157">
        <v>1611.5409999999999</v>
      </c>
      <c r="I1615" s="44">
        <v>6.9</v>
      </c>
      <c r="J1615" s="45">
        <v>0.11</v>
      </c>
      <c r="K1615" s="234">
        <v>7.7690000000000001</v>
      </c>
      <c r="L1615" s="157">
        <v>36.835000000000001</v>
      </c>
      <c r="M1615" s="45">
        <v>5.5720000000000001</v>
      </c>
      <c r="N1615" s="159">
        <v>1.0999999999999999E-2</v>
      </c>
      <c r="O1615" s="15">
        <v>52.902000000000001</v>
      </c>
      <c r="P1615" s="235">
        <v>5.6000000000000001E-2</v>
      </c>
      <c r="Q1615" s="96"/>
    </row>
    <row r="1616" spans="1:17" ht="14.25" customHeight="1" x14ac:dyDescent="0.35">
      <c r="A1616" s="1">
        <v>2020</v>
      </c>
      <c r="B1616" s="1" t="s">
        <v>28</v>
      </c>
      <c r="C1616" s="1">
        <v>2</v>
      </c>
      <c r="D1616" s="49">
        <v>107.063</v>
      </c>
      <c r="E1616" s="12">
        <f t="shared" si="33"/>
        <v>133.82875000000001</v>
      </c>
      <c r="F1616" s="50">
        <v>91.188000000000002</v>
      </c>
      <c r="G1616" s="161">
        <v>80.620999999999995</v>
      </c>
      <c r="H1616" s="162">
        <v>1753.0429999999999</v>
      </c>
      <c r="I1616" s="163">
        <v>6.9</v>
      </c>
      <c r="J1616" s="16">
        <v>0.105</v>
      </c>
      <c r="K1616" s="164">
        <v>7.9589999999999996</v>
      </c>
      <c r="L1616" s="165">
        <v>39.457999999999998</v>
      </c>
      <c r="M1616" s="13">
        <v>5.569</v>
      </c>
      <c r="N1616" s="166">
        <v>1.0999999999999999E-2</v>
      </c>
      <c r="O1616" s="15">
        <v>53.323999999999998</v>
      </c>
      <c r="P1616" s="167">
        <v>6.2E-2</v>
      </c>
      <c r="Q1616" s="96"/>
    </row>
    <row r="1617" spans="1:17" ht="14.25" customHeight="1" x14ac:dyDescent="0.35">
      <c r="A1617" s="1">
        <v>2020</v>
      </c>
      <c r="B1617" s="1" t="s">
        <v>28</v>
      </c>
      <c r="C1617" s="1">
        <v>3</v>
      </c>
      <c r="D1617" s="49">
        <v>109.09399999999999</v>
      </c>
      <c r="E1617" s="12">
        <f t="shared" si="33"/>
        <v>136.36750000000001</v>
      </c>
      <c r="F1617" s="50">
        <v>92.968999999999994</v>
      </c>
      <c r="G1617" s="161">
        <v>81.228999999999999</v>
      </c>
      <c r="H1617" s="162">
        <v>1804.902</v>
      </c>
      <c r="I1617" s="163">
        <v>6.9</v>
      </c>
      <c r="J1617" s="16">
        <v>0.10100000000000001</v>
      </c>
      <c r="K1617" s="164">
        <v>7.8490000000000002</v>
      </c>
      <c r="L1617" s="165">
        <v>40.634</v>
      </c>
      <c r="M1617" s="13">
        <v>5.5679999999999996</v>
      </c>
      <c r="N1617" s="166">
        <v>1.0999999999999999E-2</v>
      </c>
      <c r="O1617" s="15">
        <v>53.569000000000003</v>
      </c>
      <c r="P1617" s="167">
        <v>6.5000000000000002E-2</v>
      </c>
      <c r="Q1617" s="96"/>
    </row>
    <row r="1618" spans="1:17" ht="14.25" customHeight="1" x14ac:dyDescent="0.35">
      <c r="A1618" s="1">
        <v>2020</v>
      </c>
      <c r="B1618" s="1" t="s">
        <v>28</v>
      </c>
      <c r="C1618" s="1">
        <v>4</v>
      </c>
      <c r="D1618" s="49">
        <v>107.297</v>
      </c>
      <c r="E1618" s="12">
        <f t="shared" si="33"/>
        <v>134.12125</v>
      </c>
      <c r="F1618" s="50">
        <v>91.438000000000002</v>
      </c>
      <c r="G1618" s="161">
        <v>80.688000000000002</v>
      </c>
      <c r="H1618" s="162">
        <v>1851.5740000000001</v>
      </c>
      <c r="I1618" s="163">
        <v>6.9</v>
      </c>
      <c r="J1618" s="16">
        <v>0.11</v>
      </c>
      <c r="K1618" s="164">
        <v>7.7549999999999999</v>
      </c>
      <c r="L1618" s="165">
        <v>41.753999999999998</v>
      </c>
      <c r="M1618" s="13">
        <v>5.5439999999999996</v>
      </c>
      <c r="N1618" s="166">
        <v>1.0999999999999999E-2</v>
      </c>
      <c r="O1618" s="15">
        <v>56.304000000000002</v>
      </c>
      <c r="P1618" s="167">
        <v>6.6000000000000003E-2</v>
      </c>
      <c r="Q1618" s="96"/>
    </row>
    <row r="1619" spans="1:17" ht="14.25" customHeight="1" x14ac:dyDescent="0.35">
      <c r="A1619" s="1">
        <v>2020</v>
      </c>
      <c r="B1619" s="1" t="s">
        <v>28</v>
      </c>
      <c r="C1619" s="1">
        <v>5</v>
      </c>
      <c r="D1619" s="49">
        <v>109.172</v>
      </c>
      <c r="E1619" s="12">
        <f t="shared" si="33"/>
        <v>136.465</v>
      </c>
      <c r="F1619" s="50">
        <v>92.906000000000006</v>
      </c>
      <c r="G1619" s="161">
        <v>80.744</v>
      </c>
      <c r="H1619" s="162">
        <v>1815.548</v>
      </c>
      <c r="I1619" s="163">
        <v>6.9</v>
      </c>
      <c r="J1619" s="16">
        <v>0.107</v>
      </c>
      <c r="K1619" s="164">
        <v>7.3689999999999998</v>
      </c>
      <c r="L1619" s="165">
        <v>39.729999999999997</v>
      </c>
      <c r="M1619" s="13">
        <v>5.4939999999999998</v>
      </c>
      <c r="N1619" s="166">
        <v>1.0999999999999999E-2</v>
      </c>
      <c r="O1619" s="15">
        <v>63.207000000000001</v>
      </c>
      <c r="P1619" s="167">
        <v>5.7000000000000002E-2</v>
      </c>
      <c r="Q1619" s="96"/>
    </row>
    <row r="1620" spans="1:17" ht="14.25" customHeight="1" x14ac:dyDescent="0.35">
      <c r="A1620" s="1">
        <v>2020</v>
      </c>
      <c r="B1620" s="1" t="s">
        <v>28</v>
      </c>
      <c r="C1620" s="1">
        <v>6</v>
      </c>
      <c r="D1620" s="49">
        <v>108.73399999999999</v>
      </c>
      <c r="E1620" s="12">
        <f t="shared" si="33"/>
        <v>135.91749999999999</v>
      </c>
      <c r="F1620" s="50">
        <v>92.593999999999994</v>
      </c>
      <c r="G1620" s="161">
        <v>80.83</v>
      </c>
      <c r="H1620" s="162">
        <v>1725.9749999999999</v>
      </c>
      <c r="I1620" s="163">
        <v>6.9</v>
      </c>
      <c r="J1620" s="16">
        <v>0.10100000000000001</v>
      </c>
      <c r="K1620" s="164">
        <v>7.0529999999999999</v>
      </c>
      <c r="L1620" s="165">
        <v>37.444000000000003</v>
      </c>
      <c r="M1620" s="13">
        <v>5.4050000000000002</v>
      </c>
      <c r="N1620" s="166">
        <v>1.0999999999999999E-2</v>
      </c>
      <c r="O1620" s="15">
        <v>77.956000000000003</v>
      </c>
      <c r="P1620" s="167">
        <v>5.2999999999999999E-2</v>
      </c>
      <c r="Q1620" s="96"/>
    </row>
    <row r="1621" spans="1:17" ht="14.25" customHeight="1" x14ac:dyDescent="0.35">
      <c r="A1621" s="1">
        <v>2020</v>
      </c>
      <c r="B1621" s="1" t="s">
        <v>28</v>
      </c>
      <c r="C1621" s="1">
        <v>7</v>
      </c>
      <c r="D1621" s="49">
        <v>103.688</v>
      </c>
      <c r="E1621" s="12">
        <f t="shared" si="33"/>
        <v>129.61000000000001</v>
      </c>
      <c r="F1621" s="50">
        <v>88.343999999999994</v>
      </c>
      <c r="G1621" s="161">
        <v>80.731999999999999</v>
      </c>
      <c r="H1621" s="162">
        <v>1636.694</v>
      </c>
      <c r="I1621" s="163">
        <v>6.9</v>
      </c>
      <c r="J1621" s="16">
        <v>0.111</v>
      </c>
      <c r="K1621" s="164">
        <v>7.0090000000000003</v>
      </c>
      <c r="L1621" s="165">
        <v>36.725999999999999</v>
      </c>
      <c r="M1621" s="13">
        <v>5.42</v>
      </c>
      <c r="N1621" s="166">
        <v>1.0999999999999999E-2</v>
      </c>
      <c r="O1621" s="15">
        <v>75.085999999999999</v>
      </c>
      <c r="P1621" s="167">
        <v>5.2999999999999999E-2</v>
      </c>
      <c r="Q1621" s="96"/>
    </row>
    <row r="1622" spans="1:17" ht="14.25" customHeight="1" x14ac:dyDescent="0.35">
      <c r="A1622" s="1">
        <v>2020</v>
      </c>
      <c r="B1622" s="1" t="s">
        <v>28</v>
      </c>
      <c r="C1622" s="1">
        <v>8</v>
      </c>
      <c r="D1622" s="49">
        <v>106</v>
      </c>
      <c r="E1622" s="12">
        <f t="shared" si="33"/>
        <v>132.5</v>
      </c>
      <c r="F1622" s="50">
        <v>90.25</v>
      </c>
      <c r="G1622" s="161">
        <v>80.87</v>
      </c>
      <c r="H1622" s="22">
        <v>1627.877</v>
      </c>
      <c r="I1622" s="163">
        <v>6.9</v>
      </c>
      <c r="J1622" s="16">
        <v>0.106</v>
      </c>
      <c r="K1622" s="168">
        <v>7.0519999999999996</v>
      </c>
      <c r="L1622" s="165">
        <v>35.222999999999999</v>
      </c>
      <c r="M1622" s="13">
        <v>5.4210000000000003</v>
      </c>
      <c r="N1622" s="166">
        <v>1.0999999999999999E-2</v>
      </c>
      <c r="O1622" s="15">
        <v>75.066000000000003</v>
      </c>
      <c r="P1622" s="192">
        <v>4.9000000000000002E-2</v>
      </c>
      <c r="Q1622" s="96"/>
    </row>
    <row r="1623" spans="1:17" ht="14.25" customHeight="1" x14ac:dyDescent="0.35">
      <c r="A1623" s="1">
        <v>2020</v>
      </c>
      <c r="B1623" s="1" t="s">
        <v>28</v>
      </c>
      <c r="C1623" s="1">
        <v>9</v>
      </c>
      <c r="D1623" s="49">
        <v>107.875</v>
      </c>
      <c r="E1623" s="12">
        <f t="shared" si="33"/>
        <v>134.84375</v>
      </c>
      <c r="F1623" s="50">
        <v>91.906000000000006</v>
      </c>
      <c r="G1623" s="161">
        <v>81.466999999999999</v>
      </c>
      <c r="H1623" s="162">
        <v>1714.335</v>
      </c>
      <c r="I1623" s="163">
        <v>6.9</v>
      </c>
      <c r="J1623" s="16">
        <v>7.8E-2</v>
      </c>
      <c r="K1623" s="164">
        <v>7.1159999999999997</v>
      </c>
      <c r="L1623" s="165">
        <v>36.795999999999999</v>
      </c>
      <c r="M1623" s="13">
        <v>5.4219999999999997</v>
      </c>
      <c r="N1623" s="166">
        <v>1.0999999999999999E-2</v>
      </c>
      <c r="O1623" s="15">
        <v>74.887</v>
      </c>
      <c r="P1623" s="167">
        <v>5.8000000000000003E-2</v>
      </c>
      <c r="Q1623" s="96"/>
    </row>
    <row r="1624" spans="1:17" ht="14.25" customHeight="1" x14ac:dyDescent="0.35">
      <c r="A1624" s="1">
        <v>2020</v>
      </c>
      <c r="B1624" s="1" t="s">
        <v>28</v>
      </c>
      <c r="C1624" s="1">
        <v>10</v>
      </c>
      <c r="D1624" s="49">
        <v>109.578</v>
      </c>
      <c r="E1624" s="12">
        <f t="shared" si="33"/>
        <v>136.9725</v>
      </c>
      <c r="F1624" s="50">
        <v>93.343999999999994</v>
      </c>
      <c r="G1624" s="169">
        <v>81.700999999999993</v>
      </c>
      <c r="H1624" s="162">
        <v>1783.3889999999999</v>
      </c>
      <c r="I1624" s="163">
        <v>6.9</v>
      </c>
      <c r="J1624" s="236">
        <v>6.3E-2</v>
      </c>
      <c r="K1624" s="170">
        <v>7.08</v>
      </c>
      <c r="L1624" s="165">
        <v>39.353999999999999</v>
      </c>
      <c r="M1624" s="13">
        <v>5.4240000000000004</v>
      </c>
      <c r="N1624" s="171">
        <v>1.0999999999999999E-2</v>
      </c>
      <c r="O1624" s="15">
        <v>74.709999999999994</v>
      </c>
      <c r="P1624" s="172">
        <v>6.4000000000000001E-2</v>
      </c>
      <c r="Q1624" s="96"/>
    </row>
    <row r="1625" spans="1:17" ht="14.25" customHeight="1" x14ac:dyDescent="0.35">
      <c r="A1625" s="1">
        <v>2020</v>
      </c>
      <c r="B1625" s="1" t="s">
        <v>28</v>
      </c>
      <c r="C1625" s="1">
        <v>11</v>
      </c>
      <c r="D1625" s="49">
        <v>110.922</v>
      </c>
      <c r="E1625" s="12">
        <f t="shared" si="33"/>
        <v>138.6525</v>
      </c>
      <c r="F1625" s="50">
        <v>94.438000000000002</v>
      </c>
      <c r="G1625" s="169">
        <v>81.816000000000003</v>
      </c>
      <c r="H1625" s="162">
        <v>1827.3920000000001</v>
      </c>
      <c r="I1625" s="163">
        <v>6.9</v>
      </c>
      <c r="J1625" s="16">
        <v>7.8E-2</v>
      </c>
      <c r="K1625" s="170">
        <v>7.2220000000000004</v>
      </c>
      <c r="L1625" s="165">
        <v>40.671999999999997</v>
      </c>
      <c r="M1625" s="13">
        <v>5.4210000000000003</v>
      </c>
      <c r="N1625" s="171">
        <v>1.0999999999999999E-2</v>
      </c>
      <c r="O1625" s="15">
        <v>75.018000000000001</v>
      </c>
      <c r="P1625" s="172">
        <v>5.8999999999999997E-2</v>
      </c>
      <c r="Q1625" s="96"/>
    </row>
    <row r="1626" spans="1:17" ht="14.25" customHeight="1" x14ac:dyDescent="0.35">
      <c r="A1626" s="1">
        <v>2020</v>
      </c>
      <c r="B1626" s="1" t="s">
        <v>28</v>
      </c>
      <c r="C1626" s="1">
        <v>12</v>
      </c>
      <c r="D1626" s="49">
        <v>111.23399999999999</v>
      </c>
      <c r="E1626" s="12">
        <f t="shared" si="33"/>
        <v>139.04249999999999</v>
      </c>
      <c r="F1626" s="50">
        <v>94.781000000000006</v>
      </c>
      <c r="G1626" s="169">
        <v>81.402000000000001</v>
      </c>
      <c r="H1626" s="162">
        <v>1799.556</v>
      </c>
      <c r="I1626" s="163">
        <v>6.9</v>
      </c>
      <c r="J1626" s="16">
        <v>0.108</v>
      </c>
      <c r="K1626" s="170">
        <v>7.4160000000000004</v>
      </c>
      <c r="L1626" s="165">
        <v>42.856000000000002</v>
      </c>
      <c r="M1626" s="13">
        <v>5.4829999999999997</v>
      </c>
      <c r="N1626" s="171">
        <v>1.0999999999999999E-2</v>
      </c>
      <c r="O1626" s="15">
        <v>66.313000000000002</v>
      </c>
      <c r="P1626" s="172">
        <v>5.8000000000000003E-2</v>
      </c>
      <c r="Q1626" s="96"/>
    </row>
    <row r="1627" spans="1:17" ht="14.25" customHeight="1" x14ac:dyDescent="0.35">
      <c r="A1627" s="1">
        <v>2020</v>
      </c>
      <c r="B1627" s="1" t="s">
        <v>28</v>
      </c>
      <c r="C1627" s="1">
        <v>13</v>
      </c>
      <c r="D1627" s="49">
        <v>107.35899999999999</v>
      </c>
      <c r="E1627" s="12">
        <f t="shared" si="33"/>
        <v>134.19874999999999</v>
      </c>
      <c r="F1627" s="50">
        <v>91.5</v>
      </c>
      <c r="G1627" s="173">
        <v>81.215999999999994</v>
      </c>
      <c r="H1627" s="162">
        <v>1700.277</v>
      </c>
      <c r="I1627" s="163">
        <v>6.9</v>
      </c>
      <c r="J1627" s="16">
        <v>0.16200000000000001</v>
      </c>
      <c r="K1627" s="174">
        <v>7.4619999999999997</v>
      </c>
      <c r="L1627" s="165">
        <v>42.640999999999998</v>
      </c>
      <c r="M1627" s="13">
        <v>5.5220000000000002</v>
      </c>
      <c r="N1627" s="166">
        <v>1.0999999999999999E-2</v>
      </c>
      <c r="O1627" s="15">
        <v>59.557000000000002</v>
      </c>
      <c r="P1627" s="175">
        <v>5.7000000000000002E-2</v>
      </c>
      <c r="Q1627" s="96"/>
    </row>
    <row r="1628" spans="1:17" ht="14.25" customHeight="1" x14ac:dyDescent="0.35">
      <c r="A1628" s="1">
        <v>2020</v>
      </c>
      <c r="B1628" s="1" t="s">
        <v>28</v>
      </c>
      <c r="C1628" s="1">
        <v>14</v>
      </c>
      <c r="D1628" s="49">
        <v>104.39100000000001</v>
      </c>
      <c r="E1628" s="12">
        <f t="shared" si="33"/>
        <v>130.48875000000001</v>
      </c>
      <c r="F1628" s="50">
        <v>89.031000000000006</v>
      </c>
      <c r="G1628" s="161">
        <v>81.293999999999997</v>
      </c>
      <c r="H1628" s="162">
        <v>1629.413</v>
      </c>
      <c r="I1628" s="163">
        <v>6.9</v>
      </c>
      <c r="J1628" s="236">
        <v>0.183</v>
      </c>
      <c r="K1628" s="174">
        <v>7.4409999999999998</v>
      </c>
      <c r="L1628" s="176">
        <v>39.761000000000003</v>
      </c>
      <c r="M1628" s="13">
        <v>5.5330000000000004</v>
      </c>
      <c r="N1628" s="166">
        <v>1.0999999999999999E-2</v>
      </c>
      <c r="O1628" s="15">
        <v>57.872999999999998</v>
      </c>
      <c r="P1628" s="175">
        <v>5.2999999999999999E-2</v>
      </c>
      <c r="Q1628" s="96"/>
    </row>
    <row r="1629" spans="1:17" ht="14.25" customHeight="1" x14ac:dyDescent="0.35">
      <c r="A1629" s="1">
        <v>2020</v>
      </c>
      <c r="B1629" s="1" t="s">
        <v>28</v>
      </c>
      <c r="C1629" s="1">
        <v>15</v>
      </c>
      <c r="D1629" s="49">
        <v>106.65600000000001</v>
      </c>
      <c r="E1629" s="12">
        <f t="shared" si="33"/>
        <v>133.32</v>
      </c>
      <c r="F1629" s="50">
        <v>91</v>
      </c>
      <c r="G1629" s="161">
        <v>81.271000000000001</v>
      </c>
      <c r="H1629" s="162">
        <v>1613.326</v>
      </c>
      <c r="I1629" s="163">
        <v>6.9</v>
      </c>
      <c r="J1629" s="16">
        <v>0.185</v>
      </c>
      <c r="K1629" s="170">
        <v>7.5510000000000002</v>
      </c>
      <c r="L1629" s="165">
        <v>39.243000000000002</v>
      </c>
      <c r="M1629" s="13">
        <v>5.5259999999999998</v>
      </c>
      <c r="N1629" s="166">
        <v>1.0999999999999999E-2</v>
      </c>
      <c r="O1629" s="15">
        <v>59.154000000000003</v>
      </c>
      <c r="P1629" s="172">
        <v>5.2999999999999999E-2</v>
      </c>
      <c r="Q1629" s="96"/>
    </row>
    <row r="1630" spans="1:17" ht="14.25" customHeight="1" x14ac:dyDescent="0.35">
      <c r="A1630" s="1">
        <v>2020</v>
      </c>
      <c r="B1630" s="1" t="s">
        <v>28</v>
      </c>
      <c r="C1630" s="1">
        <v>16</v>
      </c>
      <c r="D1630" s="49">
        <v>109.25</v>
      </c>
      <c r="E1630" s="12">
        <f t="shared" si="33"/>
        <v>136.5625</v>
      </c>
      <c r="F1630" s="50">
        <v>93.093999999999994</v>
      </c>
      <c r="G1630" s="161">
        <v>81.293000000000006</v>
      </c>
      <c r="H1630" s="162">
        <v>1681.518</v>
      </c>
      <c r="I1630" s="163">
        <v>6.9</v>
      </c>
      <c r="J1630" s="16">
        <v>0.17100000000000001</v>
      </c>
      <c r="K1630" s="174">
        <v>7.6429999999999998</v>
      </c>
      <c r="L1630" s="162">
        <v>41.447000000000003</v>
      </c>
      <c r="M1630" s="163">
        <v>5.52</v>
      </c>
      <c r="N1630" s="166">
        <v>1.0999999999999999E-2</v>
      </c>
      <c r="O1630" s="15">
        <v>59.875</v>
      </c>
      <c r="P1630" s="175">
        <v>5.8999999999999997E-2</v>
      </c>
      <c r="Q1630" s="96"/>
    </row>
    <row r="1631" spans="1:17" ht="14.25" customHeight="1" x14ac:dyDescent="0.35">
      <c r="A1631" s="1">
        <v>2020</v>
      </c>
      <c r="B1631" s="1" t="s">
        <v>28</v>
      </c>
      <c r="C1631" s="1">
        <v>17</v>
      </c>
      <c r="D1631" s="49">
        <v>109.828</v>
      </c>
      <c r="E1631" s="12">
        <f t="shared" si="33"/>
        <v>137.285</v>
      </c>
      <c r="F1631" s="50">
        <v>93.656000000000006</v>
      </c>
      <c r="G1631" s="161">
        <v>81.373000000000005</v>
      </c>
      <c r="H1631" s="162">
        <v>1750.9179999999999</v>
      </c>
      <c r="I1631" s="163">
        <v>6.9</v>
      </c>
      <c r="J1631" s="16">
        <v>0.17499999999999999</v>
      </c>
      <c r="K1631" s="164">
        <v>7.6219999999999999</v>
      </c>
      <c r="L1631" s="165">
        <v>45.097000000000001</v>
      </c>
      <c r="M1631" s="13">
        <v>5.5220000000000002</v>
      </c>
      <c r="N1631" s="166">
        <v>1.0999999999999999E-2</v>
      </c>
      <c r="O1631" s="15">
        <v>59.625999999999998</v>
      </c>
      <c r="P1631" s="167">
        <v>6.3E-2</v>
      </c>
      <c r="Q1631" s="96"/>
    </row>
    <row r="1632" spans="1:17" ht="14.25" customHeight="1" x14ac:dyDescent="0.35">
      <c r="A1632" s="1">
        <v>2020</v>
      </c>
      <c r="B1632" s="1" t="s">
        <v>28</v>
      </c>
      <c r="C1632" s="1">
        <v>18</v>
      </c>
      <c r="D1632" s="49">
        <v>108.78100000000001</v>
      </c>
      <c r="E1632" s="12">
        <f t="shared" si="33"/>
        <v>135.97624999999999</v>
      </c>
      <c r="F1632" s="50">
        <v>92.718999999999994</v>
      </c>
      <c r="G1632" s="161">
        <v>81.203000000000003</v>
      </c>
      <c r="H1632" s="162">
        <v>1783.3589999999999</v>
      </c>
      <c r="I1632" s="163">
        <v>6.9</v>
      </c>
      <c r="J1632" s="16">
        <v>0.16</v>
      </c>
      <c r="K1632" s="164">
        <v>7.0030000000000001</v>
      </c>
      <c r="L1632" s="162">
        <v>45.280999999999999</v>
      </c>
      <c r="M1632" s="163">
        <v>5.5039999999999996</v>
      </c>
      <c r="N1632" s="166">
        <v>1.0999999999999999E-2</v>
      </c>
      <c r="O1632" s="15">
        <v>61.947000000000003</v>
      </c>
      <c r="P1632" s="167">
        <v>6.5000000000000002E-2</v>
      </c>
      <c r="Q1632" s="96"/>
    </row>
    <row r="1633" spans="1:17" ht="14.25" customHeight="1" x14ac:dyDescent="0.35">
      <c r="A1633" s="1">
        <v>2020</v>
      </c>
      <c r="B1633" s="1" t="s">
        <v>28</v>
      </c>
      <c r="C1633" s="1">
        <v>19</v>
      </c>
      <c r="D1633" s="49">
        <v>111.328</v>
      </c>
      <c r="E1633" s="12">
        <f t="shared" si="33"/>
        <v>139.16</v>
      </c>
      <c r="F1633" s="50">
        <v>94.968999999999994</v>
      </c>
      <c r="G1633" s="161">
        <v>81.552999999999997</v>
      </c>
      <c r="H1633" s="162">
        <v>1774.3050000000001</v>
      </c>
      <c r="I1633" s="163">
        <v>6.9</v>
      </c>
      <c r="J1633" s="16">
        <v>0.16700000000000001</v>
      </c>
      <c r="K1633" s="164">
        <v>7.1050000000000004</v>
      </c>
      <c r="L1633" s="165">
        <v>41.222000000000001</v>
      </c>
      <c r="M1633" s="13">
        <v>5.5069999999999997</v>
      </c>
      <c r="N1633" s="166">
        <v>1.9E-2</v>
      </c>
      <c r="O1633" s="15">
        <v>61.747999999999998</v>
      </c>
      <c r="P1633" s="167">
        <v>0.06</v>
      </c>
      <c r="Q1633" s="96"/>
    </row>
    <row r="1634" spans="1:17" ht="14.25" customHeight="1" x14ac:dyDescent="0.35">
      <c r="A1634" s="1">
        <v>2020</v>
      </c>
      <c r="B1634" s="1" t="s">
        <v>28</v>
      </c>
      <c r="C1634" s="1">
        <v>20</v>
      </c>
      <c r="D1634" s="49">
        <v>106.703</v>
      </c>
      <c r="E1634" s="12">
        <f t="shared" si="33"/>
        <v>133.37875</v>
      </c>
      <c r="F1634" s="50">
        <v>90.938000000000002</v>
      </c>
      <c r="G1634" s="161">
        <v>81.456000000000003</v>
      </c>
      <c r="H1634" s="162">
        <v>1746.9570000000001</v>
      </c>
      <c r="I1634" s="163">
        <v>6.9</v>
      </c>
      <c r="J1634" s="16">
        <v>0.19</v>
      </c>
      <c r="K1634" s="164">
        <v>7.1779999999999999</v>
      </c>
      <c r="L1634" s="162">
        <v>39.652000000000001</v>
      </c>
      <c r="M1634" s="163">
        <v>5.524</v>
      </c>
      <c r="N1634" s="166">
        <v>1.0999999999999999E-2</v>
      </c>
      <c r="O1634" s="15">
        <v>59.133000000000003</v>
      </c>
      <c r="P1634" s="167">
        <v>6.2E-2</v>
      </c>
      <c r="Q1634" s="96"/>
    </row>
    <row r="1635" spans="1:17" ht="14.25" customHeight="1" x14ac:dyDescent="0.35">
      <c r="A1635" s="1">
        <v>2020</v>
      </c>
      <c r="B1635" s="1" t="s">
        <v>28</v>
      </c>
      <c r="C1635" s="1">
        <v>21</v>
      </c>
      <c r="D1635" s="49">
        <v>104.188</v>
      </c>
      <c r="E1635" s="12">
        <f t="shared" si="33"/>
        <v>130.23500000000001</v>
      </c>
      <c r="F1635" s="50">
        <v>88.625</v>
      </c>
      <c r="G1635" s="161">
        <v>81.483999999999995</v>
      </c>
      <c r="H1635" s="162">
        <v>1655.4739999999999</v>
      </c>
      <c r="I1635" s="163">
        <v>6.9</v>
      </c>
      <c r="J1635" s="16">
        <v>0.16800000000000001</v>
      </c>
      <c r="K1635" s="164">
        <v>6.9219999999999997</v>
      </c>
      <c r="L1635" s="165">
        <v>38.287999999999997</v>
      </c>
      <c r="M1635" s="13">
        <v>5.5259999999999998</v>
      </c>
      <c r="N1635" s="166">
        <v>1.0999999999999999E-2</v>
      </c>
      <c r="O1635" s="15">
        <v>59.058</v>
      </c>
      <c r="P1635" s="167">
        <v>6.6000000000000003E-2</v>
      </c>
      <c r="Q1635" s="96"/>
    </row>
    <row r="1636" spans="1:17" ht="14.25" customHeight="1" x14ac:dyDescent="0.35">
      <c r="A1636" s="1">
        <v>2020</v>
      </c>
      <c r="B1636" s="1" t="s">
        <v>28</v>
      </c>
      <c r="C1636" s="1">
        <v>22</v>
      </c>
      <c r="D1636" s="49">
        <v>104.09399999999999</v>
      </c>
      <c r="E1636" s="12">
        <f t="shared" si="33"/>
        <v>130.11750000000001</v>
      </c>
      <c r="F1636" s="50">
        <v>88.531000000000006</v>
      </c>
      <c r="G1636" s="161">
        <v>81.873999999999995</v>
      </c>
      <c r="H1636" s="162">
        <v>1613.038</v>
      </c>
      <c r="I1636" s="163">
        <v>6.9</v>
      </c>
      <c r="J1636" s="16">
        <v>0.16600000000000001</v>
      </c>
      <c r="K1636" s="164">
        <v>7.2709999999999999</v>
      </c>
      <c r="L1636" s="162">
        <v>37.606000000000002</v>
      </c>
      <c r="M1636" s="163">
        <v>5.5279999999999996</v>
      </c>
      <c r="N1636" s="166">
        <v>1.0999999999999999E-2</v>
      </c>
      <c r="O1636" s="15">
        <v>59.031999999999996</v>
      </c>
      <c r="P1636" s="167">
        <v>6.2E-2</v>
      </c>
      <c r="Q1636" s="96"/>
    </row>
    <row r="1637" spans="1:17" ht="14.25" customHeight="1" x14ac:dyDescent="0.35">
      <c r="A1637" s="1">
        <v>2020</v>
      </c>
      <c r="B1637" s="1" t="s">
        <v>28</v>
      </c>
      <c r="C1637" s="1">
        <v>23</v>
      </c>
      <c r="D1637" s="49">
        <v>109.76600000000001</v>
      </c>
      <c r="E1637" s="12">
        <f t="shared" si="33"/>
        <v>137.20750000000001</v>
      </c>
      <c r="F1637" s="50">
        <v>93.438000000000002</v>
      </c>
      <c r="G1637" s="161">
        <v>81.724999999999994</v>
      </c>
      <c r="H1637" s="162">
        <v>1672.5530000000001</v>
      </c>
      <c r="I1637" s="163">
        <v>6.9</v>
      </c>
      <c r="J1637" s="237">
        <v>8.4000000000000005E-2</v>
      </c>
      <c r="K1637" s="164">
        <v>7.6310000000000002</v>
      </c>
      <c r="L1637" s="165">
        <v>38.357999999999997</v>
      </c>
      <c r="M1637" s="13">
        <v>5.5309999999999997</v>
      </c>
      <c r="N1637" s="166">
        <v>1.0999999999999999E-2</v>
      </c>
      <c r="O1637" s="15">
        <v>58.484000000000002</v>
      </c>
      <c r="P1637" s="167">
        <v>7.0000000000000007E-2</v>
      </c>
      <c r="Q1637" s="96"/>
    </row>
    <row r="1638" spans="1:17" ht="14.25" customHeight="1" x14ac:dyDescent="0.35">
      <c r="A1638" s="1">
        <v>2020</v>
      </c>
      <c r="B1638" s="1" t="s">
        <v>28</v>
      </c>
      <c r="C1638" s="1">
        <v>24</v>
      </c>
      <c r="D1638" s="49">
        <v>110.625</v>
      </c>
      <c r="E1638" s="12">
        <f t="shared" si="33"/>
        <v>138.28125</v>
      </c>
      <c r="F1638" s="50">
        <v>94.125</v>
      </c>
      <c r="G1638" s="161">
        <v>81.992000000000004</v>
      </c>
      <c r="H1638" s="162">
        <v>1731.912</v>
      </c>
      <c r="I1638" s="163">
        <v>6.9</v>
      </c>
      <c r="J1638" s="16">
        <v>2.5999999999999999E-2</v>
      </c>
      <c r="K1638" s="164">
        <v>7.7380000000000004</v>
      </c>
      <c r="L1638" s="162">
        <v>39.119</v>
      </c>
      <c r="M1638" s="163">
        <v>5.5119999999999996</v>
      </c>
      <c r="N1638" s="166">
        <v>1.0999999999999999E-2</v>
      </c>
      <c r="O1638" s="15">
        <v>60.723999999999997</v>
      </c>
      <c r="P1638" s="167">
        <v>6.9000000000000006E-2</v>
      </c>
      <c r="Q1638" s="96"/>
    </row>
    <row r="1639" spans="1:17" ht="14.25" customHeight="1" x14ac:dyDescent="0.35">
      <c r="A1639" s="1">
        <v>2020</v>
      </c>
      <c r="B1639" s="1" t="s">
        <v>28</v>
      </c>
      <c r="C1639" s="1">
        <v>25</v>
      </c>
      <c r="D1639" s="49">
        <v>109.89100000000001</v>
      </c>
      <c r="E1639" s="12">
        <f t="shared" si="33"/>
        <v>137.36375000000001</v>
      </c>
      <c r="F1639" s="50">
        <v>93.406000000000006</v>
      </c>
      <c r="G1639" s="161">
        <v>81.941999999999993</v>
      </c>
      <c r="H1639" s="162">
        <v>1810.155</v>
      </c>
      <c r="I1639" s="163">
        <v>6.9</v>
      </c>
      <c r="J1639" s="16">
        <v>2.5999999999999999E-2</v>
      </c>
      <c r="K1639" s="164">
        <v>7.8319999999999999</v>
      </c>
      <c r="L1639" s="165">
        <v>41.167999999999999</v>
      </c>
      <c r="M1639" s="13">
        <v>5.5060000000000002</v>
      </c>
      <c r="N1639" s="166">
        <v>1.0999999999999999E-2</v>
      </c>
      <c r="O1639" s="15">
        <v>61.564</v>
      </c>
      <c r="P1639" s="167">
        <v>6.9000000000000006E-2</v>
      </c>
      <c r="Q1639" s="96"/>
    </row>
    <row r="1640" spans="1:17" ht="14.25" customHeight="1" x14ac:dyDescent="0.35">
      <c r="A1640" s="1">
        <v>2020</v>
      </c>
      <c r="B1640" s="1" t="s">
        <v>28</v>
      </c>
      <c r="C1640" s="1">
        <v>26</v>
      </c>
      <c r="D1640" s="49">
        <v>112.25</v>
      </c>
      <c r="E1640" s="12">
        <f t="shared" si="33"/>
        <v>140.3125</v>
      </c>
      <c r="F1640" s="50">
        <v>95.5</v>
      </c>
      <c r="G1640" s="161">
        <v>82.143000000000001</v>
      </c>
      <c r="H1640" s="162">
        <v>1797.002</v>
      </c>
      <c r="I1640" s="163">
        <v>6.9</v>
      </c>
      <c r="J1640" s="16">
        <v>0.03</v>
      </c>
      <c r="K1640" s="164">
        <v>7.6680000000000001</v>
      </c>
      <c r="L1640" s="162">
        <v>41.006999999999998</v>
      </c>
      <c r="M1640" s="163">
        <v>5.5289999999999999</v>
      </c>
      <c r="N1640" s="166">
        <v>1.0999999999999999E-2</v>
      </c>
      <c r="O1640" s="15">
        <v>58.957999999999998</v>
      </c>
      <c r="P1640" s="167">
        <v>6.9000000000000006E-2</v>
      </c>
      <c r="Q1640" s="96"/>
    </row>
    <row r="1641" spans="1:17" ht="14.25" customHeight="1" x14ac:dyDescent="0.35">
      <c r="A1641" s="1">
        <v>2020</v>
      </c>
      <c r="B1641" s="1" t="s">
        <v>28</v>
      </c>
      <c r="C1641" s="1">
        <v>27</v>
      </c>
      <c r="D1641" s="49">
        <v>106.73399999999999</v>
      </c>
      <c r="E1641" s="12">
        <f t="shared" si="33"/>
        <v>133.41749999999999</v>
      </c>
      <c r="F1641" s="50">
        <v>90.656000000000006</v>
      </c>
      <c r="G1641" s="161">
        <v>82.054000000000002</v>
      </c>
      <c r="H1641" s="162">
        <v>1708.9570000000001</v>
      </c>
      <c r="I1641" s="163">
        <v>6.9</v>
      </c>
      <c r="J1641" s="16">
        <v>2.5999999999999999E-2</v>
      </c>
      <c r="K1641" s="164">
        <v>7.3769999999999998</v>
      </c>
      <c r="L1641" s="165">
        <v>39.133000000000003</v>
      </c>
      <c r="M1641" s="13">
        <v>5.56</v>
      </c>
      <c r="N1641" s="166">
        <v>1.0999999999999999E-2</v>
      </c>
      <c r="O1641" s="15">
        <v>54.353000000000002</v>
      </c>
      <c r="P1641" s="167">
        <v>6.6000000000000003E-2</v>
      </c>
      <c r="Q1641" s="96"/>
    </row>
    <row r="1642" spans="1:17" ht="14.25" customHeight="1" x14ac:dyDescent="0.35">
      <c r="A1642" s="1">
        <v>2020</v>
      </c>
      <c r="B1642" s="1" t="s">
        <v>28</v>
      </c>
      <c r="C1642" s="1">
        <v>28</v>
      </c>
      <c r="D1642" s="49">
        <v>107.10899999999999</v>
      </c>
      <c r="E1642" s="12">
        <f t="shared" si="33"/>
        <v>133.88624999999999</v>
      </c>
      <c r="F1642" s="50">
        <v>91.093999999999994</v>
      </c>
      <c r="G1642" s="161">
        <v>81.954999999999998</v>
      </c>
      <c r="H1642" s="162">
        <v>1605.463</v>
      </c>
      <c r="I1642" s="163">
        <v>6.9</v>
      </c>
      <c r="J1642" s="16">
        <v>2.5000000000000001E-2</v>
      </c>
      <c r="K1642" s="164">
        <v>7.0960000000000001</v>
      </c>
      <c r="L1642" s="162">
        <v>36.277000000000001</v>
      </c>
      <c r="M1642" s="163">
        <v>5.556</v>
      </c>
      <c r="N1642" s="166">
        <v>1.0999999999999999E-2</v>
      </c>
      <c r="O1642" s="15">
        <v>55.072000000000003</v>
      </c>
      <c r="P1642" s="167">
        <v>6.2E-2</v>
      </c>
      <c r="Q1642" s="96"/>
    </row>
    <row r="1643" spans="1:17" ht="14.25" customHeight="1" x14ac:dyDescent="0.35">
      <c r="A1643" s="1">
        <v>2020</v>
      </c>
      <c r="B1643" s="1" t="s">
        <v>28</v>
      </c>
      <c r="C1643" s="1">
        <v>29</v>
      </c>
      <c r="D1643" s="49">
        <v>106.922</v>
      </c>
      <c r="E1643" s="12">
        <f t="shared" si="33"/>
        <v>133.6525</v>
      </c>
      <c r="F1643" s="50">
        <v>90.843999999999994</v>
      </c>
      <c r="G1643" s="187">
        <v>81.518000000000001</v>
      </c>
      <c r="H1643" s="22">
        <v>1613.6690000000001</v>
      </c>
      <c r="I1643" s="13">
        <v>6.9</v>
      </c>
      <c r="J1643" s="166">
        <v>2.5000000000000001E-2</v>
      </c>
      <c r="K1643" s="188">
        <v>7.3639999999999999</v>
      </c>
      <c r="L1643" s="162">
        <v>37.418999999999997</v>
      </c>
      <c r="M1643" s="163">
        <v>5.5620000000000003</v>
      </c>
      <c r="N1643" s="166">
        <v>1.0999999999999999E-2</v>
      </c>
      <c r="O1643" s="15">
        <v>55.953000000000003</v>
      </c>
      <c r="P1643" s="227">
        <v>6.7000000000000004E-2</v>
      </c>
      <c r="Q1643" s="96"/>
    </row>
    <row r="1644" spans="1:17" ht="14.25" customHeight="1" x14ac:dyDescent="0.35">
      <c r="A1644" s="1">
        <v>2020</v>
      </c>
      <c r="B1644" s="1" t="s">
        <v>28</v>
      </c>
      <c r="C1644" s="1">
        <v>30</v>
      </c>
      <c r="D1644" s="104">
        <v>108.203</v>
      </c>
      <c r="E1644" s="12">
        <f t="shared" si="33"/>
        <v>135.25375</v>
      </c>
      <c r="F1644" s="105">
        <v>92.188000000000002</v>
      </c>
      <c r="G1644" s="187">
        <v>81.736000000000004</v>
      </c>
      <c r="H1644" s="22">
        <v>1688.058</v>
      </c>
      <c r="I1644" s="13">
        <v>6.9</v>
      </c>
      <c r="J1644" s="166">
        <v>2.5000000000000001E-2</v>
      </c>
      <c r="K1644" s="188">
        <v>7.7050000000000001</v>
      </c>
      <c r="L1644" s="162">
        <v>37.372</v>
      </c>
      <c r="M1644" s="163">
        <v>5.5549999999999997</v>
      </c>
      <c r="N1644" s="166">
        <v>1.0999999999999999E-2</v>
      </c>
      <c r="O1644" s="15">
        <v>55.17</v>
      </c>
      <c r="P1644" s="227">
        <v>6.6000000000000003E-2</v>
      </c>
      <c r="Q1644" s="96"/>
    </row>
    <row r="1645" spans="1:17" ht="14.25" customHeight="1" x14ac:dyDescent="0.35">
      <c r="A1645" s="1">
        <v>2020</v>
      </c>
      <c r="B1645" s="1" t="s">
        <v>29</v>
      </c>
      <c r="C1645" s="1">
        <v>1</v>
      </c>
      <c r="D1645" s="12">
        <v>111.188</v>
      </c>
      <c r="E1645" s="12">
        <f t="shared" si="33"/>
        <v>138.98500000000001</v>
      </c>
      <c r="F1645" s="13">
        <v>94.593999999999994</v>
      </c>
      <c r="G1645" s="156">
        <v>81.875</v>
      </c>
      <c r="H1645" s="157">
        <v>1776.5150000000001</v>
      </c>
      <c r="I1645" s="44">
        <v>6.9</v>
      </c>
      <c r="J1645" s="45">
        <v>2.5999999999999999E-2</v>
      </c>
      <c r="K1645" s="158">
        <v>7.6740000000000004</v>
      </c>
      <c r="L1645" s="157">
        <v>40.35</v>
      </c>
      <c r="M1645" s="45">
        <v>5.5519999999999996</v>
      </c>
      <c r="N1645" s="159">
        <v>1.0999999999999999E-2</v>
      </c>
      <c r="O1645" s="15">
        <v>55.433999999999997</v>
      </c>
      <c r="P1645" s="160">
        <v>7.0000000000000007E-2</v>
      </c>
      <c r="Q1645" s="96"/>
    </row>
    <row r="1646" spans="1:17" ht="14.25" customHeight="1" x14ac:dyDescent="0.35">
      <c r="A1646" s="1">
        <v>2020</v>
      </c>
      <c r="B1646" s="1" t="s">
        <v>29</v>
      </c>
      <c r="C1646" s="1">
        <v>2</v>
      </c>
      <c r="D1646" s="12">
        <v>111.25</v>
      </c>
      <c r="E1646" s="12">
        <f t="shared" si="33"/>
        <v>139.0625</v>
      </c>
      <c r="F1646" s="13">
        <v>94.531000000000006</v>
      </c>
      <c r="G1646" s="161">
        <v>82.081999999999994</v>
      </c>
      <c r="H1646" s="162">
        <v>1822.598</v>
      </c>
      <c r="I1646" s="163">
        <v>6.9</v>
      </c>
      <c r="J1646" s="16">
        <v>2.9000000000000001E-2</v>
      </c>
      <c r="K1646" s="164">
        <v>7.8150000000000004</v>
      </c>
      <c r="L1646" s="165">
        <v>41.445999999999998</v>
      </c>
      <c r="M1646" s="13">
        <v>5.5289999999999999</v>
      </c>
      <c r="N1646" s="166">
        <v>1.0999999999999999E-2</v>
      </c>
      <c r="O1646" s="15">
        <v>58.524000000000001</v>
      </c>
      <c r="P1646" s="167">
        <v>6.0999999999999999E-2</v>
      </c>
      <c r="Q1646" s="96"/>
    </row>
    <row r="1647" spans="1:17" ht="14.25" customHeight="1" x14ac:dyDescent="0.35">
      <c r="A1647" s="1">
        <v>2020</v>
      </c>
      <c r="B1647" s="1" t="s">
        <v>29</v>
      </c>
      <c r="C1647" s="1">
        <v>3</v>
      </c>
      <c r="D1647" s="12">
        <v>110.125</v>
      </c>
      <c r="E1647" s="12">
        <f t="shared" si="33"/>
        <v>137.65625</v>
      </c>
      <c r="F1647" s="13">
        <v>93.468999999999994</v>
      </c>
      <c r="G1647" s="161">
        <v>82.182000000000002</v>
      </c>
      <c r="H1647" s="162">
        <v>1756.3</v>
      </c>
      <c r="I1647" s="163">
        <v>6.9</v>
      </c>
      <c r="J1647" s="16">
        <v>2.4E-2</v>
      </c>
      <c r="K1647" s="164">
        <v>7.6760000000000002</v>
      </c>
      <c r="L1647" s="165">
        <v>39.655000000000001</v>
      </c>
      <c r="M1647" s="13">
        <v>5.5140000000000002</v>
      </c>
      <c r="N1647" s="166">
        <v>1.0999999999999999E-2</v>
      </c>
      <c r="O1647" s="15">
        <v>60.664999999999999</v>
      </c>
      <c r="P1647" s="167">
        <v>5.6000000000000001E-2</v>
      </c>
      <c r="Q1647" s="96"/>
    </row>
    <row r="1648" spans="1:17" ht="14.25" customHeight="1" x14ac:dyDescent="0.35">
      <c r="A1648" s="1">
        <v>2020</v>
      </c>
      <c r="B1648" s="1" t="s">
        <v>29</v>
      </c>
      <c r="C1648" s="1">
        <v>4</v>
      </c>
      <c r="D1648" s="12">
        <v>107.313</v>
      </c>
      <c r="E1648" s="12">
        <f t="shared" si="33"/>
        <v>134.14125000000001</v>
      </c>
      <c r="F1648" s="13">
        <v>91.188000000000002</v>
      </c>
      <c r="G1648" s="161">
        <v>82.43</v>
      </c>
      <c r="H1648" s="162">
        <v>1664.9079999999999</v>
      </c>
      <c r="I1648" s="163">
        <v>6.9</v>
      </c>
      <c r="J1648" s="16">
        <v>2.3E-2</v>
      </c>
      <c r="K1648" s="164">
        <v>6.9379999999999997</v>
      </c>
      <c r="L1648" s="165">
        <v>37.639000000000003</v>
      </c>
      <c r="M1648" s="13">
        <v>5.5140000000000002</v>
      </c>
      <c r="N1648" s="166">
        <v>1.0999999999999999E-2</v>
      </c>
      <c r="O1648" s="15">
        <v>60.585000000000001</v>
      </c>
      <c r="P1648" s="167">
        <v>5.3999999999999999E-2</v>
      </c>
      <c r="Q1648" s="96"/>
    </row>
    <row r="1649" spans="1:17" ht="14.25" customHeight="1" x14ac:dyDescent="0.35">
      <c r="A1649" s="1">
        <v>2020</v>
      </c>
      <c r="B1649" s="1" t="s">
        <v>29</v>
      </c>
      <c r="C1649" s="1">
        <v>5</v>
      </c>
      <c r="D1649" s="12">
        <v>104.578</v>
      </c>
      <c r="E1649" s="12">
        <f t="shared" si="33"/>
        <v>130.7225</v>
      </c>
      <c r="F1649" s="13">
        <v>88.75</v>
      </c>
      <c r="G1649" s="161">
        <v>82.611000000000004</v>
      </c>
      <c r="H1649" s="162">
        <v>1608.999</v>
      </c>
      <c r="I1649" s="163">
        <v>6.9</v>
      </c>
      <c r="J1649" s="16">
        <v>2.1999999999999999E-2</v>
      </c>
      <c r="K1649" s="164">
        <v>6.6559999999999997</v>
      </c>
      <c r="L1649" s="165">
        <v>37.351999999999997</v>
      </c>
      <c r="M1649" s="13">
        <v>5.5250000000000004</v>
      </c>
      <c r="N1649" s="166">
        <v>1.0999999999999999E-2</v>
      </c>
      <c r="O1649" s="15">
        <v>59.008000000000003</v>
      </c>
      <c r="P1649" s="167">
        <v>5.6000000000000001E-2</v>
      </c>
      <c r="Q1649" s="96"/>
    </row>
    <row r="1650" spans="1:17" ht="14.25" customHeight="1" x14ac:dyDescent="0.35">
      <c r="A1650" s="1">
        <v>2020</v>
      </c>
      <c r="B1650" s="1" t="s">
        <v>29</v>
      </c>
      <c r="C1650" s="1">
        <v>6</v>
      </c>
      <c r="D1650" s="12">
        <v>109.35899999999999</v>
      </c>
      <c r="E1650" s="12">
        <f t="shared" si="33"/>
        <v>136.69874999999999</v>
      </c>
      <c r="F1650" s="13">
        <v>92.906000000000006</v>
      </c>
      <c r="G1650" s="161">
        <v>82.507000000000005</v>
      </c>
      <c r="H1650" s="162">
        <v>1620.4870000000001</v>
      </c>
      <c r="I1650" s="163">
        <v>6.9</v>
      </c>
      <c r="J1650" s="16">
        <v>2.3E-2</v>
      </c>
      <c r="K1650" s="164">
        <v>7.2640000000000002</v>
      </c>
      <c r="L1650" s="165">
        <v>37.015000000000001</v>
      </c>
      <c r="M1650" s="13">
        <v>5.5309999999999997</v>
      </c>
      <c r="N1650" s="166">
        <v>1.0999999999999999E-2</v>
      </c>
      <c r="O1650" s="15">
        <v>58.335000000000001</v>
      </c>
      <c r="P1650" s="167">
        <v>6.0999999999999999E-2</v>
      </c>
      <c r="Q1650" s="96"/>
    </row>
    <row r="1651" spans="1:17" ht="14.25" customHeight="1" x14ac:dyDescent="0.35">
      <c r="A1651" s="1">
        <v>2020</v>
      </c>
      <c r="B1651" s="1" t="s">
        <v>29</v>
      </c>
      <c r="C1651" s="1">
        <v>7</v>
      </c>
      <c r="D1651" s="12">
        <v>112.672</v>
      </c>
      <c r="E1651" s="12">
        <f t="shared" si="33"/>
        <v>140.84</v>
      </c>
      <c r="F1651" s="13">
        <v>95.813000000000002</v>
      </c>
      <c r="G1651" s="161">
        <v>82.724999999999994</v>
      </c>
      <c r="H1651" s="162">
        <v>1692.693</v>
      </c>
      <c r="I1651" s="163">
        <v>6.9</v>
      </c>
      <c r="J1651" s="16">
        <v>2.3E-2</v>
      </c>
      <c r="K1651" s="164">
        <v>7.7149999999999999</v>
      </c>
      <c r="L1651" s="165">
        <v>37.640999999999998</v>
      </c>
      <c r="M1651" s="13">
        <v>5.52</v>
      </c>
      <c r="N1651" s="166">
        <v>1.0999999999999999E-2</v>
      </c>
      <c r="O1651" s="15">
        <v>59.875</v>
      </c>
      <c r="P1651" s="167">
        <v>7.1999999999999995E-2</v>
      </c>
      <c r="Q1651" s="96"/>
    </row>
    <row r="1652" spans="1:17" ht="14.25" customHeight="1" x14ac:dyDescent="0.35">
      <c r="A1652" s="1">
        <v>2020</v>
      </c>
      <c r="B1652" s="1" t="s">
        <v>29</v>
      </c>
      <c r="C1652" s="1">
        <v>8</v>
      </c>
      <c r="D1652" s="12">
        <v>111.047</v>
      </c>
      <c r="E1652" s="12">
        <f t="shared" si="33"/>
        <v>138.80875</v>
      </c>
      <c r="F1652" s="13">
        <v>94.375</v>
      </c>
      <c r="G1652" s="161">
        <v>82.84</v>
      </c>
      <c r="H1652" s="22">
        <v>1795.097</v>
      </c>
      <c r="I1652" s="163">
        <v>6.9</v>
      </c>
      <c r="J1652" s="16">
        <v>2.3E-2</v>
      </c>
      <c r="K1652" s="168">
        <v>7.7889999999999997</v>
      </c>
      <c r="L1652" s="165">
        <v>41.030999999999999</v>
      </c>
      <c r="M1652" s="13">
        <v>5.5140000000000002</v>
      </c>
      <c r="N1652" s="166">
        <v>1.0999999999999999E-2</v>
      </c>
      <c r="O1652" s="15">
        <v>60.584000000000003</v>
      </c>
      <c r="P1652" s="192">
        <v>7.0999999999999994E-2</v>
      </c>
      <c r="Q1652" s="96"/>
    </row>
    <row r="1653" spans="1:17" ht="14.25" customHeight="1" x14ac:dyDescent="0.35">
      <c r="A1653" s="1">
        <v>2020</v>
      </c>
      <c r="B1653" s="1" t="s">
        <v>29</v>
      </c>
      <c r="C1653" s="1">
        <v>9</v>
      </c>
      <c r="D1653" s="12">
        <v>108.35899999999999</v>
      </c>
      <c r="E1653" s="12">
        <f t="shared" si="33"/>
        <v>135.44874999999999</v>
      </c>
      <c r="F1653" s="13">
        <v>91.938000000000002</v>
      </c>
      <c r="G1653" s="161">
        <v>82.902000000000001</v>
      </c>
      <c r="H1653" s="162">
        <v>1816.0029999999999</v>
      </c>
      <c r="I1653" s="163">
        <v>6.9</v>
      </c>
      <c r="J1653" s="16">
        <v>2.5000000000000001E-2</v>
      </c>
      <c r="K1653" s="164">
        <v>7.8920000000000003</v>
      </c>
      <c r="L1653" s="165">
        <v>41.447000000000003</v>
      </c>
      <c r="M1653" s="13">
        <v>5.5049999999999999</v>
      </c>
      <c r="N1653" s="166">
        <v>1.0999999999999999E-2</v>
      </c>
      <c r="O1653" s="15">
        <v>61.683999999999997</v>
      </c>
      <c r="P1653" s="167">
        <v>6.4000000000000001E-2</v>
      </c>
      <c r="Q1653" s="96"/>
    </row>
    <row r="1654" spans="1:17" ht="14.25" customHeight="1" x14ac:dyDescent="0.35">
      <c r="A1654" s="1">
        <v>2020</v>
      </c>
      <c r="B1654" s="1" t="s">
        <v>29</v>
      </c>
      <c r="C1654" s="1">
        <v>10</v>
      </c>
      <c r="D1654" s="12">
        <v>112.03100000000001</v>
      </c>
      <c r="E1654" s="12">
        <f t="shared" si="33"/>
        <v>140.03874999999999</v>
      </c>
      <c r="F1654" s="13">
        <v>95</v>
      </c>
      <c r="G1654" s="169">
        <v>83.031999999999996</v>
      </c>
      <c r="H1654" s="162">
        <v>1784.3430000000001</v>
      </c>
      <c r="I1654" s="163">
        <v>6.9</v>
      </c>
      <c r="J1654" s="16">
        <v>2.4E-2</v>
      </c>
      <c r="K1654" s="170">
        <v>7.6719999999999997</v>
      </c>
      <c r="L1654" s="165">
        <v>39.76</v>
      </c>
      <c r="M1654" s="13">
        <v>5.5110000000000001</v>
      </c>
      <c r="N1654" s="171">
        <v>1.0999999999999999E-2</v>
      </c>
      <c r="O1654" s="15">
        <v>61.024000000000001</v>
      </c>
      <c r="P1654" s="172">
        <v>6.6000000000000003E-2</v>
      </c>
      <c r="Q1654" s="96"/>
    </row>
    <row r="1655" spans="1:17" ht="14.25" customHeight="1" x14ac:dyDescent="0.35">
      <c r="A1655" s="1">
        <v>2020</v>
      </c>
      <c r="B1655" s="1" t="s">
        <v>29</v>
      </c>
      <c r="C1655" s="1">
        <v>11</v>
      </c>
      <c r="D1655" s="12">
        <v>111.90600000000001</v>
      </c>
      <c r="E1655" s="32">
        <v>139.34</v>
      </c>
      <c r="F1655" s="13">
        <v>95.031000000000006</v>
      </c>
      <c r="G1655" s="169">
        <v>83.38</v>
      </c>
      <c r="H1655" s="162">
        <v>1733.712</v>
      </c>
      <c r="I1655" s="163">
        <v>6.9</v>
      </c>
      <c r="J1655" s="16">
        <v>2.3E-2</v>
      </c>
      <c r="K1655" s="170">
        <v>7.5060000000000002</v>
      </c>
      <c r="L1655" s="165">
        <v>39.057000000000002</v>
      </c>
      <c r="M1655" s="13">
        <v>5.5220000000000002</v>
      </c>
      <c r="N1655" s="171">
        <v>1.0999999999999999E-2</v>
      </c>
      <c r="O1655" s="15">
        <v>59.686999999999998</v>
      </c>
      <c r="P1655" s="172">
        <v>7.0000000000000007E-2</v>
      </c>
      <c r="Q1655" s="96"/>
    </row>
    <row r="1656" spans="1:17" ht="14.25" customHeight="1" x14ac:dyDescent="0.35">
      <c r="A1656" s="1">
        <v>2020</v>
      </c>
      <c r="B1656" s="1" t="s">
        <v>29</v>
      </c>
      <c r="C1656" s="1">
        <v>12</v>
      </c>
      <c r="D1656" s="12">
        <v>107.828</v>
      </c>
      <c r="E1656" s="12">
        <f t="shared" ref="E1656:E1684" si="34">D1656*1.25</f>
        <v>134.785</v>
      </c>
      <c r="F1656" s="13">
        <v>91.375</v>
      </c>
      <c r="G1656" s="169">
        <v>83.494</v>
      </c>
      <c r="H1656" s="162">
        <v>1681.712</v>
      </c>
      <c r="I1656" s="163">
        <v>6.9</v>
      </c>
      <c r="J1656" s="16">
        <v>2.3E-2</v>
      </c>
      <c r="K1656" s="170">
        <v>7.3179999999999996</v>
      </c>
      <c r="L1656" s="165">
        <v>38.517000000000003</v>
      </c>
      <c r="M1656" s="13">
        <v>5.5279999999999996</v>
      </c>
      <c r="N1656" s="171">
        <v>1.0999999999999999E-2</v>
      </c>
      <c r="O1656" s="15">
        <v>58.829000000000001</v>
      </c>
      <c r="P1656" s="172">
        <v>6.7000000000000004E-2</v>
      </c>
      <c r="Q1656" s="96"/>
    </row>
    <row r="1657" spans="1:17" ht="14.25" customHeight="1" x14ac:dyDescent="0.35">
      <c r="A1657" s="1">
        <v>2020</v>
      </c>
      <c r="B1657" s="1" t="s">
        <v>29</v>
      </c>
      <c r="C1657" s="1">
        <v>13</v>
      </c>
      <c r="D1657" s="12">
        <v>107.39100000000001</v>
      </c>
      <c r="E1657" s="12">
        <f t="shared" si="34"/>
        <v>134.23875000000001</v>
      </c>
      <c r="F1657" s="13">
        <v>91.093999999999994</v>
      </c>
      <c r="G1657" s="173">
        <v>83.299000000000007</v>
      </c>
      <c r="H1657" s="162">
        <v>1650.299</v>
      </c>
      <c r="I1657" s="163">
        <v>6.9</v>
      </c>
      <c r="J1657" s="16">
        <v>2.3E-2</v>
      </c>
      <c r="K1657" s="174">
        <v>7.6909999999999998</v>
      </c>
      <c r="L1657" s="165">
        <v>37.941000000000003</v>
      </c>
      <c r="M1657" s="13">
        <v>5.5359999999999996</v>
      </c>
      <c r="N1657" s="166">
        <v>1.0999999999999999E-2</v>
      </c>
      <c r="O1657" s="15">
        <v>57.71</v>
      </c>
      <c r="P1657" s="175">
        <v>6.8000000000000005E-2</v>
      </c>
      <c r="Q1657" s="96"/>
    </row>
    <row r="1658" spans="1:17" ht="14.25" customHeight="1" x14ac:dyDescent="0.35">
      <c r="A1658" s="1">
        <v>2020</v>
      </c>
      <c r="B1658" s="1" t="s">
        <v>29</v>
      </c>
      <c r="C1658" s="1">
        <v>14</v>
      </c>
      <c r="D1658" s="12">
        <v>111.625</v>
      </c>
      <c r="E1658" s="12">
        <f t="shared" si="34"/>
        <v>139.53125</v>
      </c>
      <c r="F1658" s="13">
        <v>94.718999999999994</v>
      </c>
      <c r="G1658" s="161">
        <v>83.457999999999998</v>
      </c>
      <c r="H1658" s="162">
        <v>1734.674</v>
      </c>
      <c r="I1658" s="163">
        <v>6.9</v>
      </c>
      <c r="J1658" s="16">
        <v>2.3E-2</v>
      </c>
      <c r="K1658" s="174">
        <v>7.9740000000000002</v>
      </c>
      <c r="L1658" s="176">
        <v>39.634999999999998</v>
      </c>
      <c r="M1658" s="13">
        <v>5.5270000000000001</v>
      </c>
      <c r="N1658" s="166">
        <v>1.0999999999999999E-2</v>
      </c>
      <c r="O1658" s="15">
        <v>58.850999999999999</v>
      </c>
      <c r="P1658" s="175">
        <v>7.2999999999999995E-2</v>
      </c>
      <c r="Q1658" s="96"/>
    </row>
    <row r="1659" spans="1:17" ht="14.25" customHeight="1" x14ac:dyDescent="0.35">
      <c r="A1659" s="1">
        <v>2020</v>
      </c>
      <c r="B1659" s="1" t="s">
        <v>29</v>
      </c>
      <c r="C1659" s="1">
        <v>15</v>
      </c>
      <c r="D1659" s="12">
        <v>110.5</v>
      </c>
      <c r="E1659" s="12">
        <f t="shared" si="34"/>
        <v>138.125</v>
      </c>
      <c r="F1659" s="13">
        <v>93.75</v>
      </c>
      <c r="G1659" s="161">
        <v>83.278000000000006</v>
      </c>
      <c r="H1659" s="162">
        <v>1773.5239999999999</v>
      </c>
      <c r="I1659" s="163">
        <v>6.9</v>
      </c>
      <c r="J1659" s="16">
        <v>2.4E-2</v>
      </c>
      <c r="K1659" s="170">
        <v>8.1370000000000005</v>
      </c>
      <c r="L1659" s="165">
        <v>40.850999999999999</v>
      </c>
      <c r="M1659" s="13">
        <v>5.5330000000000004</v>
      </c>
      <c r="N1659" s="166">
        <v>1.0999999999999999E-2</v>
      </c>
      <c r="O1659" s="15">
        <v>58.148000000000003</v>
      </c>
      <c r="P1659" s="172">
        <v>7.3999999999999996E-2</v>
      </c>
      <c r="Q1659" s="96"/>
    </row>
    <row r="1660" spans="1:17" ht="14.25" customHeight="1" x14ac:dyDescent="0.35">
      <c r="A1660" s="1">
        <v>2020</v>
      </c>
      <c r="B1660" s="1" t="s">
        <v>29</v>
      </c>
      <c r="C1660" s="1">
        <v>16</v>
      </c>
      <c r="D1660" s="12">
        <v>113.15600000000001</v>
      </c>
      <c r="E1660" s="12">
        <f t="shared" si="34"/>
        <v>141.44499999999999</v>
      </c>
      <c r="F1660" s="13">
        <v>96.125</v>
      </c>
      <c r="G1660" s="161">
        <v>83.266999999999996</v>
      </c>
      <c r="H1660" s="162">
        <v>1792.961</v>
      </c>
      <c r="I1660" s="163">
        <v>6.9</v>
      </c>
      <c r="J1660" s="16">
        <v>2.3E-2</v>
      </c>
      <c r="K1660" s="174">
        <v>7.9729999999999999</v>
      </c>
      <c r="L1660" s="162">
        <v>41.222999999999999</v>
      </c>
      <c r="M1660" s="163">
        <v>5.5190000000000001</v>
      </c>
      <c r="N1660" s="166">
        <v>1.0999999999999999E-2</v>
      </c>
      <c r="O1660" s="15">
        <v>59.78</v>
      </c>
      <c r="P1660" s="175">
        <v>6.4000000000000001E-2</v>
      </c>
      <c r="Q1660" s="96"/>
    </row>
    <row r="1661" spans="1:17" ht="14.25" customHeight="1" x14ac:dyDescent="0.35">
      <c r="A1661" s="1">
        <v>2020</v>
      </c>
      <c r="B1661" s="1" t="s">
        <v>29</v>
      </c>
      <c r="C1661" s="1">
        <v>17</v>
      </c>
      <c r="D1661" s="12">
        <v>109.203</v>
      </c>
      <c r="E1661" s="12">
        <f t="shared" si="34"/>
        <v>136.50375</v>
      </c>
      <c r="F1661" s="13">
        <v>92.781000000000006</v>
      </c>
      <c r="G1661" s="161">
        <v>83.221000000000004</v>
      </c>
      <c r="H1661" s="162">
        <v>1788.192</v>
      </c>
      <c r="I1661" s="163">
        <v>6.9</v>
      </c>
      <c r="J1661" s="16">
        <v>2.1999999999999999E-2</v>
      </c>
      <c r="K1661" s="164">
        <v>7.8949999999999996</v>
      </c>
      <c r="L1661" s="165">
        <v>41.421999999999997</v>
      </c>
      <c r="M1661" s="13">
        <v>5.5369999999999999</v>
      </c>
      <c r="N1661" s="166">
        <v>1.0999999999999999E-2</v>
      </c>
      <c r="O1661" s="15">
        <v>57.704999999999998</v>
      </c>
      <c r="P1661" s="167">
        <v>0.06</v>
      </c>
      <c r="Q1661" s="96"/>
    </row>
    <row r="1662" spans="1:17" ht="14.25" customHeight="1" x14ac:dyDescent="0.35">
      <c r="A1662" s="1">
        <v>2020</v>
      </c>
      <c r="B1662" s="1" t="s">
        <v>29</v>
      </c>
      <c r="C1662" s="1">
        <v>18</v>
      </c>
      <c r="D1662" s="12">
        <v>108.73399999999999</v>
      </c>
      <c r="E1662" s="12">
        <f t="shared" si="34"/>
        <v>135.91749999999999</v>
      </c>
      <c r="F1662" s="13">
        <v>92.218999999999994</v>
      </c>
      <c r="G1662" s="161">
        <v>83.278999999999996</v>
      </c>
      <c r="H1662" s="162">
        <v>1734.943</v>
      </c>
      <c r="I1662" s="163">
        <v>6.9</v>
      </c>
      <c r="J1662" s="16">
        <v>2.1999999999999999E-2</v>
      </c>
      <c r="K1662" s="164">
        <v>7.7510000000000003</v>
      </c>
      <c r="L1662" s="162">
        <v>39.716999999999999</v>
      </c>
      <c r="M1662" s="163">
        <v>5.53</v>
      </c>
      <c r="N1662" s="166">
        <v>1.0999999999999999E-2</v>
      </c>
      <c r="O1662" s="15">
        <v>58.401000000000003</v>
      </c>
      <c r="P1662" s="167">
        <v>5.8000000000000003E-2</v>
      </c>
      <c r="Q1662" s="96"/>
    </row>
    <row r="1663" spans="1:17" ht="14.25" customHeight="1" x14ac:dyDescent="0.35">
      <c r="A1663" s="1">
        <v>2020</v>
      </c>
      <c r="B1663" s="1" t="s">
        <v>29</v>
      </c>
      <c r="C1663" s="1">
        <v>19</v>
      </c>
      <c r="D1663" s="12">
        <v>106.578</v>
      </c>
      <c r="E1663" s="12">
        <f t="shared" si="34"/>
        <v>133.2225</v>
      </c>
      <c r="F1663" s="13">
        <v>90.438000000000002</v>
      </c>
      <c r="G1663" s="161">
        <v>82.988</v>
      </c>
      <c r="H1663" s="162">
        <v>1645.0830000000001</v>
      </c>
      <c r="I1663" s="163">
        <v>6.9</v>
      </c>
      <c r="J1663" s="16">
        <v>2.1999999999999999E-2</v>
      </c>
      <c r="K1663" s="164">
        <v>7.6440000000000001</v>
      </c>
      <c r="L1663" s="165">
        <v>37.938000000000002</v>
      </c>
      <c r="M1663" s="13">
        <v>5.5250000000000004</v>
      </c>
      <c r="N1663" s="166">
        <v>1.0999999999999999E-2</v>
      </c>
      <c r="O1663" s="15">
        <v>59.283000000000001</v>
      </c>
      <c r="P1663" s="167">
        <v>5.5E-2</v>
      </c>
      <c r="Q1663" s="96"/>
    </row>
    <row r="1664" spans="1:17" ht="14.25" customHeight="1" x14ac:dyDescent="0.35">
      <c r="A1664" s="1">
        <v>2020</v>
      </c>
      <c r="B1664" s="1" t="s">
        <v>29</v>
      </c>
      <c r="C1664" s="1">
        <v>20</v>
      </c>
      <c r="D1664" s="12">
        <v>108.46899999999999</v>
      </c>
      <c r="E1664" s="12">
        <f t="shared" si="34"/>
        <v>135.58625000000001</v>
      </c>
      <c r="F1664" s="13">
        <v>92.031000000000006</v>
      </c>
      <c r="G1664" s="161">
        <v>82.822999999999993</v>
      </c>
      <c r="H1664" s="162">
        <v>1600.25</v>
      </c>
      <c r="I1664" s="163">
        <v>6.9</v>
      </c>
      <c r="J1664" s="16">
        <v>2.1999999999999999E-2</v>
      </c>
      <c r="K1664" s="164">
        <v>8.5609999999999999</v>
      </c>
      <c r="L1664" s="162">
        <v>36.792999999999999</v>
      </c>
      <c r="M1664" s="163">
        <v>5.5359999999999996</v>
      </c>
      <c r="N1664" s="166">
        <v>1.0999999999999999E-2</v>
      </c>
      <c r="O1664" s="15">
        <v>57.895000000000003</v>
      </c>
      <c r="P1664" s="167">
        <v>5.5E-2</v>
      </c>
      <c r="Q1664" s="96"/>
    </row>
    <row r="1665" spans="1:17" ht="14.25" customHeight="1" x14ac:dyDescent="0.35">
      <c r="A1665" s="1">
        <v>2020</v>
      </c>
      <c r="B1665" s="1" t="s">
        <v>29</v>
      </c>
      <c r="C1665" s="1">
        <v>21</v>
      </c>
      <c r="D1665" s="12">
        <v>107.26600000000001</v>
      </c>
      <c r="E1665" s="12">
        <f t="shared" si="34"/>
        <v>134.08250000000001</v>
      </c>
      <c r="F1665" s="13">
        <v>91.031000000000006</v>
      </c>
      <c r="G1665" s="161">
        <v>82.915999999999997</v>
      </c>
      <c r="H1665" s="162">
        <v>1717.9059999999999</v>
      </c>
      <c r="I1665" s="163">
        <v>6.9</v>
      </c>
      <c r="J1665" s="16">
        <v>2.3E-2</v>
      </c>
      <c r="K1665" s="164">
        <v>8.1460000000000008</v>
      </c>
      <c r="L1665" s="165">
        <v>39.628999999999998</v>
      </c>
      <c r="M1665" s="13">
        <v>5.5369999999999999</v>
      </c>
      <c r="N1665" s="166">
        <v>1.0999999999999999E-2</v>
      </c>
      <c r="O1665" s="15">
        <v>57.61</v>
      </c>
      <c r="P1665" s="167">
        <v>6.4000000000000001E-2</v>
      </c>
      <c r="Q1665" s="96"/>
    </row>
    <row r="1666" spans="1:17" ht="14.25" customHeight="1" x14ac:dyDescent="0.35">
      <c r="A1666" s="1">
        <v>2020</v>
      </c>
      <c r="B1666" s="1" t="s">
        <v>29</v>
      </c>
      <c r="C1666" s="1">
        <v>22</v>
      </c>
      <c r="D1666" s="12">
        <v>110.34399999999999</v>
      </c>
      <c r="E1666" s="12">
        <f t="shared" si="34"/>
        <v>137.93</v>
      </c>
      <c r="F1666" s="13">
        <v>93.593999999999994</v>
      </c>
      <c r="G1666" s="161">
        <v>82.867999999999995</v>
      </c>
      <c r="H1666" s="162">
        <v>1777.9770000000001</v>
      </c>
      <c r="I1666" s="163">
        <v>6.9</v>
      </c>
      <c r="J1666" s="16">
        <v>2.1999999999999999E-2</v>
      </c>
      <c r="K1666" s="164">
        <v>8.1539999999999999</v>
      </c>
      <c r="L1666" s="162">
        <v>41.146999999999998</v>
      </c>
      <c r="M1666" s="163">
        <v>5.5229999999999997</v>
      </c>
      <c r="N1666" s="166">
        <v>1.0999999999999999E-2</v>
      </c>
      <c r="O1666" s="15">
        <v>59.46</v>
      </c>
      <c r="P1666" s="167">
        <v>6.2E-2</v>
      </c>
      <c r="Q1666" s="96"/>
    </row>
    <row r="1667" spans="1:17" ht="14.25" customHeight="1" x14ac:dyDescent="0.35">
      <c r="A1667" s="1">
        <v>2020</v>
      </c>
      <c r="B1667" s="1" t="s">
        <v>29</v>
      </c>
      <c r="C1667" s="1">
        <v>23</v>
      </c>
      <c r="D1667" s="12">
        <v>105.625</v>
      </c>
      <c r="E1667" s="12">
        <f t="shared" si="34"/>
        <v>132.03125</v>
      </c>
      <c r="F1667" s="13">
        <v>89.563000000000002</v>
      </c>
      <c r="G1667" s="161">
        <v>82.781000000000006</v>
      </c>
      <c r="H1667" s="162">
        <v>1797.4469999999999</v>
      </c>
      <c r="I1667" s="163">
        <v>6.9</v>
      </c>
      <c r="J1667" s="16">
        <v>2.3E-2</v>
      </c>
      <c r="K1667" s="164">
        <v>8.0429999999999993</v>
      </c>
      <c r="L1667" s="165">
        <v>42.048999999999999</v>
      </c>
      <c r="M1667" s="13">
        <v>5.5209999999999999</v>
      </c>
      <c r="N1667" s="166">
        <v>1.0999999999999999E-2</v>
      </c>
      <c r="O1667" s="15">
        <v>59.648000000000003</v>
      </c>
      <c r="P1667" s="167">
        <v>6.5000000000000002E-2</v>
      </c>
      <c r="Q1667" s="96"/>
    </row>
    <row r="1668" spans="1:17" ht="14.25" customHeight="1" x14ac:dyDescent="0.35">
      <c r="A1668" s="1">
        <v>2020</v>
      </c>
      <c r="B1668" s="1" t="s">
        <v>29</v>
      </c>
      <c r="C1668" s="1">
        <v>24</v>
      </c>
      <c r="D1668" s="12">
        <v>86.656000000000006</v>
      </c>
      <c r="E1668" s="12">
        <f t="shared" si="34"/>
        <v>108.32000000000001</v>
      </c>
      <c r="F1668" s="13">
        <v>73.531000000000006</v>
      </c>
      <c r="G1668" s="161">
        <v>82.894000000000005</v>
      </c>
      <c r="H1668" s="162">
        <v>1781.2239999999999</v>
      </c>
      <c r="I1668" s="163">
        <v>6.8949999999999996</v>
      </c>
      <c r="J1668" s="16">
        <v>2.3E-2</v>
      </c>
      <c r="K1668" s="164">
        <v>7.7690000000000001</v>
      </c>
      <c r="L1668" s="162">
        <v>40.299999999999997</v>
      </c>
      <c r="M1668" s="163">
        <v>5.5970000000000004</v>
      </c>
      <c r="N1668" s="166">
        <v>6.8000000000000005E-2</v>
      </c>
      <c r="O1668" s="15">
        <v>52.631999999999998</v>
      </c>
      <c r="P1668" s="167">
        <v>7.2999999999999995E-2</v>
      </c>
      <c r="Q1668" s="96"/>
    </row>
    <row r="1669" spans="1:17" ht="14.25" customHeight="1" x14ac:dyDescent="0.35">
      <c r="A1669" s="1">
        <v>2020</v>
      </c>
      <c r="B1669" s="1" t="s">
        <v>29</v>
      </c>
      <c r="C1669" s="1">
        <v>25</v>
      </c>
      <c r="D1669" s="12">
        <v>108.78100000000001</v>
      </c>
      <c r="E1669" s="12">
        <f t="shared" si="34"/>
        <v>135.97624999999999</v>
      </c>
      <c r="F1669" s="13">
        <v>92.313000000000002</v>
      </c>
      <c r="G1669" s="161">
        <v>82.962999999999994</v>
      </c>
      <c r="H1669" s="162">
        <v>1769.866</v>
      </c>
      <c r="I1669" s="163">
        <v>6.9</v>
      </c>
      <c r="J1669" s="16">
        <v>2.3E-2</v>
      </c>
      <c r="K1669" s="164">
        <v>7.92</v>
      </c>
      <c r="L1669" s="165">
        <v>35.472999999999999</v>
      </c>
      <c r="M1669" s="13">
        <v>5.5650000000000004</v>
      </c>
      <c r="N1669" s="166">
        <v>7.6999999999999999E-2</v>
      </c>
      <c r="O1669" s="15">
        <v>54.015000000000001</v>
      </c>
      <c r="P1669" s="167">
        <v>6.0999999999999999E-2</v>
      </c>
      <c r="Q1669" s="96"/>
    </row>
    <row r="1670" spans="1:17" ht="14.25" customHeight="1" x14ac:dyDescent="0.35">
      <c r="A1670" s="1">
        <v>2020</v>
      </c>
      <c r="B1670" s="1" t="s">
        <v>29</v>
      </c>
      <c r="C1670" s="1">
        <v>26</v>
      </c>
      <c r="D1670" s="12">
        <v>105.09399999999999</v>
      </c>
      <c r="E1670" s="12">
        <f t="shared" si="34"/>
        <v>131.36750000000001</v>
      </c>
      <c r="F1670" s="13">
        <v>89.25</v>
      </c>
      <c r="G1670" s="161">
        <v>82.825999999999993</v>
      </c>
      <c r="H1670" s="162">
        <v>1674.251</v>
      </c>
      <c r="I1670" s="163">
        <v>6.9</v>
      </c>
      <c r="J1670" s="16">
        <v>2.1999999999999999E-2</v>
      </c>
      <c r="K1670" s="164">
        <v>7.7610000000000001</v>
      </c>
      <c r="L1670" s="162">
        <v>33.676000000000002</v>
      </c>
      <c r="M1670" s="163">
        <v>5.5739999999999998</v>
      </c>
      <c r="N1670" s="166">
        <v>2.7E-2</v>
      </c>
      <c r="O1670" s="15">
        <v>52.759</v>
      </c>
      <c r="P1670" s="167">
        <v>5.5E-2</v>
      </c>
      <c r="Q1670" s="96"/>
    </row>
    <row r="1671" spans="1:17" ht="14.25" customHeight="1" x14ac:dyDescent="0.35">
      <c r="A1671" s="1">
        <v>2020</v>
      </c>
      <c r="B1671" s="1" t="s">
        <v>29</v>
      </c>
      <c r="C1671" s="1">
        <v>27</v>
      </c>
      <c r="D1671" s="12">
        <v>105.10899999999999</v>
      </c>
      <c r="E1671" s="12">
        <f t="shared" si="34"/>
        <v>131.38624999999999</v>
      </c>
      <c r="F1671" s="13">
        <v>89.25</v>
      </c>
      <c r="G1671" s="161">
        <v>82.656000000000006</v>
      </c>
      <c r="H1671" s="162">
        <v>1658.0360000000001</v>
      </c>
      <c r="I1671" s="163">
        <v>6.9</v>
      </c>
      <c r="J1671" s="16">
        <v>2.3E-2</v>
      </c>
      <c r="K1671" s="164">
        <v>7.9279999999999999</v>
      </c>
      <c r="L1671" s="165">
        <v>33.313000000000002</v>
      </c>
      <c r="M1671" s="13">
        <v>5.5860000000000003</v>
      </c>
      <c r="N1671" s="166">
        <v>0.04</v>
      </c>
      <c r="O1671" s="15">
        <v>51.588999999999999</v>
      </c>
      <c r="P1671" s="167">
        <v>5.5E-2</v>
      </c>
      <c r="Q1671" s="96"/>
    </row>
    <row r="1672" spans="1:17" ht="14.25" customHeight="1" x14ac:dyDescent="0.35">
      <c r="A1672" s="1">
        <v>2020</v>
      </c>
      <c r="B1672" s="1" t="s">
        <v>29</v>
      </c>
      <c r="C1672" s="1">
        <v>28</v>
      </c>
      <c r="D1672" s="12">
        <v>109.46899999999999</v>
      </c>
      <c r="E1672" s="12">
        <f t="shared" si="34"/>
        <v>136.83625000000001</v>
      </c>
      <c r="F1672" s="13">
        <v>92.968999999999994</v>
      </c>
      <c r="G1672" s="161">
        <v>82.721000000000004</v>
      </c>
      <c r="H1672" s="162">
        <v>1733.106</v>
      </c>
      <c r="I1672" s="163">
        <v>6.9</v>
      </c>
      <c r="J1672" s="16">
        <v>2.3E-2</v>
      </c>
      <c r="K1672" s="164">
        <v>8.1430000000000007</v>
      </c>
      <c r="L1672" s="162">
        <v>33.89</v>
      </c>
      <c r="M1672" s="163">
        <v>5.5670000000000002</v>
      </c>
      <c r="N1672" s="166">
        <v>4.2999999999999997E-2</v>
      </c>
      <c r="O1672" s="15">
        <v>53.652000000000001</v>
      </c>
      <c r="P1672" s="167">
        <v>6.0999999999999999E-2</v>
      </c>
      <c r="Q1672" s="96"/>
    </row>
    <row r="1673" spans="1:17" ht="14.25" customHeight="1" x14ac:dyDescent="0.35">
      <c r="A1673" s="1">
        <v>2020</v>
      </c>
      <c r="B1673" s="1" t="s">
        <v>29</v>
      </c>
      <c r="C1673" s="1">
        <v>29</v>
      </c>
      <c r="D1673" s="12">
        <v>109.078</v>
      </c>
      <c r="E1673" s="12">
        <f t="shared" si="34"/>
        <v>136.3475</v>
      </c>
      <c r="F1673" s="13">
        <v>92.593999999999994</v>
      </c>
      <c r="G1673" s="187">
        <v>82.988</v>
      </c>
      <c r="H1673" s="22">
        <v>1780.3789999999999</v>
      </c>
      <c r="I1673" s="13">
        <v>6.9</v>
      </c>
      <c r="J1673" s="166">
        <v>2.3E-2</v>
      </c>
      <c r="K1673" s="188">
        <v>8.0489999999999995</v>
      </c>
      <c r="L1673" s="162">
        <v>34.783000000000001</v>
      </c>
      <c r="M1673" s="163">
        <v>5.5620000000000003</v>
      </c>
      <c r="N1673" s="166">
        <v>4.1000000000000002E-2</v>
      </c>
      <c r="O1673" s="15">
        <v>54.345999999999997</v>
      </c>
      <c r="P1673" s="227">
        <v>6.2E-2</v>
      </c>
      <c r="Q1673" s="96"/>
    </row>
    <row r="1674" spans="1:17" ht="14.25" customHeight="1" x14ac:dyDescent="0.35">
      <c r="A1674" s="1">
        <v>2020</v>
      </c>
      <c r="B1674" s="1" t="s">
        <v>29</v>
      </c>
      <c r="C1674" s="1">
        <v>30</v>
      </c>
      <c r="D1674" s="12">
        <v>106.922</v>
      </c>
      <c r="E1674" s="12">
        <f t="shared" si="34"/>
        <v>133.6525</v>
      </c>
      <c r="F1674" s="13">
        <v>90.688000000000002</v>
      </c>
      <c r="G1674" s="187">
        <v>83.009</v>
      </c>
      <c r="H1674" s="22">
        <v>1766.646</v>
      </c>
      <c r="I1674" s="13">
        <v>6.9</v>
      </c>
      <c r="J1674" s="166">
        <v>2.3300000000000001E-2</v>
      </c>
      <c r="K1674" s="188">
        <v>8.0129999999999999</v>
      </c>
      <c r="L1674" s="162">
        <v>35.048999999999999</v>
      </c>
      <c r="M1674" s="163">
        <v>5.5739999999999998</v>
      </c>
      <c r="N1674" s="166">
        <v>1.9E-2</v>
      </c>
      <c r="O1674" s="15">
        <v>52.854999999999997</v>
      </c>
      <c r="P1674" s="227">
        <v>6.0999999999999999E-2</v>
      </c>
      <c r="Q1674" s="96"/>
    </row>
    <row r="1675" spans="1:17" ht="14.25" customHeight="1" x14ac:dyDescent="0.35">
      <c r="A1675" s="1">
        <v>2020</v>
      </c>
      <c r="B1675" s="1" t="s">
        <v>29</v>
      </c>
      <c r="C1675" s="1">
        <v>31</v>
      </c>
      <c r="D1675" s="85">
        <v>108.53100000000001</v>
      </c>
      <c r="E1675" s="12">
        <f t="shared" si="34"/>
        <v>135.66374999999999</v>
      </c>
      <c r="F1675" s="86">
        <v>92.093999999999994</v>
      </c>
      <c r="G1675" s="228">
        <v>83.212999999999994</v>
      </c>
      <c r="H1675" s="229">
        <v>1755.5820000000001</v>
      </c>
      <c r="I1675" s="230">
        <v>6.9</v>
      </c>
      <c r="J1675" s="231">
        <v>2.1000000000000001E-2</v>
      </c>
      <c r="K1675" s="232">
        <v>7.6029999999999998</v>
      </c>
      <c r="L1675" s="162">
        <v>37.344000000000001</v>
      </c>
      <c r="M1675" s="16">
        <v>5.4480000000000004</v>
      </c>
      <c r="N1675" s="166">
        <v>1.0999999999999999E-2</v>
      </c>
      <c r="O1675" s="15">
        <v>71.111999999999995</v>
      </c>
      <c r="P1675" s="233">
        <v>5.8999999999999997E-2</v>
      </c>
      <c r="Q1675" s="96"/>
    </row>
    <row r="1676" spans="1:17" ht="14.25" customHeight="1" x14ac:dyDescent="0.35">
      <c r="A1676" s="1">
        <v>2020</v>
      </c>
      <c r="B1676" s="1" t="s">
        <v>30</v>
      </c>
      <c r="C1676" s="1">
        <v>1</v>
      </c>
      <c r="D1676" s="12">
        <v>108.14100000000001</v>
      </c>
      <c r="E1676" s="12">
        <f t="shared" si="34"/>
        <v>135.17625000000001</v>
      </c>
      <c r="F1676" s="13">
        <v>91.813000000000002</v>
      </c>
      <c r="G1676" s="156">
        <v>83.283000000000001</v>
      </c>
      <c r="H1676" s="157">
        <v>1741.4839999999999</v>
      </c>
      <c r="I1676" s="44">
        <v>6.9</v>
      </c>
      <c r="J1676" s="45">
        <v>0.02</v>
      </c>
      <c r="K1676" s="158">
        <v>7.6689999999999996</v>
      </c>
      <c r="L1676" s="157">
        <v>38.99</v>
      </c>
      <c r="M1676" s="45">
        <v>5.3570000000000002</v>
      </c>
      <c r="N1676" s="159">
        <v>1.0999999999999999E-2</v>
      </c>
      <c r="O1676" s="15">
        <v>87.24</v>
      </c>
      <c r="P1676" s="160">
        <v>5.8999999999999997E-2</v>
      </c>
      <c r="Q1676" s="96"/>
    </row>
    <row r="1677" spans="1:17" ht="14.25" customHeight="1" x14ac:dyDescent="0.35">
      <c r="A1677" s="1">
        <v>2020</v>
      </c>
      <c r="B1677" s="1" t="s">
        <v>30</v>
      </c>
      <c r="C1677" s="1">
        <v>2</v>
      </c>
      <c r="D1677" s="12">
        <v>105.875</v>
      </c>
      <c r="E1677" s="12">
        <f t="shared" si="34"/>
        <v>132.34375</v>
      </c>
      <c r="F1677" s="13">
        <v>89.813000000000002</v>
      </c>
      <c r="G1677" s="60">
        <v>83.358000000000004</v>
      </c>
      <c r="H1677" s="61">
        <v>1660.3989999999999</v>
      </c>
      <c r="I1677" s="62">
        <v>6.9</v>
      </c>
      <c r="J1677" s="64">
        <v>0.02</v>
      </c>
      <c r="K1677" s="164">
        <v>7.52</v>
      </c>
      <c r="L1677" s="165">
        <v>37.911999999999999</v>
      </c>
      <c r="M1677" s="13">
        <v>5.3490000000000002</v>
      </c>
      <c r="N1677" s="166">
        <v>1.0999999999999999E-2</v>
      </c>
      <c r="O1677" s="15">
        <v>88.918000000000006</v>
      </c>
      <c r="P1677" s="167">
        <v>5.3999999999999999E-2</v>
      </c>
      <c r="Q1677" s="96"/>
    </row>
    <row r="1678" spans="1:17" ht="14.25" customHeight="1" x14ac:dyDescent="0.35">
      <c r="A1678" s="1">
        <v>2020</v>
      </c>
      <c r="B1678" s="1" t="s">
        <v>30</v>
      </c>
      <c r="C1678" s="1">
        <v>3</v>
      </c>
      <c r="D1678" s="12">
        <v>106</v>
      </c>
      <c r="E1678" s="12">
        <f t="shared" si="34"/>
        <v>132.5</v>
      </c>
      <c r="F1678" s="13">
        <v>89.906000000000006</v>
      </c>
      <c r="G1678" s="60">
        <v>83.16</v>
      </c>
      <c r="H1678" s="61">
        <v>1632.75</v>
      </c>
      <c r="I1678" s="62">
        <v>6.9</v>
      </c>
      <c r="J1678" s="64">
        <v>0.02</v>
      </c>
      <c r="K1678" s="164">
        <v>7.6760000000000002</v>
      </c>
      <c r="L1678" s="165">
        <v>37.218000000000004</v>
      </c>
      <c r="M1678" s="13">
        <v>5.3650000000000002</v>
      </c>
      <c r="N1678" s="166">
        <v>1.0999999999999999E-2</v>
      </c>
      <c r="O1678" s="15">
        <v>85.879000000000005</v>
      </c>
      <c r="P1678" s="167">
        <v>5.6000000000000001E-2</v>
      </c>
      <c r="Q1678" s="96"/>
    </row>
    <row r="1679" spans="1:17" ht="14.25" customHeight="1" x14ac:dyDescent="0.35">
      <c r="A1679" s="1">
        <v>2020</v>
      </c>
      <c r="B1679" s="1" t="s">
        <v>30</v>
      </c>
      <c r="C1679" s="1">
        <v>4</v>
      </c>
      <c r="D1679" s="12">
        <v>108.125</v>
      </c>
      <c r="E1679" s="12">
        <f t="shared" si="34"/>
        <v>135.15625</v>
      </c>
      <c r="F1679" s="13">
        <v>91.938000000000002</v>
      </c>
      <c r="G1679" s="60">
        <v>83.278000000000006</v>
      </c>
      <c r="H1679" s="61">
        <v>1721.5719999999999</v>
      </c>
      <c r="I1679" s="62">
        <v>6.9</v>
      </c>
      <c r="J1679" s="64">
        <v>0.02</v>
      </c>
      <c r="K1679" s="164">
        <v>8.42</v>
      </c>
      <c r="L1679" s="165">
        <v>39.000999999999998</v>
      </c>
      <c r="M1679" s="13">
        <v>5.3879999999999999</v>
      </c>
      <c r="N1679" s="166">
        <v>1.0999999999999999E-2</v>
      </c>
      <c r="O1679" s="15">
        <v>81.918999999999997</v>
      </c>
      <c r="P1679" s="167">
        <v>6.2E-2</v>
      </c>
      <c r="Q1679" s="96"/>
    </row>
    <row r="1680" spans="1:17" ht="14.25" customHeight="1" x14ac:dyDescent="0.35">
      <c r="A1680" s="1">
        <v>2020</v>
      </c>
      <c r="B1680" s="1" t="s">
        <v>30</v>
      </c>
      <c r="C1680" s="1">
        <v>5</v>
      </c>
      <c r="D1680" s="12">
        <v>110.09399999999999</v>
      </c>
      <c r="E1680" s="12">
        <f t="shared" si="34"/>
        <v>137.61750000000001</v>
      </c>
      <c r="F1680" s="13">
        <v>93.563000000000002</v>
      </c>
      <c r="G1680" s="60">
        <v>83.528000000000006</v>
      </c>
      <c r="H1680" s="61">
        <v>1761.107</v>
      </c>
      <c r="I1680" s="62">
        <v>6.9</v>
      </c>
      <c r="J1680" s="64">
        <v>0.02</v>
      </c>
      <c r="K1680" s="164">
        <v>8.8119999999999994</v>
      </c>
      <c r="L1680" s="165">
        <v>39.262</v>
      </c>
      <c r="M1680" s="13">
        <v>5.4009999999999998</v>
      </c>
      <c r="N1680" s="166">
        <v>1.0999999999999999E-2</v>
      </c>
      <c r="O1680" s="15">
        <v>78.625</v>
      </c>
      <c r="P1680" s="167">
        <v>6.2E-2</v>
      </c>
      <c r="Q1680" s="96"/>
    </row>
    <row r="1681" spans="1:17" ht="14.25" customHeight="1" x14ac:dyDescent="0.35">
      <c r="A1681" s="1">
        <v>2020</v>
      </c>
      <c r="B1681" s="1" t="s">
        <v>30</v>
      </c>
      <c r="C1681" s="1">
        <v>6</v>
      </c>
      <c r="D1681" s="12">
        <v>104.453</v>
      </c>
      <c r="E1681" s="12">
        <f t="shared" si="34"/>
        <v>130.56625</v>
      </c>
      <c r="F1681" s="13">
        <v>88.718999999999994</v>
      </c>
      <c r="G1681" s="60">
        <v>83.179000000000002</v>
      </c>
      <c r="H1681" s="61">
        <v>1813.432</v>
      </c>
      <c r="I1681" s="50">
        <v>6.9</v>
      </c>
      <c r="J1681" s="62">
        <v>2.1000000000000001E-2</v>
      </c>
      <c r="K1681" s="164">
        <v>8.3550000000000004</v>
      </c>
      <c r="L1681" s="165">
        <v>42.973999999999997</v>
      </c>
      <c r="M1681" s="13">
        <v>5.3959999999999999</v>
      </c>
      <c r="N1681" s="166">
        <v>1.0999999999999999E-2</v>
      </c>
      <c r="O1681" s="15">
        <v>79.433000000000007</v>
      </c>
      <c r="P1681" s="167">
        <v>6.4000000000000001E-2</v>
      </c>
      <c r="Q1681" s="96"/>
    </row>
    <row r="1682" spans="1:17" ht="14.25" customHeight="1" x14ac:dyDescent="0.35">
      <c r="A1682" s="1">
        <v>2020</v>
      </c>
      <c r="B1682" s="1" t="s">
        <v>30</v>
      </c>
      <c r="C1682" s="1">
        <v>7</v>
      </c>
      <c r="D1682" s="12">
        <v>110.438</v>
      </c>
      <c r="E1682" s="12">
        <f t="shared" si="34"/>
        <v>138.04750000000001</v>
      </c>
      <c r="F1682" s="13">
        <v>93.813000000000002</v>
      </c>
      <c r="G1682" s="60">
        <v>83.338999999999999</v>
      </c>
      <c r="H1682" s="61">
        <v>1774.07</v>
      </c>
      <c r="I1682" s="64">
        <v>6.9</v>
      </c>
      <c r="J1682" s="62">
        <v>0.02</v>
      </c>
      <c r="K1682" s="164">
        <v>8.282</v>
      </c>
      <c r="L1682" s="165">
        <v>40.49</v>
      </c>
      <c r="M1682" s="13">
        <v>5.53</v>
      </c>
      <c r="N1682" s="166">
        <v>1.0999999999999999E-2</v>
      </c>
      <c r="O1682" s="15">
        <v>61.012999999999998</v>
      </c>
      <c r="P1682" s="167">
        <v>6.4000000000000001E-2</v>
      </c>
      <c r="Q1682" s="96"/>
    </row>
    <row r="1683" spans="1:17" ht="14.25" customHeight="1" x14ac:dyDescent="0.35">
      <c r="A1683" s="1">
        <v>2020</v>
      </c>
      <c r="B1683" s="1" t="s">
        <v>30</v>
      </c>
      <c r="C1683" s="1">
        <v>8</v>
      </c>
      <c r="D1683" s="12">
        <v>105.46899999999999</v>
      </c>
      <c r="E1683" s="12">
        <f t="shared" si="34"/>
        <v>131.83625000000001</v>
      </c>
      <c r="F1683" s="13">
        <v>89.781000000000006</v>
      </c>
      <c r="G1683" s="60">
        <v>83.331999999999994</v>
      </c>
      <c r="H1683" s="69">
        <v>1723.9649999999999</v>
      </c>
      <c r="I1683" s="64">
        <v>6.9</v>
      </c>
      <c r="J1683" s="62">
        <v>1.9E-2</v>
      </c>
      <c r="K1683" s="168">
        <v>8.32</v>
      </c>
      <c r="L1683" s="165">
        <v>41.746000000000002</v>
      </c>
      <c r="M1683" s="13">
        <v>5.6130000000000004</v>
      </c>
      <c r="N1683" s="166">
        <v>1.0999999999999999E-2</v>
      </c>
      <c r="O1683" s="15">
        <v>48.149000000000001</v>
      </c>
      <c r="P1683" s="192">
        <v>6.2E-2</v>
      </c>
      <c r="Q1683" s="96"/>
    </row>
    <row r="1684" spans="1:17" ht="14.25" customHeight="1" x14ac:dyDescent="0.35">
      <c r="A1684" s="1">
        <v>2020</v>
      </c>
      <c r="B1684" s="1" t="s">
        <v>30</v>
      </c>
      <c r="C1684" s="1">
        <v>9</v>
      </c>
      <c r="D1684" s="12">
        <v>103.438</v>
      </c>
      <c r="E1684" s="12">
        <f t="shared" si="34"/>
        <v>129.29750000000001</v>
      </c>
      <c r="F1684" s="13">
        <v>87.938000000000002</v>
      </c>
      <c r="G1684" s="60">
        <v>83.349000000000004</v>
      </c>
      <c r="H1684" s="61">
        <v>1662.3720000000001</v>
      </c>
      <c r="I1684" s="64">
        <v>6.9</v>
      </c>
      <c r="J1684" s="62">
        <v>1.9E-2</v>
      </c>
      <c r="K1684" s="164">
        <v>8.6140000000000008</v>
      </c>
      <c r="L1684" s="165">
        <v>40.244999999999997</v>
      </c>
      <c r="M1684" s="13">
        <v>5.61</v>
      </c>
      <c r="N1684" s="166">
        <v>1.0999999999999999E-2</v>
      </c>
      <c r="O1684" s="15">
        <v>48.664000000000001</v>
      </c>
      <c r="P1684" s="167">
        <v>5.7000000000000002E-2</v>
      </c>
      <c r="Q1684" s="96"/>
    </row>
    <row r="1685" spans="1:17" ht="14.25" customHeight="1" x14ac:dyDescent="0.35">
      <c r="A1685" s="1">
        <v>2020</v>
      </c>
      <c r="B1685" s="1" t="s">
        <v>30</v>
      </c>
      <c r="C1685" s="1">
        <v>10</v>
      </c>
      <c r="D1685" s="12">
        <v>105.422</v>
      </c>
      <c r="E1685" s="32">
        <v>131.11000000000001</v>
      </c>
      <c r="F1685" s="13">
        <v>89.625</v>
      </c>
      <c r="G1685" s="72">
        <v>83.15</v>
      </c>
      <c r="H1685" s="61">
        <v>1629.492</v>
      </c>
      <c r="I1685" s="64">
        <v>6.9</v>
      </c>
      <c r="J1685" s="62">
        <v>1.9E-2</v>
      </c>
      <c r="K1685" s="170">
        <v>8.7100000000000009</v>
      </c>
      <c r="L1685" s="165">
        <v>39.75</v>
      </c>
      <c r="M1685" s="13">
        <v>5.617</v>
      </c>
      <c r="N1685" s="171">
        <v>1.0999999999999999E-2</v>
      </c>
      <c r="O1685" s="15">
        <v>47.911000000000001</v>
      </c>
      <c r="P1685" s="172">
        <v>5.7000000000000002E-2</v>
      </c>
      <c r="Q1685" s="96"/>
    </row>
    <row r="1686" spans="1:17" ht="14.25" customHeight="1" x14ac:dyDescent="0.35">
      <c r="A1686" s="1">
        <v>2020</v>
      </c>
      <c r="B1686" s="1" t="s">
        <v>30</v>
      </c>
      <c r="C1686" s="1">
        <v>11</v>
      </c>
      <c r="D1686" s="12">
        <v>106.85899999999999</v>
      </c>
      <c r="E1686" s="12">
        <f t="shared" ref="E1686:E1701" si="35">D1686*1.25</f>
        <v>133.57374999999999</v>
      </c>
      <c r="F1686" s="13">
        <v>90.875</v>
      </c>
      <c r="G1686" s="72">
        <v>83.281999999999996</v>
      </c>
      <c r="H1686" s="61">
        <v>1741.8230000000001</v>
      </c>
      <c r="I1686" s="62">
        <v>6.9</v>
      </c>
      <c r="J1686" s="64">
        <v>0.02</v>
      </c>
      <c r="K1686" s="170">
        <v>8.7829999999999995</v>
      </c>
      <c r="L1686" s="165">
        <v>42.009</v>
      </c>
      <c r="M1686" s="13">
        <v>5.6120000000000001</v>
      </c>
      <c r="N1686" s="171">
        <v>1.0999999999999999E-2</v>
      </c>
      <c r="O1686" s="15">
        <v>48.308999999999997</v>
      </c>
      <c r="P1686" s="172">
        <v>6.3E-2</v>
      </c>
      <c r="Q1686" s="96"/>
    </row>
    <row r="1687" spans="1:17" ht="14.25" customHeight="1" x14ac:dyDescent="0.35">
      <c r="A1687" s="1">
        <v>2020</v>
      </c>
      <c r="B1687" s="1" t="s">
        <v>30</v>
      </c>
      <c r="C1687" s="1">
        <v>12</v>
      </c>
      <c r="D1687" s="12">
        <v>107.313</v>
      </c>
      <c r="E1687" s="12">
        <f t="shared" si="35"/>
        <v>134.14125000000001</v>
      </c>
      <c r="F1687" s="13">
        <v>91.188000000000002</v>
      </c>
      <c r="G1687" s="72">
        <v>83.412999999999997</v>
      </c>
      <c r="H1687" s="61">
        <v>1779.6210000000001</v>
      </c>
      <c r="I1687" s="62">
        <v>6.9</v>
      </c>
      <c r="J1687" s="64">
        <v>0.02</v>
      </c>
      <c r="K1687" s="170">
        <v>9.7140000000000004</v>
      </c>
      <c r="L1687" s="165">
        <v>42.601999999999997</v>
      </c>
      <c r="M1687" s="13">
        <v>5.6280000000000001</v>
      </c>
      <c r="N1687" s="171">
        <v>1.0999999999999999E-2</v>
      </c>
      <c r="O1687" s="15">
        <v>46.529000000000003</v>
      </c>
      <c r="P1687" s="172">
        <v>0.127</v>
      </c>
      <c r="Q1687" s="96"/>
    </row>
    <row r="1688" spans="1:17" ht="14.25" customHeight="1" x14ac:dyDescent="0.35">
      <c r="A1688" s="1">
        <v>2020</v>
      </c>
      <c r="B1688" s="1" t="s">
        <v>30</v>
      </c>
      <c r="C1688" s="1">
        <v>13</v>
      </c>
      <c r="D1688" s="12">
        <v>107.578</v>
      </c>
      <c r="E1688" s="12">
        <f t="shared" si="35"/>
        <v>134.4725</v>
      </c>
      <c r="F1688" s="13">
        <v>91.468999999999994</v>
      </c>
      <c r="G1688" s="78">
        <v>83.849000000000004</v>
      </c>
      <c r="H1688" s="61">
        <v>1789.126</v>
      </c>
      <c r="I1688" s="62">
        <v>6.9</v>
      </c>
      <c r="J1688" s="64">
        <v>0.02</v>
      </c>
      <c r="K1688" s="174">
        <v>8.9589999999999996</v>
      </c>
      <c r="L1688" s="165">
        <v>43.351999999999997</v>
      </c>
      <c r="M1688" s="13">
        <v>5.64</v>
      </c>
      <c r="N1688" s="166">
        <v>1.0999999999999999E-2</v>
      </c>
      <c r="O1688" s="15">
        <v>45.447000000000003</v>
      </c>
      <c r="P1688" s="175">
        <v>8.3000000000000004E-2</v>
      </c>
      <c r="Q1688" s="96"/>
    </row>
    <row r="1689" spans="1:17" ht="14.25" customHeight="1" x14ac:dyDescent="0.35">
      <c r="A1689" s="1">
        <v>2020</v>
      </c>
      <c r="B1689" s="1" t="s">
        <v>30</v>
      </c>
      <c r="C1689" s="1">
        <v>14</v>
      </c>
      <c r="D1689" s="12">
        <v>90.046999999999997</v>
      </c>
      <c r="E1689" s="12">
        <f t="shared" si="35"/>
        <v>112.55875</v>
      </c>
      <c r="F1689" s="13">
        <v>76.406000000000006</v>
      </c>
      <c r="G1689" s="161">
        <v>84.055000000000007</v>
      </c>
      <c r="H1689" s="162">
        <v>1772.0519999999999</v>
      </c>
      <c r="I1689" s="163">
        <v>6.899</v>
      </c>
      <c r="J1689" s="16">
        <v>0.02</v>
      </c>
      <c r="K1689" s="174">
        <v>7.7679999999999998</v>
      </c>
      <c r="L1689" s="176">
        <v>42.442999999999998</v>
      </c>
      <c r="M1689" s="13">
        <v>5.7489999999999997</v>
      </c>
      <c r="N1689" s="166">
        <v>1.0999999999999999E-2</v>
      </c>
      <c r="O1689" s="15">
        <v>37.055999999999997</v>
      </c>
      <c r="P1689" s="175">
        <v>6.0999999999999999E-2</v>
      </c>
      <c r="Q1689" s="96"/>
    </row>
    <row r="1690" spans="1:17" ht="14.25" customHeight="1" x14ac:dyDescent="0.35">
      <c r="A1690" s="1">
        <v>2020</v>
      </c>
      <c r="B1690" s="1" t="s">
        <v>30</v>
      </c>
      <c r="C1690" s="1">
        <v>15</v>
      </c>
      <c r="D1690" s="12">
        <v>38</v>
      </c>
      <c r="E1690" s="12">
        <f t="shared" si="35"/>
        <v>47.5</v>
      </c>
      <c r="F1690" s="13">
        <v>32.219000000000001</v>
      </c>
      <c r="G1690" s="161">
        <v>83.994</v>
      </c>
      <c r="H1690" s="162">
        <v>1676.4659999999999</v>
      </c>
      <c r="I1690" s="163">
        <v>6.8819999999999997</v>
      </c>
      <c r="J1690" s="16">
        <v>1.9E-2</v>
      </c>
      <c r="K1690" s="170">
        <v>7.4</v>
      </c>
      <c r="L1690" s="165">
        <v>42.688000000000002</v>
      </c>
      <c r="M1690" s="13">
        <v>5.782</v>
      </c>
      <c r="N1690" s="166">
        <v>1.4999999999999999E-2</v>
      </c>
      <c r="O1690" s="15">
        <v>33.156999999999996</v>
      </c>
      <c r="P1690" s="172">
        <v>4.7E-2</v>
      </c>
      <c r="Q1690" s="96"/>
    </row>
    <row r="1691" spans="1:17" ht="14.25" customHeight="1" x14ac:dyDescent="0.35">
      <c r="A1691" s="1">
        <v>2020</v>
      </c>
      <c r="B1691" s="1" t="s">
        <v>30</v>
      </c>
      <c r="C1691" s="1">
        <v>16</v>
      </c>
      <c r="D1691" s="12">
        <v>93.796999999999997</v>
      </c>
      <c r="E1691" s="12">
        <f t="shared" si="35"/>
        <v>117.24625</v>
      </c>
      <c r="F1691" s="13">
        <v>79.593999999999994</v>
      </c>
      <c r="G1691" s="161">
        <v>84.32</v>
      </c>
      <c r="H1691" s="162">
        <v>1584.8040000000001</v>
      </c>
      <c r="I1691" s="163">
        <v>6.9180000000000001</v>
      </c>
      <c r="J1691" s="16">
        <v>1.7999999999999999E-2</v>
      </c>
      <c r="K1691" s="174">
        <v>7.4560000000000004</v>
      </c>
      <c r="L1691" s="162">
        <v>37.981000000000002</v>
      </c>
      <c r="M1691" s="163">
        <v>5.8159999999999998</v>
      </c>
      <c r="N1691" s="166">
        <v>1.0999999999999999E-2</v>
      </c>
      <c r="O1691" s="15">
        <v>31.884</v>
      </c>
      <c r="P1691" s="175">
        <v>5.8999999999999997E-2</v>
      </c>
      <c r="Q1691" s="96"/>
    </row>
    <row r="1692" spans="1:17" ht="14.25" customHeight="1" x14ac:dyDescent="0.35">
      <c r="A1692" s="1">
        <v>2020</v>
      </c>
      <c r="B1692" s="1" t="s">
        <v>30</v>
      </c>
      <c r="C1692" s="1">
        <v>17</v>
      </c>
      <c r="D1692" s="12">
        <v>84.343999999999994</v>
      </c>
      <c r="E1692" s="12">
        <f t="shared" si="35"/>
        <v>105.42999999999999</v>
      </c>
      <c r="F1692" s="13">
        <v>71.593999999999994</v>
      </c>
      <c r="G1692" s="161">
        <v>84.233000000000004</v>
      </c>
      <c r="H1692" s="162">
        <v>1556.788</v>
      </c>
      <c r="I1692" s="163">
        <v>6.8849999999999998</v>
      </c>
      <c r="J1692" s="16">
        <v>1.7999999999999999E-2</v>
      </c>
      <c r="K1692" s="164">
        <v>7.47</v>
      </c>
      <c r="L1692" s="165">
        <v>38.124000000000002</v>
      </c>
      <c r="M1692" s="13">
        <v>5.7290000000000001</v>
      </c>
      <c r="N1692" s="166">
        <v>1.0999999999999999E-2</v>
      </c>
      <c r="O1692" s="15">
        <v>41.1</v>
      </c>
      <c r="P1692" s="167">
        <v>5.7000000000000002E-2</v>
      </c>
      <c r="Q1692" s="96"/>
    </row>
    <row r="1693" spans="1:17" ht="14.25" customHeight="1" x14ac:dyDescent="0.35">
      <c r="A1693" s="1">
        <v>2020</v>
      </c>
      <c r="B1693" s="1" t="s">
        <v>30</v>
      </c>
      <c r="C1693" s="1">
        <v>18</v>
      </c>
      <c r="D1693" s="12">
        <v>76.358999999999995</v>
      </c>
      <c r="E1693" s="12">
        <f t="shared" si="35"/>
        <v>95.44874999999999</v>
      </c>
      <c r="F1693" s="13">
        <v>64.656000000000006</v>
      </c>
      <c r="G1693" s="161">
        <v>84.742999999999995</v>
      </c>
      <c r="H1693" s="162">
        <v>1653.664</v>
      </c>
      <c r="I1693" s="163">
        <v>6.8719999999999999</v>
      </c>
      <c r="J1693" s="16">
        <v>1.9E-2</v>
      </c>
      <c r="K1693" s="164">
        <v>7.593</v>
      </c>
      <c r="L1693" s="162">
        <v>40.228000000000002</v>
      </c>
      <c r="M1693" s="163">
        <v>5.3419999999999996</v>
      </c>
      <c r="N1693" s="166">
        <v>1.0999999999999999E-2</v>
      </c>
      <c r="O1693" s="15">
        <v>180.70599999999999</v>
      </c>
      <c r="P1693" s="167">
        <v>6.7000000000000004E-2</v>
      </c>
      <c r="Q1693" s="96"/>
    </row>
    <row r="1694" spans="1:17" ht="14.25" customHeight="1" x14ac:dyDescent="0.35">
      <c r="A1694" s="1">
        <v>2020</v>
      </c>
      <c r="B1694" s="1" t="s">
        <v>30</v>
      </c>
      <c r="C1694" s="1">
        <v>19</v>
      </c>
      <c r="D1694" s="12">
        <v>99.625</v>
      </c>
      <c r="E1694" s="12">
        <f t="shared" si="35"/>
        <v>124.53125</v>
      </c>
      <c r="F1694" s="13">
        <v>84.625</v>
      </c>
      <c r="G1694" s="161">
        <v>84.927999999999997</v>
      </c>
      <c r="H1694" s="162">
        <v>1707.877</v>
      </c>
      <c r="I1694" s="163">
        <v>6.9</v>
      </c>
      <c r="J1694" s="16">
        <v>1.9E-2</v>
      </c>
      <c r="K1694" s="164">
        <v>7.8470000000000004</v>
      </c>
      <c r="L1694" s="165">
        <v>43.857999999999997</v>
      </c>
      <c r="M1694" s="13">
        <v>5.5419999999999998</v>
      </c>
      <c r="N1694" s="166">
        <v>1.0999999999999999E-2</v>
      </c>
      <c r="O1694" s="15">
        <v>128.41800000000001</v>
      </c>
      <c r="P1694" s="167">
        <v>6.6000000000000003E-2</v>
      </c>
      <c r="Q1694" s="96"/>
    </row>
    <row r="1695" spans="1:17" ht="14.25" customHeight="1" x14ac:dyDescent="0.35">
      <c r="A1695" s="1">
        <v>2020</v>
      </c>
      <c r="B1695" s="1" t="s">
        <v>30</v>
      </c>
      <c r="C1695" s="1">
        <v>20</v>
      </c>
      <c r="D1695" s="12">
        <v>102.047</v>
      </c>
      <c r="E1695" s="12">
        <f t="shared" si="35"/>
        <v>127.55875</v>
      </c>
      <c r="F1695" s="13">
        <v>86.656000000000006</v>
      </c>
      <c r="G1695" s="161">
        <v>84.948999999999998</v>
      </c>
      <c r="H1695" s="162">
        <v>1738.8430000000001</v>
      </c>
      <c r="I1695" s="163">
        <v>6.9</v>
      </c>
      <c r="J1695" s="16">
        <v>0.02</v>
      </c>
      <c r="K1695" s="164">
        <v>7.8929999999999998</v>
      </c>
      <c r="L1695" s="162">
        <v>43.305</v>
      </c>
      <c r="M1695" s="163">
        <v>5.6619999999999999</v>
      </c>
      <c r="N1695" s="166">
        <v>1.2E-2</v>
      </c>
      <c r="O1695" s="15">
        <v>43.750999999999998</v>
      </c>
      <c r="P1695" s="167">
        <v>6.4000000000000001E-2</v>
      </c>
      <c r="Q1695" s="96"/>
    </row>
    <row r="1696" spans="1:17" ht="14.25" customHeight="1" x14ac:dyDescent="0.35">
      <c r="A1696" s="1">
        <v>2020</v>
      </c>
      <c r="B1696" s="1" t="s">
        <v>30</v>
      </c>
      <c r="C1696" s="1">
        <v>21</v>
      </c>
      <c r="D1696" s="12">
        <v>107.063</v>
      </c>
      <c r="E1696" s="12">
        <f t="shared" si="35"/>
        <v>133.82875000000001</v>
      </c>
      <c r="F1696" s="13">
        <v>90.968999999999994</v>
      </c>
      <c r="G1696" s="161">
        <v>84.909000000000006</v>
      </c>
      <c r="H1696" s="162">
        <v>1715.856</v>
      </c>
      <c r="I1696" s="163">
        <v>6.899</v>
      </c>
      <c r="J1696" s="16">
        <v>1.9E-2</v>
      </c>
      <c r="K1696" s="164">
        <v>8.4450000000000003</v>
      </c>
      <c r="L1696" s="165">
        <v>42.661999999999999</v>
      </c>
      <c r="M1696" s="13">
        <v>5.59</v>
      </c>
      <c r="N1696" s="166">
        <v>1.0999999999999999E-2</v>
      </c>
      <c r="O1696" s="15">
        <v>51.137999999999998</v>
      </c>
      <c r="P1696" s="167">
        <v>0.06</v>
      </c>
      <c r="Q1696" s="96"/>
    </row>
    <row r="1697" spans="1:17" ht="14.25" customHeight="1" x14ac:dyDescent="0.35">
      <c r="A1697" s="1">
        <v>2020</v>
      </c>
      <c r="B1697" s="1" t="s">
        <v>30</v>
      </c>
      <c r="C1697" s="1">
        <v>22</v>
      </c>
      <c r="D1697" s="12">
        <v>104.672</v>
      </c>
      <c r="E1697" s="12">
        <f t="shared" si="35"/>
        <v>130.84</v>
      </c>
      <c r="F1697" s="13">
        <v>88.906000000000006</v>
      </c>
      <c r="G1697" s="161">
        <v>85.168000000000006</v>
      </c>
      <c r="H1697" s="162">
        <v>1698.0630000000001</v>
      </c>
      <c r="I1697" s="163">
        <v>6.9</v>
      </c>
      <c r="J1697" s="16">
        <v>1.9E-2</v>
      </c>
      <c r="K1697" s="164">
        <v>8.2360000000000007</v>
      </c>
      <c r="L1697" s="162">
        <v>42.35</v>
      </c>
      <c r="M1697" s="163">
        <v>5.8529999999999998</v>
      </c>
      <c r="N1697" s="166">
        <v>1.0999999999999999E-2</v>
      </c>
      <c r="O1697" s="15">
        <v>37.048999999999999</v>
      </c>
      <c r="P1697" s="167">
        <v>5.8999999999999997E-2</v>
      </c>
      <c r="Q1697" s="96"/>
    </row>
    <row r="1698" spans="1:17" ht="14.25" customHeight="1" x14ac:dyDescent="0.35">
      <c r="A1698" s="1">
        <v>2020</v>
      </c>
      <c r="B1698" s="1" t="s">
        <v>30</v>
      </c>
      <c r="C1698" s="1">
        <v>23</v>
      </c>
      <c r="D1698" s="12">
        <v>106.875</v>
      </c>
      <c r="E1698" s="12">
        <f t="shared" si="35"/>
        <v>133.59375</v>
      </c>
      <c r="F1698" s="13">
        <v>90.781000000000006</v>
      </c>
      <c r="G1698" s="161">
        <v>85.123000000000005</v>
      </c>
      <c r="H1698" s="162">
        <v>1630.0039999999999</v>
      </c>
      <c r="I1698" s="163">
        <v>6.9</v>
      </c>
      <c r="J1698" s="16">
        <v>1.7999999999999999E-2</v>
      </c>
      <c r="K1698" s="164">
        <v>7.4829999999999997</v>
      </c>
      <c r="L1698" s="165">
        <v>40.286000000000001</v>
      </c>
      <c r="M1698" s="13">
        <v>6.0380000000000003</v>
      </c>
      <c r="N1698" s="166">
        <v>1.0999999999999999E-2</v>
      </c>
      <c r="O1698" s="15">
        <v>32.311999999999998</v>
      </c>
      <c r="P1698" s="167">
        <v>5.6000000000000001E-2</v>
      </c>
      <c r="Q1698" s="96"/>
    </row>
    <row r="1699" spans="1:17" ht="14.25" customHeight="1" x14ac:dyDescent="0.35">
      <c r="A1699" s="1">
        <v>2020</v>
      </c>
      <c r="B1699" s="1" t="s">
        <v>30</v>
      </c>
      <c r="C1699" s="1">
        <v>24</v>
      </c>
      <c r="D1699" s="12">
        <v>106.84399999999999</v>
      </c>
      <c r="E1699" s="12">
        <f t="shared" si="35"/>
        <v>133.55500000000001</v>
      </c>
      <c r="F1699" s="13">
        <v>90.656000000000006</v>
      </c>
      <c r="G1699" s="161">
        <v>84.894999999999996</v>
      </c>
      <c r="H1699" s="162">
        <v>1599.452</v>
      </c>
      <c r="I1699" s="163">
        <v>6.9</v>
      </c>
      <c r="J1699" s="16">
        <v>1.9E-2</v>
      </c>
      <c r="K1699" s="164">
        <v>7.7249999999999996</v>
      </c>
      <c r="L1699" s="162">
        <v>39.731999999999999</v>
      </c>
      <c r="M1699" s="163">
        <v>5.6660000000000004</v>
      </c>
      <c r="N1699" s="166">
        <v>1.0999999999999999E-2</v>
      </c>
      <c r="O1699" s="15">
        <v>43.494999999999997</v>
      </c>
      <c r="P1699" s="167">
        <v>5.6000000000000001E-2</v>
      </c>
      <c r="Q1699" s="96"/>
    </row>
    <row r="1700" spans="1:17" ht="14.25" customHeight="1" x14ac:dyDescent="0.35">
      <c r="A1700" s="1">
        <v>2020</v>
      </c>
      <c r="B1700" s="1" t="s">
        <v>30</v>
      </c>
      <c r="C1700" s="1">
        <v>25</v>
      </c>
      <c r="D1700" s="12">
        <v>105.98399999999999</v>
      </c>
      <c r="E1700" s="12">
        <f t="shared" si="35"/>
        <v>132.47999999999999</v>
      </c>
      <c r="F1700" s="13">
        <v>90.031000000000006</v>
      </c>
      <c r="G1700" s="161">
        <v>84.903999999999996</v>
      </c>
      <c r="H1700" s="162">
        <v>1683.33</v>
      </c>
      <c r="I1700" s="163">
        <v>6.9</v>
      </c>
      <c r="J1700" s="16">
        <v>1.9E-2</v>
      </c>
      <c r="K1700" s="164">
        <v>8.0060000000000002</v>
      </c>
      <c r="L1700" s="165">
        <v>41.893999999999998</v>
      </c>
      <c r="M1700" s="13">
        <v>5.5469999999999997</v>
      </c>
      <c r="N1700" s="166">
        <v>1.0999999999999999E-2</v>
      </c>
      <c r="O1700" s="15">
        <v>56.042000000000002</v>
      </c>
      <c r="P1700" s="167">
        <v>6.2E-2</v>
      </c>
      <c r="Q1700" s="96"/>
    </row>
    <row r="1701" spans="1:17" ht="14.25" customHeight="1" x14ac:dyDescent="0.35">
      <c r="A1701" s="1">
        <v>2020</v>
      </c>
      <c r="B1701" s="1" t="s">
        <v>30</v>
      </c>
      <c r="C1701" s="1">
        <v>26</v>
      </c>
      <c r="D1701" s="12">
        <v>107.203</v>
      </c>
      <c r="E1701" s="12">
        <f t="shared" si="35"/>
        <v>134.00375</v>
      </c>
      <c r="F1701" s="13">
        <v>91.125</v>
      </c>
      <c r="G1701" s="161">
        <v>84.912000000000006</v>
      </c>
      <c r="H1701" s="162">
        <v>1744.684</v>
      </c>
      <c r="I1701" s="163">
        <v>6.9</v>
      </c>
      <c r="J1701" s="16">
        <v>0.02</v>
      </c>
      <c r="K1701" s="164">
        <v>8.1189999999999998</v>
      </c>
      <c r="L1701" s="162">
        <v>43.155999999999999</v>
      </c>
      <c r="M1701" s="163">
        <v>5.4829999999999997</v>
      </c>
      <c r="N1701" s="166">
        <v>1.0999999999999999E-2</v>
      </c>
      <c r="O1701" s="15">
        <v>65.096000000000004</v>
      </c>
      <c r="P1701" s="167">
        <v>6.3E-2</v>
      </c>
      <c r="Q1701" s="96"/>
    </row>
    <row r="1702" spans="1:17" ht="14.25" customHeight="1" x14ac:dyDescent="0.35">
      <c r="A1702" s="1">
        <v>2020</v>
      </c>
      <c r="B1702" s="1" t="s">
        <v>30</v>
      </c>
      <c r="C1702" s="1">
        <v>27</v>
      </c>
      <c r="D1702" s="12">
        <v>107.39100000000001</v>
      </c>
      <c r="E1702" s="32">
        <v>132.34</v>
      </c>
      <c r="F1702" s="13">
        <v>91.25</v>
      </c>
      <c r="G1702" s="161">
        <v>84.896000000000001</v>
      </c>
      <c r="H1702" s="162">
        <v>1721.5050000000001</v>
      </c>
      <c r="I1702" s="163">
        <v>6.9</v>
      </c>
      <c r="J1702" s="16">
        <v>1.9E-2</v>
      </c>
      <c r="K1702" s="164">
        <v>8.1389999999999993</v>
      </c>
      <c r="L1702" s="165">
        <v>41.667999999999999</v>
      </c>
      <c r="M1702" s="13">
        <v>5.4880000000000004</v>
      </c>
      <c r="N1702" s="166">
        <v>1.0999999999999999E-2</v>
      </c>
      <c r="O1702" s="15">
        <v>64.146000000000001</v>
      </c>
      <c r="P1702" s="167">
        <v>7.2999999999999995E-2</v>
      </c>
      <c r="Q1702" s="96"/>
    </row>
    <row r="1703" spans="1:17" ht="14.25" customHeight="1" x14ac:dyDescent="0.35">
      <c r="A1703" s="1">
        <v>2020</v>
      </c>
      <c r="B1703" s="1" t="s">
        <v>30</v>
      </c>
      <c r="C1703" s="1">
        <v>28</v>
      </c>
      <c r="D1703" s="12">
        <v>107.828</v>
      </c>
      <c r="E1703" s="12">
        <f t="shared" ref="E1703:E1724" si="36">D1703*1.25</f>
        <v>134.785</v>
      </c>
      <c r="F1703" s="13">
        <v>91.563000000000002</v>
      </c>
      <c r="G1703" s="161">
        <v>84.632999999999996</v>
      </c>
      <c r="H1703" s="162">
        <v>1706.2829999999999</v>
      </c>
      <c r="I1703" s="163">
        <v>6.9</v>
      </c>
      <c r="J1703" s="16">
        <v>1.9E-2</v>
      </c>
      <c r="K1703" s="164">
        <v>8.1739999999999995</v>
      </c>
      <c r="L1703" s="162">
        <v>40.503999999999998</v>
      </c>
      <c r="M1703" s="163">
        <v>5.4930000000000003</v>
      </c>
      <c r="N1703" s="166">
        <v>1.0999999999999999E-2</v>
      </c>
      <c r="O1703" s="15">
        <v>63.707999999999998</v>
      </c>
      <c r="P1703" s="167">
        <v>7.6999999999999999E-2</v>
      </c>
      <c r="Q1703" s="96"/>
    </row>
    <row r="1704" spans="1:17" ht="14.25" customHeight="1" x14ac:dyDescent="0.35">
      <c r="A1704" s="1">
        <v>2020</v>
      </c>
      <c r="B1704" s="1" t="s">
        <v>30</v>
      </c>
      <c r="C1704" s="1">
        <v>29</v>
      </c>
      <c r="D1704" s="12">
        <v>106.703</v>
      </c>
      <c r="E1704" s="12">
        <f t="shared" si="36"/>
        <v>133.37875</v>
      </c>
      <c r="F1704" s="13">
        <v>90.593999999999994</v>
      </c>
      <c r="G1704" s="187">
        <v>84.150999999999996</v>
      </c>
      <c r="H1704" s="22">
        <v>1677.7139999999999</v>
      </c>
      <c r="I1704" s="13">
        <v>6.9</v>
      </c>
      <c r="J1704" s="166">
        <v>1.9E-2</v>
      </c>
      <c r="K1704" s="188">
        <v>8.0359999999999996</v>
      </c>
      <c r="L1704" s="162">
        <v>39.247</v>
      </c>
      <c r="M1704" s="163">
        <v>5.51</v>
      </c>
      <c r="N1704" s="166">
        <v>1.0999999999999999E-2</v>
      </c>
      <c r="O1704" s="15">
        <v>60.774000000000001</v>
      </c>
      <c r="P1704" s="227">
        <v>6.9000000000000006E-2</v>
      </c>
      <c r="Q1704" s="96"/>
    </row>
    <row r="1705" spans="1:17" ht="14.25" customHeight="1" x14ac:dyDescent="0.35">
      <c r="A1705" s="1">
        <v>2020</v>
      </c>
      <c r="B1705" s="1" t="s">
        <v>30</v>
      </c>
      <c r="C1705" s="1">
        <v>30</v>
      </c>
      <c r="D1705" s="12">
        <v>52.453000000000003</v>
      </c>
      <c r="E1705" s="12">
        <f t="shared" si="36"/>
        <v>65.566249999999997</v>
      </c>
      <c r="F1705" s="13">
        <v>44.344000000000001</v>
      </c>
      <c r="G1705" s="187">
        <v>84.1</v>
      </c>
      <c r="H1705" s="22">
        <v>1583.6510000000001</v>
      </c>
      <c r="I1705" s="13">
        <v>6.9130000000000003</v>
      </c>
      <c r="J1705" s="166">
        <v>2.1000000000000001E-2</v>
      </c>
      <c r="K1705" s="188">
        <v>7.54</v>
      </c>
      <c r="L1705" s="162">
        <v>43.723300000000002</v>
      </c>
      <c r="M1705" s="163">
        <v>5.5716999999999999</v>
      </c>
      <c r="N1705" s="166">
        <v>1.15E-2</v>
      </c>
      <c r="O1705" s="15">
        <v>54.923000000000002</v>
      </c>
      <c r="P1705" s="227">
        <v>6.5000000000000002E-2</v>
      </c>
      <c r="Q1705" s="96"/>
    </row>
    <row r="1706" spans="1:17" ht="14.25" customHeight="1" x14ac:dyDescent="0.35">
      <c r="A1706" s="1">
        <v>2020</v>
      </c>
      <c r="B1706" s="1" t="s">
        <v>30</v>
      </c>
      <c r="C1706" s="1">
        <v>31</v>
      </c>
      <c r="D1706" s="85">
        <v>0</v>
      </c>
      <c r="E1706" s="12">
        <f t="shared" si="36"/>
        <v>0</v>
      </c>
      <c r="F1706" s="86">
        <v>0</v>
      </c>
      <c r="G1706" s="228">
        <v>0</v>
      </c>
      <c r="H1706" s="229">
        <v>0</v>
      </c>
      <c r="I1706" s="230">
        <v>0</v>
      </c>
      <c r="J1706" s="231">
        <v>0</v>
      </c>
      <c r="K1706" s="232">
        <v>0</v>
      </c>
      <c r="L1706" s="162">
        <v>0</v>
      </c>
      <c r="M1706" s="16">
        <v>0</v>
      </c>
      <c r="N1706" s="166">
        <v>0</v>
      </c>
      <c r="O1706" s="15">
        <v>0</v>
      </c>
      <c r="P1706" s="233">
        <v>0</v>
      </c>
      <c r="Q1706" s="96"/>
    </row>
    <row r="1707" spans="1:17" ht="14.25" customHeight="1" x14ac:dyDescent="0.35">
      <c r="A1707" s="1">
        <v>2020</v>
      </c>
      <c r="B1707" s="1" t="s">
        <v>31</v>
      </c>
      <c r="C1707" s="1">
        <v>1</v>
      </c>
      <c r="D1707" s="49">
        <v>46.375</v>
      </c>
      <c r="E1707" s="12">
        <f t="shared" si="36"/>
        <v>57.96875</v>
      </c>
      <c r="F1707" s="50">
        <v>39.375</v>
      </c>
      <c r="G1707" s="156">
        <v>83.8</v>
      </c>
      <c r="H1707" s="157">
        <v>1725</v>
      </c>
      <c r="I1707" s="44">
        <v>6.9</v>
      </c>
      <c r="J1707" s="45">
        <v>0.02</v>
      </c>
      <c r="K1707" s="158">
        <v>7.8</v>
      </c>
      <c r="L1707" s="157">
        <v>42.3</v>
      </c>
      <c r="M1707" s="45">
        <v>5.55</v>
      </c>
      <c r="N1707" s="159">
        <v>2.8000000000000001E-2</v>
      </c>
      <c r="O1707" s="15">
        <v>33.582999999999998</v>
      </c>
      <c r="P1707" s="160">
        <v>4.2999999999999997E-2</v>
      </c>
      <c r="Q1707" s="96"/>
    </row>
    <row r="1708" spans="1:17" ht="14.25" customHeight="1" x14ac:dyDescent="0.35">
      <c r="A1708" s="1">
        <v>2020</v>
      </c>
      <c r="B1708" s="1" t="s">
        <v>31</v>
      </c>
      <c r="C1708" s="1">
        <v>2</v>
      </c>
      <c r="D1708" s="49">
        <v>107.34399999999999</v>
      </c>
      <c r="E1708" s="12">
        <f t="shared" si="36"/>
        <v>134.18</v>
      </c>
      <c r="F1708" s="50">
        <v>91.343999999999994</v>
      </c>
      <c r="G1708" s="161">
        <v>84.114000000000004</v>
      </c>
      <c r="H1708" s="162">
        <v>1710.35</v>
      </c>
      <c r="I1708" s="163">
        <v>6.9</v>
      </c>
      <c r="J1708" s="16">
        <v>1.7000000000000001E-2</v>
      </c>
      <c r="K1708" s="164">
        <v>7.9269999999999996</v>
      </c>
      <c r="L1708" s="165">
        <v>38.600999999999999</v>
      </c>
      <c r="M1708" s="13">
        <v>5.4989999999999997</v>
      </c>
      <c r="N1708" s="166">
        <v>1.0999999999999999E-2</v>
      </c>
      <c r="O1708" s="15">
        <v>62.353000000000002</v>
      </c>
      <c r="P1708" s="167">
        <v>6.8000000000000005E-2</v>
      </c>
      <c r="Q1708" s="96"/>
    </row>
    <row r="1709" spans="1:17" ht="14.25" customHeight="1" x14ac:dyDescent="0.35">
      <c r="A1709" s="1">
        <v>2020</v>
      </c>
      <c r="B1709" s="1" t="s">
        <v>31</v>
      </c>
      <c r="C1709" s="1">
        <v>3</v>
      </c>
      <c r="D1709" s="49">
        <v>103.84399999999999</v>
      </c>
      <c r="E1709" s="12">
        <f t="shared" si="36"/>
        <v>129.80500000000001</v>
      </c>
      <c r="F1709" s="50">
        <v>88.343999999999994</v>
      </c>
      <c r="G1709" s="161">
        <v>84.239000000000004</v>
      </c>
      <c r="H1709" s="162">
        <v>1712.135</v>
      </c>
      <c r="I1709" s="163">
        <v>6.899</v>
      </c>
      <c r="J1709" s="16">
        <v>1.7000000000000001E-2</v>
      </c>
      <c r="K1709" s="164">
        <v>7.7709999999999999</v>
      </c>
      <c r="L1709" s="165">
        <v>39.871000000000002</v>
      </c>
      <c r="M1709" s="13">
        <v>5.51</v>
      </c>
      <c r="N1709" s="166">
        <v>1.0999999999999999E-2</v>
      </c>
      <c r="O1709" s="15">
        <v>61.063000000000002</v>
      </c>
      <c r="P1709" s="167">
        <v>6.6000000000000003E-2</v>
      </c>
      <c r="Q1709" s="96"/>
    </row>
    <row r="1710" spans="1:17" ht="14.25" customHeight="1" x14ac:dyDescent="0.35">
      <c r="A1710" s="1">
        <v>2020</v>
      </c>
      <c r="B1710" s="1" t="s">
        <v>31</v>
      </c>
      <c r="C1710" s="1">
        <v>4</v>
      </c>
      <c r="D1710" s="49">
        <v>107.15600000000001</v>
      </c>
      <c r="E1710" s="12">
        <f t="shared" si="36"/>
        <v>133.94499999999999</v>
      </c>
      <c r="F1710" s="50">
        <v>91.156000000000006</v>
      </c>
      <c r="G1710" s="161">
        <v>84.673000000000002</v>
      </c>
      <c r="H1710" s="162">
        <v>1717.797</v>
      </c>
      <c r="I1710" s="163">
        <v>6.9</v>
      </c>
      <c r="J1710" s="16">
        <v>1.7999999999999999E-2</v>
      </c>
      <c r="K1710" s="164">
        <v>7.6159999999999997</v>
      </c>
      <c r="L1710" s="165">
        <v>39.936</v>
      </c>
      <c r="M1710" s="13">
        <v>5.4969999999999999</v>
      </c>
      <c r="N1710" s="166">
        <v>1.0999999999999999E-2</v>
      </c>
      <c r="O1710" s="15">
        <v>62.627000000000002</v>
      </c>
      <c r="P1710" s="167">
        <v>6.2E-2</v>
      </c>
      <c r="Q1710" s="96"/>
    </row>
    <row r="1711" spans="1:17" ht="14.25" customHeight="1" x14ac:dyDescent="0.35">
      <c r="A1711" s="1">
        <v>2020</v>
      </c>
      <c r="B1711" s="1" t="s">
        <v>31</v>
      </c>
      <c r="C1711" s="1">
        <v>5</v>
      </c>
      <c r="D1711" s="49">
        <v>86.828000000000003</v>
      </c>
      <c r="E1711" s="12">
        <f t="shared" si="36"/>
        <v>108.535</v>
      </c>
      <c r="F1711" s="50">
        <v>73.688000000000002</v>
      </c>
      <c r="G1711" s="161">
        <v>84.99</v>
      </c>
      <c r="H1711" s="162">
        <v>1702.452</v>
      </c>
      <c r="I1711" s="163">
        <v>6.9</v>
      </c>
      <c r="J1711" s="16">
        <v>1.7000000000000001E-2</v>
      </c>
      <c r="K1711" s="164">
        <v>7.423</v>
      </c>
      <c r="L1711" s="165">
        <v>39.726999999999997</v>
      </c>
      <c r="M1711" s="13">
        <v>5.4859999999999998</v>
      </c>
      <c r="N1711" s="166">
        <v>1.0999999999999999E-2</v>
      </c>
      <c r="O1711" s="15">
        <v>65.031000000000006</v>
      </c>
      <c r="P1711" s="167">
        <v>6.5000000000000002E-2</v>
      </c>
      <c r="Q1711" s="96"/>
    </row>
    <row r="1712" spans="1:17" ht="14.25" customHeight="1" x14ac:dyDescent="0.35">
      <c r="A1712" s="1">
        <v>2020</v>
      </c>
      <c r="B1712" s="1" t="s">
        <v>31</v>
      </c>
      <c r="C1712" s="1">
        <v>6</v>
      </c>
      <c r="D1712" s="49">
        <v>77.921999999999997</v>
      </c>
      <c r="E1712" s="12">
        <f t="shared" si="36"/>
        <v>97.402500000000003</v>
      </c>
      <c r="F1712" s="50">
        <v>66</v>
      </c>
      <c r="G1712" s="161">
        <v>85.218999999999994</v>
      </c>
      <c r="H1712" s="162">
        <v>1609.8969999999999</v>
      </c>
      <c r="I1712" s="163">
        <v>6.8819999999999997</v>
      </c>
      <c r="J1712" s="16">
        <v>1.7000000000000001E-2</v>
      </c>
      <c r="K1712" s="164">
        <v>7.1159999999999997</v>
      </c>
      <c r="L1712" s="165">
        <v>38.856999999999999</v>
      </c>
      <c r="M1712" s="13">
        <v>5.4640000000000004</v>
      </c>
      <c r="N1712" s="166">
        <v>1.0999999999999999E-2</v>
      </c>
      <c r="O1712" s="15">
        <v>68.55</v>
      </c>
      <c r="P1712" s="167">
        <v>0.06</v>
      </c>
      <c r="Q1712" s="96"/>
    </row>
    <row r="1713" spans="1:17" ht="14.25" customHeight="1" x14ac:dyDescent="0.35">
      <c r="A1713" s="1">
        <v>2020</v>
      </c>
      <c r="B1713" s="1" t="s">
        <v>31</v>
      </c>
      <c r="C1713" s="1">
        <v>7</v>
      </c>
      <c r="D1713" s="49">
        <v>95.781000000000006</v>
      </c>
      <c r="E1713" s="12">
        <f t="shared" si="36"/>
        <v>119.72625000000001</v>
      </c>
      <c r="F1713" s="50">
        <v>81.313000000000002</v>
      </c>
      <c r="G1713" s="161">
        <v>84.600999999999999</v>
      </c>
      <c r="H1713" s="162">
        <v>1549.299</v>
      </c>
      <c r="I1713" s="163">
        <v>6.9</v>
      </c>
      <c r="J1713" s="16">
        <v>1.7000000000000001E-2</v>
      </c>
      <c r="K1713" s="164">
        <v>7.2610000000000001</v>
      </c>
      <c r="L1713" s="165">
        <v>37.677999999999997</v>
      </c>
      <c r="M1713" s="13">
        <v>5.4909999999999997</v>
      </c>
      <c r="N1713" s="166">
        <v>1.0999999999999999E-2</v>
      </c>
      <c r="O1713" s="15">
        <v>63.759</v>
      </c>
      <c r="P1713" s="167">
        <v>5.6000000000000001E-2</v>
      </c>
      <c r="Q1713" s="96"/>
    </row>
    <row r="1714" spans="1:17" ht="14.25" customHeight="1" x14ac:dyDescent="0.35">
      <c r="A1714" s="1">
        <v>2020</v>
      </c>
      <c r="B1714" s="1" t="s">
        <v>31</v>
      </c>
      <c r="C1714" s="1">
        <v>8</v>
      </c>
      <c r="D1714" s="49">
        <v>100.28100000000001</v>
      </c>
      <c r="E1714" s="12">
        <f t="shared" si="36"/>
        <v>125.35125000000001</v>
      </c>
      <c r="F1714" s="50">
        <v>85.188000000000002</v>
      </c>
      <c r="G1714" s="161">
        <v>84.364999999999995</v>
      </c>
      <c r="H1714" s="22">
        <v>1536.3119999999999</v>
      </c>
      <c r="I1714" s="163">
        <v>6.9</v>
      </c>
      <c r="J1714" s="16">
        <v>1.7999999999999999E-2</v>
      </c>
      <c r="K1714" s="168">
        <v>7.6669999999999998</v>
      </c>
      <c r="L1714" s="165">
        <v>35.834000000000003</v>
      </c>
      <c r="M1714" s="13">
        <v>5.508</v>
      </c>
      <c r="N1714" s="166">
        <v>1.0999999999999999E-2</v>
      </c>
      <c r="O1714" s="15">
        <v>61.387999999999998</v>
      </c>
      <c r="P1714" s="192">
        <v>5.6000000000000001E-2</v>
      </c>
      <c r="Q1714" s="96"/>
    </row>
    <row r="1715" spans="1:17" ht="14.25" customHeight="1" x14ac:dyDescent="0.35">
      <c r="A1715" s="1">
        <v>2020</v>
      </c>
      <c r="B1715" s="1" t="s">
        <v>31</v>
      </c>
      <c r="C1715" s="1">
        <v>9</v>
      </c>
      <c r="D1715" s="49">
        <v>100.89100000000001</v>
      </c>
      <c r="E1715" s="12">
        <f t="shared" si="36"/>
        <v>126.11375000000001</v>
      </c>
      <c r="F1715" s="50">
        <v>85.688000000000002</v>
      </c>
      <c r="G1715" s="161">
        <v>84.335999999999999</v>
      </c>
      <c r="H1715" s="162">
        <v>1667.7239999999999</v>
      </c>
      <c r="I1715" s="163">
        <v>6.9</v>
      </c>
      <c r="J1715" s="16">
        <v>1.9E-2</v>
      </c>
      <c r="K1715" s="164">
        <v>8.64</v>
      </c>
      <c r="L1715" s="165">
        <v>38.57</v>
      </c>
      <c r="M1715" s="13">
        <v>5.5</v>
      </c>
      <c r="N1715" s="166">
        <v>1.0999999999999999E-2</v>
      </c>
      <c r="O1715" s="15">
        <v>62.567999999999998</v>
      </c>
      <c r="P1715" s="167">
        <v>6.4000000000000001E-2</v>
      </c>
      <c r="Q1715" s="96"/>
    </row>
    <row r="1716" spans="1:17" ht="14.25" customHeight="1" x14ac:dyDescent="0.35">
      <c r="A1716" s="1">
        <v>2020</v>
      </c>
      <c r="B1716" s="1" t="s">
        <v>31</v>
      </c>
      <c r="C1716" s="1">
        <v>10</v>
      </c>
      <c r="D1716" s="49">
        <v>99.078000000000003</v>
      </c>
      <c r="E1716" s="12">
        <f t="shared" si="36"/>
        <v>123.8475</v>
      </c>
      <c r="F1716" s="50">
        <v>84.281000000000006</v>
      </c>
      <c r="G1716" s="169">
        <v>84.509</v>
      </c>
      <c r="H1716" s="162">
        <v>1741.674</v>
      </c>
      <c r="I1716" s="163">
        <v>6.9</v>
      </c>
      <c r="J1716" s="16">
        <v>1.7999999999999999E-2</v>
      </c>
      <c r="K1716" s="170">
        <v>7.8520000000000003</v>
      </c>
      <c r="L1716" s="165">
        <v>39.71</v>
      </c>
      <c r="M1716" s="13">
        <v>5.4870000000000001</v>
      </c>
      <c r="N1716" s="171">
        <v>1.0999999999999999E-2</v>
      </c>
      <c r="O1716" s="15">
        <v>64.373999999999995</v>
      </c>
      <c r="P1716" s="172">
        <v>6.3E-2</v>
      </c>
      <c r="Q1716" s="96"/>
    </row>
    <row r="1717" spans="1:17" ht="14.25" customHeight="1" x14ac:dyDescent="0.35">
      <c r="A1717" s="1">
        <v>2020</v>
      </c>
      <c r="B1717" s="1" t="s">
        <v>31</v>
      </c>
      <c r="C1717" s="1">
        <v>11</v>
      </c>
      <c r="D1717" s="49">
        <v>105.76600000000001</v>
      </c>
      <c r="E1717" s="12">
        <f t="shared" si="36"/>
        <v>132.20750000000001</v>
      </c>
      <c r="F1717" s="50">
        <v>89.968999999999994</v>
      </c>
      <c r="G1717" s="169">
        <v>84.268000000000001</v>
      </c>
      <c r="H1717" s="162">
        <v>1699.163</v>
      </c>
      <c r="I1717" s="163">
        <v>6.9</v>
      </c>
      <c r="J1717" s="16">
        <v>1.7999999999999999E-2</v>
      </c>
      <c r="K1717" s="170">
        <v>7.6660000000000004</v>
      </c>
      <c r="L1717" s="165">
        <v>37.777999999999999</v>
      </c>
      <c r="M1717" s="13">
        <v>5.4969999999999999</v>
      </c>
      <c r="N1717" s="171">
        <v>1.0999999999999999E-2</v>
      </c>
      <c r="O1717" s="15">
        <v>62.87</v>
      </c>
      <c r="P1717" s="172">
        <v>6.0999999999999999E-2</v>
      </c>
      <c r="Q1717" s="96"/>
    </row>
    <row r="1718" spans="1:17" ht="14.25" customHeight="1" x14ac:dyDescent="0.35">
      <c r="A1718" s="1">
        <v>2020</v>
      </c>
      <c r="B1718" s="1" t="s">
        <v>31</v>
      </c>
      <c r="C1718" s="1">
        <v>12</v>
      </c>
      <c r="D1718" s="49">
        <v>105.78100000000001</v>
      </c>
      <c r="E1718" s="12">
        <f t="shared" si="36"/>
        <v>132.22624999999999</v>
      </c>
      <c r="F1718" s="50">
        <v>89.813000000000002</v>
      </c>
      <c r="G1718" s="169">
        <v>83.921999999999997</v>
      </c>
      <c r="H1718" s="162">
        <v>1672.421</v>
      </c>
      <c r="I1718" s="163">
        <v>6.9</v>
      </c>
      <c r="J1718" s="16">
        <v>1.7999999999999999E-2</v>
      </c>
      <c r="K1718" s="170">
        <v>7.56</v>
      </c>
      <c r="L1718" s="165">
        <v>39.564999999999998</v>
      </c>
      <c r="M1718" s="13">
        <v>5.5209999999999999</v>
      </c>
      <c r="N1718" s="171">
        <v>1.0999999999999999E-2</v>
      </c>
      <c r="O1718" s="15">
        <v>62.564999999999998</v>
      </c>
      <c r="P1718" s="172">
        <v>6.2E-2</v>
      </c>
      <c r="Q1718" s="96"/>
    </row>
    <row r="1719" spans="1:17" ht="14.25" customHeight="1" x14ac:dyDescent="0.35">
      <c r="A1719" s="1">
        <v>2020</v>
      </c>
      <c r="B1719" s="1" t="s">
        <v>31</v>
      </c>
      <c r="C1719" s="1">
        <v>13</v>
      </c>
      <c r="D1719" s="49">
        <v>104.21899999999999</v>
      </c>
      <c r="E1719" s="12">
        <f t="shared" si="36"/>
        <v>130.27375000000001</v>
      </c>
      <c r="F1719" s="50">
        <v>88.688000000000002</v>
      </c>
      <c r="G1719" s="173">
        <v>83.938000000000002</v>
      </c>
      <c r="H1719" s="162">
        <v>1613.8019999999999</v>
      </c>
      <c r="I1719" s="163">
        <v>6.9</v>
      </c>
      <c r="J1719" s="16">
        <v>1.7000000000000001E-2</v>
      </c>
      <c r="K1719" s="174">
        <v>7.5030000000000001</v>
      </c>
      <c r="L1719" s="165">
        <v>37.707000000000001</v>
      </c>
      <c r="M1719" s="13">
        <v>5.52</v>
      </c>
      <c r="N1719" s="166">
        <v>1.0999999999999999E-2</v>
      </c>
      <c r="O1719" s="15">
        <v>59.795000000000002</v>
      </c>
      <c r="P1719" s="175">
        <v>0.06</v>
      </c>
      <c r="Q1719" s="96"/>
    </row>
    <row r="1720" spans="1:17" ht="14.25" customHeight="1" x14ac:dyDescent="0.35">
      <c r="A1720" s="1">
        <v>2020</v>
      </c>
      <c r="B1720" s="1" t="s">
        <v>31</v>
      </c>
      <c r="C1720" s="1">
        <v>14</v>
      </c>
      <c r="D1720" s="49">
        <v>103.797</v>
      </c>
      <c r="E1720" s="12">
        <f t="shared" si="36"/>
        <v>129.74625</v>
      </c>
      <c r="F1720" s="50">
        <v>88.313000000000002</v>
      </c>
      <c r="G1720" s="161">
        <v>83.84</v>
      </c>
      <c r="H1720" s="162">
        <v>1560.5740000000001</v>
      </c>
      <c r="I1720" s="163">
        <v>6.9</v>
      </c>
      <c r="J1720" s="16">
        <v>1.7999999999999999E-2</v>
      </c>
      <c r="K1720" s="174">
        <v>6.851</v>
      </c>
      <c r="L1720" s="176">
        <v>36.423999999999999</v>
      </c>
      <c r="M1720" s="13">
        <v>5.5309999999999997</v>
      </c>
      <c r="N1720" s="166">
        <v>1.0999999999999999E-2</v>
      </c>
      <c r="O1720" s="15">
        <v>58.244999999999997</v>
      </c>
      <c r="P1720" s="175">
        <v>6.0999999999999999E-2</v>
      </c>
      <c r="Q1720" s="96"/>
    </row>
    <row r="1721" spans="1:17" ht="14.25" customHeight="1" x14ac:dyDescent="0.35">
      <c r="A1721" s="1">
        <v>2020</v>
      </c>
      <c r="B1721" s="1" t="s">
        <v>31</v>
      </c>
      <c r="C1721" s="1">
        <v>15</v>
      </c>
      <c r="D1721" s="49">
        <v>105.313</v>
      </c>
      <c r="E1721" s="12">
        <f t="shared" si="36"/>
        <v>131.64125000000001</v>
      </c>
      <c r="F1721" s="50">
        <v>89.718999999999994</v>
      </c>
      <c r="G1721" s="161">
        <v>84.036000000000001</v>
      </c>
      <c r="H1721" s="162">
        <v>1645.432</v>
      </c>
      <c r="I1721" s="163">
        <v>6.9009999999999998</v>
      </c>
      <c r="J1721" s="16">
        <v>1.7999999999999999E-2</v>
      </c>
      <c r="K1721" s="170">
        <v>7.1859999999999999</v>
      </c>
      <c r="L1721" s="165">
        <v>38.664000000000001</v>
      </c>
      <c r="M1721" s="13">
        <v>5.53</v>
      </c>
      <c r="N1721" s="166">
        <v>1.0999999999999999E-2</v>
      </c>
      <c r="O1721" s="15">
        <v>58.345999999999997</v>
      </c>
      <c r="P1721" s="172">
        <v>6.6000000000000003E-2</v>
      </c>
      <c r="Q1721" s="96"/>
    </row>
    <row r="1722" spans="1:17" ht="14.25" customHeight="1" x14ac:dyDescent="0.35">
      <c r="A1722" s="1">
        <v>2020</v>
      </c>
      <c r="B1722" s="1" t="s">
        <v>31</v>
      </c>
      <c r="C1722" s="1">
        <v>16</v>
      </c>
      <c r="D1722" s="49">
        <v>107.75</v>
      </c>
      <c r="E1722" s="12">
        <f t="shared" si="36"/>
        <v>134.6875</v>
      </c>
      <c r="F1722" s="50">
        <v>91.875</v>
      </c>
      <c r="G1722" s="161">
        <v>84.254999999999995</v>
      </c>
      <c r="H1722" s="162">
        <v>1744.2329999999999</v>
      </c>
      <c r="I1722" s="163">
        <v>6.9</v>
      </c>
      <c r="J1722" s="16">
        <v>1.7999999999999999E-2</v>
      </c>
      <c r="K1722" s="174">
        <v>7.1589999999999998</v>
      </c>
      <c r="L1722" s="162">
        <v>41.164000000000001</v>
      </c>
      <c r="M1722" s="163">
        <v>5.5110000000000001</v>
      </c>
      <c r="N1722" s="166">
        <v>1.0999999999999999E-2</v>
      </c>
      <c r="O1722" s="15">
        <v>60</v>
      </c>
      <c r="P1722" s="175">
        <v>6.8000000000000005E-2</v>
      </c>
      <c r="Q1722" s="96"/>
    </row>
    <row r="1723" spans="1:17" ht="14.25" customHeight="1" x14ac:dyDescent="0.35">
      <c r="A1723" s="1">
        <v>2020</v>
      </c>
      <c r="B1723" s="1" t="s">
        <v>31</v>
      </c>
      <c r="C1723" s="1">
        <v>17</v>
      </c>
      <c r="D1723" s="49">
        <v>107.563</v>
      </c>
      <c r="E1723" s="12">
        <f t="shared" si="36"/>
        <v>134.45375000000001</v>
      </c>
      <c r="F1723" s="50">
        <v>91.656000000000006</v>
      </c>
      <c r="G1723" s="161">
        <v>84.412999999999997</v>
      </c>
      <c r="H1723" s="162">
        <v>1748.6949999999999</v>
      </c>
      <c r="I1723" s="163">
        <v>6.9</v>
      </c>
      <c r="J1723" s="16">
        <v>1.9E-2</v>
      </c>
      <c r="K1723" s="164">
        <v>7.7329999999999997</v>
      </c>
      <c r="L1723" s="165">
        <v>42.744999999999997</v>
      </c>
      <c r="M1723" s="13">
        <v>5.5449999999999999</v>
      </c>
      <c r="N1723" s="166">
        <v>1.0999999999999999E-2</v>
      </c>
      <c r="O1723" s="15">
        <v>56.734000000000002</v>
      </c>
      <c r="P1723" s="167">
        <v>6.9000000000000006E-2</v>
      </c>
      <c r="Q1723" s="96"/>
    </row>
    <row r="1724" spans="1:17" ht="14.25" customHeight="1" x14ac:dyDescent="0.35">
      <c r="A1724" s="1">
        <v>2020</v>
      </c>
      <c r="B1724" s="1" t="s">
        <v>31</v>
      </c>
      <c r="C1724" s="1">
        <v>18</v>
      </c>
      <c r="D1724" s="49">
        <v>105.53100000000001</v>
      </c>
      <c r="E1724" s="12">
        <f t="shared" si="36"/>
        <v>131.91374999999999</v>
      </c>
      <c r="F1724" s="50">
        <v>89.968999999999994</v>
      </c>
      <c r="G1724" s="161">
        <v>84.174000000000007</v>
      </c>
      <c r="H1724" s="162">
        <v>1734.4590000000001</v>
      </c>
      <c r="I1724" s="163">
        <v>6.899</v>
      </c>
      <c r="J1724" s="16">
        <v>1.9E-2</v>
      </c>
      <c r="K1724" s="164">
        <v>7.7960000000000003</v>
      </c>
      <c r="L1724" s="162">
        <v>41.631</v>
      </c>
      <c r="M1724" s="163">
        <v>5.5259999999999998</v>
      </c>
      <c r="N1724" s="166">
        <v>1.0999999999999999E-2</v>
      </c>
      <c r="O1724" s="15">
        <v>58.720999999999997</v>
      </c>
      <c r="P1724" s="167">
        <v>6.5000000000000002E-2</v>
      </c>
      <c r="Q1724" s="96"/>
    </row>
    <row r="1725" spans="1:17" ht="14.25" customHeight="1" x14ac:dyDescent="0.35">
      <c r="A1725" s="1">
        <v>2020</v>
      </c>
      <c r="B1725" s="1" t="s">
        <v>31</v>
      </c>
      <c r="C1725" s="1">
        <v>19</v>
      </c>
      <c r="D1725" s="49">
        <v>105.438</v>
      </c>
      <c r="E1725" s="32">
        <v>131.01</v>
      </c>
      <c r="F1725" s="50">
        <v>89.938000000000002</v>
      </c>
      <c r="G1725" s="161">
        <v>83.942999999999998</v>
      </c>
      <c r="H1725" s="162">
        <v>1692.6859999999999</v>
      </c>
      <c r="I1725" s="163">
        <v>6.9</v>
      </c>
      <c r="J1725" s="16">
        <v>1.7999999999999999E-2</v>
      </c>
      <c r="K1725" s="164">
        <v>7.9779999999999998</v>
      </c>
      <c r="L1725" s="165">
        <v>40.35</v>
      </c>
      <c r="M1725" s="13">
        <v>5.4909999999999997</v>
      </c>
      <c r="N1725" s="166">
        <v>1.0999999999999999E-2</v>
      </c>
      <c r="O1725" s="15">
        <v>63.884</v>
      </c>
      <c r="P1725" s="167">
        <v>6.5000000000000002E-2</v>
      </c>
      <c r="Q1725" s="96"/>
    </row>
    <row r="1726" spans="1:17" ht="14.25" customHeight="1" x14ac:dyDescent="0.35">
      <c r="A1726" s="1">
        <v>2020</v>
      </c>
      <c r="B1726" s="1" t="s">
        <v>31</v>
      </c>
      <c r="C1726" s="1">
        <v>20</v>
      </c>
      <c r="D1726" s="49">
        <v>103.563</v>
      </c>
      <c r="E1726" s="12">
        <f t="shared" ref="E1726:E1772" si="37">D1726*1.25</f>
        <v>129.45375000000001</v>
      </c>
      <c r="F1726" s="50">
        <v>88.25</v>
      </c>
      <c r="G1726" s="161">
        <v>83.768000000000001</v>
      </c>
      <c r="H1726" s="162">
        <v>1630.7339999999999</v>
      </c>
      <c r="I1726" s="163">
        <v>6.9</v>
      </c>
      <c r="J1726" s="16">
        <v>1.7000000000000001E-2</v>
      </c>
      <c r="K1726" s="164">
        <v>7.7619999999999996</v>
      </c>
      <c r="L1726" s="162">
        <v>40.409999999999997</v>
      </c>
      <c r="M1726" s="163">
        <v>5.4930000000000003</v>
      </c>
      <c r="N1726" s="166">
        <v>1.2E-2</v>
      </c>
      <c r="O1726" s="15">
        <v>63.326999999999998</v>
      </c>
      <c r="P1726" s="167">
        <v>6.5000000000000002E-2</v>
      </c>
      <c r="Q1726" s="96"/>
    </row>
    <row r="1727" spans="1:17" ht="14.25" customHeight="1" x14ac:dyDescent="0.35">
      <c r="A1727" s="1">
        <v>2020</v>
      </c>
      <c r="B1727" s="1" t="s">
        <v>31</v>
      </c>
      <c r="C1727" s="1">
        <v>21</v>
      </c>
      <c r="D1727" s="49">
        <v>103.938</v>
      </c>
      <c r="E1727" s="12">
        <f t="shared" si="37"/>
        <v>129.92250000000001</v>
      </c>
      <c r="F1727" s="50">
        <v>88.563000000000002</v>
      </c>
      <c r="G1727" s="161">
        <v>83.463999999999999</v>
      </c>
      <c r="H1727" s="162">
        <v>1586.7</v>
      </c>
      <c r="I1727" s="163">
        <v>6.9</v>
      </c>
      <c r="J1727" s="16">
        <v>1.7000000000000001E-2</v>
      </c>
      <c r="K1727" s="164">
        <v>7.9349999999999996</v>
      </c>
      <c r="L1727" s="165">
        <v>38.456000000000003</v>
      </c>
      <c r="M1727" s="13">
        <v>5.508</v>
      </c>
      <c r="N1727" s="166">
        <v>1.0999999999999999E-2</v>
      </c>
      <c r="O1727" s="15">
        <v>61.137</v>
      </c>
      <c r="P1727" s="167">
        <v>6.2E-2</v>
      </c>
      <c r="Q1727" s="96"/>
    </row>
    <row r="1728" spans="1:17" ht="14.25" customHeight="1" x14ac:dyDescent="0.35">
      <c r="A1728" s="1">
        <v>2020</v>
      </c>
      <c r="B1728" s="1" t="s">
        <v>31</v>
      </c>
      <c r="C1728" s="1">
        <v>22</v>
      </c>
      <c r="D1728" s="49">
        <v>105.71899999999999</v>
      </c>
      <c r="E1728" s="12">
        <f t="shared" si="37"/>
        <v>132.14875000000001</v>
      </c>
      <c r="F1728" s="50">
        <v>90</v>
      </c>
      <c r="G1728" s="161">
        <v>83.656000000000006</v>
      </c>
      <c r="H1728" s="162">
        <v>1685.405</v>
      </c>
      <c r="I1728" s="163">
        <v>6.9</v>
      </c>
      <c r="J1728" s="16">
        <v>1.7999999999999999E-2</v>
      </c>
      <c r="K1728" s="164">
        <v>8.26</v>
      </c>
      <c r="L1728" s="162">
        <v>41.314999999999998</v>
      </c>
      <c r="M1728" s="163">
        <v>5.5090000000000003</v>
      </c>
      <c r="N1728" s="166">
        <v>1.0999999999999999E-2</v>
      </c>
      <c r="O1728" s="15">
        <v>61.286999999999999</v>
      </c>
      <c r="P1728" s="167">
        <v>6.9000000000000006E-2</v>
      </c>
      <c r="Q1728" s="96"/>
    </row>
    <row r="1729" spans="1:17" ht="14.25" customHeight="1" x14ac:dyDescent="0.35">
      <c r="A1729" s="1">
        <v>2020</v>
      </c>
      <c r="B1729" s="1" t="s">
        <v>31</v>
      </c>
      <c r="C1729" s="1">
        <v>23</v>
      </c>
      <c r="D1729" s="49">
        <v>106.59399999999999</v>
      </c>
      <c r="E1729" s="12">
        <f t="shared" si="37"/>
        <v>133.24250000000001</v>
      </c>
      <c r="F1729" s="50">
        <v>90.75</v>
      </c>
      <c r="G1729" s="161">
        <v>83.864000000000004</v>
      </c>
      <c r="H1729" s="162">
        <v>1687.7729999999999</v>
      </c>
      <c r="I1729" s="163">
        <v>6.9</v>
      </c>
      <c r="J1729" s="16">
        <v>1.7999999999999999E-2</v>
      </c>
      <c r="K1729" s="164">
        <v>8.1389999999999993</v>
      </c>
      <c r="L1729" s="165">
        <v>41.26</v>
      </c>
      <c r="M1729" s="13">
        <v>5.5170000000000003</v>
      </c>
      <c r="N1729" s="166">
        <v>1.2999999999999999E-2</v>
      </c>
      <c r="O1729" s="15">
        <v>60.063000000000002</v>
      </c>
      <c r="P1729" s="167">
        <v>6.8000000000000005E-2</v>
      </c>
      <c r="Q1729" s="96"/>
    </row>
    <row r="1730" spans="1:17" ht="14.25" customHeight="1" x14ac:dyDescent="0.35">
      <c r="A1730" s="1">
        <v>2020</v>
      </c>
      <c r="B1730" s="1" t="s">
        <v>31</v>
      </c>
      <c r="C1730" s="1">
        <v>24</v>
      </c>
      <c r="D1730" s="49">
        <v>111.328</v>
      </c>
      <c r="E1730" s="12">
        <f t="shared" si="37"/>
        <v>139.16</v>
      </c>
      <c r="F1730" s="50">
        <v>94.843999999999994</v>
      </c>
      <c r="G1730" s="161">
        <v>84.034000000000006</v>
      </c>
      <c r="H1730" s="162">
        <v>1703.9929999999999</v>
      </c>
      <c r="I1730" s="163">
        <v>6.9</v>
      </c>
      <c r="J1730" s="16">
        <v>1.7999999999999999E-2</v>
      </c>
      <c r="K1730" s="164">
        <v>8.1539999999999999</v>
      </c>
      <c r="L1730" s="162">
        <v>41.2</v>
      </c>
      <c r="M1730" s="163">
        <v>5.5129999999999999</v>
      </c>
      <c r="N1730" s="166">
        <v>1.0999999999999999E-2</v>
      </c>
      <c r="O1730" s="15">
        <v>60.5</v>
      </c>
      <c r="P1730" s="167">
        <v>7.0000000000000007E-2</v>
      </c>
      <c r="Q1730" s="96"/>
    </row>
    <row r="1731" spans="1:17" ht="14.25" customHeight="1" x14ac:dyDescent="0.35">
      <c r="A1731" s="1">
        <v>2020</v>
      </c>
      <c r="B1731" s="1" t="s">
        <v>31</v>
      </c>
      <c r="C1731" s="1">
        <v>25</v>
      </c>
      <c r="D1731" s="49">
        <v>110.39100000000001</v>
      </c>
      <c r="E1731" s="12">
        <f t="shared" si="37"/>
        <v>137.98875000000001</v>
      </c>
      <c r="F1731" s="50">
        <v>93.968999999999994</v>
      </c>
      <c r="G1731" s="161">
        <v>83.849000000000004</v>
      </c>
      <c r="H1731" s="162">
        <v>1707.729</v>
      </c>
      <c r="I1731" s="163">
        <v>6.9</v>
      </c>
      <c r="J1731" s="16">
        <v>1.7999999999999999E-2</v>
      </c>
      <c r="K1731" s="164">
        <v>7.9859999999999998</v>
      </c>
      <c r="L1731" s="165">
        <v>40.561</v>
      </c>
      <c r="M1731" s="13">
        <v>5.5330000000000004</v>
      </c>
      <c r="N1731" s="166">
        <v>1.0999999999999999E-2</v>
      </c>
      <c r="O1731" s="15">
        <v>58.222000000000001</v>
      </c>
      <c r="P1731" s="167">
        <v>6.5000000000000002E-2</v>
      </c>
      <c r="Q1731" s="96"/>
    </row>
    <row r="1732" spans="1:17" ht="14.25" customHeight="1" x14ac:dyDescent="0.35">
      <c r="A1732" s="1">
        <v>2020</v>
      </c>
      <c r="B1732" s="1" t="s">
        <v>31</v>
      </c>
      <c r="C1732" s="1">
        <v>26</v>
      </c>
      <c r="D1732" s="49">
        <v>106.75</v>
      </c>
      <c r="E1732" s="12">
        <f t="shared" si="37"/>
        <v>133.4375</v>
      </c>
      <c r="F1732" s="50">
        <v>90.843999999999994</v>
      </c>
      <c r="G1732" s="161">
        <v>83.879000000000005</v>
      </c>
      <c r="H1732" s="162">
        <v>1669.7460000000001</v>
      </c>
      <c r="I1732" s="163">
        <v>6.9</v>
      </c>
      <c r="J1732" s="16">
        <v>1.7000000000000001E-2</v>
      </c>
      <c r="K1732" s="164">
        <v>7.88</v>
      </c>
      <c r="L1732" s="162">
        <v>38.840000000000003</v>
      </c>
      <c r="M1732" s="163">
        <v>5.5270000000000001</v>
      </c>
      <c r="N1732" s="166">
        <v>1.0999999999999999E-2</v>
      </c>
      <c r="O1732" s="15">
        <v>58.546999999999997</v>
      </c>
      <c r="P1732" s="167">
        <v>6.4000000000000001E-2</v>
      </c>
      <c r="Q1732" s="96"/>
    </row>
    <row r="1733" spans="1:17" ht="14.25" customHeight="1" x14ac:dyDescent="0.35">
      <c r="A1733" s="1">
        <v>2020</v>
      </c>
      <c r="B1733" s="1" t="s">
        <v>31</v>
      </c>
      <c r="C1733" s="1">
        <v>27</v>
      </c>
      <c r="D1733" s="49">
        <v>105.547</v>
      </c>
      <c r="E1733" s="12">
        <f t="shared" si="37"/>
        <v>131.93375</v>
      </c>
      <c r="F1733" s="50">
        <v>89.813000000000002</v>
      </c>
      <c r="G1733" s="161">
        <v>83.698999999999998</v>
      </c>
      <c r="H1733" s="162">
        <v>1578.3720000000001</v>
      </c>
      <c r="I1733" s="163">
        <v>6.9</v>
      </c>
      <c r="J1733" s="16">
        <v>1.7000000000000001E-2</v>
      </c>
      <c r="K1733" s="164">
        <v>7.6369999999999996</v>
      </c>
      <c r="L1733" s="165">
        <v>36.097000000000001</v>
      </c>
      <c r="M1733" s="13">
        <v>5.5270000000000001</v>
      </c>
      <c r="N1733" s="166">
        <v>1.0999999999999999E-2</v>
      </c>
      <c r="O1733" s="15">
        <v>58.591000000000001</v>
      </c>
      <c r="P1733" s="167">
        <v>0.06</v>
      </c>
      <c r="Q1733" s="96"/>
    </row>
    <row r="1734" spans="1:17" ht="14.25" customHeight="1" x14ac:dyDescent="0.35">
      <c r="A1734" s="1">
        <v>2020</v>
      </c>
      <c r="B1734" s="1" t="s">
        <v>31</v>
      </c>
      <c r="C1734" s="1">
        <v>28</v>
      </c>
      <c r="D1734" s="49">
        <v>105.59399999999999</v>
      </c>
      <c r="E1734" s="12">
        <f t="shared" si="37"/>
        <v>131.99250000000001</v>
      </c>
      <c r="F1734" s="50">
        <v>89.968999999999994</v>
      </c>
      <c r="G1734" s="161">
        <v>83.92</v>
      </c>
      <c r="H1734" s="162">
        <v>1542.9390000000001</v>
      </c>
      <c r="I1734" s="163">
        <v>6.9</v>
      </c>
      <c r="J1734" s="16">
        <v>1.7000000000000001E-2</v>
      </c>
      <c r="K1734" s="164">
        <v>7.84</v>
      </c>
      <c r="L1734" s="162">
        <v>35.709000000000003</v>
      </c>
      <c r="M1734" s="163">
        <v>5.54</v>
      </c>
      <c r="N1734" s="166">
        <v>1.0999999999999999E-2</v>
      </c>
      <c r="O1734" s="15">
        <v>57.164000000000001</v>
      </c>
      <c r="P1734" s="167">
        <v>0.06</v>
      </c>
      <c r="Q1734" s="96"/>
    </row>
    <row r="1735" spans="1:17" ht="14.25" customHeight="1" x14ac:dyDescent="0.35">
      <c r="A1735" s="1">
        <v>2020</v>
      </c>
      <c r="B1735" s="1" t="s">
        <v>31</v>
      </c>
      <c r="C1735" s="1">
        <v>29</v>
      </c>
      <c r="D1735" s="49">
        <v>105.578</v>
      </c>
      <c r="E1735" s="12">
        <f t="shared" si="37"/>
        <v>131.9725</v>
      </c>
      <c r="F1735" s="50">
        <v>90.031000000000006</v>
      </c>
      <c r="G1735" s="187">
        <v>84.141999999999996</v>
      </c>
      <c r="H1735" s="22">
        <v>1648.165</v>
      </c>
      <c r="I1735" s="13">
        <v>6.9</v>
      </c>
      <c r="J1735" s="166">
        <v>1.7000000000000001E-2</v>
      </c>
      <c r="K1735" s="188">
        <v>8.0619999999999994</v>
      </c>
      <c r="L1735" s="162">
        <v>37.781999999999996</v>
      </c>
      <c r="M1735" s="163">
        <v>5.5279999999999996</v>
      </c>
      <c r="N1735" s="166">
        <v>1.0999999999999999E-2</v>
      </c>
      <c r="O1735" s="15">
        <v>58.875999999999998</v>
      </c>
      <c r="P1735" s="227">
        <v>6.7000000000000004E-2</v>
      </c>
      <c r="Q1735" s="96"/>
    </row>
    <row r="1736" spans="1:17" ht="14.25" customHeight="1" x14ac:dyDescent="0.35">
      <c r="A1736" s="1">
        <v>2020</v>
      </c>
      <c r="B1736" s="1" t="s">
        <v>31</v>
      </c>
      <c r="C1736" s="1">
        <v>30</v>
      </c>
      <c r="D1736" s="104">
        <v>108.21899999999999</v>
      </c>
      <c r="E1736" s="12">
        <f t="shared" si="37"/>
        <v>135.27375000000001</v>
      </c>
      <c r="F1736" s="105">
        <v>92.188000000000002</v>
      </c>
      <c r="G1736" s="187">
        <v>84.647999999999996</v>
      </c>
      <c r="H1736" s="22">
        <v>1697.26</v>
      </c>
      <c r="I1736" s="13">
        <v>6.9</v>
      </c>
      <c r="J1736" s="166">
        <v>1.7000000000000001E-2</v>
      </c>
      <c r="K1736" s="188">
        <v>8.1470000000000002</v>
      </c>
      <c r="L1736" s="162">
        <v>38.454000000000001</v>
      </c>
      <c r="M1736" s="163">
        <v>5.5129999999999999</v>
      </c>
      <c r="N1736" s="166">
        <v>1.0999999999999999E-2</v>
      </c>
      <c r="O1736" s="15">
        <v>60.829000000000001</v>
      </c>
      <c r="P1736" s="227">
        <v>6.8000000000000005E-2</v>
      </c>
      <c r="Q1736" s="96"/>
    </row>
    <row r="1737" spans="1:17" ht="14.25" customHeight="1" x14ac:dyDescent="0.35">
      <c r="A1737" s="1">
        <v>2020</v>
      </c>
      <c r="B1737" s="1" t="s">
        <v>32</v>
      </c>
      <c r="C1737" s="1">
        <v>1</v>
      </c>
      <c r="D1737" s="12">
        <v>108.422</v>
      </c>
      <c r="E1737" s="12">
        <f t="shared" si="37"/>
        <v>135.5275</v>
      </c>
      <c r="F1737" s="13">
        <v>92.313000000000002</v>
      </c>
      <c r="G1737" s="156">
        <v>84.67</v>
      </c>
      <c r="H1737" s="157">
        <v>1725.2239999999999</v>
      </c>
      <c r="I1737" s="44">
        <v>6.9</v>
      </c>
      <c r="J1737" s="45">
        <v>1.7000000000000001E-2</v>
      </c>
      <c r="K1737" s="158">
        <v>8.2609999999999992</v>
      </c>
      <c r="L1737" s="157">
        <v>39.531999999999996</v>
      </c>
      <c r="M1737" s="45">
        <v>5.5019999999999998</v>
      </c>
      <c r="N1737" s="159">
        <v>1.0999999999999999E-2</v>
      </c>
      <c r="O1737" s="15">
        <v>62.384</v>
      </c>
      <c r="P1737" s="160">
        <v>6.9000000000000006E-2</v>
      </c>
      <c r="Q1737" s="96"/>
    </row>
    <row r="1738" spans="1:17" ht="14.25" customHeight="1" x14ac:dyDescent="0.35">
      <c r="A1738" s="1">
        <v>2020</v>
      </c>
      <c r="B1738" s="1" t="s">
        <v>32</v>
      </c>
      <c r="C1738" s="1">
        <v>2</v>
      </c>
      <c r="D1738" s="12">
        <v>105.703</v>
      </c>
      <c r="E1738" s="12">
        <f t="shared" si="37"/>
        <v>132.12875</v>
      </c>
      <c r="F1738" s="13">
        <v>90</v>
      </c>
      <c r="G1738" s="161">
        <v>84.513999999999996</v>
      </c>
      <c r="H1738" s="162">
        <v>1718.7180000000001</v>
      </c>
      <c r="I1738" s="163">
        <v>6.9</v>
      </c>
      <c r="J1738" s="16">
        <v>1.7999999999999999E-2</v>
      </c>
      <c r="K1738" s="164">
        <v>7.96</v>
      </c>
      <c r="L1738" s="165">
        <v>42.344000000000001</v>
      </c>
      <c r="M1738" s="13">
        <v>5.49</v>
      </c>
      <c r="N1738" s="166">
        <v>1.2999999999999999E-2</v>
      </c>
      <c r="O1738" s="15">
        <v>63.542999999999999</v>
      </c>
      <c r="P1738" s="167">
        <v>6.6000000000000003E-2</v>
      </c>
      <c r="Q1738" s="96"/>
    </row>
    <row r="1739" spans="1:17" ht="14.25" customHeight="1" x14ac:dyDescent="0.35">
      <c r="A1739" s="1">
        <v>2020</v>
      </c>
      <c r="B1739" s="1" t="s">
        <v>32</v>
      </c>
      <c r="C1739" s="1">
        <v>3</v>
      </c>
      <c r="D1739" s="12">
        <v>108.188</v>
      </c>
      <c r="E1739" s="12">
        <f t="shared" si="37"/>
        <v>135.23500000000001</v>
      </c>
      <c r="F1739" s="13">
        <v>92.125</v>
      </c>
      <c r="G1739" s="161">
        <v>84.489000000000004</v>
      </c>
      <c r="H1739" s="162">
        <v>1683.597</v>
      </c>
      <c r="I1739" s="163">
        <v>6.9</v>
      </c>
      <c r="J1739" s="16">
        <v>1.7999999999999999E-2</v>
      </c>
      <c r="K1739" s="164">
        <v>8.1430000000000007</v>
      </c>
      <c r="L1739" s="165">
        <v>42.396000000000001</v>
      </c>
      <c r="M1739" s="13">
        <v>5.4539999999999997</v>
      </c>
      <c r="N1739" s="166">
        <v>1.2E-2</v>
      </c>
      <c r="O1739" s="15">
        <v>69.430000000000007</v>
      </c>
      <c r="P1739" s="167">
        <v>6.2E-2</v>
      </c>
      <c r="Q1739" s="96"/>
    </row>
    <row r="1740" spans="1:17" ht="14.25" customHeight="1" x14ac:dyDescent="0.35">
      <c r="A1740" s="1">
        <v>2020</v>
      </c>
      <c r="B1740" s="1" t="s">
        <v>32</v>
      </c>
      <c r="C1740" s="1">
        <v>4</v>
      </c>
      <c r="D1740" s="12">
        <v>106.25</v>
      </c>
      <c r="E1740" s="12">
        <f t="shared" si="37"/>
        <v>132.8125</v>
      </c>
      <c r="F1740" s="13">
        <v>90.438000000000002</v>
      </c>
      <c r="G1740" s="161">
        <v>84.444000000000003</v>
      </c>
      <c r="H1740" s="162">
        <v>1613.145</v>
      </c>
      <c r="I1740" s="163">
        <v>6.9</v>
      </c>
      <c r="J1740" s="16">
        <v>1.7000000000000001E-2</v>
      </c>
      <c r="K1740" s="164">
        <v>8.0129999999999999</v>
      </c>
      <c r="L1740" s="165">
        <v>40.877000000000002</v>
      </c>
      <c r="M1740" s="13">
        <v>5.4640000000000004</v>
      </c>
      <c r="N1740" s="166">
        <v>1.0999999999999999E-2</v>
      </c>
      <c r="O1740" s="15">
        <v>67.75</v>
      </c>
      <c r="P1740" s="167">
        <v>5.8000000000000003E-2</v>
      </c>
      <c r="Q1740" s="96"/>
    </row>
    <row r="1741" spans="1:17" ht="14.25" customHeight="1" x14ac:dyDescent="0.35">
      <c r="A1741" s="1">
        <v>2020</v>
      </c>
      <c r="B1741" s="1" t="s">
        <v>32</v>
      </c>
      <c r="C1741" s="1">
        <v>5</v>
      </c>
      <c r="D1741" s="12">
        <v>105.578</v>
      </c>
      <c r="E1741" s="12">
        <f t="shared" si="37"/>
        <v>131.9725</v>
      </c>
      <c r="F1741" s="13">
        <v>89.968999999999994</v>
      </c>
      <c r="G1741" s="161">
        <v>84.289000000000001</v>
      </c>
      <c r="H1741" s="162">
        <v>1570.107</v>
      </c>
      <c r="I1741" s="163">
        <v>6.9</v>
      </c>
      <c r="J1741" s="16">
        <v>1.7000000000000001E-2</v>
      </c>
      <c r="K1741" s="164">
        <v>8.15</v>
      </c>
      <c r="L1741" s="165">
        <v>39.448</v>
      </c>
      <c r="M1741" s="13">
        <v>5.4939999999999998</v>
      </c>
      <c r="N1741" s="166">
        <v>1.0999999999999999E-2</v>
      </c>
      <c r="O1741" s="15">
        <v>63.253</v>
      </c>
      <c r="P1741" s="167">
        <v>7.2999999999999995E-2</v>
      </c>
      <c r="Q1741" s="96"/>
    </row>
    <row r="1742" spans="1:17" ht="14.25" customHeight="1" x14ac:dyDescent="0.35">
      <c r="A1742" s="1">
        <v>2020</v>
      </c>
      <c r="B1742" s="1" t="s">
        <v>32</v>
      </c>
      <c r="C1742" s="1">
        <v>6</v>
      </c>
      <c r="D1742" s="12">
        <v>105.563</v>
      </c>
      <c r="E1742" s="12">
        <f t="shared" si="37"/>
        <v>131.95375000000001</v>
      </c>
      <c r="F1742" s="13">
        <v>89.968999999999994</v>
      </c>
      <c r="G1742" s="161">
        <v>84.239000000000004</v>
      </c>
      <c r="H1742" s="162">
        <v>1654.6010000000001</v>
      </c>
      <c r="I1742" s="163">
        <v>6.9</v>
      </c>
      <c r="J1742" s="16">
        <v>1.7999999999999999E-2</v>
      </c>
      <c r="K1742" s="164">
        <v>8.2769999999999992</v>
      </c>
      <c r="L1742" s="165">
        <v>41.475999999999999</v>
      </c>
      <c r="M1742" s="13">
        <v>5.4889999999999999</v>
      </c>
      <c r="N1742" s="166">
        <v>1.0999999999999999E-2</v>
      </c>
      <c r="O1742" s="15">
        <v>64.040000000000006</v>
      </c>
      <c r="P1742" s="167">
        <v>6.9000000000000006E-2</v>
      </c>
      <c r="Q1742" s="96"/>
    </row>
    <row r="1743" spans="1:17" ht="14.25" customHeight="1" x14ac:dyDescent="0.35">
      <c r="A1743" s="1">
        <v>2020</v>
      </c>
      <c r="B1743" s="1" t="s">
        <v>32</v>
      </c>
      <c r="C1743" s="1">
        <v>7</v>
      </c>
      <c r="D1743" s="12">
        <v>106.60899999999999</v>
      </c>
      <c r="E1743" s="12">
        <f t="shared" si="37"/>
        <v>133.26124999999999</v>
      </c>
      <c r="F1743" s="13">
        <v>90.938000000000002</v>
      </c>
      <c r="G1743" s="161">
        <v>84.025000000000006</v>
      </c>
      <c r="H1743" s="162">
        <v>1686.8879999999999</v>
      </c>
      <c r="I1743" s="163">
        <v>6.9</v>
      </c>
      <c r="J1743" s="16">
        <v>1.7999999999999999E-2</v>
      </c>
      <c r="K1743" s="164">
        <v>8.407</v>
      </c>
      <c r="L1743" s="165">
        <v>41.829000000000001</v>
      </c>
      <c r="M1743" s="13">
        <v>5.4790000000000001</v>
      </c>
      <c r="N1743" s="166">
        <v>1.0999999999999999E-2</v>
      </c>
      <c r="O1743" s="15">
        <v>65.474999999999994</v>
      </c>
      <c r="P1743" s="167">
        <v>6.7000000000000004E-2</v>
      </c>
      <c r="Q1743" s="96"/>
    </row>
    <row r="1744" spans="1:17" ht="14.25" customHeight="1" x14ac:dyDescent="0.35">
      <c r="A1744" s="1">
        <v>2020</v>
      </c>
      <c r="B1744" s="1" t="s">
        <v>32</v>
      </c>
      <c r="C1744" s="1">
        <v>8</v>
      </c>
      <c r="D1744" s="12">
        <v>107.15600000000001</v>
      </c>
      <c r="E1744" s="12">
        <f t="shared" si="37"/>
        <v>133.94499999999999</v>
      </c>
      <c r="F1744" s="13">
        <v>91.343999999999994</v>
      </c>
      <c r="G1744" s="161">
        <v>83.804000000000002</v>
      </c>
      <c r="H1744" s="22">
        <v>1677.452</v>
      </c>
      <c r="I1744" s="163">
        <v>6.9</v>
      </c>
      <c r="J1744" s="16">
        <v>1.7999999999999999E-2</v>
      </c>
      <c r="K1744" s="168">
        <v>8.4160000000000004</v>
      </c>
      <c r="L1744" s="165">
        <v>40.219000000000001</v>
      </c>
      <c r="M1744" s="13">
        <v>5.4909999999999997</v>
      </c>
      <c r="N1744" s="166">
        <v>1.0999999999999999E-2</v>
      </c>
      <c r="O1744" s="15">
        <v>63.795000000000002</v>
      </c>
      <c r="P1744" s="192">
        <v>6.9000000000000006E-2</v>
      </c>
      <c r="Q1744" s="96"/>
    </row>
    <row r="1745" spans="1:17" ht="14.25" customHeight="1" x14ac:dyDescent="0.35">
      <c r="A1745" s="1">
        <v>2020</v>
      </c>
      <c r="B1745" s="1" t="s">
        <v>32</v>
      </c>
      <c r="C1745" s="1">
        <v>9</v>
      </c>
      <c r="D1745" s="12">
        <v>105.53100000000001</v>
      </c>
      <c r="E1745" s="12">
        <f t="shared" si="37"/>
        <v>131.91374999999999</v>
      </c>
      <c r="F1745" s="13">
        <v>90.031000000000006</v>
      </c>
      <c r="G1745" s="161">
        <v>83.930999999999997</v>
      </c>
      <c r="H1745" s="162">
        <v>1654.6</v>
      </c>
      <c r="I1745" s="163">
        <v>6.9009999999999998</v>
      </c>
      <c r="J1745" s="16">
        <v>1.7999999999999999E-2</v>
      </c>
      <c r="K1745" s="164">
        <v>8.423</v>
      </c>
      <c r="L1745" s="165">
        <v>37.478999999999999</v>
      </c>
      <c r="M1745" s="13">
        <v>5.5410000000000004</v>
      </c>
      <c r="N1745" s="166">
        <v>1.0999999999999999E-2</v>
      </c>
      <c r="O1745" s="15">
        <v>56.978999999999999</v>
      </c>
      <c r="P1745" s="167">
        <v>7.0000000000000007E-2</v>
      </c>
      <c r="Q1745" s="96"/>
    </row>
    <row r="1746" spans="1:17" ht="14.25" customHeight="1" x14ac:dyDescent="0.35">
      <c r="A1746" s="1">
        <v>2020</v>
      </c>
      <c r="B1746" s="1" t="s">
        <v>32</v>
      </c>
      <c r="C1746" s="1">
        <v>10</v>
      </c>
      <c r="D1746" s="12">
        <v>104.688</v>
      </c>
      <c r="E1746" s="12">
        <f t="shared" si="37"/>
        <v>130.86000000000001</v>
      </c>
      <c r="F1746" s="13">
        <v>89.25</v>
      </c>
      <c r="G1746" s="169">
        <v>83.385000000000005</v>
      </c>
      <c r="H1746" s="162">
        <v>1655.9179999999999</v>
      </c>
      <c r="I1746" s="163">
        <v>6.9050000000000002</v>
      </c>
      <c r="J1746" s="16">
        <v>1.7999999999999999E-2</v>
      </c>
      <c r="K1746" s="170">
        <v>8.3160000000000007</v>
      </c>
      <c r="L1746" s="165">
        <v>36.216999999999999</v>
      </c>
      <c r="M1746" s="13">
        <v>5.5629999999999997</v>
      </c>
      <c r="N1746" s="171">
        <v>1.0999999999999999E-2</v>
      </c>
      <c r="O1746" s="15">
        <v>53.871000000000002</v>
      </c>
      <c r="P1746" s="172">
        <v>6.8000000000000005E-2</v>
      </c>
      <c r="Q1746" s="96"/>
    </row>
    <row r="1747" spans="1:17" ht="14.25" customHeight="1" x14ac:dyDescent="0.35">
      <c r="A1747" s="1">
        <v>2020</v>
      </c>
      <c r="B1747" s="1" t="s">
        <v>32</v>
      </c>
      <c r="C1747" s="1">
        <v>11</v>
      </c>
      <c r="D1747" s="12">
        <v>105.313</v>
      </c>
      <c r="E1747" s="12">
        <f t="shared" si="37"/>
        <v>131.64125000000001</v>
      </c>
      <c r="F1747" s="13">
        <v>89.843999999999994</v>
      </c>
      <c r="G1747" s="169">
        <v>83.394000000000005</v>
      </c>
      <c r="H1747" s="162">
        <v>1592.3320000000001</v>
      </c>
      <c r="I1747" s="163">
        <v>6.9009999999999998</v>
      </c>
      <c r="J1747" s="16">
        <v>1.7000000000000001E-2</v>
      </c>
      <c r="K1747" s="170">
        <v>8.0719999999999992</v>
      </c>
      <c r="L1747" s="165">
        <v>34.209000000000003</v>
      </c>
      <c r="M1747" s="13">
        <v>5.556</v>
      </c>
      <c r="N1747" s="171">
        <v>1.0999999999999999E-2</v>
      </c>
      <c r="O1747" s="15">
        <v>54.633000000000003</v>
      </c>
      <c r="P1747" s="172">
        <v>6.2E-2</v>
      </c>
      <c r="Q1747" s="96"/>
    </row>
    <row r="1748" spans="1:17" ht="14.25" customHeight="1" x14ac:dyDescent="0.35">
      <c r="A1748" s="1">
        <v>2020</v>
      </c>
      <c r="B1748" s="1" t="s">
        <v>32</v>
      </c>
      <c r="C1748" s="1">
        <v>12</v>
      </c>
      <c r="D1748" s="12">
        <v>106.578</v>
      </c>
      <c r="E1748" s="12">
        <f t="shared" si="37"/>
        <v>133.2225</v>
      </c>
      <c r="F1748" s="13">
        <v>90.906000000000006</v>
      </c>
      <c r="G1748" s="169">
        <v>83.697999999999993</v>
      </c>
      <c r="H1748" s="162">
        <v>1552.1420000000001</v>
      </c>
      <c r="I1748" s="163">
        <v>6.9</v>
      </c>
      <c r="J1748" s="16">
        <v>1.7000000000000001E-2</v>
      </c>
      <c r="K1748" s="170">
        <v>8.08</v>
      </c>
      <c r="L1748" s="165">
        <v>33.311</v>
      </c>
      <c r="M1748" s="13">
        <v>5.57</v>
      </c>
      <c r="N1748" s="171">
        <v>1.0999999999999999E-2</v>
      </c>
      <c r="O1748" s="15">
        <v>53.136000000000003</v>
      </c>
      <c r="P1748" s="172">
        <v>5.8000000000000003E-2</v>
      </c>
      <c r="Q1748" s="96"/>
    </row>
    <row r="1749" spans="1:17" ht="14.25" customHeight="1" x14ac:dyDescent="0.35">
      <c r="A1749" s="1">
        <v>2020</v>
      </c>
      <c r="B1749" s="1" t="s">
        <v>32</v>
      </c>
      <c r="C1749" s="1">
        <v>13</v>
      </c>
      <c r="D1749" s="12">
        <v>111.375</v>
      </c>
      <c r="E1749" s="12">
        <f t="shared" si="37"/>
        <v>139.21875</v>
      </c>
      <c r="F1749" s="13">
        <v>95</v>
      </c>
      <c r="G1749" s="173">
        <v>84.007999999999996</v>
      </c>
      <c r="H1749" s="162">
        <v>1629.982</v>
      </c>
      <c r="I1749" s="163">
        <v>6.9</v>
      </c>
      <c r="J1749" s="16">
        <v>1.7999999999999999E-2</v>
      </c>
      <c r="K1749" s="174">
        <v>8.0809999999999995</v>
      </c>
      <c r="L1749" s="165">
        <v>34.777999999999999</v>
      </c>
      <c r="M1749" s="13">
        <v>5.5549999999999997</v>
      </c>
      <c r="N1749" s="166">
        <v>1.0999999999999999E-2</v>
      </c>
      <c r="O1749" s="15">
        <v>54.914000000000001</v>
      </c>
      <c r="P1749" s="175">
        <v>6.2E-2</v>
      </c>
      <c r="Q1749" s="96"/>
    </row>
    <row r="1750" spans="1:17" ht="14.25" customHeight="1" x14ac:dyDescent="0.35">
      <c r="A1750" s="1">
        <v>2020</v>
      </c>
      <c r="B1750" s="1" t="s">
        <v>32</v>
      </c>
      <c r="C1750" s="1">
        <v>14</v>
      </c>
      <c r="D1750" s="12">
        <v>107.203</v>
      </c>
      <c r="E1750" s="12">
        <f t="shared" si="37"/>
        <v>134.00375</v>
      </c>
      <c r="F1750" s="13">
        <v>91.438000000000002</v>
      </c>
      <c r="G1750" s="161">
        <v>84.027000000000001</v>
      </c>
      <c r="H1750" s="162">
        <v>1689.175</v>
      </c>
      <c r="I1750" s="163">
        <v>6.9</v>
      </c>
      <c r="J1750" s="16">
        <v>1.7999999999999999E-2</v>
      </c>
      <c r="K1750" s="174">
        <v>7.9009999999999998</v>
      </c>
      <c r="L1750" s="176">
        <v>36.496000000000002</v>
      </c>
      <c r="M1750" s="13">
        <v>5.5430000000000001</v>
      </c>
      <c r="N1750" s="166">
        <v>1.0999999999999999E-2</v>
      </c>
      <c r="O1750" s="15">
        <v>56.521000000000001</v>
      </c>
      <c r="P1750" s="175">
        <v>6.7000000000000004E-2</v>
      </c>
      <c r="Q1750" s="96"/>
    </row>
    <row r="1751" spans="1:17" ht="14.25" customHeight="1" x14ac:dyDescent="0.35">
      <c r="A1751" s="1">
        <v>2020</v>
      </c>
      <c r="B1751" s="1" t="s">
        <v>32</v>
      </c>
      <c r="C1751" s="1">
        <v>15</v>
      </c>
      <c r="D1751" s="12">
        <v>108.59399999999999</v>
      </c>
      <c r="E1751" s="12">
        <f t="shared" si="37"/>
        <v>135.74250000000001</v>
      </c>
      <c r="F1751" s="13">
        <v>92.593999999999994</v>
      </c>
      <c r="G1751" s="161">
        <v>84.122</v>
      </c>
      <c r="H1751" s="162">
        <v>1666.203</v>
      </c>
      <c r="I1751" s="163">
        <v>6.9</v>
      </c>
      <c r="J1751" s="16">
        <v>1.7999999999999999E-2</v>
      </c>
      <c r="K1751" s="170">
        <v>7.76</v>
      </c>
      <c r="L1751" s="165">
        <v>36.442</v>
      </c>
      <c r="M1751" s="13">
        <v>5.56</v>
      </c>
      <c r="N1751" s="166">
        <v>1.0999999999999999E-2</v>
      </c>
      <c r="O1751" s="15">
        <v>54.241999999999997</v>
      </c>
      <c r="P1751" s="172">
        <v>6.5000000000000002E-2</v>
      </c>
      <c r="Q1751" s="96"/>
    </row>
    <row r="1752" spans="1:17" ht="14.25" customHeight="1" x14ac:dyDescent="0.35">
      <c r="A1752" s="1">
        <v>2020</v>
      </c>
      <c r="B1752" s="1" t="s">
        <v>32</v>
      </c>
      <c r="C1752" s="1">
        <v>16</v>
      </c>
      <c r="D1752" s="12">
        <v>111.34399999999999</v>
      </c>
      <c r="E1752" s="12">
        <f t="shared" si="37"/>
        <v>139.18</v>
      </c>
      <c r="F1752" s="13">
        <v>95.031000000000006</v>
      </c>
      <c r="G1752" s="161">
        <v>84.177000000000007</v>
      </c>
      <c r="H1752" s="162">
        <v>1680.7570000000001</v>
      </c>
      <c r="I1752" s="163">
        <v>6.9</v>
      </c>
      <c r="J1752" s="16">
        <v>1.7999999999999999E-2</v>
      </c>
      <c r="K1752" s="174">
        <v>7.5810000000000004</v>
      </c>
      <c r="L1752" s="162">
        <v>35.978999999999999</v>
      </c>
      <c r="M1752" s="163">
        <v>5.4969999999999999</v>
      </c>
      <c r="N1752" s="166">
        <v>1.0999999999999999E-2</v>
      </c>
      <c r="O1752" s="15">
        <v>62.634999999999998</v>
      </c>
      <c r="P1752" s="175">
        <v>6.3E-2</v>
      </c>
      <c r="Q1752" s="96"/>
    </row>
    <row r="1753" spans="1:17" ht="14.25" customHeight="1" x14ac:dyDescent="0.35">
      <c r="A1753" s="1">
        <v>2020</v>
      </c>
      <c r="B1753" s="1" t="s">
        <v>32</v>
      </c>
      <c r="C1753" s="1">
        <v>17</v>
      </c>
      <c r="D1753" s="12">
        <v>107.84399999999999</v>
      </c>
      <c r="E1753" s="12">
        <f t="shared" si="37"/>
        <v>134.80500000000001</v>
      </c>
      <c r="F1753" s="13">
        <v>91.906000000000006</v>
      </c>
      <c r="G1753" s="161">
        <v>83.962999999999994</v>
      </c>
      <c r="H1753" s="162">
        <v>1659.47</v>
      </c>
      <c r="I1753" s="163">
        <v>6.9</v>
      </c>
      <c r="J1753" s="16">
        <v>1.7999999999999999E-2</v>
      </c>
      <c r="K1753" s="164">
        <v>7.4909999999999997</v>
      </c>
      <c r="L1753" s="165">
        <v>35.601999999999997</v>
      </c>
      <c r="M1753" s="13">
        <v>5.4420000000000002</v>
      </c>
      <c r="N1753" s="166">
        <v>1.0999999999999999E-2</v>
      </c>
      <c r="O1753" s="15">
        <v>71.397000000000006</v>
      </c>
      <c r="P1753" s="167">
        <v>6.7000000000000004E-2</v>
      </c>
      <c r="Q1753" s="96"/>
    </row>
    <row r="1754" spans="1:17" ht="14.25" customHeight="1" x14ac:dyDescent="0.35">
      <c r="A1754" s="1">
        <v>2020</v>
      </c>
      <c r="B1754" s="1" t="s">
        <v>32</v>
      </c>
      <c r="C1754" s="1">
        <v>18</v>
      </c>
      <c r="D1754" s="12">
        <v>105.688</v>
      </c>
      <c r="E1754" s="12">
        <f t="shared" si="37"/>
        <v>132.11000000000001</v>
      </c>
      <c r="F1754" s="13">
        <v>89.938000000000002</v>
      </c>
      <c r="G1754" s="161">
        <v>83.864999999999995</v>
      </c>
      <c r="H1754" s="162">
        <v>1566.2639999999999</v>
      </c>
      <c r="I1754" s="163">
        <v>6.9</v>
      </c>
      <c r="J1754" s="16">
        <v>1.7000000000000001E-2</v>
      </c>
      <c r="K1754" s="164">
        <v>7.3230000000000004</v>
      </c>
      <c r="L1754" s="162">
        <v>33.192999999999998</v>
      </c>
      <c r="M1754" s="163">
        <v>5.4349999999999996</v>
      </c>
      <c r="N1754" s="166">
        <v>1.0999999999999999E-2</v>
      </c>
      <c r="O1754" s="15">
        <v>72.266999999999996</v>
      </c>
      <c r="P1754" s="167">
        <v>0.06</v>
      </c>
      <c r="Q1754" s="96"/>
    </row>
    <row r="1755" spans="1:17" ht="14.25" customHeight="1" x14ac:dyDescent="0.35">
      <c r="A1755" s="1">
        <v>2020</v>
      </c>
      <c r="B1755" s="1" t="s">
        <v>32</v>
      </c>
      <c r="C1755" s="1">
        <v>19</v>
      </c>
      <c r="D1755" s="12">
        <v>105.625</v>
      </c>
      <c r="E1755" s="12">
        <f t="shared" si="37"/>
        <v>132.03125</v>
      </c>
      <c r="F1755" s="13">
        <v>89.968999999999994</v>
      </c>
      <c r="G1755" s="161">
        <v>83.683999999999997</v>
      </c>
      <c r="H1755" s="162">
        <v>1554.3620000000001</v>
      </c>
      <c r="I1755" s="163">
        <v>6.9</v>
      </c>
      <c r="J1755" s="16">
        <v>1.7999999999999999E-2</v>
      </c>
      <c r="K1755" s="164">
        <v>7.75</v>
      </c>
      <c r="L1755" s="165">
        <v>32.843000000000004</v>
      </c>
      <c r="M1755" s="13">
        <v>5.4509999999999996</v>
      </c>
      <c r="N1755" s="166">
        <v>2.1999999999999999E-2</v>
      </c>
      <c r="O1755" s="15">
        <v>69.751000000000005</v>
      </c>
      <c r="P1755" s="167">
        <v>5.7000000000000002E-2</v>
      </c>
      <c r="Q1755" s="96"/>
    </row>
    <row r="1756" spans="1:17" ht="14.25" customHeight="1" x14ac:dyDescent="0.35">
      <c r="A1756" s="1">
        <v>2020</v>
      </c>
      <c r="B1756" s="1" t="s">
        <v>32</v>
      </c>
      <c r="C1756" s="1">
        <v>20</v>
      </c>
      <c r="D1756" s="12">
        <v>105.297</v>
      </c>
      <c r="E1756" s="12">
        <f t="shared" si="37"/>
        <v>131.62125</v>
      </c>
      <c r="F1756" s="13">
        <v>89.438000000000002</v>
      </c>
      <c r="G1756" s="161">
        <v>83.753</v>
      </c>
      <c r="H1756" s="162">
        <v>1655.367</v>
      </c>
      <c r="I1756" s="163">
        <v>6.9</v>
      </c>
      <c r="J1756" s="16">
        <v>1.7000000000000001E-2</v>
      </c>
      <c r="K1756" s="164">
        <v>7.7229999999999999</v>
      </c>
      <c r="L1756" s="162">
        <v>34.137999999999998</v>
      </c>
      <c r="M1756" s="163">
        <v>5.4370000000000003</v>
      </c>
      <c r="N1756" s="166">
        <v>3.3000000000000002E-2</v>
      </c>
      <c r="O1756" s="15">
        <v>72.225999999999999</v>
      </c>
      <c r="P1756" s="167">
        <v>6.3E-2</v>
      </c>
      <c r="Q1756" s="96"/>
    </row>
    <row r="1757" spans="1:17" ht="14.25" customHeight="1" x14ac:dyDescent="0.35">
      <c r="A1757" s="1">
        <v>2020</v>
      </c>
      <c r="B1757" s="1" t="s">
        <v>32</v>
      </c>
      <c r="C1757" s="1">
        <v>21</v>
      </c>
      <c r="D1757" s="12">
        <v>105.51600000000001</v>
      </c>
      <c r="E1757" s="12">
        <f t="shared" si="37"/>
        <v>131.89500000000001</v>
      </c>
      <c r="F1757" s="13">
        <v>89.688000000000002</v>
      </c>
      <c r="G1757" s="161">
        <v>83.707999999999998</v>
      </c>
      <c r="H1757" s="162">
        <v>1708.165</v>
      </c>
      <c r="I1757" s="163">
        <v>6.9</v>
      </c>
      <c r="J1757" s="16">
        <v>1.9E-2</v>
      </c>
      <c r="K1757" s="164">
        <v>7.742</v>
      </c>
      <c r="L1757" s="165">
        <v>34.173999999999999</v>
      </c>
      <c r="M1757" s="13">
        <v>5.4539999999999997</v>
      </c>
      <c r="N1757" s="166">
        <v>2.8000000000000001E-2</v>
      </c>
      <c r="O1757" s="15">
        <v>69.531999999999996</v>
      </c>
      <c r="P1757" s="167">
        <v>6.4000000000000001E-2</v>
      </c>
      <c r="Q1757" s="96"/>
    </row>
    <row r="1758" spans="1:17" ht="14.25" customHeight="1" x14ac:dyDescent="0.35">
      <c r="A1758" s="1">
        <v>2020</v>
      </c>
      <c r="B1758" s="1" t="s">
        <v>32</v>
      </c>
      <c r="C1758" s="1">
        <v>22</v>
      </c>
      <c r="D1758" s="12">
        <v>106.90600000000001</v>
      </c>
      <c r="E1758" s="12">
        <f t="shared" si="37"/>
        <v>133.63249999999999</v>
      </c>
      <c r="F1758" s="13">
        <v>90.938000000000002</v>
      </c>
      <c r="G1758" s="161">
        <v>83.38</v>
      </c>
      <c r="H1758" s="162">
        <v>1697.3</v>
      </c>
      <c r="I1758" s="163">
        <v>6.9</v>
      </c>
      <c r="J1758" s="16">
        <v>1.7000000000000001E-2</v>
      </c>
      <c r="K1758" s="164">
        <v>7.6840000000000002</v>
      </c>
      <c r="L1758" s="162">
        <v>33.335999999999999</v>
      </c>
      <c r="M1758" s="163">
        <v>5.4710000000000001</v>
      </c>
      <c r="N1758" s="166">
        <v>2.5000000000000001E-2</v>
      </c>
      <c r="O1758" s="15">
        <v>66.570999999999998</v>
      </c>
      <c r="P1758" s="167">
        <v>6.5000000000000002E-2</v>
      </c>
      <c r="Q1758" s="96"/>
    </row>
    <row r="1759" spans="1:17" ht="14.25" customHeight="1" x14ac:dyDescent="0.35">
      <c r="A1759" s="1">
        <v>2020</v>
      </c>
      <c r="B1759" s="1" t="s">
        <v>32</v>
      </c>
      <c r="C1759" s="1">
        <v>23</v>
      </c>
      <c r="D1759" s="12">
        <v>111.328</v>
      </c>
      <c r="E1759" s="12">
        <f t="shared" si="37"/>
        <v>139.16</v>
      </c>
      <c r="F1759" s="13">
        <v>94.843999999999994</v>
      </c>
      <c r="G1759" s="161">
        <v>83.097999999999999</v>
      </c>
      <c r="H1759" s="162">
        <v>1698.499</v>
      </c>
      <c r="I1759" s="163">
        <v>6.9009999999999998</v>
      </c>
      <c r="J1759" s="16">
        <v>1.7999999999999999E-2</v>
      </c>
      <c r="K1759" s="164">
        <v>7.6890000000000001</v>
      </c>
      <c r="L1759" s="165">
        <v>33.414999999999999</v>
      </c>
      <c r="M1759" s="13">
        <v>5.5</v>
      </c>
      <c r="N1759" s="166">
        <v>2.3E-2</v>
      </c>
      <c r="O1759" s="15">
        <v>63.02</v>
      </c>
      <c r="P1759" s="167">
        <v>6.0999999999999999E-2</v>
      </c>
      <c r="Q1759" s="96"/>
    </row>
    <row r="1760" spans="1:17" ht="14.25" customHeight="1" x14ac:dyDescent="0.35">
      <c r="A1760" s="1">
        <v>2020</v>
      </c>
      <c r="B1760" s="1" t="s">
        <v>32</v>
      </c>
      <c r="C1760" s="1">
        <v>24</v>
      </c>
      <c r="D1760" s="12">
        <v>107.90600000000001</v>
      </c>
      <c r="E1760" s="12">
        <f t="shared" si="37"/>
        <v>134.88249999999999</v>
      </c>
      <c r="F1760" s="13">
        <v>91.875</v>
      </c>
      <c r="G1760" s="161">
        <v>82.793000000000006</v>
      </c>
      <c r="H1760" s="162">
        <v>1678.3140000000001</v>
      </c>
      <c r="I1760" s="163">
        <v>6.9</v>
      </c>
      <c r="J1760" s="16">
        <v>1.7000000000000001E-2</v>
      </c>
      <c r="K1760" s="164">
        <v>7.6710000000000003</v>
      </c>
      <c r="L1760" s="162">
        <v>33.137999999999998</v>
      </c>
      <c r="M1760" s="163">
        <v>5.5309999999999997</v>
      </c>
      <c r="N1760" s="166">
        <v>2.7E-2</v>
      </c>
      <c r="O1760" s="15">
        <v>58.142000000000003</v>
      </c>
      <c r="P1760" s="167">
        <v>0.06</v>
      </c>
      <c r="Q1760" s="96"/>
    </row>
    <row r="1761" spans="1:17" ht="14.25" customHeight="1" x14ac:dyDescent="0.35">
      <c r="A1761" s="1">
        <v>2020</v>
      </c>
      <c r="B1761" s="1" t="s">
        <v>32</v>
      </c>
      <c r="C1761" s="1">
        <v>25</v>
      </c>
      <c r="D1761" s="12">
        <v>105.625</v>
      </c>
      <c r="E1761" s="12">
        <f t="shared" si="37"/>
        <v>132.03125</v>
      </c>
      <c r="F1761" s="13">
        <v>90.031000000000006</v>
      </c>
      <c r="G1761" s="161">
        <v>82.346000000000004</v>
      </c>
      <c r="H1761" s="162">
        <v>1608.79</v>
      </c>
      <c r="I1761" s="163">
        <v>6.9</v>
      </c>
      <c r="J1761" s="16">
        <v>1.7000000000000001E-2</v>
      </c>
      <c r="K1761" s="164">
        <v>7.5709999999999997</v>
      </c>
      <c r="L1761" s="165">
        <v>31.178999999999998</v>
      </c>
      <c r="M1761" s="13">
        <v>5.5220000000000002</v>
      </c>
      <c r="N1761" s="166">
        <v>2.7E-2</v>
      </c>
      <c r="O1761" s="15">
        <v>59.555999999999997</v>
      </c>
      <c r="P1761" s="167">
        <v>5.8000000000000003E-2</v>
      </c>
      <c r="Q1761" s="96"/>
    </row>
    <row r="1762" spans="1:17" ht="14.25" customHeight="1" x14ac:dyDescent="0.35">
      <c r="A1762" s="1">
        <v>2020</v>
      </c>
      <c r="B1762" s="1" t="s">
        <v>32</v>
      </c>
      <c r="C1762" s="1">
        <v>26</v>
      </c>
      <c r="D1762" s="12">
        <v>105.59399999999999</v>
      </c>
      <c r="E1762" s="12">
        <f t="shared" si="37"/>
        <v>131.99250000000001</v>
      </c>
      <c r="F1762" s="13">
        <v>90</v>
      </c>
      <c r="G1762" s="161">
        <v>81.149000000000001</v>
      </c>
      <c r="H1762" s="162">
        <v>1590.912</v>
      </c>
      <c r="I1762" s="163">
        <v>6.9</v>
      </c>
      <c r="J1762" s="16">
        <v>1.7000000000000001E-2</v>
      </c>
      <c r="K1762" s="164">
        <v>7.77</v>
      </c>
      <c r="L1762" s="162">
        <v>30.036999999999999</v>
      </c>
      <c r="M1762" s="163">
        <v>5.5019999999999998</v>
      </c>
      <c r="N1762" s="166">
        <v>2.7E-2</v>
      </c>
      <c r="O1762" s="15">
        <v>62.334000000000003</v>
      </c>
      <c r="P1762" s="167">
        <v>5.5E-2</v>
      </c>
      <c r="Q1762" s="96"/>
    </row>
    <row r="1763" spans="1:17" ht="14.25" customHeight="1" x14ac:dyDescent="0.35">
      <c r="A1763" s="1">
        <v>2020</v>
      </c>
      <c r="B1763" s="1" t="s">
        <v>32</v>
      </c>
      <c r="C1763" s="1">
        <v>27</v>
      </c>
      <c r="D1763" s="12">
        <v>109.375</v>
      </c>
      <c r="E1763" s="12">
        <f t="shared" si="37"/>
        <v>136.71875</v>
      </c>
      <c r="F1763" s="13">
        <v>93.093999999999994</v>
      </c>
      <c r="G1763" s="161">
        <v>81.224999999999994</v>
      </c>
      <c r="H1763" s="162">
        <v>1641.6959999999999</v>
      </c>
      <c r="I1763" s="163">
        <v>6.9</v>
      </c>
      <c r="J1763" s="16">
        <v>1.7999999999999999E-2</v>
      </c>
      <c r="K1763" s="164">
        <v>8.1639999999999997</v>
      </c>
      <c r="L1763" s="165">
        <v>30.800999999999998</v>
      </c>
      <c r="M1763" s="13">
        <v>5.5259999999999998</v>
      </c>
      <c r="N1763" s="166">
        <v>2.5999999999999999E-2</v>
      </c>
      <c r="O1763" s="15">
        <v>58.704000000000001</v>
      </c>
      <c r="P1763" s="167">
        <v>5.8999999999999997E-2</v>
      </c>
      <c r="Q1763" s="96"/>
    </row>
    <row r="1764" spans="1:17" ht="14.25" customHeight="1" x14ac:dyDescent="0.35">
      <c r="A1764" s="1">
        <v>2020</v>
      </c>
      <c r="B1764" s="1" t="s">
        <v>32</v>
      </c>
      <c r="C1764" s="1">
        <v>28</v>
      </c>
      <c r="D1764" s="12">
        <v>110.28100000000001</v>
      </c>
      <c r="E1764" s="12">
        <f t="shared" si="37"/>
        <v>137.85124999999999</v>
      </c>
      <c r="F1764" s="13">
        <v>93.875</v>
      </c>
      <c r="G1764" s="161">
        <v>81.677000000000007</v>
      </c>
      <c r="H1764" s="162">
        <v>1710.356</v>
      </c>
      <c r="I1764" s="163">
        <v>6.9</v>
      </c>
      <c r="J1764" s="16">
        <v>1.7999999999999999E-2</v>
      </c>
      <c r="K1764" s="164">
        <v>8.6539999999999999</v>
      </c>
      <c r="L1764" s="162">
        <v>32.26</v>
      </c>
      <c r="M1764" s="163">
        <v>5.5309999999999997</v>
      </c>
      <c r="N1764" s="166">
        <v>2.9000000000000001E-2</v>
      </c>
      <c r="O1764" s="15">
        <v>58.360999999999997</v>
      </c>
      <c r="P1764" s="167">
        <v>6.0999999999999999E-2</v>
      </c>
      <c r="Q1764" s="96"/>
    </row>
    <row r="1765" spans="1:17" ht="14.25" customHeight="1" x14ac:dyDescent="0.35">
      <c r="A1765" s="1">
        <v>2020</v>
      </c>
      <c r="B1765" s="1" t="s">
        <v>32</v>
      </c>
      <c r="C1765" s="1">
        <v>29</v>
      </c>
      <c r="D1765" s="12">
        <v>101.39100000000001</v>
      </c>
      <c r="E1765" s="12">
        <f t="shared" si="37"/>
        <v>126.73875000000001</v>
      </c>
      <c r="F1765" s="13">
        <v>86.125</v>
      </c>
      <c r="G1765" s="187">
        <v>82.072999999999993</v>
      </c>
      <c r="H1765" s="22">
        <v>1711.9349999999999</v>
      </c>
      <c r="I1765" s="13">
        <v>6.9</v>
      </c>
      <c r="J1765" s="166">
        <v>1.9E-2</v>
      </c>
      <c r="K1765" s="188">
        <v>8.8840000000000003</v>
      </c>
      <c r="L1765" s="162">
        <v>33.895000000000003</v>
      </c>
      <c r="M1765" s="163">
        <v>5.5339999999999998</v>
      </c>
      <c r="N1765" s="166">
        <v>2.5999999999999999E-2</v>
      </c>
      <c r="O1765" s="15">
        <v>57.902999999999999</v>
      </c>
      <c r="P1765" s="227">
        <v>7.2999999999999995E-2</v>
      </c>
      <c r="Q1765" s="96"/>
    </row>
    <row r="1766" spans="1:17" ht="14.25" customHeight="1" x14ac:dyDescent="0.35">
      <c r="A1766" s="1">
        <v>2020</v>
      </c>
      <c r="B1766" s="1" t="s">
        <v>32</v>
      </c>
      <c r="C1766" s="1">
        <v>30</v>
      </c>
      <c r="D1766" s="12">
        <v>110.85899999999999</v>
      </c>
      <c r="E1766" s="12">
        <f t="shared" si="37"/>
        <v>138.57374999999999</v>
      </c>
      <c r="F1766" s="13">
        <v>94.375</v>
      </c>
      <c r="G1766" s="187">
        <v>82.135000000000005</v>
      </c>
      <c r="H1766" s="22">
        <v>1704.981</v>
      </c>
      <c r="I1766" s="13">
        <v>6.9</v>
      </c>
      <c r="J1766" s="166">
        <v>1.7999999999999999E-2</v>
      </c>
      <c r="K1766" s="188">
        <v>7.556</v>
      </c>
      <c r="L1766" s="162">
        <v>32.212000000000003</v>
      </c>
      <c r="M1766" s="163">
        <v>5.4989999999999997</v>
      </c>
      <c r="N1766" s="166">
        <v>2.5999999999999999E-2</v>
      </c>
      <c r="O1766" s="15">
        <v>62.6</v>
      </c>
      <c r="P1766" s="227">
        <v>0.06</v>
      </c>
      <c r="Q1766" s="96"/>
    </row>
    <row r="1767" spans="1:17" ht="14.25" customHeight="1" x14ac:dyDescent="0.35">
      <c r="A1767" s="1">
        <v>2020</v>
      </c>
      <c r="B1767" s="1" t="s">
        <v>32</v>
      </c>
      <c r="C1767" s="1">
        <v>31</v>
      </c>
      <c r="D1767" s="85">
        <v>108.375</v>
      </c>
      <c r="E1767" s="12">
        <f t="shared" si="37"/>
        <v>135.46875</v>
      </c>
      <c r="F1767" s="86">
        <v>92.281000000000006</v>
      </c>
      <c r="G1767" s="228">
        <v>81.983999999999995</v>
      </c>
      <c r="H1767" s="229">
        <v>1697.4760000000001</v>
      </c>
      <c r="I1767" s="230">
        <v>6.9</v>
      </c>
      <c r="J1767" s="231">
        <v>1.7999999999999999E-2</v>
      </c>
      <c r="K1767" s="232">
        <v>7.4610000000000003</v>
      </c>
      <c r="L1767" s="162">
        <v>31.991</v>
      </c>
      <c r="M1767" s="16">
        <v>5.4829999999999997</v>
      </c>
      <c r="N1767" s="166">
        <v>2.7E-2</v>
      </c>
      <c r="O1767" s="15">
        <v>64.888999999999996</v>
      </c>
      <c r="P1767" s="233">
        <v>6.2E-2</v>
      </c>
      <c r="Q1767" s="96"/>
    </row>
    <row r="1768" spans="1:17" ht="14.25" customHeight="1" x14ac:dyDescent="0.35">
      <c r="A1768" s="1">
        <v>2020</v>
      </c>
      <c r="B1768" s="1" t="s">
        <v>33</v>
      </c>
      <c r="C1768" s="1">
        <v>1</v>
      </c>
      <c r="D1768" s="49">
        <v>109.078</v>
      </c>
      <c r="E1768" s="12">
        <f t="shared" si="37"/>
        <v>136.3475</v>
      </c>
      <c r="F1768" s="50">
        <v>92.968999999999994</v>
      </c>
      <c r="G1768" s="156">
        <v>82.17</v>
      </c>
      <c r="H1768" s="157">
        <v>1584.374</v>
      </c>
      <c r="I1768" s="44">
        <v>6.9</v>
      </c>
      <c r="J1768" s="45">
        <v>1.7000000000000001E-2</v>
      </c>
      <c r="K1768" s="158">
        <v>7.2850000000000001</v>
      </c>
      <c r="L1768" s="157">
        <v>30.908000000000001</v>
      </c>
      <c r="M1768" s="45">
        <v>5.4720000000000004</v>
      </c>
      <c r="N1768" s="159">
        <v>2.7E-2</v>
      </c>
      <c r="O1768" s="15">
        <v>66.625</v>
      </c>
      <c r="P1768" s="160">
        <v>6.0499999999999998E-2</v>
      </c>
      <c r="Q1768" s="96"/>
    </row>
    <row r="1769" spans="1:17" ht="14.25" customHeight="1" x14ac:dyDescent="0.35">
      <c r="A1769" s="1">
        <v>2020</v>
      </c>
      <c r="B1769" s="1" t="s">
        <v>33</v>
      </c>
      <c r="C1769" s="1">
        <v>2</v>
      </c>
      <c r="D1769" s="49">
        <v>96.953000000000003</v>
      </c>
      <c r="E1769" s="12">
        <f t="shared" si="37"/>
        <v>121.19125</v>
      </c>
      <c r="F1769" s="50">
        <v>82.406000000000006</v>
      </c>
      <c r="G1769" s="161">
        <v>81.972999999999999</v>
      </c>
      <c r="H1769" s="162">
        <v>1552.693</v>
      </c>
      <c r="I1769" s="163">
        <v>6.9009999999999998</v>
      </c>
      <c r="J1769" s="16">
        <v>1.7999999999999999E-2</v>
      </c>
      <c r="K1769" s="164">
        <v>8.15</v>
      </c>
      <c r="L1769" s="165">
        <v>31.228000000000002</v>
      </c>
      <c r="M1769" s="13">
        <v>5.4829999999999997</v>
      </c>
      <c r="N1769" s="166">
        <v>2.9000000000000001E-2</v>
      </c>
      <c r="O1769" s="15">
        <v>64.903999999999996</v>
      </c>
      <c r="P1769" s="167">
        <v>5.8999999999999997E-2</v>
      </c>
      <c r="Q1769" s="96"/>
    </row>
    <row r="1770" spans="1:17" ht="14.25" customHeight="1" x14ac:dyDescent="0.35">
      <c r="A1770" s="1">
        <v>2020</v>
      </c>
      <c r="B1770" s="1" t="s">
        <v>33</v>
      </c>
      <c r="C1770" s="1">
        <v>3</v>
      </c>
      <c r="D1770" s="49">
        <v>111.688</v>
      </c>
      <c r="E1770" s="12">
        <f t="shared" si="37"/>
        <v>139.61000000000001</v>
      </c>
      <c r="F1770" s="50">
        <v>95</v>
      </c>
      <c r="G1770" s="161">
        <v>82.04</v>
      </c>
      <c r="H1770" s="162">
        <v>1670.528</v>
      </c>
      <c r="I1770" s="163">
        <v>6.9</v>
      </c>
      <c r="J1770" s="16">
        <v>1.7999999999999999E-2</v>
      </c>
      <c r="K1770" s="164">
        <v>8.15</v>
      </c>
      <c r="L1770" s="165">
        <v>31.728000000000002</v>
      </c>
      <c r="M1770" s="13">
        <v>5.468</v>
      </c>
      <c r="N1770" s="166">
        <v>3.7999999999999999E-2</v>
      </c>
      <c r="O1770" s="15">
        <v>66.974000000000004</v>
      </c>
      <c r="P1770" s="167">
        <v>6.2E-2</v>
      </c>
      <c r="Q1770" s="96"/>
    </row>
    <row r="1771" spans="1:17" ht="14.25" customHeight="1" x14ac:dyDescent="0.35">
      <c r="A1771" s="1">
        <v>2020</v>
      </c>
      <c r="B1771" s="1" t="s">
        <v>33</v>
      </c>
      <c r="C1771" s="1">
        <v>4</v>
      </c>
      <c r="D1771" s="49">
        <v>111.73399999999999</v>
      </c>
      <c r="E1771" s="12">
        <f t="shared" si="37"/>
        <v>139.66749999999999</v>
      </c>
      <c r="F1771" s="50">
        <v>95</v>
      </c>
      <c r="G1771" s="161">
        <v>82.039000000000001</v>
      </c>
      <c r="H1771" s="162">
        <v>1708.499</v>
      </c>
      <c r="I1771" s="163">
        <v>6.9</v>
      </c>
      <c r="J1771" s="16">
        <v>1.7999999999999999E-2</v>
      </c>
      <c r="K1771" s="164">
        <v>8.2249999999999996</v>
      </c>
      <c r="L1771" s="165">
        <v>32.53</v>
      </c>
      <c r="M1771" s="13">
        <v>5.476</v>
      </c>
      <c r="N1771" s="166">
        <v>4.9000000000000002E-2</v>
      </c>
      <c r="O1771" s="15">
        <v>65.805000000000007</v>
      </c>
      <c r="P1771" s="167">
        <v>6.4000000000000001E-2</v>
      </c>
      <c r="Q1771" s="96"/>
    </row>
    <row r="1772" spans="1:17" ht="14.25" customHeight="1" x14ac:dyDescent="0.35">
      <c r="A1772" s="1">
        <v>2020</v>
      </c>
      <c r="B1772" s="1" t="s">
        <v>33</v>
      </c>
      <c r="C1772" s="1">
        <v>5</v>
      </c>
      <c r="D1772" s="49">
        <v>110.703</v>
      </c>
      <c r="E1772" s="12">
        <f t="shared" si="37"/>
        <v>138.37875</v>
      </c>
      <c r="F1772" s="50">
        <v>94.093999999999994</v>
      </c>
      <c r="G1772" s="161">
        <v>82.102999999999994</v>
      </c>
      <c r="H1772" s="162">
        <v>1696.1780000000001</v>
      </c>
      <c r="I1772" s="163">
        <v>6.9</v>
      </c>
      <c r="J1772" s="16">
        <v>1.7999999999999999E-2</v>
      </c>
      <c r="K1772" s="164">
        <v>8.2539999999999996</v>
      </c>
      <c r="L1772" s="165">
        <v>32.481000000000002</v>
      </c>
      <c r="M1772" s="13">
        <v>5.49</v>
      </c>
      <c r="N1772" s="166">
        <v>3.6999999999999998E-2</v>
      </c>
      <c r="O1772" s="15">
        <v>64.186000000000007</v>
      </c>
      <c r="P1772" s="167">
        <v>6.3E-2</v>
      </c>
      <c r="Q1772" s="96"/>
    </row>
    <row r="1773" spans="1:17" ht="14.25" customHeight="1" x14ac:dyDescent="0.35">
      <c r="A1773" s="1">
        <v>2020</v>
      </c>
      <c r="B1773" s="1" t="s">
        <v>33</v>
      </c>
      <c r="C1773" s="1">
        <v>6</v>
      </c>
      <c r="D1773" s="49">
        <v>103.063</v>
      </c>
      <c r="E1773" s="32">
        <v>127.98</v>
      </c>
      <c r="F1773" s="50">
        <v>87.563000000000002</v>
      </c>
      <c r="G1773" s="161">
        <v>81.578999999999994</v>
      </c>
      <c r="H1773" s="162">
        <v>1665.1389999999999</v>
      </c>
      <c r="I1773" s="163">
        <v>6.9</v>
      </c>
      <c r="J1773" s="16">
        <v>1.7999999999999999E-2</v>
      </c>
      <c r="K1773" s="164">
        <v>8.1470000000000002</v>
      </c>
      <c r="L1773" s="165">
        <v>31.347000000000001</v>
      </c>
      <c r="M1773" s="13">
        <v>5.4889999999999999</v>
      </c>
      <c r="N1773" s="166">
        <v>2.5000000000000001E-2</v>
      </c>
      <c r="O1773" s="15">
        <v>64.338999999999999</v>
      </c>
      <c r="P1773" s="167">
        <v>6.0999999999999999E-2</v>
      </c>
      <c r="Q1773" s="96"/>
    </row>
    <row r="1774" spans="1:17" ht="14.25" customHeight="1" x14ac:dyDescent="0.35">
      <c r="A1774" s="1">
        <v>2020</v>
      </c>
      <c r="B1774" s="1" t="s">
        <v>33</v>
      </c>
      <c r="C1774" s="1">
        <v>7</v>
      </c>
      <c r="D1774" s="49">
        <v>108.90600000000001</v>
      </c>
      <c r="E1774" s="12">
        <f t="shared" ref="E1774:E1823" si="38">D1774*1.25</f>
        <v>136.13249999999999</v>
      </c>
      <c r="F1774" s="50">
        <v>92.75</v>
      </c>
      <c r="G1774" s="161">
        <v>80.262</v>
      </c>
      <c r="H1774" s="162">
        <v>1679.395</v>
      </c>
      <c r="I1774" s="163">
        <v>6.9</v>
      </c>
      <c r="J1774" s="16">
        <v>1.7000000000000001E-2</v>
      </c>
      <c r="K1774" s="164">
        <v>8.5009999999999994</v>
      </c>
      <c r="L1774" s="165">
        <v>30.369</v>
      </c>
      <c r="M1774" s="13">
        <v>5.4820000000000002</v>
      </c>
      <c r="N1774" s="166">
        <v>2.5000000000000001E-2</v>
      </c>
      <c r="O1774" s="15">
        <v>65.057000000000002</v>
      </c>
      <c r="P1774" s="167">
        <v>6.2E-2</v>
      </c>
      <c r="Q1774" s="96"/>
    </row>
    <row r="1775" spans="1:17" ht="14.25" customHeight="1" x14ac:dyDescent="0.35">
      <c r="A1775" s="1">
        <v>2020</v>
      </c>
      <c r="B1775" s="1" t="s">
        <v>33</v>
      </c>
      <c r="C1775" s="1">
        <v>8</v>
      </c>
      <c r="D1775" s="49">
        <v>105.297</v>
      </c>
      <c r="E1775" s="12">
        <f t="shared" si="38"/>
        <v>131.62125</v>
      </c>
      <c r="F1775" s="50">
        <v>89.563000000000002</v>
      </c>
      <c r="G1775" s="161">
        <v>79.409000000000006</v>
      </c>
      <c r="H1775" s="22">
        <v>1585.193</v>
      </c>
      <c r="I1775" s="163">
        <v>6.9</v>
      </c>
      <c r="J1775" s="16">
        <v>1.6E-2</v>
      </c>
      <c r="K1775" s="168">
        <v>8.3219999999999992</v>
      </c>
      <c r="L1775" s="165">
        <v>28.818000000000001</v>
      </c>
      <c r="M1775" s="13">
        <v>5.4859999999999998</v>
      </c>
      <c r="N1775" s="166">
        <v>2.5000000000000001E-2</v>
      </c>
      <c r="O1775" s="15">
        <v>64.358000000000004</v>
      </c>
      <c r="P1775" s="192">
        <v>5.8999999999999997E-2</v>
      </c>
      <c r="Q1775" s="96"/>
    </row>
    <row r="1776" spans="1:17" ht="14.25" customHeight="1" x14ac:dyDescent="0.35">
      <c r="A1776" s="1">
        <v>2020</v>
      </c>
      <c r="B1776" s="1" t="s">
        <v>33</v>
      </c>
      <c r="C1776" s="1">
        <v>9</v>
      </c>
      <c r="D1776" s="49">
        <v>109.23399999999999</v>
      </c>
      <c r="E1776" s="12">
        <f t="shared" si="38"/>
        <v>136.54249999999999</v>
      </c>
      <c r="F1776" s="50">
        <v>92.938000000000002</v>
      </c>
      <c r="G1776" s="161">
        <v>79.186000000000007</v>
      </c>
      <c r="H1776" s="162">
        <v>1567.655</v>
      </c>
      <c r="I1776" s="163">
        <v>6.9</v>
      </c>
      <c r="J1776" s="16">
        <v>1.7999999999999999E-2</v>
      </c>
      <c r="K1776" s="164">
        <v>8.282</v>
      </c>
      <c r="L1776" s="165">
        <v>28.946999999999999</v>
      </c>
      <c r="M1776" s="13">
        <v>5.5209999999999999</v>
      </c>
      <c r="N1776" s="166">
        <v>2.5000000000000001E-2</v>
      </c>
      <c r="O1776" s="15">
        <v>59.587000000000003</v>
      </c>
      <c r="P1776" s="167">
        <v>5.6000000000000001E-2</v>
      </c>
      <c r="Q1776" s="96"/>
    </row>
    <row r="1777" spans="1:17" ht="14.25" customHeight="1" x14ac:dyDescent="0.35">
      <c r="A1777" s="1">
        <v>2020</v>
      </c>
      <c r="B1777" s="1" t="s">
        <v>33</v>
      </c>
      <c r="C1777" s="1">
        <v>10</v>
      </c>
      <c r="D1777" s="49">
        <v>111.688</v>
      </c>
      <c r="E1777" s="12">
        <f t="shared" si="38"/>
        <v>139.61000000000001</v>
      </c>
      <c r="F1777" s="50">
        <v>95</v>
      </c>
      <c r="G1777" s="169">
        <v>79.582999999999998</v>
      </c>
      <c r="H1777" s="162">
        <v>1675.577</v>
      </c>
      <c r="I1777" s="163">
        <v>6.9009999999999998</v>
      </c>
      <c r="J1777" s="16">
        <v>1.7999999999999999E-2</v>
      </c>
      <c r="K1777" s="170">
        <v>8.4640000000000004</v>
      </c>
      <c r="L1777" s="165">
        <v>30.36</v>
      </c>
      <c r="M1777" s="13">
        <v>5.5140000000000002</v>
      </c>
      <c r="N1777" s="171">
        <v>2.5000000000000001E-2</v>
      </c>
      <c r="O1777" s="15">
        <v>60.381999999999998</v>
      </c>
      <c r="P1777" s="172">
        <v>0.06</v>
      </c>
      <c r="Q1777" s="96"/>
    </row>
    <row r="1778" spans="1:17" ht="14.25" customHeight="1" x14ac:dyDescent="0.35">
      <c r="A1778" s="1">
        <v>2020</v>
      </c>
      <c r="B1778" s="1" t="s">
        <v>33</v>
      </c>
      <c r="C1778" s="1">
        <v>11</v>
      </c>
      <c r="D1778" s="49">
        <v>109.438</v>
      </c>
      <c r="E1778" s="12">
        <f t="shared" si="38"/>
        <v>136.79750000000001</v>
      </c>
      <c r="F1778" s="50">
        <v>93.063000000000002</v>
      </c>
      <c r="G1778" s="169">
        <v>79.754000000000005</v>
      </c>
      <c r="H1778" s="162">
        <v>1722.1679999999999</v>
      </c>
      <c r="I1778" s="163">
        <v>6.9</v>
      </c>
      <c r="J1778" s="16">
        <v>1.7999999999999999E-2</v>
      </c>
      <c r="K1778" s="170">
        <v>8.3620000000000001</v>
      </c>
      <c r="L1778" s="165">
        <v>30.920999999999999</v>
      </c>
      <c r="M1778" s="13">
        <v>5.5140000000000002</v>
      </c>
      <c r="N1778" s="171">
        <v>2.5000000000000001E-2</v>
      </c>
      <c r="O1778" s="15">
        <v>60.386000000000003</v>
      </c>
      <c r="P1778" s="172">
        <v>6.2E-2</v>
      </c>
      <c r="Q1778" s="96"/>
    </row>
    <row r="1779" spans="1:17" ht="14.25" customHeight="1" x14ac:dyDescent="0.35">
      <c r="A1779" s="1">
        <v>2020</v>
      </c>
      <c r="B1779" s="1" t="s">
        <v>33</v>
      </c>
      <c r="C1779" s="1">
        <v>12</v>
      </c>
      <c r="D1779" s="49">
        <v>109.03100000000001</v>
      </c>
      <c r="E1779" s="12">
        <f t="shared" si="38"/>
        <v>136.28874999999999</v>
      </c>
      <c r="F1779" s="50">
        <v>92.718999999999994</v>
      </c>
      <c r="G1779" s="169">
        <v>79.656000000000006</v>
      </c>
      <c r="H1779" s="162">
        <v>1739.67</v>
      </c>
      <c r="I1779" s="163">
        <v>6.9</v>
      </c>
      <c r="J1779" s="16">
        <v>1.7999999999999999E-2</v>
      </c>
      <c r="K1779" s="170">
        <v>8.4550000000000001</v>
      </c>
      <c r="L1779" s="165">
        <v>31.137</v>
      </c>
      <c r="M1779" s="13">
        <v>5.5229999999999997</v>
      </c>
      <c r="N1779" s="171">
        <v>2.5000000000000001E-2</v>
      </c>
      <c r="O1779" s="15">
        <v>59.189</v>
      </c>
      <c r="P1779" s="172">
        <v>6.3E-2</v>
      </c>
      <c r="Q1779" s="96"/>
    </row>
    <row r="1780" spans="1:17" ht="14.25" customHeight="1" x14ac:dyDescent="0.35">
      <c r="A1780" s="1">
        <v>2020</v>
      </c>
      <c r="B1780" s="1" t="s">
        <v>33</v>
      </c>
      <c r="C1780" s="1">
        <v>13</v>
      </c>
      <c r="D1780" s="49">
        <v>107.422</v>
      </c>
      <c r="E1780" s="12">
        <f t="shared" si="38"/>
        <v>134.2775</v>
      </c>
      <c r="F1780" s="50">
        <v>91.438000000000002</v>
      </c>
      <c r="G1780" s="173">
        <v>79.632000000000005</v>
      </c>
      <c r="H1780" s="162">
        <v>1720.5840000000001</v>
      </c>
      <c r="I1780" s="163">
        <v>6.9</v>
      </c>
      <c r="J1780" s="16">
        <v>1.7999999999999999E-2</v>
      </c>
      <c r="K1780" s="174">
        <v>8.3460000000000001</v>
      </c>
      <c r="L1780" s="165">
        <v>30.997</v>
      </c>
      <c r="M1780" s="13">
        <v>5.5060000000000002</v>
      </c>
      <c r="N1780" s="166">
        <v>2.5000000000000001E-2</v>
      </c>
      <c r="O1780" s="15">
        <v>61.402000000000001</v>
      </c>
      <c r="P1780" s="175">
        <v>6.0999999999999999E-2</v>
      </c>
      <c r="Q1780" s="96"/>
    </row>
    <row r="1781" spans="1:17" ht="14.25" customHeight="1" x14ac:dyDescent="0.35">
      <c r="A1781" s="1">
        <v>2020</v>
      </c>
      <c r="B1781" s="1" t="s">
        <v>33</v>
      </c>
      <c r="C1781" s="1">
        <v>14</v>
      </c>
      <c r="D1781" s="49">
        <v>109.64100000000001</v>
      </c>
      <c r="E1781" s="12">
        <f t="shared" si="38"/>
        <v>137.05125000000001</v>
      </c>
      <c r="F1781" s="50">
        <v>93.281000000000006</v>
      </c>
      <c r="G1781" s="161">
        <v>79.353999999999999</v>
      </c>
      <c r="H1781" s="162">
        <v>1697.9169999999999</v>
      </c>
      <c r="I1781" s="163">
        <v>6.9</v>
      </c>
      <c r="J1781" s="16">
        <v>1.7999999999999999E-2</v>
      </c>
      <c r="K1781" s="174">
        <v>8.3559999999999999</v>
      </c>
      <c r="L1781" s="176">
        <v>31.344999999999999</v>
      </c>
      <c r="M1781" s="13">
        <v>5.4749999999999996</v>
      </c>
      <c r="N1781" s="166">
        <v>2.5000000000000001E-2</v>
      </c>
      <c r="O1781" s="15">
        <v>66.031999999999996</v>
      </c>
      <c r="P1781" s="175">
        <v>5.8000000000000003E-2</v>
      </c>
      <c r="Q1781" s="96"/>
    </row>
    <row r="1782" spans="1:17" ht="14.25" customHeight="1" x14ac:dyDescent="0.35">
      <c r="A1782" s="1">
        <v>2020</v>
      </c>
      <c r="B1782" s="1" t="s">
        <v>33</v>
      </c>
      <c r="C1782" s="1">
        <v>15</v>
      </c>
      <c r="D1782" s="49">
        <v>104.76600000000001</v>
      </c>
      <c r="E1782" s="12">
        <f t="shared" si="38"/>
        <v>130.95750000000001</v>
      </c>
      <c r="F1782" s="50">
        <v>89.125</v>
      </c>
      <c r="G1782" s="161">
        <v>79.619</v>
      </c>
      <c r="H1782" s="162">
        <v>1604.1559999999999</v>
      </c>
      <c r="I1782" s="163">
        <v>6.9</v>
      </c>
      <c r="J1782" s="16">
        <v>1.7000000000000001E-2</v>
      </c>
      <c r="K1782" s="170">
        <v>8.0980000000000008</v>
      </c>
      <c r="L1782" s="165">
        <v>29.675000000000001</v>
      </c>
      <c r="M1782" s="13">
        <v>5.4809999999999999</v>
      </c>
      <c r="N1782" s="166">
        <v>2.5000000000000001E-2</v>
      </c>
      <c r="O1782" s="15">
        <v>65.137</v>
      </c>
      <c r="P1782" s="172">
        <v>5.7000000000000002E-2</v>
      </c>
      <c r="Q1782" s="96"/>
    </row>
    <row r="1783" spans="1:17" ht="14.25" customHeight="1" x14ac:dyDescent="0.35">
      <c r="A1783" s="1">
        <v>2020</v>
      </c>
      <c r="B1783" s="1" t="s">
        <v>33</v>
      </c>
      <c r="C1783" s="1">
        <v>16</v>
      </c>
      <c r="D1783" s="49">
        <v>109.047</v>
      </c>
      <c r="E1783" s="12">
        <f t="shared" si="38"/>
        <v>136.30875</v>
      </c>
      <c r="F1783" s="50">
        <v>92.75</v>
      </c>
      <c r="G1783" s="161">
        <v>79.811000000000007</v>
      </c>
      <c r="H1783" s="162">
        <v>1570.163</v>
      </c>
      <c r="I1783" s="163">
        <v>6.9</v>
      </c>
      <c r="J1783" s="16">
        <v>1.7999999999999999E-2</v>
      </c>
      <c r="K1783" s="174">
        <v>8.4380000000000006</v>
      </c>
      <c r="L1783" s="162">
        <v>28.812000000000001</v>
      </c>
      <c r="M1783" s="163">
        <v>5.4859999999999998</v>
      </c>
      <c r="N1783" s="166">
        <v>2.5000000000000001E-2</v>
      </c>
      <c r="O1783" s="15">
        <v>64.272000000000006</v>
      </c>
      <c r="P1783" s="175">
        <v>5.6000000000000001E-2</v>
      </c>
      <c r="Q1783" s="96"/>
    </row>
    <row r="1784" spans="1:17" ht="14.25" customHeight="1" x14ac:dyDescent="0.35">
      <c r="A1784" s="1">
        <v>2020</v>
      </c>
      <c r="B1784" s="1" t="s">
        <v>33</v>
      </c>
      <c r="C1784" s="1">
        <v>17</v>
      </c>
      <c r="D1784" s="49">
        <v>111.35899999999999</v>
      </c>
      <c r="E1784" s="12">
        <f t="shared" si="38"/>
        <v>139.19874999999999</v>
      </c>
      <c r="F1784" s="50">
        <v>94.75</v>
      </c>
      <c r="G1784" s="161">
        <v>79.822999999999993</v>
      </c>
      <c r="H1784" s="162">
        <v>1690.125</v>
      </c>
      <c r="I1784" s="163">
        <v>6.9</v>
      </c>
      <c r="J1784" s="16">
        <v>1.7999999999999999E-2</v>
      </c>
      <c r="K1784" s="164">
        <v>8.7360000000000007</v>
      </c>
      <c r="L1784" s="165">
        <v>30.613</v>
      </c>
      <c r="M1784" s="13">
        <v>5.4550000000000001</v>
      </c>
      <c r="N1784" s="166">
        <v>2.5000000000000001E-2</v>
      </c>
      <c r="O1784" s="15">
        <v>68.998000000000005</v>
      </c>
      <c r="P1784" s="167">
        <v>6.5000000000000002E-2</v>
      </c>
      <c r="Q1784" s="96"/>
    </row>
    <row r="1785" spans="1:17" ht="14.25" customHeight="1" x14ac:dyDescent="0.35">
      <c r="A1785" s="1">
        <v>2020</v>
      </c>
      <c r="B1785" s="1" t="s">
        <v>33</v>
      </c>
      <c r="C1785" s="1">
        <v>18</v>
      </c>
      <c r="D1785" s="49">
        <v>110.125</v>
      </c>
      <c r="E1785" s="12">
        <f t="shared" si="38"/>
        <v>137.65625</v>
      </c>
      <c r="F1785" s="50">
        <v>93.688000000000002</v>
      </c>
      <c r="G1785" s="161">
        <v>79.519000000000005</v>
      </c>
      <c r="H1785" s="162">
        <v>1712.42</v>
      </c>
      <c r="I1785" s="163">
        <v>6.9</v>
      </c>
      <c r="J1785" s="16">
        <v>1.9E-2</v>
      </c>
      <c r="K1785" s="164">
        <v>8.6959999999999997</v>
      </c>
      <c r="L1785" s="162">
        <v>31.253</v>
      </c>
      <c r="M1785" s="163">
        <v>5.48</v>
      </c>
      <c r="N1785" s="166">
        <v>2.5000000000000001E-2</v>
      </c>
      <c r="O1785" s="15">
        <v>65.414000000000001</v>
      </c>
      <c r="P1785" s="167">
        <v>6.3E-2</v>
      </c>
      <c r="Q1785" s="96"/>
    </row>
    <row r="1786" spans="1:17" ht="14.25" customHeight="1" x14ac:dyDescent="0.35">
      <c r="A1786" s="1">
        <v>2020</v>
      </c>
      <c r="B1786" s="1" t="s">
        <v>33</v>
      </c>
      <c r="C1786" s="1">
        <v>19</v>
      </c>
      <c r="D1786" s="49">
        <v>108.10899999999999</v>
      </c>
      <c r="E1786" s="12">
        <f t="shared" si="38"/>
        <v>135.13624999999999</v>
      </c>
      <c r="F1786" s="50">
        <v>92.031000000000006</v>
      </c>
      <c r="G1786" s="161">
        <v>79.837000000000003</v>
      </c>
      <c r="H1786" s="162">
        <v>1725.71</v>
      </c>
      <c r="I1786" s="163">
        <v>6.9</v>
      </c>
      <c r="J1786" s="16">
        <v>1.9E-2</v>
      </c>
      <c r="K1786" s="164">
        <v>8.8290000000000006</v>
      </c>
      <c r="L1786" s="165">
        <v>31.596</v>
      </c>
      <c r="M1786" s="13">
        <v>5.4779999999999998</v>
      </c>
      <c r="N1786" s="166">
        <v>2.5000000000000001E-2</v>
      </c>
      <c r="O1786" s="15">
        <v>65.656999999999996</v>
      </c>
      <c r="P1786" s="167">
        <v>6.2E-2</v>
      </c>
      <c r="Q1786" s="96"/>
    </row>
    <row r="1787" spans="1:17" ht="14.25" customHeight="1" x14ac:dyDescent="0.35">
      <c r="A1787" s="1">
        <v>2020</v>
      </c>
      <c r="B1787" s="1" t="s">
        <v>33</v>
      </c>
      <c r="C1787" s="1">
        <v>20</v>
      </c>
      <c r="D1787" s="49">
        <v>108.375</v>
      </c>
      <c r="E1787" s="12">
        <f t="shared" si="38"/>
        <v>135.46875</v>
      </c>
      <c r="F1787" s="50">
        <v>92.125</v>
      </c>
      <c r="G1787" s="161">
        <v>79.659000000000006</v>
      </c>
      <c r="H1787" s="162">
        <v>1733.3820000000001</v>
      </c>
      <c r="I1787" s="163">
        <v>6.9</v>
      </c>
      <c r="J1787" s="16">
        <v>1.9E-2</v>
      </c>
      <c r="K1787" s="164">
        <v>8.7690000000000001</v>
      </c>
      <c r="L1787" s="162">
        <v>30.617999999999999</v>
      </c>
      <c r="M1787" s="163">
        <v>5.5019999999999998</v>
      </c>
      <c r="N1787" s="166">
        <v>2.5000000000000001E-2</v>
      </c>
      <c r="O1787" s="15">
        <v>62.283999999999999</v>
      </c>
      <c r="P1787" s="167">
        <v>6.4000000000000001E-2</v>
      </c>
      <c r="Q1787" s="96"/>
    </row>
    <row r="1788" spans="1:17" ht="14.25" customHeight="1" x14ac:dyDescent="0.35">
      <c r="A1788" s="1">
        <v>2020</v>
      </c>
      <c r="B1788" s="1" t="s">
        <v>33</v>
      </c>
      <c r="C1788" s="1">
        <v>21</v>
      </c>
      <c r="D1788" s="49">
        <v>108.625</v>
      </c>
      <c r="E1788" s="12">
        <f t="shared" si="38"/>
        <v>135.78125</v>
      </c>
      <c r="F1788" s="50">
        <v>92.438000000000002</v>
      </c>
      <c r="G1788" s="161">
        <v>79.448999999999998</v>
      </c>
      <c r="H1788" s="162">
        <v>1714.3810000000001</v>
      </c>
      <c r="I1788" s="163">
        <v>6.9</v>
      </c>
      <c r="J1788" s="16">
        <v>1.9E-2</v>
      </c>
      <c r="K1788" s="164">
        <v>8.7539999999999996</v>
      </c>
      <c r="L1788" s="165">
        <v>30.542000000000002</v>
      </c>
      <c r="M1788" s="13">
        <v>5.4790000000000001</v>
      </c>
      <c r="N1788" s="166">
        <v>2.5000000000000001E-2</v>
      </c>
      <c r="O1788" s="15">
        <v>65.417000000000002</v>
      </c>
      <c r="P1788" s="167">
        <v>6.2E-2</v>
      </c>
      <c r="Q1788" s="96"/>
    </row>
    <row r="1789" spans="1:17" ht="14.25" customHeight="1" x14ac:dyDescent="0.35">
      <c r="A1789" s="1">
        <v>2020</v>
      </c>
      <c r="B1789" s="1" t="s">
        <v>33</v>
      </c>
      <c r="C1789" s="1">
        <v>22</v>
      </c>
      <c r="D1789" s="49">
        <v>107.828</v>
      </c>
      <c r="E1789" s="12">
        <f t="shared" si="38"/>
        <v>134.785</v>
      </c>
      <c r="F1789" s="50">
        <v>91.718999999999994</v>
      </c>
      <c r="G1789" s="161">
        <v>79.191999999999993</v>
      </c>
      <c r="H1789" s="162">
        <v>1628.1980000000001</v>
      </c>
      <c r="I1789" s="163">
        <v>6.9</v>
      </c>
      <c r="J1789" s="16">
        <v>1.9E-2</v>
      </c>
      <c r="K1789" s="164">
        <v>8.8130000000000006</v>
      </c>
      <c r="L1789" s="162">
        <v>29.321999999999999</v>
      </c>
      <c r="M1789" s="163">
        <v>5.4779999999999998</v>
      </c>
      <c r="N1789" s="166">
        <v>2.5000000000000001E-2</v>
      </c>
      <c r="O1789" s="15">
        <v>65.533000000000001</v>
      </c>
      <c r="P1789" s="167">
        <v>0.06</v>
      </c>
      <c r="Q1789" s="96"/>
    </row>
    <row r="1790" spans="1:17" ht="14.25" customHeight="1" x14ac:dyDescent="0.35">
      <c r="A1790" s="1">
        <v>2020</v>
      </c>
      <c r="B1790" s="1" t="s">
        <v>33</v>
      </c>
      <c r="C1790" s="1">
        <v>23</v>
      </c>
      <c r="D1790" s="49">
        <v>109.938</v>
      </c>
      <c r="E1790" s="12">
        <f t="shared" si="38"/>
        <v>137.42250000000001</v>
      </c>
      <c r="F1790" s="50">
        <v>93.531000000000006</v>
      </c>
      <c r="G1790" s="161">
        <v>78.843000000000004</v>
      </c>
      <c r="H1790" s="162">
        <v>1593.51</v>
      </c>
      <c r="I1790" s="163">
        <v>6.9009999999999998</v>
      </c>
      <c r="J1790" s="16">
        <v>1.9E-2</v>
      </c>
      <c r="K1790" s="164">
        <v>8.9879999999999995</v>
      </c>
      <c r="L1790" s="165">
        <v>28.800999999999998</v>
      </c>
      <c r="M1790" s="13">
        <v>5.4960000000000004</v>
      </c>
      <c r="N1790" s="166">
        <v>2.5000000000000001E-2</v>
      </c>
      <c r="O1790" s="15">
        <v>62.968000000000004</v>
      </c>
      <c r="P1790" s="167">
        <v>5.8000000000000003E-2</v>
      </c>
      <c r="Q1790" s="96"/>
    </row>
    <row r="1791" spans="1:17" ht="14.25" customHeight="1" x14ac:dyDescent="0.35">
      <c r="A1791" s="1">
        <v>2020</v>
      </c>
      <c r="B1791" s="1" t="s">
        <v>33</v>
      </c>
      <c r="C1791" s="1">
        <v>24</v>
      </c>
      <c r="D1791" s="49">
        <v>111.078</v>
      </c>
      <c r="E1791" s="12">
        <f t="shared" si="38"/>
        <v>138.8475</v>
      </c>
      <c r="F1791" s="50">
        <v>94.468999999999994</v>
      </c>
      <c r="G1791" s="161">
        <v>78.840999999999994</v>
      </c>
      <c r="H1791" s="162">
        <v>1670.0609999999999</v>
      </c>
      <c r="I1791" s="163">
        <v>6.9</v>
      </c>
      <c r="J1791" s="16">
        <v>0.02</v>
      </c>
      <c r="K1791" s="164">
        <v>8.9969999999999999</v>
      </c>
      <c r="L1791" s="162">
        <v>29.646000000000001</v>
      </c>
      <c r="M1791" s="163">
        <v>5.4870000000000001</v>
      </c>
      <c r="N1791" s="166">
        <v>2.5000000000000001E-2</v>
      </c>
      <c r="O1791" s="15">
        <v>64.177999999999997</v>
      </c>
      <c r="P1791" s="167">
        <v>6.4000000000000001E-2</v>
      </c>
      <c r="Q1791" s="96"/>
    </row>
    <row r="1792" spans="1:17" ht="14.25" customHeight="1" x14ac:dyDescent="0.35">
      <c r="A1792" s="1">
        <v>2020</v>
      </c>
      <c r="B1792" s="1" t="s">
        <v>33</v>
      </c>
      <c r="C1792" s="1">
        <v>25</v>
      </c>
      <c r="D1792" s="49">
        <v>104.03100000000001</v>
      </c>
      <c r="E1792" s="12">
        <f t="shared" si="38"/>
        <v>130.03874999999999</v>
      </c>
      <c r="F1792" s="50">
        <v>88.468999999999994</v>
      </c>
      <c r="G1792" s="161">
        <v>78.837999999999994</v>
      </c>
      <c r="H1792" s="162">
        <v>1727.925</v>
      </c>
      <c r="I1792" s="163">
        <v>6.9</v>
      </c>
      <c r="J1792" s="16">
        <v>0.02</v>
      </c>
      <c r="K1792" s="164">
        <v>8.9779999999999998</v>
      </c>
      <c r="L1792" s="165">
        <v>30.783000000000001</v>
      </c>
      <c r="M1792" s="13">
        <v>5.4770000000000003</v>
      </c>
      <c r="N1792" s="166">
        <v>2.5000000000000001E-2</v>
      </c>
      <c r="O1792" s="15">
        <v>65.876999999999995</v>
      </c>
      <c r="P1792" s="167">
        <v>5.6000000000000001E-2</v>
      </c>
      <c r="Q1792" s="96"/>
    </row>
    <row r="1793" spans="1:17" ht="14.25" customHeight="1" x14ac:dyDescent="0.35">
      <c r="A1793" s="1">
        <v>2020</v>
      </c>
      <c r="B1793" s="1" t="s">
        <v>33</v>
      </c>
      <c r="C1793" s="1">
        <v>26</v>
      </c>
      <c r="D1793" s="49">
        <v>107.48399999999999</v>
      </c>
      <c r="E1793" s="12">
        <f t="shared" si="38"/>
        <v>134.35499999999999</v>
      </c>
      <c r="F1793" s="50">
        <v>91.468999999999994</v>
      </c>
      <c r="G1793" s="161">
        <v>78.435000000000002</v>
      </c>
      <c r="H1793" s="162">
        <v>1679.817</v>
      </c>
      <c r="I1793" s="163">
        <v>6.9</v>
      </c>
      <c r="J1793" s="16">
        <v>1.9E-2</v>
      </c>
      <c r="K1793" s="164">
        <v>8.7569999999999997</v>
      </c>
      <c r="L1793" s="162">
        <v>28.846</v>
      </c>
      <c r="M1793" s="163">
        <v>5.4660000000000002</v>
      </c>
      <c r="N1793" s="166">
        <v>2.5000000000000001E-2</v>
      </c>
      <c r="O1793" s="15">
        <v>67.373999999999995</v>
      </c>
      <c r="P1793" s="167">
        <v>0.05</v>
      </c>
      <c r="Q1793" s="96"/>
    </row>
    <row r="1794" spans="1:17" ht="14.25" customHeight="1" x14ac:dyDescent="0.35">
      <c r="A1794" s="1">
        <v>2020</v>
      </c>
      <c r="B1794" s="1" t="s">
        <v>33</v>
      </c>
      <c r="C1794" s="1">
        <v>27</v>
      </c>
      <c r="D1794" s="49">
        <v>102.23399999999999</v>
      </c>
      <c r="E1794" s="12">
        <f t="shared" si="38"/>
        <v>127.79249999999999</v>
      </c>
      <c r="F1794" s="50">
        <v>86.843999999999994</v>
      </c>
      <c r="G1794" s="161">
        <v>77.628</v>
      </c>
      <c r="H1794" s="162">
        <v>1610.7739999999999</v>
      </c>
      <c r="I1794" s="163">
        <v>6.9</v>
      </c>
      <c r="J1794" s="16">
        <v>1.7999999999999999E-2</v>
      </c>
      <c r="K1794" s="164">
        <v>8.0719999999999992</v>
      </c>
      <c r="L1794" s="165">
        <v>27.655000000000001</v>
      </c>
      <c r="M1794" s="13">
        <v>5.4710000000000001</v>
      </c>
      <c r="N1794" s="166">
        <v>2.5000000000000001E-2</v>
      </c>
      <c r="O1794" s="15">
        <v>66.563999999999993</v>
      </c>
      <c r="P1794" s="167">
        <v>4.3999999999999997E-2</v>
      </c>
      <c r="Q1794" s="96"/>
    </row>
    <row r="1795" spans="1:17" ht="14.25" customHeight="1" x14ac:dyDescent="0.35">
      <c r="A1795" s="1">
        <v>2020</v>
      </c>
      <c r="B1795" s="1" t="s">
        <v>33</v>
      </c>
      <c r="C1795" s="1">
        <v>28</v>
      </c>
      <c r="D1795" s="49">
        <v>98.906000000000006</v>
      </c>
      <c r="E1795" s="12">
        <f t="shared" si="38"/>
        <v>123.63250000000001</v>
      </c>
      <c r="F1795" s="50">
        <v>84.125</v>
      </c>
      <c r="G1795" s="161">
        <v>77.807000000000002</v>
      </c>
      <c r="H1795" s="162">
        <v>1589.481</v>
      </c>
      <c r="I1795" s="163">
        <v>6.9</v>
      </c>
      <c r="J1795" s="16">
        <v>1.9E-2</v>
      </c>
      <c r="K1795" s="164">
        <v>8.3550000000000004</v>
      </c>
      <c r="L1795" s="162">
        <v>28.763999999999999</v>
      </c>
      <c r="M1795" s="163">
        <v>5.4969999999999999</v>
      </c>
      <c r="N1795" s="166">
        <v>2.5000000000000001E-2</v>
      </c>
      <c r="O1795" s="15">
        <v>62.66</v>
      </c>
      <c r="P1795" s="167">
        <v>4.3999999999999997E-2</v>
      </c>
      <c r="Q1795" s="96"/>
    </row>
    <row r="1796" spans="1:17" ht="14.25" customHeight="1" x14ac:dyDescent="0.35">
      <c r="A1796" s="1">
        <v>2020</v>
      </c>
      <c r="B1796" s="1" t="s">
        <v>33</v>
      </c>
      <c r="C1796" s="1">
        <v>29</v>
      </c>
      <c r="D1796" s="49">
        <v>102.453</v>
      </c>
      <c r="E1796" s="12">
        <f t="shared" si="38"/>
        <v>128.06625</v>
      </c>
      <c r="F1796" s="50">
        <v>87.063000000000002</v>
      </c>
      <c r="G1796" s="187">
        <v>77.814999999999998</v>
      </c>
      <c r="H1796" s="22">
        <v>1572.029</v>
      </c>
      <c r="I1796" s="13">
        <v>6.9</v>
      </c>
      <c r="J1796" s="166">
        <v>1.7999999999999999E-2</v>
      </c>
      <c r="K1796" s="188">
        <v>8.5920000000000005</v>
      </c>
      <c r="L1796" s="162">
        <v>27.353000000000002</v>
      </c>
      <c r="M1796" s="163">
        <v>5.484</v>
      </c>
      <c r="N1796" s="166">
        <v>2.5000000000000001E-2</v>
      </c>
      <c r="O1796" s="15">
        <v>64.682000000000002</v>
      </c>
      <c r="P1796" s="227">
        <v>4.5999999999999999E-2</v>
      </c>
      <c r="Q1796" s="96"/>
    </row>
    <row r="1797" spans="1:17" ht="14.25" customHeight="1" x14ac:dyDescent="0.35">
      <c r="A1797" s="1">
        <v>2020</v>
      </c>
      <c r="B1797" s="1" t="s">
        <v>33</v>
      </c>
      <c r="C1797" s="1">
        <v>30</v>
      </c>
      <c r="D1797" s="104">
        <v>106.64100000000001</v>
      </c>
      <c r="E1797" s="12">
        <f t="shared" si="38"/>
        <v>133.30125000000001</v>
      </c>
      <c r="F1797" s="105">
        <v>90.688000000000002</v>
      </c>
      <c r="G1797" s="187">
        <v>78.051000000000002</v>
      </c>
      <c r="H1797" s="22">
        <v>1597.1980000000001</v>
      </c>
      <c r="I1797" s="13">
        <v>6.9</v>
      </c>
      <c r="J1797" s="166">
        <v>1.9E-2</v>
      </c>
      <c r="K1797" s="188">
        <v>8.984</v>
      </c>
      <c r="L1797" s="162">
        <v>28.242999999999999</v>
      </c>
      <c r="M1797" s="163">
        <v>5.4889999999999999</v>
      </c>
      <c r="N1797" s="166">
        <v>2.5000000000000001E-2</v>
      </c>
      <c r="O1797" s="15">
        <v>63.804000000000002</v>
      </c>
      <c r="P1797" s="227">
        <v>4.9000000000000002E-2</v>
      </c>
      <c r="Q1797" s="96"/>
    </row>
    <row r="1798" spans="1:17" ht="14.25" customHeight="1" x14ac:dyDescent="0.35">
      <c r="A1798" s="1">
        <v>2020</v>
      </c>
      <c r="B1798" s="1" t="s">
        <v>34</v>
      </c>
      <c r="C1798" s="1">
        <v>1</v>
      </c>
      <c r="D1798" s="49">
        <v>107.76600000000001</v>
      </c>
      <c r="E1798" s="12">
        <f t="shared" si="38"/>
        <v>134.70750000000001</v>
      </c>
      <c r="F1798" s="50">
        <v>91.5</v>
      </c>
      <c r="G1798" s="156">
        <v>78.046000000000006</v>
      </c>
      <c r="H1798" s="157">
        <v>1693.6179999999999</v>
      </c>
      <c r="I1798" s="44">
        <v>6.9</v>
      </c>
      <c r="J1798" s="45">
        <v>1.9E-2</v>
      </c>
      <c r="K1798" s="158">
        <v>9.2029999999999994</v>
      </c>
      <c r="L1798" s="157">
        <v>30.206</v>
      </c>
      <c r="M1798" s="45">
        <v>5.4960000000000004</v>
      </c>
      <c r="N1798" s="159">
        <v>2.5000000000000001E-2</v>
      </c>
      <c r="O1798" s="15">
        <v>62.908000000000001</v>
      </c>
      <c r="P1798" s="160">
        <v>5.8000000000000003E-2</v>
      </c>
      <c r="Q1798" s="96"/>
    </row>
    <row r="1799" spans="1:17" ht="14.25" customHeight="1" x14ac:dyDescent="0.35">
      <c r="A1799" s="1">
        <v>2020</v>
      </c>
      <c r="B1799" s="1" t="s">
        <v>34</v>
      </c>
      <c r="C1799" s="1">
        <v>2</v>
      </c>
      <c r="D1799" s="49">
        <v>106.01600000000001</v>
      </c>
      <c r="E1799" s="12">
        <f t="shared" si="38"/>
        <v>132.52000000000001</v>
      </c>
      <c r="F1799" s="50">
        <v>90.031000000000006</v>
      </c>
      <c r="G1799" s="161">
        <v>78.203000000000003</v>
      </c>
      <c r="H1799" s="162">
        <v>1720.318</v>
      </c>
      <c r="I1799" s="163">
        <v>6.9</v>
      </c>
      <c r="J1799" s="16">
        <v>1.9E-2</v>
      </c>
      <c r="K1799" s="164">
        <v>9.032</v>
      </c>
      <c r="L1799" s="165">
        <v>30.25</v>
      </c>
      <c r="M1799" s="13">
        <v>5.5010000000000003</v>
      </c>
      <c r="N1799" s="166">
        <v>2.5000000000000001E-2</v>
      </c>
      <c r="O1799" s="15">
        <v>62.350999999999999</v>
      </c>
      <c r="P1799" s="167">
        <v>5.8000000000000003E-2</v>
      </c>
      <c r="Q1799" s="96"/>
    </row>
    <row r="1800" spans="1:17" ht="14.25" customHeight="1" x14ac:dyDescent="0.35">
      <c r="A1800" s="1">
        <v>2020</v>
      </c>
      <c r="B1800" s="1" t="s">
        <v>34</v>
      </c>
      <c r="C1800" s="1">
        <v>3</v>
      </c>
      <c r="D1800" s="49">
        <v>105.98399999999999</v>
      </c>
      <c r="E1800" s="12">
        <f t="shared" si="38"/>
        <v>132.47999999999999</v>
      </c>
      <c r="F1800" s="50">
        <v>89.968999999999994</v>
      </c>
      <c r="G1800" s="161">
        <v>77.488</v>
      </c>
      <c r="H1800" s="162">
        <v>1739.3030000000001</v>
      </c>
      <c r="I1800" s="163">
        <v>6.9</v>
      </c>
      <c r="J1800" s="16">
        <v>1.9E-2</v>
      </c>
      <c r="K1800" s="164">
        <v>9.0350000000000001</v>
      </c>
      <c r="L1800" s="165">
        <v>29.754999999999999</v>
      </c>
      <c r="M1800" s="13">
        <v>5.4939999999999998</v>
      </c>
      <c r="N1800" s="166">
        <v>2.5000000000000001E-2</v>
      </c>
      <c r="O1800" s="15">
        <v>63.454999999999998</v>
      </c>
      <c r="P1800" s="167">
        <v>5.6000000000000001E-2</v>
      </c>
      <c r="Q1800" s="96"/>
    </row>
    <row r="1801" spans="1:17" ht="14.25" customHeight="1" x14ac:dyDescent="0.35">
      <c r="A1801" s="1">
        <v>2020</v>
      </c>
      <c r="B1801" s="1" t="s">
        <v>34</v>
      </c>
      <c r="C1801" s="1">
        <v>4</v>
      </c>
      <c r="D1801" s="49">
        <v>110.953</v>
      </c>
      <c r="E1801" s="12">
        <f t="shared" si="38"/>
        <v>138.69125</v>
      </c>
      <c r="F1801" s="50">
        <v>94.218999999999994</v>
      </c>
      <c r="G1801" s="161">
        <v>77.483999999999995</v>
      </c>
      <c r="H1801" s="162">
        <v>1724.453</v>
      </c>
      <c r="I1801" s="163">
        <v>6.9</v>
      </c>
      <c r="J1801" s="16">
        <v>0.02</v>
      </c>
      <c r="K1801" s="164">
        <v>9.2520000000000007</v>
      </c>
      <c r="L1801" s="165">
        <v>28.206</v>
      </c>
      <c r="M1801" s="13">
        <v>5.4480000000000004</v>
      </c>
      <c r="N1801" s="166">
        <v>2.5000000000000001E-2</v>
      </c>
      <c r="O1801" s="15">
        <v>70.090999999999994</v>
      </c>
      <c r="P1801" s="167">
        <v>5.8000000000000003E-2</v>
      </c>
      <c r="Q1801" s="96"/>
    </row>
    <row r="1802" spans="1:17" ht="14.25" customHeight="1" x14ac:dyDescent="0.35">
      <c r="A1802" s="1">
        <v>2020</v>
      </c>
      <c r="B1802" s="1" t="s">
        <v>34</v>
      </c>
      <c r="C1802" s="1">
        <v>5</v>
      </c>
      <c r="D1802" s="49">
        <v>110.172</v>
      </c>
      <c r="E1802" s="12">
        <f t="shared" si="38"/>
        <v>137.715</v>
      </c>
      <c r="F1802" s="50">
        <v>93.531000000000006</v>
      </c>
      <c r="G1802" s="161">
        <v>77.343999999999994</v>
      </c>
      <c r="H1802" s="162">
        <v>1680.8969999999999</v>
      </c>
      <c r="I1802" s="163">
        <v>6.9</v>
      </c>
      <c r="J1802" s="16">
        <v>1.9E-2</v>
      </c>
      <c r="K1802" s="164">
        <v>8.8550000000000004</v>
      </c>
      <c r="L1802" s="165">
        <v>27.021999999999998</v>
      </c>
      <c r="M1802" s="13">
        <v>5.42</v>
      </c>
      <c r="N1802" s="166">
        <v>2.5000000000000001E-2</v>
      </c>
      <c r="O1802" s="15">
        <v>75.194000000000003</v>
      </c>
      <c r="P1802" s="167">
        <v>5.2999999999999999E-2</v>
      </c>
      <c r="Q1802" s="96"/>
    </row>
    <row r="1803" spans="1:17" ht="14.25" customHeight="1" x14ac:dyDescent="0.35">
      <c r="A1803" s="1">
        <v>2020</v>
      </c>
      <c r="B1803" s="1" t="s">
        <v>34</v>
      </c>
      <c r="C1803" s="1">
        <v>6</v>
      </c>
      <c r="D1803" s="49">
        <v>107.297</v>
      </c>
      <c r="E1803" s="12">
        <f t="shared" si="38"/>
        <v>134.12125</v>
      </c>
      <c r="F1803" s="50">
        <v>91.093999999999994</v>
      </c>
      <c r="G1803" s="161">
        <v>77.103999999999999</v>
      </c>
      <c r="H1803" s="162">
        <v>1579.92</v>
      </c>
      <c r="I1803" s="163">
        <v>6.9</v>
      </c>
      <c r="J1803" s="16">
        <v>1.7999999999999999E-2</v>
      </c>
      <c r="K1803" s="164">
        <v>8.641</v>
      </c>
      <c r="L1803" s="165">
        <v>26.033000000000001</v>
      </c>
      <c r="M1803" s="13">
        <v>5.452</v>
      </c>
      <c r="N1803" s="166">
        <v>2.5000000000000001E-2</v>
      </c>
      <c r="O1803" s="15">
        <v>70.180000000000007</v>
      </c>
      <c r="P1803" s="167">
        <v>4.9000000000000002E-2</v>
      </c>
      <c r="Q1803" s="96"/>
    </row>
    <row r="1804" spans="1:17" ht="14.25" customHeight="1" x14ac:dyDescent="0.35">
      <c r="A1804" s="1">
        <v>2020</v>
      </c>
      <c r="B1804" s="1" t="s">
        <v>34</v>
      </c>
      <c r="C1804" s="1">
        <v>7</v>
      </c>
      <c r="D1804" s="49">
        <v>108.438</v>
      </c>
      <c r="E1804" s="12">
        <f t="shared" si="38"/>
        <v>135.54750000000001</v>
      </c>
      <c r="F1804" s="50">
        <v>92.093999999999994</v>
      </c>
      <c r="G1804" s="161">
        <v>76.989999999999995</v>
      </c>
      <c r="H1804" s="162">
        <v>1553.3109999999999</v>
      </c>
      <c r="I1804" s="163">
        <v>6.9</v>
      </c>
      <c r="J1804" s="16">
        <v>1.9E-2</v>
      </c>
      <c r="K1804" s="164">
        <v>8.9350000000000005</v>
      </c>
      <c r="L1804" s="165">
        <v>25.837</v>
      </c>
      <c r="M1804" s="13">
        <v>5.4660000000000002</v>
      </c>
      <c r="N1804" s="166">
        <v>2.5000000000000001E-2</v>
      </c>
      <c r="O1804" s="15">
        <v>67.680999999999997</v>
      </c>
      <c r="P1804" s="167">
        <v>4.9000000000000002E-2</v>
      </c>
      <c r="Q1804" s="96"/>
    </row>
    <row r="1805" spans="1:17" ht="14.25" customHeight="1" x14ac:dyDescent="0.35">
      <c r="A1805" s="1">
        <v>2020</v>
      </c>
      <c r="B1805" s="1" t="s">
        <v>34</v>
      </c>
      <c r="C1805" s="1">
        <v>8</v>
      </c>
      <c r="D1805" s="49">
        <v>93.453000000000003</v>
      </c>
      <c r="E1805" s="12">
        <f t="shared" si="38"/>
        <v>116.81625</v>
      </c>
      <c r="F1805" s="50">
        <v>79.125</v>
      </c>
      <c r="G1805" s="161">
        <v>77.840999999999994</v>
      </c>
      <c r="H1805" s="22">
        <v>1651.27</v>
      </c>
      <c r="I1805" s="163">
        <v>6.8879999999999999</v>
      </c>
      <c r="J1805" s="16">
        <v>0.02</v>
      </c>
      <c r="K1805" s="168">
        <v>8.1419999999999995</v>
      </c>
      <c r="L1805" s="165">
        <v>28.609000000000002</v>
      </c>
      <c r="M1805" s="13">
        <v>5.47</v>
      </c>
      <c r="N1805" s="166">
        <v>2.5000000000000001E-2</v>
      </c>
      <c r="O1805" s="15">
        <v>67.713999999999999</v>
      </c>
      <c r="P1805" s="192">
        <v>5.8000000000000003E-2</v>
      </c>
      <c r="Q1805" s="96"/>
    </row>
    <row r="1806" spans="1:17" ht="14.25" customHeight="1" x14ac:dyDescent="0.35">
      <c r="A1806" s="1">
        <v>2020</v>
      </c>
      <c r="B1806" s="1" t="s">
        <v>34</v>
      </c>
      <c r="C1806" s="1">
        <v>9</v>
      </c>
      <c r="D1806" s="49">
        <v>97.516000000000005</v>
      </c>
      <c r="E1806" s="12">
        <f t="shared" si="38"/>
        <v>121.89500000000001</v>
      </c>
      <c r="F1806" s="50">
        <v>82.813000000000002</v>
      </c>
      <c r="G1806" s="161">
        <v>77.652000000000001</v>
      </c>
      <c r="H1806" s="162">
        <v>1670.924</v>
      </c>
      <c r="I1806" s="163">
        <v>6.8929999999999998</v>
      </c>
      <c r="J1806" s="16">
        <v>1.7999999999999999E-2</v>
      </c>
      <c r="K1806" s="164">
        <v>7.7309999999999999</v>
      </c>
      <c r="L1806" s="165">
        <v>27.879000000000001</v>
      </c>
      <c r="M1806" s="13">
        <v>5.4509999999999996</v>
      </c>
      <c r="N1806" s="166">
        <v>2.5000000000000001E-2</v>
      </c>
      <c r="O1806" s="15">
        <v>70.158000000000001</v>
      </c>
      <c r="P1806" s="167">
        <v>5.7000000000000002E-2</v>
      </c>
      <c r="Q1806" s="96"/>
    </row>
    <row r="1807" spans="1:17" ht="14.25" customHeight="1" x14ac:dyDescent="0.35">
      <c r="A1807" s="1">
        <v>2020</v>
      </c>
      <c r="B1807" s="1" t="s">
        <v>34</v>
      </c>
      <c r="C1807" s="1">
        <v>10</v>
      </c>
      <c r="D1807" s="49">
        <v>110.15600000000001</v>
      </c>
      <c r="E1807" s="12">
        <f t="shared" si="38"/>
        <v>137.69499999999999</v>
      </c>
      <c r="F1807" s="50">
        <v>93.5</v>
      </c>
      <c r="G1807" s="169">
        <v>77.215000000000003</v>
      </c>
      <c r="H1807" s="162">
        <v>1657.5730000000001</v>
      </c>
      <c r="I1807" s="163">
        <v>6.9</v>
      </c>
      <c r="J1807" s="16">
        <v>1.7999999999999999E-2</v>
      </c>
      <c r="K1807" s="170">
        <v>7.7439999999999998</v>
      </c>
      <c r="L1807" s="165">
        <v>27.561</v>
      </c>
      <c r="M1807" s="13">
        <v>5.45</v>
      </c>
      <c r="N1807" s="171">
        <v>2.5000000000000001E-2</v>
      </c>
      <c r="O1807" s="15">
        <v>70.241</v>
      </c>
      <c r="P1807" s="172">
        <v>5.2999999999999999E-2</v>
      </c>
      <c r="Q1807" s="96"/>
    </row>
    <row r="1808" spans="1:17" ht="14.25" customHeight="1" x14ac:dyDescent="0.35">
      <c r="A1808" s="1">
        <v>2020</v>
      </c>
      <c r="B1808" s="1" t="s">
        <v>34</v>
      </c>
      <c r="C1808" s="1">
        <v>11</v>
      </c>
      <c r="D1808" s="49">
        <v>105.14100000000001</v>
      </c>
      <c r="E1808" s="12">
        <f t="shared" si="38"/>
        <v>131.42625000000001</v>
      </c>
      <c r="F1808" s="50">
        <v>89.125</v>
      </c>
      <c r="G1808" s="169">
        <v>76.918999999999997</v>
      </c>
      <c r="H1808" s="162">
        <v>1639.56</v>
      </c>
      <c r="I1808" s="163">
        <v>6.9</v>
      </c>
      <c r="J1808" s="16">
        <v>0.02</v>
      </c>
      <c r="K1808" s="170">
        <v>8.3569999999999993</v>
      </c>
      <c r="L1808" s="165">
        <v>26.681000000000001</v>
      </c>
      <c r="M1808" s="13">
        <v>5.5170000000000003</v>
      </c>
      <c r="N1808" s="171">
        <v>2.5000000000000001E-2</v>
      </c>
      <c r="O1808" s="15">
        <v>60.856000000000002</v>
      </c>
      <c r="P1808" s="172">
        <v>6.9000000000000006E-2</v>
      </c>
      <c r="Q1808" s="96"/>
    </row>
    <row r="1809" spans="1:17" ht="14.25" customHeight="1" x14ac:dyDescent="0.35">
      <c r="A1809" s="1">
        <v>2020</v>
      </c>
      <c r="B1809" s="1" t="s">
        <v>34</v>
      </c>
      <c r="C1809" s="1">
        <v>12</v>
      </c>
      <c r="D1809" s="49">
        <v>109.547</v>
      </c>
      <c r="E1809" s="12">
        <f t="shared" si="38"/>
        <v>136.93375</v>
      </c>
      <c r="F1809" s="50">
        <v>93.063000000000002</v>
      </c>
      <c r="G1809" s="169">
        <v>76.995999999999995</v>
      </c>
      <c r="H1809" s="162">
        <v>1617.9590000000001</v>
      </c>
      <c r="I1809" s="163">
        <v>6.9</v>
      </c>
      <c r="J1809" s="16">
        <v>1.9E-2</v>
      </c>
      <c r="K1809" s="170">
        <v>7.7350000000000003</v>
      </c>
      <c r="L1809" s="165">
        <v>26.274000000000001</v>
      </c>
      <c r="M1809" s="13">
        <v>5.5650000000000004</v>
      </c>
      <c r="N1809" s="171">
        <v>2.5000000000000001E-2</v>
      </c>
      <c r="O1809" s="15">
        <v>54.002000000000002</v>
      </c>
      <c r="P1809" s="172">
        <v>5.2999999999999999E-2</v>
      </c>
      <c r="Q1809" s="96"/>
    </row>
    <row r="1810" spans="1:17" ht="14.25" customHeight="1" x14ac:dyDescent="0.35">
      <c r="A1810" s="1">
        <v>2020</v>
      </c>
      <c r="B1810" s="1" t="s">
        <v>34</v>
      </c>
      <c r="C1810" s="1">
        <v>13</v>
      </c>
      <c r="D1810" s="49">
        <v>106.953</v>
      </c>
      <c r="E1810" s="12">
        <f t="shared" si="38"/>
        <v>133.69125</v>
      </c>
      <c r="F1810" s="50">
        <v>90.625</v>
      </c>
      <c r="G1810" s="173">
        <v>76.799000000000007</v>
      </c>
      <c r="H1810" s="162">
        <v>1541.5889999999999</v>
      </c>
      <c r="I1810" s="163">
        <v>6.9</v>
      </c>
      <c r="J1810" s="16">
        <v>1.7999999999999999E-2</v>
      </c>
      <c r="K1810" s="174">
        <v>7.6710000000000003</v>
      </c>
      <c r="L1810" s="165">
        <v>24.777999999999999</v>
      </c>
      <c r="M1810" s="13">
        <v>5.5780000000000003</v>
      </c>
      <c r="N1810" s="166">
        <v>2.5000000000000001E-2</v>
      </c>
      <c r="O1810" s="15">
        <v>52.223999999999997</v>
      </c>
      <c r="P1810" s="175">
        <v>4.7E-2</v>
      </c>
      <c r="Q1810" s="96"/>
    </row>
    <row r="1811" spans="1:17" ht="14.25" customHeight="1" x14ac:dyDescent="0.35">
      <c r="A1811" s="1">
        <v>2020</v>
      </c>
      <c r="B1811" s="1" t="s">
        <v>34</v>
      </c>
      <c r="C1811" s="1">
        <v>14</v>
      </c>
      <c r="D1811" s="49">
        <v>100.26600000000001</v>
      </c>
      <c r="E1811" s="12">
        <f t="shared" si="38"/>
        <v>125.33250000000001</v>
      </c>
      <c r="F1811" s="50">
        <v>84.843999999999994</v>
      </c>
      <c r="G1811" s="161">
        <v>76.804000000000002</v>
      </c>
      <c r="H1811" s="162">
        <v>1520.135</v>
      </c>
      <c r="I1811" s="163">
        <v>6.9</v>
      </c>
      <c r="J1811" s="16">
        <v>1.7999999999999999E-2</v>
      </c>
      <c r="K1811" s="174">
        <v>7.7450000000000001</v>
      </c>
      <c r="L1811" s="176">
        <v>24.312999999999999</v>
      </c>
      <c r="M1811" s="13">
        <v>5.556</v>
      </c>
      <c r="N1811" s="166">
        <v>2.5000000000000001E-2</v>
      </c>
      <c r="O1811" s="15">
        <v>54.832999999999998</v>
      </c>
      <c r="P1811" s="175">
        <v>0.05</v>
      </c>
      <c r="Q1811" s="96"/>
    </row>
    <row r="1812" spans="1:17" ht="14.25" customHeight="1" x14ac:dyDescent="0.35">
      <c r="A1812" s="1">
        <v>2020</v>
      </c>
      <c r="B1812" s="1" t="s">
        <v>34</v>
      </c>
      <c r="C1812" s="1">
        <v>15</v>
      </c>
      <c r="D1812" s="49">
        <v>97.703000000000003</v>
      </c>
      <c r="E1812" s="12">
        <f t="shared" si="38"/>
        <v>122.12875</v>
      </c>
      <c r="F1812" s="50">
        <v>82.688000000000002</v>
      </c>
      <c r="G1812" s="161">
        <v>76.495000000000005</v>
      </c>
      <c r="H1812" s="162">
        <v>1603.9380000000001</v>
      </c>
      <c r="I1812" s="163">
        <v>6.9</v>
      </c>
      <c r="J1812" s="16">
        <v>1.7999999999999999E-2</v>
      </c>
      <c r="K1812" s="170">
        <v>7.431</v>
      </c>
      <c r="L1812" s="165">
        <v>25.405000000000001</v>
      </c>
      <c r="M1812" s="13">
        <v>5.5389999999999997</v>
      </c>
      <c r="N1812" s="166">
        <v>2.5000000000000001E-2</v>
      </c>
      <c r="O1812" s="15">
        <v>56.892000000000003</v>
      </c>
      <c r="P1812" s="172">
        <v>5.1999999999999998E-2</v>
      </c>
      <c r="Q1812" s="96"/>
    </row>
    <row r="1813" spans="1:17" ht="14.25" customHeight="1" x14ac:dyDescent="0.35">
      <c r="A1813" s="1">
        <v>2020</v>
      </c>
      <c r="B1813" s="1" t="s">
        <v>34</v>
      </c>
      <c r="C1813" s="1">
        <v>16</v>
      </c>
      <c r="D1813" s="49">
        <v>91.733999999999995</v>
      </c>
      <c r="E1813" s="12">
        <f t="shared" si="38"/>
        <v>114.66749999999999</v>
      </c>
      <c r="F1813" s="50">
        <v>77.593999999999994</v>
      </c>
      <c r="G1813" s="161">
        <v>76.483999999999995</v>
      </c>
      <c r="H1813" s="162">
        <v>1636.019</v>
      </c>
      <c r="I1813" s="163">
        <v>6.9</v>
      </c>
      <c r="J1813" s="16">
        <v>1.7000000000000001E-2</v>
      </c>
      <c r="K1813" s="174">
        <v>7.5229999999999997</v>
      </c>
      <c r="L1813" s="162">
        <v>25.93</v>
      </c>
      <c r="M1813" s="163">
        <v>5.5179999999999998</v>
      </c>
      <c r="N1813" s="166">
        <v>2.5000000000000001E-2</v>
      </c>
      <c r="O1813" s="15">
        <v>59.923000000000002</v>
      </c>
      <c r="P1813" s="175">
        <v>5.2999999999999999E-2</v>
      </c>
      <c r="Q1813" s="96"/>
    </row>
    <row r="1814" spans="1:17" ht="14.25" customHeight="1" x14ac:dyDescent="0.35">
      <c r="A1814" s="1">
        <v>2020</v>
      </c>
      <c r="B1814" s="1" t="s">
        <v>34</v>
      </c>
      <c r="C1814" s="1">
        <v>17</v>
      </c>
      <c r="D1814" s="49">
        <v>77.281000000000006</v>
      </c>
      <c r="E1814" s="12">
        <f t="shared" si="38"/>
        <v>96.601250000000007</v>
      </c>
      <c r="F1814" s="50">
        <v>65.281000000000006</v>
      </c>
      <c r="G1814" s="161">
        <v>76.028999999999996</v>
      </c>
      <c r="H1814" s="162">
        <v>1656.3240000000001</v>
      </c>
      <c r="I1814" s="163">
        <v>6.9059999999999997</v>
      </c>
      <c r="J1814" s="16">
        <v>1.9E-2</v>
      </c>
      <c r="K1814" s="164">
        <v>8.0399999999999991</v>
      </c>
      <c r="L1814" s="165">
        <v>26.67</v>
      </c>
      <c r="M1814" s="13">
        <v>5.5549999999999997</v>
      </c>
      <c r="N1814" s="166">
        <v>2.5000000000000001E-2</v>
      </c>
      <c r="O1814" s="15">
        <v>55.301000000000002</v>
      </c>
      <c r="P1814" s="167">
        <v>5.6000000000000001E-2</v>
      </c>
      <c r="Q1814" s="96"/>
    </row>
    <row r="1815" spans="1:17" ht="14.25" customHeight="1" x14ac:dyDescent="0.35">
      <c r="A1815" s="1">
        <v>2020</v>
      </c>
      <c r="B1815" s="1" t="s">
        <v>34</v>
      </c>
      <c r="C1815" s="1">
        <v>18</v>
      </c>
      <c r="D1815" s="49">
        <v>110.09399999999999</v>
      </c>
      <c r="E1815" s="12">
        <f t="shared" si="38"/>
        <v>137.61750000000001</v>
      </c>
      <c r="F1815" s="50">
        <v>93.406000000000006</v>
      </c>
      <c r="G1815" s="161">
        <v>76.462999999999994</v>
      </c>
      <c r="H1815" s="162">
        <v>1674.2360000000001</v>
      </c>
      <c r="I1815" s="163">
        <v>6.9</v>
      </c>
      <c r="J1815" s="16">
        <v>1.9E-2</v>
      </c>
      <c r="K1815" s="164">
        <v>8.5239999999999991</v>
      </c>
      <c r="L1815" s="162">
        <v>26.193999999999999</v>
      </c>
      <c r="M1815" s="163">
        <v>5.5410000000000004</v>
      </c>
      <c r="N1815" s="166">
        <v>2.5000000000000001E-2</v>
      </c>
      <c r="O1815" s="15">
        <v>56.662999999999997</v>
      </c>
      <c r="P1815" s="167">
        <v>5.2999999999999999E-2</v>
      </c>
      <c r="Q1815" s="96"/>
    </row>
    <row r="1816" spans="1:17" ht="14.25" customHeight="1" x14ac:dyDescent="0.35">
      <c r="A1816" s="1">
        <v>2020</v>
      </c>
      <c r="B1816" s="1" t="s">
        <v>34</v>
      </c>
      <c r="C1816" s="1">
        <v>19</v>
      </c>
      <c r="D1816" s="49">
        <v>105.76600000000001</v>
      </c>
      <c r="E1816" s="12">
        <f t="shared" si="38"/>
        <v>132.20750000000001</v>
      </c>
      <c r="F1816" s="50">
        <v>89.593999999999994</v>
      </c>
      <c r="G1816" s="161">
        <v>76.313000000000002</v>
      </c>
      <c r="H1816" s="162">
        <v>1703.7070000000001</v>
      </c>
      <c r="I1816" s="163">
        <v>6.9</v>
      </c>
      <c r="J1816" s="16">
        <v>1.9E-2</v>
      </c>
      <c r="K1816" s="164">
        <v>8.8019999999999996</v>
      </c>
      <c r="L1816" s="165">
        <v>26.138000000000002</v>
      </c>
      <c r="M1816" s="13">
        <v>5.532</v>
      </c>
      <c r="N1816" s="166">
        <v>2.5000000000000001E-2</v>
      </c>
      <c r="O1816" s="15">
        <v>57.859000000000002</v>
      </c>
      <c r="P1816" s="167">
        <v>5.0999999999999997E-2</v>
      </c>
      <c r="Q1816" s="96"/>
    </row>
    <row r="1817" spans="1:17" ht="14.25" customHeight="1" x14ac:dyDescent="0.35">
      <c r="A1817" s="1">
        <v>2020</v>
      </c>
      <c r="B1817" s="1" t="s">
        <v>34</v>
      </c>
      <c r="C1817" s="1">
        <v>20</v>
      </c>
      <c r="D1817" s="49">
        <v>105.40600000000001</v>
      </c>
      <c r="E1817" s="12">
        <f t="shared" si="38"/>
        <v>131.75749999999999</v>
      </c>
      <c r="F1817" s="50">
        <v>89.343999999999994</v>
      </c>
      <c r="G1817" s="161">
        <v>76.269000000000005</v>
      </c>
      <c r="H1817" s="162">
        <v>1645.5219999999999</v>
      </c>
      <c r="I1817" s="163">
        <v>6.9</v>
      </c>
      <c r="J1817" s="16">
        <v>1.7999999999999999E-2</v>
      </c>
      <c r="K1817" s="164">
        <v>8.7509999999999994</v>
      </c>
      <c r="L1817" s="162">
        <v>25.117000000000001</v>
      </c>
      <c r="M1817" s="163">
        <v>5.5129999999999999</v>
      </c>
      <c r="N1817" s="166">
        <v>2.5000000000000001E-2</v>
      </c>
      <c r="O1817" s="15">
        <v>60.536999999999999</v>
      </c>
      <c r="P1817" s="167">
        <v>4.9000000000000002E-2</v>
      </c>
      <c r="Q1817" s="96"/>
    </row>
    <row r="1818" spans="1:17" ht="14.25" customHeight="1" x14ac:dyDescent="0.35">
      <c r="A1818" s="1">
        <v>2020</v>
      </c>
      <c r="B1818" s="1" t="s">
        <v>34</v>
      </c>
      <c r="C1818" s="1">
        <v>21</v>
      </c>
      <c r="D1818" s="49">
        <v>107.78100000000001</v>
      </c>
      <c r="E1818" s="12">
        <f t="shared" si="38"/>
        <v>134.72624999999999</v>
      </c>
      <c r="F1818" s="50">
        <v>91.375</v>
      </c>
      <c r="G1818" s="161">
        <v>76.436999999999998</v>
      </c>
      <c r="H1818" s="162">
        <v>1643.873</v>
      </c>
      <c r="I1818" s="163">
        <v>6.9</v>
      </c>
      <c r="J1818" s="16">
        <v>1.7999999999999999E-2</v>
      </c>
      <c r="K1818" s="164">
        <v>8.8970000000000002</v>
      </c>
      <c r="L1818" s="165">
        <v>25.593</v>
      </c>
      <c r="M1818" s="13">
        <v>5.516</v>
      </c>
      <c r="N1818" s="166">
        <v>2.5000000000000001E-2</v>
      </c>
      <c r="O1818" s="15">
        <v>59.923000000000002</v>
      </c>
      <c r="P1818" s="167">
        <v>4.9000000000000002E-2</v>
      </c>
      <c r="Q1818" s="96"/>
    </row>
    <row r="1819" spans="1:17" ht="14.25" customHeight="1" x14ac:dyDescent="0.35">
      <c r="A1819" s="1">
        <v>2020</v>
      </c>
      <c r="B1819" s="1" t="s">
        <v>34</v>
      </c>
      <c r="C1819" s="1">
        <v>22</v>
      </c>
      <c r="D1819" s="49">
        <v>108.39100000000001</v>
      </c>
      <c r="E1819" s="12">
        <f t="shared" si="38"/>
        <v>135.48875000000001</v>
      </c>
      <c r="F1819" s="50">
        <v>92</v>
      </c>
      <c r="G1819" s="161">
        <v>76.37</v>
      </c>
      <c r="H1819" s="162">
        <v>1720.6110000000001</v>
      </c>
      <c r="I1819" s="163">
        <v>6.9009999999999998</v>
      </c>
      <c r="J1819" s="16">
        <v>1.7999999999999999E-2</v>
      </c>
      <c r="K1819" s="164">
        <v>8.91</v>
      </c>
      <c r="L1819" s="162">
        <v>27.052</v>
      </c>
      <c r="M1819" s="163">
        <v>5.508</v>
      </c>
      <c r="N1819" s="166">
        <v>2.5000000000000001E-2</v>
      </c>
      <c r="O1819" s="15">
        <v>61.231999999999999</v>
      </c>
      <c r="P1819" s="167">
        <v>5.1999999999999998E-2</v>
      </c>
      <c r="Q1819" s="96"/>
    </row>
    <row r="1820" spans="1:17" ht="14.25" customHeight="1" x14ac:dyDescent="0.35">
      <c r="A1820" s="1">
        <v>2020</v>
      </c>
      <c r="B1820" s="1" t="s">
        <v>34</v>
      </c>
      <c r="C1820" s="1">
        <v>23</v>
      </c>
      <c r="D1820" s="49">
        <v>106</v>
      </c>
      <c r="E1820" s="12">
        <f t="shared" si="38"/>
        <v>132.5</v>
      </c>
      <c r="F1820" s="50">
        <v>89.938000000000002</v>
      </c>
      <c r="G1820" s="161">
        <v>76.290999999999997</v>
      </c>
      <c r="H1820" s="162">
        <v>1798.4169999999999</v>
      </c>
      <c r="I1820" s="163">
        <v>6.899</v>
      </c>
      <c r="J1820" s="16">
        <v>1.9E-2</v>
      </c>
      <c r="K1820" s="164">
        <v>8.8629999999999995</v>
      </c>
      <c r="L1820" s="165">
        <v>28.390999999999998</v>
      </c>
      <c r="M1820" s="13">
        <v>5.5259999999999998</v>
      </c>
      <c r="N1820" s="166">
        <v>2.5000000000000001E-2</v>
      </c>
      <c r="O1820" s="15">
        <v>58.831000000000003</v>
      </c>
      <c r="P1820" s="167">
        <v>5.3999999999999999E-2</v>
      </c>
      <c r="Q1820" s="96"/>
    </row>
    <row r="1821" spans="1:17" ht="14.25" customHeight="1" x14ac:dyDescent="0.35">
      <c r="A1821" s="1">
        <v>2020</v>
      </c>
      <c r="B1821" s="1" t="s">
        <v>34</v>
      </c>
      <c r="C1821" s="1">
        <v>24</v>
      </c>
      <c r="D1821" s="49">
        <v>108.23399999999999</v>
      </c>
      <c r="E1821" s="12">
        <f t="shared" si="38"/>
        <v>135.29249999999999</v>
      </c>
      <c r="F1821" s="50">
        <v>91.875</v>
      </c>
      <c r="G1821" s="161">
        <v>75.88</v>
      </c>
      <c r="H1821" s="162">
        <v>1765.9359999999999</v>
      </c>
      <c r="I1821" s="163">
        <v>6.9</v>
      </c>
      <c r="J1821" s="16">
        <v>1.7999999999999999E-2</v>
      </c>
      <c r="K1821" s="164">
        <v>8.8580000000000005</v>
      </c>
      <c r="L1821" s="162">
        <v>26.797999999999998</v>
      </c>
      <c r="M1821" s="163">
        <v>5.5309999999999997</v>
      </c>
      <c r="N1821" s="166">
        <v>2.5000000000000001E-2</v>
      </c>
      <c r="O1821" s="15">
        <v>58.598999999999997</v>
      </c>
      <c r="P1821" s="167">
        <v>6.7000000000000004E-2</v>
      </c>
      <c r="Q1821" s="96"/>
    </row>
    <row r="1822" spans="1:17" ht="14.25" customHeight="1" x14ac:dyDescent="0.35">
      <c r="A1822" s="1">
        <v>2020</v>
      </c>
      <c r="B1822" s="1" t="s">
        <v>34</v>
      </c>
      <c r="C1822" s="1">
        <v>25</v>
      </c>
      <c r="D1822" s="49">
        <v>100.328</v>
      </c>
      <c r="E1822" s="12">
        <f t="shared" si="38"/>
        <v>125.41</v>
      </c>
      <c r="F1822" s="50">
        <v>85</v>
      </c>
      <c r="G1822" s="161">
        <v>76.02</v>
      </c>
      <c r="H1822" s="162">
        <v>1644.7809999999999</v>
      </c>
      <c r="I1822" s="163">
        <v>6.899</v>
      </c>
      <c r="J1822" s="16">
        <v>1.7000000000000001E-2</v>
      </c>
      <c r="K1822" s="164">
        <v>7.9630000000000001</v>
      </c>
      <c r="L1822" s="165">
        <v>25.852</v>
      </c>
      <c r="M1822" s="13">
        <v>5.532</v>
      </c>
      <c r="N1822" s="166">
        <v>2.5000000000000001E-2</v>
      </c>
      <c r="O1822" s="15">
        <v>58.06</v>
      </c>
      <c r="P1822" s="167">
        <v>6.3E-2</v>
      </c>
      <c r="Q1822" s="96"/>
    </row>
    <row r="1823" spans="1:17" ht="14.25" customHeight="1" x14ac:dyDescent="0.35">
      <c r="A1823" s="1">
        <v>2020</v>
      </c>
      <c r="B1823" s="1" t="s">
        <v>34</v>
      </c>
      <c r="C1823" s="1">
        <v>26</v>
      </c>
      <c r="D1823" s="49">
        <v>98.188000000000002</v>
      </c>
      <c r="E1823" s="12">
        <f t="shared" si="38"/>
        <v>122.735</v>
      </c>
      <c r="F1823" s="50">
        <v>83.25</v>
      </c>
      <c r="G1823" s="161">
        <v>75.753</v>
      </c>
      <c r="H1823" s="162">
        <v>1572.848</v>
      </c>
      <c r="I1823" s="163">
        <v>6.9</v>
      </c>
      <c r="J1823" s="16">
        <v>1.7999999999999999E-2</v>
      </c>
      <c r="K1823" s="164">
        <v>8.1359999999999992</v>
      </c>
      <c r="L1823" s="162">
        <v>25.454999999999998</v>
      </c>
      <c r="M1823" s="163">
        <v>5.5549999999999997</v>
      </c>
      <c r="N1823" s="166">
        <v>2.5000000000000001E-2</v>
      </c>
      <c r="O1823" s="15">
        <v>55.225000000000001</v>
      </c>
      <c r="P1823" s="167">
        <v>6.0999999999999999E-2</v>
      </c>
      <c r="Q1823" s="96"/>
    </row>
    <row r="1824" spans="1:17" ht="14.25" customHeight="1" x14ac:dyDescent="0.35">
      <c r="A1824" s="1">
        <v>2020</v>
      </c>
      <c r="B1824" s="1" t="s">
        <v>34</v>
      </c>
      <c r="C1824" s="1">
        <v>27</v>
      </c>
      <c r="D1824" s="12">
        <v>106.46899999999999</v>
      </c>
      <c r="E1824" s="32">
        <v>132.43</v>
      </c>
      <c r="F1824" s="13">
        <v>90.25</v>
      </c>
      <c r="G1824" s="161">
        <v>75.765000000000001</v>
      </c>
      <c r="H1824" s="162">
        <v>1585.472</v>
      </c>
      <c r="I1824" s="163">
        <v>6.9</v>
      </c>
      <c r="J1824" s="16">
        <v>1.7999999999999999E-2</v>
      </c>
      <c r="K1824" s="164">
        <v>8.7149999999999999</v>
      </c>
      <c r="L1824" s="165">
        <v>24.831</v>
      </c>
      <c r="M1824" s="13">
        <v>5.5650000000000004</v>
      </c>
      <c r="N1824" s="166">
        <v>2.5000000000000001E-2</v>
      </c>
      <c r="O1824" s="15">
        <v>53.912999999999997</v>
      </c>
      <c r="P1824" s="167">
        <v>6.0999999999999999E-2</v>
      </c>
      <c r="Q1824" s="96"/>
    </row>
    <row r="1825" spans="1:17" ht="14.25" customHeight="1" x14ac:dyDescent="0.35">
      <c r="A1825" s="1">
        <v>2020</v>
      </c>
      <c r="B1825" s="1" t="s">
        <v>34</v>
      </c>
      <c r="C1825" s="1">
        <v>28</v>
      </c>
      <c r="D1825" s="12">
        <v>109.703</v>
      </c>
      <c r="E1825" s="12">
        <f t="shared" ref="E1825:E1827" si="39">D1825*1.25</f>
        <v>137.12875</v>
      </c>
      <c r="F1825" s="13">
        <v>93.218999999999994</v>
      </c>
      <c r="G1825" s="161">
        <v>74.989000000000004</v>
      </c>
      <c r="H1825" s="162">
        <v>1633.319</v>
      </c>
      <c r="I1825" s="163">
        <v>6.9</v>
      </c>
      <c r="J1825" s="16">
        <v>1.7999999999999999E-2</v>
      </c>
      <c r="K1825" s="164">
        <v>9.18</v>
      </c>
      <c r="L1825" s="162">
        <v>24.259399999999999</v>
      </c>
      <c r="M1825" s="163">
        <v>5.5419</v>
      </c>
      <c r="N1825" s="166">
        <v>2.4899999999999999E-2</v>
      </c>
      <c r="O1825" s="15">
        <v>56.734999999999999</v>
      </c>
      <c r="P1825" s="167">
        <v>6.1199999999999997E-2</v>
      </c>
      <c r="Q1825" s="96"/>
    </row>
    <row r="1826" spans="1:17" ht="14.25" customHeight="1" x14ac:dyDescent="0.35">
      <c r="A1826" s="1">
        <v>2020</v>
      </c>
      <c r="B1826" s="1" t="s">
        <v>34</v>
      </c>
      <c r="C1826" s="1">
        <v>29</v>
      </c>
      <c r="D1826" s="12">
        <v>108.03100000000001</v>
      </c>
      <c r="E1826" s="12">
        <f t="shared" si="39"/>
        <v>135.03874999999999</v>
      </c>
      <c r="F1826" s="13">
        <v>91.718999999999994</v>
      </c>
      <c r="G1826" s="187">
        <v>74.06</v>
      </c>
      <c r="H1826" s="22">
        <v>1612.835</v>
      </c>
      <c r="I1826" s="13">
        <v>6.9</v>
      </c>
      <c r="J1826" s="166">
        <v>1.7999999999999999E-2</v>
      </c>
      <c r="K1826" s="188">
        <v>9.0039999999999996</v>
      </c>
      <c r="L1826" s="162">
        <v>22.963999999999999</v>
      </c>
      <c r="M1826" s="163">
        <v>5.5140000000000002</v>
      </c>
      <c r="N1826" s="166">
        <v>2.5000000000000001E-2</v>
      </c>
      <c r="O1826" s="15">
        <v>60.530999999999999</v>
      </c>
      <c r="P1826" s="227">
        <v>6.4000000000000001E-2</v>
      </c>
      <c r="Q1826" s="96"/>
    </row>
    <row r="1827" spans="1:17" ht="14.25" customHeight="1" x14ac:dyDescent="0.35">
      <c r="A1827" s="1">
        <v>2020</v>
      </c>
      <c r="B1827" s="1" t="s">
        <v>34</v>
      </c>
      <c r="C1827" s="1">
        <v>30</v>
      </c>
      <c r="D1827" s="12">
        <v>108.85899999999999</v>
      </c>
      <c r="E1827" s="12">
        <f t="shared" si="39"/>
        <v>136.07374999999999</v>
      </c>
      <c r="F1827" s="13">
        <v>92.5</v>
      </c>
      <c r="G1827" s="187">
        <v>74.712000000000003</v>
      </c>
      <c r="H1827" s="22">
        <v>1684.87</v>
      </c>
      <c r="I1827" s="13">
        <v>6.9</v>
      </c>
      <c r="J1827" s="166">
        <v>1.7999999999999999E-2</v>
      </c>
      <c r="K1827" s="188">
        <v>8.9339999999999993</v>
      </c>
      <c r="L1827" s="162">
        <v>24.51</v>
      </c>
      <c r="M1827" s="163">
        <v>5.5270000000000001</v>
      </c>
      <c r="N1827" s="166">
        <v>2.5000000000000001E-2</v>
      </c>
      <c r="O1827" s="15">
        <v>58.814999999999998</v>
      </c>
      <c r="P1827" s="227">
        <v>6.8000000000000005E-2</v>
      </c>
      <c r="Q1827" s="96"/>
    </row>
    <row r="1828" spans="1:17" ht="14.25" customHeight="1" x14ac:dyDescent="0.35">
      <c r="A1828" s="1">
        <v>2020</v>
      </c>
      <c r="B1828" s="1" t="s">
        <v>34</v>
      </c>
      <c r="C1828" s="1">
        <v>31</v>
      </c>
      <c r="D1828" s="85">
        <v>109</v>
      </c>
      <c r="E1828" s="32">
        <v>135.21</v>
      </c>
      <c r="F1828" s="86">
        <v>92.468999999999994</v>
      </c>
      <c r="G1828" s="228">
        <v>75.206999999999994</v>
      </c>
      <c r="H1828" s="229">
        <v>1693.809</v>
      </c>
      <c r="I1828" s="230">
        <v>6.9</v>
      </c>
      <c r="J1828" s="231">
        <v>1.9E-2</v>
      </c>
      <c r="K1828" s="232">
        <v>8.8569999999999993</v>
      </c>
      <c r="L1828" s="162">
        <v>25.045000000000002</v>
      </c>
      <c r="M1828" s="16">
        <v>5.4619999999999997</v>
      </c>
      <c r="N1828" s="166">
        <v>2.5000000000000001E-2</v>
      </c>
      <c r="O1828" s="15">
        <v>68.168000000000006</v>
      </c>
      <c r="P1828" s="233">
        <v>6.5000000000000002E-2</v>
      </c>
      <c r="Q1828" s="96"/>
    </row>
    <row r="1829" spans="1:17" ht="14.25" customHeight="1" x14ac:dyDescent="0.35">
      <c r="A1829" s="1"/>
      <c r="B1829" s="1"/>
      <c r="C1829" s="1"/>
      <c r="D1829" s="93"/>
      <c r="E1829" s="238"/>
      <c r="F1829" s="238"/>
      <c r="G1829" s="93"/>
      <c r="H1829" s="93"/>
      <c r="I1829" s="93"/>
      <c r="J1829" s="93"/>
      <c r="K1829" s="94"/>
      <c r="L1829" s="93"/>
      <c r="M1829" s="93"/>
      <c r="N1829" s="93"/>
      <c r="O1829" s="94"/>
      <c r="P1829" s="239"/>
      <c r="Q1829" s="96"/>
    </row>
  </sheetData>
  <conditionalFormatting sqref="G2:G367">
    <cfRule type="cellIs" dxfId="112" priority="1" stopIfTrue="1" operator="notBetween">
      <formula>74</formula>
      <formula>85</formula>
    </cfRule>
  </conditionalFormatting>
  <conditionalFormatting sqref="G368:G398">
    <cfRule type="cellIs" dxfId="111" priority="11" stopIfTrue="1" operator="notBetween">
      <formula>70</formula>
      <formula>78</formula>
    </cfRule>
  </conditionalFormatting>
  <conditionalFormatting sqref="G399:G701">
    <cfRule type="cellIs" dxfId="110" priority="22" stopIfTrue="1" operator="notBetween">
      <formula>75</formula>
      <formula>85</formula>
    </cfRule>
  </conditionalFormatting>
  <conditionalFormatting sqref="G733:G1584">
    <cfRule type="cellIs" dxfId="109" priority="113" stopIfTrue="1" operator="notBetween">
      <formula>75</formula>
      <formula>85</formula>
    </cfRule>
  </conditionalFormatting>
  <conditionalFormatting sqref="G1589 G1591:G1828">
    <cfRule type="cellIs" dxfId="108" priority="400" stopIfTrue="1" operator="notBetween">
      <formula>75</formula>
      <formula>85</formula>
    </cfRule>
  </conditionalFormatting>
  <conditionalFormatting sqref="H2:H367">
    <cfRule type="cellIs" dxfId="107" priority="2" stopIfTrue="1" operator="notBetween">
      <formula>1400</formula>
      <formula>3500</formula>
    </cfRule>
  </conditionalFormatting>
  <conditionalFormatting sqref="H368:H398">
    <cfRule type="cellIs" dxfId="106" priority="12" stopIfTrue="1" operator="notBetween">
      <formula>2000</formula>
      <formula>3000</formula>
    </cfRule>
  </conditionalFormatting>
  <conditionalFormatting sqref="H399:H701">
    <cfRule type="cellIs" dxfId="105" priority="23" stopIfTrue="1" operator="notBetween">
      <formula>1400</formula>
      <formula>1700</formula>
    </cfRule>
  </conditionalFormatting>
  <conditionalFormatting sqref="H733:H1584">
    <cfRule type="cellIs" dxfId="104" priority="114" stopIfTrue="1" operator="notBetween">
      <formula>1400</formula>
      <formula>1700</formula>
    </cfRule>
  </conditionalFormatting>
  <conditionalFormatting sqref="H1589 H1591:H1828">
    <cfRule type="cellIs" dxfId="103" priority="402" stopIfTrue="1" operator="notBetween">
      <formula>1400</formula>
      <formula>1700</formula>
    </cfRule>
  </conditionalFormatting>
  <conditionalFormatting sqref="I2:I367">
    <cfRule type="cellIs" dxfId="102" priority="3" stopIfTrue="1" operator="notBetween">
      <formula>6.88</formula>
      <formula>6.95</formula>
    </cfRule>
  </conditionalFormatting>
  <conditionalFormatting sqref="I368:I701">
    <cfRule type="cellIs" dxfId="101" priority="13" stopIfTrue="1" operator="notBetween">
      <formula>6.71</formula>
      <formula>7</formula>
    </cfRule>
  </conditionalFormatting>
  <conditionalFormatting sqref="I733:I1584">
    <cfRule type="cellIs" dxfId="100" priority="115" stopIfTrue="1" operator="notBetween">
      <formula>6.71</formula>
      <formula>7</formula>
    </cfRule>
  </conditionalFormatting>
  <conditionalFormatting sqref="I1589 I1591:I1828">
    <cfRule type="cellIs" dxfId="99" priority="404" stopIfTrue="1" operator="notBetween">
      <formula>6.71</formula>
      <formula>7</formula>
    </cfRule>
  </conditionalFormatting>
  <conditionalFormatting sqref="J2:J367">
    <cfRule type="cellIs" dxfId="98" priority="4" stopIfTrue="1" operator="notBetween">
      <formula>0</formula>
      <formula>0.15</formula>
    </cfRule>
  </conditionalFormatting>
  <conditionalFormatting sqref="J368:J701">
    <cfRule type="cellIs" dxfId="97" priority="14" stopIfTrue="1" operator="notBetween">
      <formula>0</formula>
      <formula>0.2</formula>
    </cfRule>
  </conditionalFormatting>
  <conditionalFormatting sqref="J733:J1584">
    <cfRule type="cellIs" dxfId="96" priority="116" stopIfTrue="1" operator="notBetween">
      <formula>0</formula>
      <formula>0.2</formula>
    </cfRule>
  </conditionalFormatting>
  <conditionalFormatting sqref="J1589 J1591:J1680">
    <cfRule type="cellIs" dxfId="95" priority="398" stopIfTrue="1" operator="notBetween">
      <formula>0</formula>
      <formula>0.2</formula>
    </cfRule>
  </conditionalFormatting>
  <conditionalFormatting sqref="J1686:J1828">
    <cfRule type="cellIs" dxfId="94" priority="440" stopIfTrue="1" operator="notBetween">
      <formula>0</formula>
      <formula>0.2</formula>
    </cfRule>
  </conditionalFormatting>
  <conditionalFormatting sqref="K2:K367 Q2:Q367">
    <cfRule type="cellIs" dxfId="93" priority="5" stopIfTrue="1" operator="notBetween">
      <formula>6.5</formula>
      <formula>8</formula>
    </cfRule>
  </conditionalFormatting>
  <conditionalFormatting sqref="K368:K398">
    <cfRule type="cellIs" dxfId="92" priority="15" stopIfTrue="1" operator="notBetween">
      <formula>4</formula>
      <formula>9</formula>
    </cfRule>
  </conditionalFormatting>
  <conditionalFormatting sqref="K399:K701 Q399:Q701">
    <cfRule type="cellIs" dxfId="91" priority="26" stopIfTrue="1" operator="notBetween">
      <formula>7</formula>
      <formula>9</formula>
    </cfRule>
  </conditionalFormatting>
  <conditionalFormatting sqref="K733:K1584">
    <cfRule type="cellIs" dxfId="90" priority="117" stopIfTrue="1" operator="notBetween">
      <formula>7</formula>
      <formula>9</formula>
    </cfRule>
  </conditionalFormatting>
  <conditionalFormatting sqref="K1589 K1591:K1828">
    <cfRule type="cellIs" dxfId="89" priority="406" stopIfTrue="1" operator="notBetween">
      <formula>7</formula>
      <formula>9</formula>
    </cfRule>
  </conditionalFormatting>
  <conditionalFormatting sqref="L2:L367">
    <cfRule type="cellIs" dxfId="88" priority="6" stopIfTrue="1" operator="notBetween">
      <formula>20</formula>
      <formula>75</formula>
    </cfRule>
  </conditionalFormatting>
  <conditionalFormatting sqref="L368:L701">
    <cfRule type="cellIs" dxfId="87" priority="17" stopIfTrue="1" operator="notBetween">
      <formula>30</formula>
      <formula>80</formula>
    </cfRule>
  </conditionalFormatting>
  <conditionalFormatting sqref="L733:L791">
    <cfRule type="cellIs" dxfId="86" priority="118" stopIfTrue="1" operator="notBetween">
      <formula>30</formula>
      <formula>80</formula>
    </cfRule>
  </conditionalFormatting>
  <conditionalFormatting sqref="L792:L799 L801:L822">
    <cfRule type="cellIs" dxfId="85" priority="148" stopIfTrue="1" operator="notBetween">
      <formula>30</formula>
      <formula>60</formula>
    </cfRule>
  </conditionalFormatting>
  <conditionalFormatting sqref="L800">
    <cfRule type="cellIs" dxfId="84" priority="149" stopIfTrue="1" operator="notBetween">
      <formula>30</formula>
      <formula>80</formula>
    </cfRule>
  </conditionalFormatting>
  <conditionalFormatting sqref="L823:L1156">
    <cfRule type="cellIs" dxfId="83" priority="159" stopIfTrue="1" operator="notBetween">
      <formula>30</formula>
      <formula>80</formula>
    </cfRule>
  </conditionalFormatting>
  <conditionalFormatting sqref="L1157:L1164 L1166:L1187">
    <cfRule type="cellIs" dxfId="82" priority="269" stopIfTrue="1" operator="notBetween">
      <formula>30</formula>
      <formula>60</formula>
    </cfRule>
  </conditionalFormatting>
  <conditionalFormatting sqref="L1165">
    <cfRule type="cellIs" dxfId="81" priority="270" stopIfTrue="1" operator="notBetween">
      <formula>30</formula>
      <formula>80</formula>
    </cfRule>
  </conditionalFormatting>
  <conditionalFormatting sqref="L1188:L1462">
    <cfRule type="cellIs" dxfId="80" priority="280" stopIfTrue="1" operator="notBetween">
      <formula>30</formula>
      <formula>80</formula>
    </cfRule>
  </conditionalFormatting>
  <conditionalFormatting sqref="L1463:L1584">
    <cfRule type="cellIs" dxfId="79" priority="372" stopIfTrue="1" operator="notBetween">
      <formula>30</formula>
      <formula>60</formula>
    </cfRule>
  </conditionalFormatting>
  <conditionalFormatting sqref="L1589 L1591:L1828">
    <cfRule type="cellIs" dxfId="78" priority="408" stopIfTrue="1" operator="notBetween">
      <formula>30</formula>
      <formula>60</formula>
    </cfRule>
  </conditionalFormatting>
  <conditionalFormatting sqref="M2:M701">
    <cfRule type="cellIs" dxfId="77" priority="7" stopIfTrue="1" operator="notBetween">
      <formula>5</formula>
      <formula>6.5</formula>
    </cfRule>
  </conditionalFormatting>
  <conditionalFormatting sqref="M733:M1584">
    <cfRule type="cellIs" dxfId="76" priority="119" stopIfTrue="1" operator="notBetween">
      <formula>5</formula>
      <formula>6.5</formula>
    </cfRule>
  </conditionalFormatting>
  <conditionalFormatting sqref="M1589 M1591:M1828">
    <cfRule type="cellIs" dxfId="75" priority="410" stopIfTrue="1" operator="notBetween">
      <formula>5</formula>
      <formula>6.5</formula>
    </cfRule>
  </conditionalFormatting>
  <conditionalFormatting sqref="N2:N701">
    <cfRule type="cellIs" dxfId="74" priority="8" stopIfTrue="1" operator="notBetween">
      <formula>0</formula>
      <formula>0.1</formula>
    </cfRule>
  </conditionalFormatting>
  <conditionalFormatting sqref="N733:N1584">
    <cfRule type="cellIs" dxfId="73" priority="120" stopIfTrue="1" operator="notBetween">
      <formula>0</formula>
      <formula>0.1</formula>
    </cfRule>
  </conditionalFormatting>
  <conditionalFormatting sqref="N1589 N1591:N1828">
    <cfRule type="cellIs" dxfId="72" priority="412" stopIfTrue="1" operator="notBetween">
      <formula>0</formula>
      <formula>0.1</formula>
    </cfRule>
  </conditionalFormatting>
  <conditionalFormatting sqref="O2:O367">
    <cfRule type="cellIs" dxfId="71" priority="9" stopIfTrue="1" operator="greaterThan">
      <formula>200</formula>
    </cfRule>
  </conditionalFormatting>
  <conditionalFormatting sqref="O368:O701">
    <cfRule type="cellIs" dxfId="70" priority="20" stopIfTrue="1" operator="greaterThan">
      <formula>100</formula>
    </cfRule>
  </conditionalFormatting>
  <conditionalFormatting sqref="O733:O1584">
    <cfRule type="cellIs" dxfId="69" priority="121" stopIfTrue="1" operator="greaterThan">
      <formula>100</formula>
    </cfRule>
  </conditionalFormatting>
  <conditionalFormatting sqref="O1589 O1591:O1828">
    <cfRule type="cellIs" dxfId="68" priority="414" stopIfTrue="1" operator="greaterThan">
      <formula>100</formula>
    </cfRule>
  </conditionalFormatting>
  <conditionalFormatting sqref="P733:P947">
    <cfRule type="cellIs" dxfId="67" priority="122" stopIfTrue="1" operator="notBetween">
      <formula>0</formula>
      <formula>0.1</formula>
    </cfRule>
  </conditionalFormatting>
  <conditionalFormatting sqref="P949:P1014">
    <cfRule type="cellIs" dxfId="66" priority="203" stopIfTrue="1" operator="notBetween">
      <formula>0</formula>
      <formula>0.1</formula>
    </cfRule>
  </conditionalFormatting>
  <conditionalFormatting sqref="P1016:P1017 P1019:P1029 P1031:P1312">
    <cfRule type="cellIs" dxfId="65" priority="223" stopIfTrue="1" operator="notBetween">
      <formula>0</formula>
      <formula>0.1</formula>
    </cfRule>
  </conditionalFormatting>
  <conditionalFormatting sqref="P1314:P1379">
    <cfRule type="cellIs" dxfId="64" priority="325" stopIfTrue="1" operator="notBetween">
      <formula>0</formula>
      <formula>0.1</formula>
    </cfRule>
  </conditionalFormatting>
  <conditionalFormatting sqref="P1381:P1382 P1384:P1394 P1396:P1584">
    <cfRule type="cellIs" dxfId="63" priority="346" stopIfTrue="1" operator="notBetween">
      <formula>0</formula>
      <formula>0.1</formula>
    </cfRule>
  </conditionalFormatting>
  <conditionalFormatting sqref="P1589 P1591:P1828">
    <cfRule type="cellIs" dxfId="62" priority="416" stopIfTrue="1" operator="notBetween">
      <formula>0</formula>
      <formula>0.1</formula>
    </cfRule>
  </conditionalFormatting>
  <conditionalFormatting sqref="P2:Q367">
    <cfRule type="cellIs" dxfId="61" priority="10" stopIfTrue="1" operator="notBetween">
      <formula>0</formula>
      <formula>0.1</formula>
    </cfRule>
  </conditionalFormatting>
  <conditionalFormatting sqref="P368:Q398">
    <cfRule type="cellIs" dxfId="60" priority="21" stopIfTrue="1" operator="notBetween">
      <formula>0</formula>
      <formula>0.1</formula>
    </cfRule>
  </conditionalFormatting>
  <conditionalFormatting sqref="P399:Q701">
    <cfRule type="cellIs" dxfId="59" priority="31" stopIfTrue="1" operator="notBetween">
      <formula>0</formula>
      <formula>0.1</formula>
    </cfRule>
  </conditionalFormatting>
  <conditionalFormatting sqref="Q368:Q398">
    <cfRule type="cellIs" dxfId="58" priority="16" stopIfTrue="1" operator="notBetween">
      <formula>4</formula>
      <formula>10</formula>
    </cfRule>
  </conditionalFormatting>
  <conditionalFormatting sqref="Q1341:Q1370">
    <cfRule type="cellIs" dxfId="57" priority="336" stopIfTrue="1" operator="notBetween">
      <formula>95.5</formula>
      <formula>100</formula>
    </cfRule>
  </conditionalFormatting>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830"/>
  <sheetViews>
    <sheetView workbookViewId="0">
      <pane xSplit="1" ySplit="2" topLeftCell="B3" activePane="bottomRight" state="frozen"/>
      <selection pane="topRight" activeCell="B1" sqref="B1"/>
      <selection pane="bottomLeft" activeCell="A3" sqref="A3"/>
      <selection pane="bottomRight" activeCell="B3" sqref="B3"/>
    </sheetView>
  </sheetViews>
  <sheetFormatPr defaultColWidth="12.6328125" defaultRowHeight="15" customHeight="1" x14ac:dyDescent="0.35"/>
  <cols>
    <col min="1" max="1" width="8.7265625" customWidth="1"/>
    <col min="2" max="2" width="11.36328125" customWidth="1"/>
    <col min="3" max="3" width="8.7265625" customWidth="1"/>
    <col min="4" max="4" width="22.08984375" customWidth="1"/>
    <col min="5" max="5" width="23.6328125" customWidth="1"/>
    <col min="6" max="8" width="8.7265625" customWidth="1"/>
    <col min="9" max="9" width="11.6328125" customWidth="1"/>
    <col min="10" max="14" width="8.7265625" customWidth="1"/>
    <col min="15" max="15" width="13.453125" customWidth="1"/>
    <col min="16" max="16" width="8.7265625" customWidth="1"/>
    <col min="17" max="17" width="17.36328125" customWidth="1"/>
    <col min="18" max="18" width="10.90625" customWidth="1"/>
    <col min="19" max="20" width="8.7265625" customWidth="1"/>
  </cols>
  <sheetData>
    <row r="1" spans="1:20" ht="18" customHeight="1" x14ac:dyDescent="0.4">
      <c r="A1" s="1" t="s">
        <v>0</v>
      </c>
      <c r="B1" s="1" t="s">
        <v>0</v>
      </c>
      <c r="C1" s="1" t="s">
        <v>0</v>
      </c>
      <c r="D1" s="2" t="s">
        <v>1</v>
      </c>
      <c r="E1" s="3" t="s">
        <v>2</v>
      </c>
      <c r="F1" s="261" t="s">
        <v>3</v>
      </c>
      <c r="G1" s="262"/>
      <c r="H1" s="262"/>
      <c r="I1" s="262"/>
      <c r="J1" s="263"/>
      <c r="K1" s="264" t="s">
        <v>4</v>
      </c>
      <c r="L1" s="265"/>
      <c r="M1" s="265"/>
      <c r="N1" s="265"/>
      <c r="O1" s="265"/>
      <c r="P1" s="266"/>
      <c r="Q1" s="93" t="s">
        <v>36</v>
      </c>
      <c r="R1" s="2" t="s">
        <v>37</v>
      </c>
      <c r="S1" s="93"/>
      <c r="T1" s="93"/>
    </row>
    <row r="2" spans="1:20" ht="39" customHeight="1" x14ac:dyDescent="0.4">
      <c r="A2" s="4" t="s">
        <v>5</v>
      </c>
      <c r="B2" s="4" t="s">
        <v>6</v>
      </c>
      <c r="C2" s="4" t="s">
        <v>7</v>
      </c>
      <c r="D2" s="2" t="s">
        <v>8</v>
      </c>
      <c r="E2" s="3" t="s">
        <v>10</v>
      </c>
      <c r="F2" s="6" t="s">
        <v>38</v>
      </c>
      <c r="G2" s="7" t="s">
        <v>39</v>
      </c>
      <c r="H2" s="6" t="s">
        <v>13</v>
      </c>
      <c r="I2" s="6" t="s">
        <v>14</v>
      </c>
      <c r="J2" s="8" t="s">
        <v>40</v>
      </c>
      <c r="K2" s="9" t="s">
        <v>41</v>
      </c>
      <c r="L2" s="6" t="s">
        <v>17</v>
      </c>
      <c r="M2" s="6" t="s">
        <v>18</v>
      </c>
      <c r="N2" s="10" t="s">
        <v>42</v>
      </c>
      <c r="O2" s="8" t="s">
        <v>43</v>
      </c>
      <c r="P2" s="11" t="s">
        <v>21</v>
      </c>
      <c r="Q2" s="240" t="s">
        <v>44</v>
      </c>
      <c r="R2" s="93"/>
      <c r="S2" s="93"/>
      <c r="T2" s="93"/>
    </row>
    <row r="3" spans="1:20" ht="14.25" customHeight="1" x14ac:dyDescent="0.35">
      <c r="A3" s="1">
        <v>2024</v>
      </c>
      <c r="B3" s="1" t="s">
        <v>22</v>
      </c>
      <c r="C3" s="1">
        <v>1</v>
      </c>
      <c r="D3" s="12">
        <v>133.203</v>
      </c>
      <c r="E3" s="13">
        <v>113.46899999999999</v>
      </c>
      <c r="F3" s="14">
        <v>76.093999999999994</v>
      </c>
      <c r="G3" s="15">
        <v>2342.88</v>
      </c>
      <c r="H3" s="16">
        <v>6.9</v>
      </c>
      <c r="I3" s="17">
        <v>0.03</v>
      </c>
      <c r="J3" s="16">
        <v>6.9359999999999999</v>
      </c>
      <c r="K3" s="18">
        <v>49.555</v>
      </c>
      <c r="L3" s="16">
        <v>5.2060000000000004</v>
      </c>
      <c r="M3" s="17">
        <v>1.6E-2</v>
      </c>
      <c r="N3" s="15">
        <v>121.985</v>
      </c>
      <c r="O3" s="19">
        <v>0.05</v>
      </c>
      <c r="P3" s="20">
        <v>7.5270000000000001</v>
      </c>
      <c r="Q3" s="93">
        <f t="shared" ref="Q3:Q62" si="0">S3*$T$3</f>
        <v>122.26384723250686</v>
      </c>
      <c r="R3" s="241">
        <f>AVERAGE(D3:D33)</f>
        <v>132.95367741935485</v>
      </c>
      <c r="S3" s="93">
        <f t="shared" ref="S3:S18" si="1">D3/$R$3</f>
        <v>1.0018752590036208</v>
      </c>
      <c r="T3" s="242">
        <f>N3+O3</f>
        <v>122.035</v>
      </c>
    </row>
    <row r="4" spans="1:20" ht="14.25" customHeight="1" x14ac:dyDescent="0.35">
      <c r="A4" s="1">
        <v>2024</v>
      </c>
      <c r="B4" s="1" t="s">
        <v>22</v>
      </c>
      <c r="C4" s="1">
        <v>2</v>
      </c>
      <c r="D4" s="12">
        <v>128.375</v>
      </c>
      <c r="E4" s="13">
        <v>109</v>
      </c>
      <c r="F4" s="21">
        <v>75.691000000000003</v>
      </c>
      <c r="G4" s="22">
        <v>2451.8519999999999</v>
      </c>
      <c r="H4" s="13">
        <v>6.9</v>
      </c>
      <c r="I4" s="23">
        <v>0.03</v>
      </c>
      <c r="J4" s="13">
        <v>7.1520000000000001</v>
      </c>
      <c r="K4" s="24">
        <v>52.036999999999999</v>
      </c>
      <c r="L4" s="13">
        <v>5.2130000000000001</v>
      </c>
      <c r="M4" s="23">
        <v>1.6E-2</v>
      </c>
      <c r="N4" s="22">
        <v>120.95099999999999</v>
      </c>
      <c r="O4" s="25">
        <v>5.1999999999999998E-2</v>
      </c>
      <c r="P4" s="26">
        <v>10.381</v>
      </c>
      <c r="Q4" s="93">
        <f t="shared" si="0"/>
        <v>117.83234152739105</v>
      </c>
      <c r="R4" s="93"/>
      <c r="S4" s="93">
        <f t="shared" si="1"/>
        <v>0.96556185952711149</v>
      </c>
      <c r="T4" s="93"/>
    </row>
    <row r="5" spans="1:20" ht="14.25" customHeight="1" x14ac:dyDescent="0.35">
      <c r="A5" s="1">
        <v>2024</v>
      </c>
      <c r="B5" s="1" t="s">
        <v>22</v>
      </c>
      <c r="C5" s="1">
        <v>3</v>
      </c>
      <c r="D5" s="12">
        <v>124.98399999999999</v>
      </c>
      <c r="E5" s="13">
        <v>106.40600000000001</v>
      </c>
      <c r="F5" s="21">
        <v>75.494</v>
      </c>
      <c r="G5" s="22">
        <v>2382.0309999999999</v>
      </c>
      <c r="H5" s="13">
        <v>6.9</v>
      </c>
      <c r="I5" s="23">
        <v>0.03</v>
      </c>
      <c r="J5" s="13">
        <v>8.3450000000000006</v>
      </c>
      <c r="K5" s="24">
        <v>47.250999999999998</v>
      </c>
      <c r="L5" s="13">
        <v>5.1890000000000001</v>
      </c>
      <c r="M5" s="23">
        <v>1.6E-2</v>
      </c>
      <c r="N5" s="22">
        <v>127.446</v>
      </c>
      <c r="O5" s="25">
        <v>0.05</v>
      </c>
      <c r="P5" s="26">
        <v>7.47</v>
      </c>
      <c r="Q5" s="93">
        <f t="shared" si="0"/>
        <v>114.71982374651951</v>
      </c>
      <c r="R5" s="93"/>
      <c r="S5" s="93">
        <f t="shared" si="1"/>
        <v>0.94005673574400384</v>
      </c>
      <c r="T5" s="93"/>
    </row>
    <row r="6" spans="1:20" ht="14.25" customHeight="1" x14ac:dyDescent="0.35">
      <c r="A6" s="1">
        <v>2024</v>
      </c>
      <c r="B6" s="1" t="s">
        <v>22</v>
      </c>
      <c r="C6" s="1">
        <v>4</v>
      </c>
      <c r="D6" s="12">
        <v>134.93799999999999</v>
      </c>
      <c r="E6" s="13">
        <v>114.96899999999999</v>
      </c>
      <c r="F6" s="21">
        <v>75.361999999999995</v>
      </c>
      <c r="G6" s="22">
        <v>2345.0419999999999</v>
      </c>
      <c r="H6" s="13">
        <v>6.9</v>
      </c>
      <c r="I6" s="23">
        <v>2.9000000000000001E-2</v>
      </c>
      <c r="J6" s="13">
        <v>8.782</v>
      </c>
      <c r="K6" s="24">
        <v>48.237000000000002</v>
      </c>
      <c r="L6" s="13">
        <v>5.2050000000000001</v>
      </c>
      <c r="M6" s="23">
        <v>1.6E-2</v>
      </c>
      <c r="N6" s="22">
        <v>122.928</v>
      </c>
      <c r="O6" s="25">
        <v>4.7E-2</v>
      </c>
      <c r="P6" s="26">
        <v>11.29</v>
      </c>
      <c r="Q6" s="93">
        <f t="shared" si="0"/>
        <v>123.85636222802796</v>
      </c>
      <c r="R6" s="93"/>
      <c r="S6" s="93">
        <f t="shared" si="1"/>
        <v>1.0149249168519521</v>
      </c>
      <c r="T6" s="93"/>
    </row>
    <row r="7" spans="1:20" ht="14.25" customHeight="1" x14ac:dyDescent="0.35">
      <c r="A7" s="1">
        <v>2024</v>
      </c>
      <c r="B7" s="1" t="s">
        <v>22</v>
      </c>
      <c r="C7" s="1">
        <v>5</v>
      </c>
      <c r="D7" s="12">
        <v>134.828</v>
      </c>
      <c r="E7" s="13">
        <v>115</v>
      </c>
      <c r="F7" s="21">
        <v>75.358000000000004</v>
      </c>
      <c r="G7" s="22">
        <v>2345.1179999999999</v>
      </c>
      <c r="H7" s="13">
        <v>6.9</v>
      </c>
      <c r="I7" s="23">
        <v>0.03</v>
      </c>
      <c r="J7" s="13">
        <v>9.06</v>
      </c>
      <c r="K7" s="24">
        <v>49.095799999999997</v>
      </c>
      <c r="L7" s="13">
        <v>5.1505000000000001</v>
      </c>
      <c r="M7" s="23">
        <v>1.6199999999999999E-2</v>
      </c>
      <c r="N7" s="22">
        <v>139.12559999999999</v>
      </c>
      <c r="O7" s="25">
        <v>4.9500000000000002E-2</v>
      </c>
      <c r="P7" s="26">
        <v>11.2</v>
      </c>
      <c r="Q7" s="93">
        <f t="shared" si="0"/>
        <v>123.75539585943588</v>
      </c>
      <c r="R7" s="93"/>
      <c r="S7" s="93">
        <f t="shared" si="1"/>
        <v>1.0140975610229515</v>
      </c>
      <c r="T7" s="93"/>
    </row>
    <row r="8" spans="1:20" ht="14.25" customHeight="1" x14ac:dyDescent="0.35">
      <c r="A8" s="1">
        <v>2024</v>
      </c>
      <c r="B8" s="1" t="s">
        <v>22</v>
      </c>
      <c r="C8" s="1">
        <v>6</v>
      </c>
      <c r="D8" s="12">
        <v>119.953</v>
      </c>
      <c r="E8" s="13">
        <v>102.21899999999999</v>
      </c>
      <c r="F8" s="21">
        <v>75.331999999999994</v>
      </c>
      <c r="G8" s="22">
        <v>2300.46</v>
      </c>
      <c r="H8" s="13">
        <v>6.9</v>
      </c>
      <c r="I8" s="23">
        <v>0.03</v>
      </c>
      <c r="J8" s="13">
        <v>9.2430000000000003</v>
      </c>
      <c r="K8" s="24">
        <v>46.349400000000003</v>
      </c>
      <c r="L8" s="13">
        <v>5.1245000000000003</v>
      </c>
      <c r="M8" s="23">
        <v>1.61E-2</v>
      </c>
      <c r="N8" s="22">
        <v>147.95650000000001</v>
      </c>
      <c r="O8" s="25">
        <v>4.99E-2</v>
      </c>
      <c r="P8" s="26">
        <v>8.0820000000000007</v>
      </c>
      <c r="Q8" s="93">
        <f t="shared" si="0"/>
        <v>110.10198919754734</v>
      </c>
      <c r="R8" s="93"/>
      <c r="S8" s="93">
        <f t="shared" si="1"/>
        <v>0.90221648869215665</v>
      </c>
      <c r="T8" s="93"/>
    </row>
    <row r="9" spans="1:20" ht="14.25" customHeight="1" x14ac:dyDescent="0.35">
      <c r="A9" s="1">
        <v>2024</v>
      </c>
      <c r="B9" s="1" t="s">
        <v>22</v>
      </c>
      <c r="C9" s="1">
        <v>7</v>
      </c>
      <c r="D9" s="12">
        <v>123.14100000000001</v>
      </c>
      <c r="E9" s="13">
        <v>105</v>
      </c>
      <c r="F9" s="21">
        <v>74.509</v>
      </c>
      <c r="G9" s="22">
        <v>2286.183</v>
      </c>
      <c r="H9" s="13">
        <v>6.9</v>
      </c>
      <c r="I9" s="23">
        <v>2.9000000000000001E-2</v>
      </c>
      <c r="J9" s="13">
        <v>8.9269999999999996</v>
      </c>
      <c r="K9" s="24">
        <v>44.361600000000003</v>
      </c>
      <c r="L9" s="13">
        <v>5.0841000000000003</v>
      </c>
      <c r="M9" s="23">
        <v>1.61E-2</v>
      </c>
      <c r="N9" s="22">
        <v>162.17769999999999</v>
      </c>
      <c r="O9" s="25">
        <v>0.04</v>
      </c>
      <c r="P9" s="26">
        <v>10.747</v>
      </c>
      <c r="Q9" s="93">
        <f t="shared" si="0"/>
        <v>113.02817813456251</v>
      </c>
      <c r="R9" s="93"/>
      <c r="S9" s="93">
        <f t="shared" si="1"/>
        <v>0.92619476489992636</v>
      </c>
      <c r="T9" s="93"/>
    </row>
    <row r="10" spans="1:20" ht="14.25" customHeight="1" x14ac:dyDescent="0.35">
      <c r="A10" s="1">
        <v>2024</v>
      </c>
      <c r="B10" s="1" t="s">
        <v>22</v>
      </c>
      <c r="C10" s="1">
        <v>8</v>
      </c>
      <c r="D10" s="12">
        <v>130.10900000000001</v>
      </c>
      <c r="E10" s="13">
        <v>110.938</v>
      </c>
      <c r="F10" s="21">
        <v>74.584000000000003</v>
      </c>
      <c r="G10" s="22">
        <v>2297.8829999999998</v>
      </c>
      <c r="H10" s="13">
        <v>6.9</v>
      </c>
      <c r="I10" s="23">
        <v>2.9000000000000001E-2</v>
      </c>
      <c r="J10" s="13">
        <v>8.952</v>
      </c>
      <c r="K10" s="24">
        <v>45.8</v>
      </c>
      <c r="L10" s="13">
        <v>5.0970000000000004</v>
      </c>
      <c r="M10" s="23">
        <v>1.6E-2</v>
      </c>
      <c r="N10" s="22">
        <v>157.423</v>
      </c>
      <c r="O10" s="25">
        <v>3.9E-2</v>
      </c>
      <c r="P10" s="26">
        <v>12.845000000000001</v>
      </c>
      <c r="Q10" s="93">
        <f t="shared" si="0"/>
        <v>119.42393864683406</v>
      </c>
      <c r="R10" s="93"/>
      <c r="S10" s="93">
        <f t="shared" si="1"/>
        <v>0.97860399595881564</v>
      </c>
      <c r="T10" s="93"/>
    </row>
    <row r="11" spans="1:20" ht="14.25" customHeight="1" x14ac:dyDescent="0.35">
      <c r="A11" s="1">
        <v>2024</v>
      </c>
      <c r="B11" s="1" t="s">
        <v>22</v>
      </c>
      <c r="C11" s="1">
        <v>9</v>
      </c>
      <c r="D11" s="12">
        <v>134.68799999999999</v>
      </c>
      <c r="E11" s="13">
        <v>114.84399999999999</v>
      </c>
      <c r="F11" s="21">
        <v>74.671000000000006</v>
      </c>
      <c r="G11" s="22">
        <v>2363.4810000000002</v>
      </c>
      <c r="H11" s="13">
        <v>6.9</v>
      </c>
      <c r="I11" s="23">
        <v>0.03</v>
      </c>
      <c r="J11" s="13">
        <v>8.7260000000000009</v>
      </c>
      <c r="K11" s="24">
        <v>46.253999999999998</v>
      </c>
      <c r="L11" s="13">
        <v>5.1100000000000003</v>
      </c>
      <c r="M11" s="23">
        <v>1.6E-2</v>
      </c>
      <c r="N11" s="22">
        <v>153.4</v>
      </c>
      <c r="O11" s="25">
        <v>4.2000000000000003E-2</v>
      </c>
      <c r="P11" s="26">
        <v>12.563000000000001</v>
      </c>
      <c r="Q11" s="93">
        <f t="shared" si="0"/>
        <v>123.62689320850045</v>
      </c>
      <c r="R11" s="93"/>
      <c r="S11" s="93">
        <f t="shared" si="1"/>
        <v>1.0130445626951321</v>
      </c>
      <c r="T11" s="93"/>
    </row>
    <row r="12" spans="1:20" ht="14.25" customHeight="1" x14ac:dyDescent="0.35">
      <c r="A12" s="1">
        <v>2024</v>
      </c>
      <c r="B12" s="1" t="s">
        <v>22</v>
      </c>
      <c r="C12" s="1">
        <v>10</v>
      </c>
      <c r="D12" s="12">
        <v>134.89099999999999</v>
      </c>
      <c r="E12" s="13">
        <v>115</v>
      </c>
      <c r="F12" s="27">
        <v>74.772999999999996</v>
      </c>
      <c r="G12" s="22">
        <v>2397.0569999999998</v>
      </c>
      <c r="H12" s="13">
        <v>6.9</v>
      </c>
      <c r="I12" s="23">
        <v>2.9000000000000001E-2</v>
      </c>
      <c r="J12" s="28">
        <v>8.59</v>
      </c>
      <c r="K12" s="24">
        <v>45.621699999999997</v>
      </c>
      <c r="L12" s="13">
        <v>5.1163999999999996</v>
      </c>
      <c r="M12" s="29">
        <v>1.6E-2</v>
      </c>
      <c r="N12" s="22">
        <v>150.2895</v>
      </c>
      <c r="O12" s="30">
        <v>4.7300000000000002E-2</v>
      </c>
      <c r="P12" s="31">
        <v>9.6839999999999993</v>
      </c>
      <c r="Q12" s="93">
        <f t="shared" si="0"/>
        <v>123.81322205235679</v>
      </c>
      <c r="R12" s="93"/>
      <c r="S12" s="93">
        <f t="shared" si="1"/>
        <v>1.0145714102704699</v>
      </c>
      <c r="T12" s="93"/>
    </row>
    <row r="13" spans="1:20" ht="14.25" customHeight="1" x14ac:dyDescent="0.35">
      <c r="A13" s="1">
        <v>2024</v>
      </c>
      <c r="B13" s="1" t="s">
        <v>22</v>
      </c>
      <c r="C13" s="1">
        <v>11</v>
      </c>
      <c r="D13" s="12">
        <v>134.48400000000001</v>
      </c>
      <c r="E13" s="13">
        <v>114.71899999999999</v>
      </c>
      <c r="F13" s="27">
        <v>74.697000000000003</v>
      </c>
      <c r="G13" s="22">
        <v>2413.4259999999999</v>
      </c>
      <c r="H13" s="13">
        <v>6.9</v>
      </c>
      <c r="I13" s="23">
        <v>0.03</v>
      </c>
      <c r="J13" s="28">
        <v>8.2059999999999995</v>
      </c>
      <c r="K13" s="24">
        <v>46.052799999999998</v>
      </c>
      <c r="L13" s="13">
        <v>5.1151999999999997</v>
      </c>
      <c r="M13" s="29">
        <v>1.6E-2</v>
      </c>
      <c r="N13" s="22">
        <v>150.85599999999999</v>
      </c>
      <c r="O13" s="30">
        <v>4.1599999999999998E-2</v>
      </c>
      <c r="P13" s="31">
        <v>7.8070000000000004</v>
      </c>
      <c r="Q13" s="93">
        <f t="shared" si="0"/>
        <v>123.43964648856598</v>
      </c>
      <c r="R13" s="93"/>
      <c r="S13" s="93">
        <f t="shared" si="1"/>
        <v>1.011510193703167</v>
      </c>
      <c r="T13" s="93"/>
    </row>
    <row r="14" spans="1:20" ht="14.25" customHeight="1" x14ac:dyDescent="0.35">
      <c r="A14" s="1">
        <v>2024</v>
      </c>
      <c r="B14" s="1" t="s">
        <v>22</v>
      </c>
      <c r="C14" s="1">
        <v>12</v>
      </c>
      <c r="D14" s="12">
        <v>134.78100000000001</v>
      </c>
      <c r="E14" s="13">
        <v>114.875</v>
      </c>
      <c r="F14" s="27">
        <v>74.668999999999997</v>
      </c>
      <c r="G14" s="22">
        <v>2490.5549999999998</v>
      </c>
      <c r="H14" s="13">
        <v>6.9</v>
      </c>
      <c r="I14" s="23">
        <v>0.03</v>
      </c>
      <c r="J14" s="28">
        <v>7.6669999999999998</v>
      </c>
      <c r="K14" s="24">
        <v>49.252299999999998</v>
      </c>
      <c r="L14" s="13">
        <v>5.2785000000000002</v>
      </c>
      <c r="M14" s="29">
        <v>4.9799999999999997E-2</v>
      </c>
      <c r="N14" s="22">
        <v>112.32850000000001</v>
      </c>
      <c r="O14" s="30">
        <v>4.8300000000000003E-2</v>
      </c>
      <c r="P14" s="31">
        <v>14.398</v>
      </c>
      <c r="Q14" s="93">
        <f t="shared" si="0"/>
        <v>123.71225568376471</v>
      </c>
      <c r="R14" s="93"/>
      <c r="S14" s="93">
        <f t="shared" si="1"/>
        <v>1.0137440544414693</v>
      </c>
      <c r="T14" s="93"/>
    </row>
    <row r="15" spans="1:20" ht="14.25" customHeight="1" x14ac:dyDescent="0.35">
      <c r="A15" s="1">
        <v>2024</v>
      </c>
      <c r="B15" s="1" t="s">
        <v>22</v>
      </c>
      <c r="C15" s="1">
        <v>13</v>
      </c>
      <c r="D15" s="12">
        <v>134.828</v>
      </c>
      <c r="E15" s="13">
        <v>115</v>
      </c>
      <c r="F15" s="27">
        <v>74.668999999999997</v>
      </c>
      <c r="G15" s="22">
        <v>2525.0650000000001</v>
      </c>
      <c r="H15" s="13">
        <v>6.9</v>
      </c>
      <c r="I15" s="23">
        <v>2.9000000000000001E-2</v>
      </c>
      <c r="J15" s="28">
        <v>7.4729999999999999</v>
      </c>
      <c r="K15" s="24">
        <v>51.117899999999999</v>
      </c>
      <c r="L15" s="13">
        <v>5.4012000000000002</v>
      </c>
      <c r="M15" s="23">
        <v>4.6100000000000002E-2</v>
      </c>
      <c r="N15" s="22">
        <v>78.184200000000004</v>
      </c>
      <c r="O15" s="30">
        <v>5.5399999999999998E-2</v>
      </c>
      <c r="P15" s="31">
        <v>14.587</v>
      </c>
      <c r="Q15" s="93">
        <f t="shared" si="0"/>
        <v>123.75539585943588</v>
      </c>
      <c r="R15" s="93"/>
      <c r="S15" s="93">
        <f t="shared" si="1"/>
        <v>1.0140975610229515</v>
      </c>
      <c r="T15" s="93"/>
    </row>
    <row r="16" spans="1:20" ht="14.25" customHeight="1" x14ac:dyDescent="0.35">
      <c r="A16" s="1">
        <v>2024</v>
      </c>
      <c r="B16" s="1" t="s">
        <v>22</v>
      </c>
      <c r="C16" s="1">
        <v>14</v>
      </c>
      <c r="D16" s="12">
        <v>128.75</v>
      </c>
      <c r="E16" s="13">
        <v>109.59399999999999</v>
      </c>
      <c r="F16" s="21">
        <v>74.739000000000004</v>
      </c>
      <c r="G16" s="22">
        <v>2326.2750000000001</v>
      </c>
      <c r="H16" s="13">
        <v>6.9</v>
      </c>
      <c r="I16" s="23">
        <v>2.9000000000000001E-2</v>
      </c>
      <c r="J16" s="28">
        <v>7.6029999999999998</v>
      </c>
      <c r="K16" s="33">
        <v>44.939</v>
      </c>
      <c r="L16" s="13">
        <v>5.3650000000000002</v>
      </c>
      <c r="M16" s="23">
        <v>4.8000000000000001E-2</v>
      </c>
      <c r="N16" s="22">
        <v>84.724999999999994</v>
      </c>
      <c r="O16" s="30">
        <v>5.1999999999999998E-2</v>
      </c>
      <c r="P16" s="31">
        <v>14.491</v>
      </c>
      <c r="Q16" s="93">
        <f t="shared" si="0"/>
        <v>118.17654505668234</v>
      </c>
      <c r="R16" s="93"/>
      <c r="S16" s="93">
        <f t="shared" si="1"/>
        <v>0.96838239076234156</v>
      </c>
      <c r="T16" s="93"/>
    </row>
    <row r="17" spans="1:20" ht="14.25" customHeight="1" x14ac:dyDescent="0.35">
      <c r="A17" s="1">
        <v>2024</v>
      </c>
      <c r="B17" s="1" t="s">
        <v>22</v>
      </c>
      <c r="C17" s="1">
        <v>15</v>
      </c>
      <c r="D17" s="12">
        <v>131.09399999999999</v>
      </c>
      <c r="E17" s="13">
        <v>111.65600000000001</v>
      </c>
      <c r="F17" s="21">
        <v>74.820999999999998</v>
      </c>
      <c r="G17" s="22">
        <v>2350.6959999999999</v>
      </c>
      <c r="H17" s="13">
        <v>6.9</v>
      </c>
      <c r="I17" s="23">
        <v>2.9000000000000001E-2</v>
      </c>
      <c r="J17" s="28">
        <v>7.6120000000000001</v>
      </c>
      <c r="K17" s="24">
        <v>45.518999999999998</v>
      </c>
      <c r="L17" s="13">
        <v>5.3659999999999997</v>
      </c>
      <c r="M17" s="23">
        <v>2.1000000000000001E-2</v>
      </c>
      <c r="N17" s="22">
        <v>85.131</v>
      </c>
      <c r="O17" s="30">
        <v>0.05</v>
      </c>
      <c r="P17" s="31">
        <v>12.4</v>
      </c>
      <c r="Q17" s="93">
        <f t="shared" si="0"/>
        <v>120.32804658377255</v>
      </c>
      <c r="R17" s="93"/>
      <c r="S17" s="93">
        <f t="shared" si="1"/>
        <v>0.98601259133668662</v>
      </c>
      <c r="T17" s="93"/>
    </row>
    <row r="18" spans="1:20" ht="14.25" customHeight="1" x14ac:dyDescent="0.35">
      <c r="A18" s="1">
        <v>2024</v>
      </c>
      <c r="B18" s="1" t="s">
        <v>22</v>
      </c>
      <c r="C18" s="1">
        <v>16</v>
      </c>
      <c r="D18" s="12">
        <v>134.84399999999999</v>
      </c>
      <c r="E18" s="13">
        <v>114.96899999999999</v>
      </c>
      <c r="F18" s="21">
        <v>75.096999999999994</v>
      </c>
      <c r="G18" s="22">
        <v>2289.0430000000001</v>
      </c>
      <c r="H18" s="13">
        <v>6.9</v>
      </c>
      <c r="I18" s="23">
        <v>2.9000000000000001E-2</v>
      </c>
      <c r="J18" s="28">
        <v>7.7169999999999996</v>
      </c>
      <c r="K18" s="24">
        <v>44.133000000000003</v>
      </c>
      <c r="L18" s="13">
        <v>5.3840000000000003</v>
      </c>
      <c r="M18" s="23">
        <v>1.7000000000000001E-2</v>
      </c>
      <c r="N18" s="22">
        <v>81.265000000000001</v>
      </c>
      <c r="O18" s="30">
        <v>5.2999999999999999E-2</v>
      </c>
      <c r="P18" s="31">
        <v>10.911</v>
      </c>
      <c r="Q18" s="93">
        <f t="shared" si="0"/>
        <v>123.77008187668562</v>
      </c>
      <c r="R18" s="93"/>
      <c r="S18" s="93">
        <f t="shared" si="1"/>
        <v>1.0142179036889878</v>
      </c>
      <c r="T18" s="93"/>
    </row>
    <row r="19" spans="1:20" ht="14.25" customHeight="1" x14ac:dyDescent="0.35">
      <c r="A19" s="1">
        <v>2024</v>
      </c>
      <c r="B19" s="1" t="s">
        <v>22</v>
      </c>
      <c r="C19" s="1">
        <v>17</v>
      </c>
      <c r="D19" s="12">
        <v>134.953</v>
      </c>
      <c r="E19" s="13">
        <v>114.96899999999999</v>
      </c>
      <c r="F19" s="21">
        <v>75.066999999999993</v>
      </c>
      <c r="G19" s="22">
        <v>2415.569</v>
      </c>
      <c r="H19" s="13">
        <v>6.9</v>
      </c>
      <c r="I19" s="23">
        <v>2.9000000000000001E-2</v>
      </c>
      <c r="J19" s="13">
        <v>7.367</v>
      </c>
      <c r="K19" s="24">
        <v>46.157899999999998</v>
      </c>
      <c r="L19" s="13">
        <v>5.3930999999999996</v>
      </c>
      <c r="M19" s="23">
        <v>1.66E-2</v>
      </c>
      <c r="N19" s="22">
        <v>79.427700000000002</v>
      </c>
      <c r="O19" s="25">
        <v>5.2400000000000002E-2</v>
      </c>
      <c r="P19" s="26">
        <v>7.9160000000000004</v>
      </c>
      <c r="Q19" s="93">
        <f t="shared" si="0"/>
        <v>136.67920000000001</v>
      </c>
      <c r="R19" s="93"/>
      <c r="S19" s="93">
        <v>1.1200000000000001</v>
      </c>
      <c r="T19" s="93"/>
    </row>
    <row r="20" spans="1:20" ht="14.25" customHeight="1" x14ac:dyDescent="0.35">
      <c r="A20" s="1">
        <v>2024</v>
      </c>
      <c r="B20" s="1" t="s">
        <v>22</v>
      </c>
      <c r="C20" s="1">
        <v>18</v>
      </c>
      <c r="D20" s="12">
        <v>134.98400000000001</v>
      </c>
      <c r="E20" s="13">
        <v>114.96899999999999</v>
      </c>
      <c r="F20" s="21">
        <v>75.442999999999998</v>
      </c>
      <c r="G20" s="22">
        <v>2422.0569999999998</v>
      </c>
      <c r="H20" s="13">
        <v>6.9</v>
      </c>
      <c r="I20" s="23">
        <v>2.9000000000000001E-2</v>
      </c>
      <c r="J20" s="13">
        <v>7.4119999999999999</v>
      </c>
      <c r="K20" s="24">
        <v>44.9788</v>
      </c>
      <c r="L20" s="13">
        <v>5.3814000000000002</v>
      </c>
      <c r="M20" s="23">
        <v>1.66E-2</v>
      </c>
      <c r="N20" s="22">
        <v>81.860299999999995</v>
      </c>
      <c r="O20" s="25">
        <v>5.2900000000000003E-2</v>
      </c>
      <c r="P20" s="26">
        <v>6.9660000000000002</v>
      </c>
      <c r="Q20" s="93">
        <f t="shared" si="0"/>
        <v>123.89858452762105</v>
      </c>
      <c r="R20" s="93"/>
      <c r="S20" s="93">
        <f t="shared" ref="S20:S26" si="2">D20/$R$3</f>
        <v>1.0152709020168071</v>
      </c>
      <c r="T20" s="93"/>
    </row>
    <row r="21" spans="1:20" ht="14.25" customHeight="1" x14ac:dyDescent="0.35">
      <c r="A21" s="1">
        <v>2024</v>
      </c>
      <c r="B21" s="1" t="s">
        <v>22</v>
      </c>
      <c r="C21" s="1">
        <v>19</v>
      </c>
      <c r="D21" s="12">
        <v>135.01599999999999</v>
      </c>
      <c r="E21" s="13">
        <v>115</v>
      </c>
      <c r="F21" s="21">
        <v>75.438000000000002</v>
      </c>
      <c r="G21" s="22">
        <v>2299.4059999999999</v>
      </c>
      <c r="H21" s="13">
        <v>6.9</v>
      </c>
      <c r="I21" s="23">
        <v>2.9000000000000001E-2</v>
      </c>
      <c r="J21" s="13">
        <v>7.9089999999999998</v>
      </c>
      <c r="K21" s="24">
        <v>42.301299999999998</v>
      </c>
      <c r="L21" s="13">
        <v>5.56</v>
      </c>
      <c r="M21" s="23">
        <v>1.5699999999999999E-2</v>
      </c>
      <c r="N21" s="22">
        <v>58.683300000000003</v>
      </c>
      <c r="O21" s="25">
        <v>5.5300000000000002E-2</v>
      </c>
      <c r="P21" s="26">
        <v>9.1980000000000004</v>
      </c>
      <c r="Q21" s="93">
        <f t="shared" si="0"/>
        <v>123.92795656212057</v>
      </c>
      <c r="R21" s="93"/>
      <c r="S21" s="93">
        <f t="shared" si="2"/>
        <v>1.01551158734888</v>
      </c>
      <c r="T21" s="93"/>
    </row>
    <row r="22" spans="1:20" ht="14.25" customHeight="1" x14ac:dyDescent="0.35">
      <c r="A22" s="1">
        <v>2024</v>
      </c>
      <c r="B22" s="1" t="s">
        <v>22</v>
      </c>
      <c r="C22" s="1">
        <v>20</v>
      </c>
      <c r="D22" s="12">
        <v>134.953</v>
      </c>
      <c r="E22" s="13">
        <v>115</v>
      </c>
      <c r="F22" s="21">
        <v>75.290000000000006</v>
      </c>
      <c r="G22" s="22">
        <v>2299.4870000000001</v>
      </c>
      <c r="H22" s="13">
        <v>6.9</v>
      </c>
      <c r="I22" s="23">
        <v>2.9000000000000001E-2</v>
      </c>
      <c r="J22" s="13">
        <v>8.2550000000000008</v>
      </c>
      <c r="K22" s="24">
        <v>41.691000000000003</v>
      </c>
      <c r="L22" s="13">
        <v>5.6950000000000003</v>
      </c>
      <c r="M22" s="23">
        <v>1.4999999999999999E-2</v>
      </c>
      <c r="N22" s="22">
        <v>39.97</v>
      </c>
      <c r="O22" s="25">
        <v>5.3999999999999999E-2</v>
      </c>
      <c r="P22" s="26">
        <v>4.992</v>
      </c>
      <c r="Q22" s="93">
        <f t="shared" si="0"/>
        <v>123.87013036919966</v>
      </c>
      <c r="R22" s="93"/>
      <c r="S22" s="93">
        <f t="shared" si="2"/>
        <v>1.0150377381013616</v>
      </c>
      <c r="T22" s="93"/>
    </row>
    <row r="23" spans="1:20" ht="14.25" customHeight="1" x14ac:dyDescent="0.35">
      <c r="A23" s="1">
        <v>2024</v>
      </c>
      <c r="B23" s="1" t="s">
        <v>22</v>
      </c>
      <c r="C23" s="1">
        <v>21</v>
      </c>
      <c r="D23" s="12">
        <v>133.48400000000001</v>
      </c>
      <c r="E23" s="13">
        <v>113.688</v>
      </c>
      <c r="F23" s="21">
        <v>75.236999999999995</v>
      </c>
      <c r="G23" s="22">
        <v>2099.625</v>
      </c>
      <c r="H23" s="13">
        <v>6.9</v>
      </c>
      <c r="I23" s="23">
        <v>2.8000000000000001E-2</v>
      </c>
      <c r="J23" s="13">
        <v>8.1679999999999993</v>
      </c>
      <c r="K23" s="24">
        <v>36.725000000000001</v>
      </c>
      <c r="L23" s="13">
        <v>5.67</v>
      </c>
      <c r="M23" s="23">
        <v>1.4999999999999999E-2</v>
      </c>
      <c r="N23" s="22">
        <v>42.295999999999999</v>
      </c>
      <c r="O23" s="25">
        <v>4.9000000000000002E-2</v>
      </c>
      <c r="P23" s="26">
        <v>3.61</v>
      </c>
      <c r="Q23" s="93">
        <f t="shared" si="0"/>
        <v>122.52177041045582</v>
      </c>
      <c r="R23" s="93"/>
      <c r="S23" s="93">
        <f t="shared" si="2"/>
        <v>1.0039887770758866</v>
      </c>
      <c r="T23" s="93"/>
    </row>
    <row r="24" spans="1:20" ht="14.25" customHeight="1" x14ac:dyDescent="0.35">
      <c r="A24" s="1">
        <v>2024</v>
      </c>
      <c r="B24" s="1" t="s">
        <v>22</v>
      </c>
      <c r="C24" s="1">
        <v>22</v>
      </c>
      <c r="D24" s="12">
        <v>134.96899999999999</v>
      </c>
      <c r="E24" s="13">
        <v>115</v>
      </c>
      <c r="F24" s="21">
        <v>74.722999999999999</v>
      </c>
      <c r="G24" s="22">
        <v>2070.0619999999999</v>
      </c>
      <c r="H24" s="13">
        <v>6.9</v>
      </c>
      <c r="I24" s="23">
        <v>2.8000000000000001E-2</v>
      </c>
      <c r="J24" s="13">
        <v>7.9649999999999999</v>
      </c>
      <c r="K24" s="24">
        <v>35.005000000000003</v>
      </c>
      <c r="L24" s="13">
        <v>5.625</v>
      </c>
      <c r="M24" s="23">
        <v>1.4999999999999999E-2</v>
      </c>
      <c r="N24" s="22">
        <v>46.567</v>
      </c>
      <c r="O24" s="25">
        <v>4.5999999999999999E-2</v>
      </c>
      <c r="P24" s="26">
        <v>3.944</v>
      </c>
      <c r="Q24" s="93">
        <f t="shared" si="0"/>
        <v>123.8848163864494</v>
      </c>
      <c r="R24" s="93"/>
      <c r="S24" s="93">
        <f t="shared" si="2"/>
        <v>1.0151580807673979</v>
      </c>
      <c r="T24" s="93"/>
    </row>
    <row r="25" spans="1:20" ht="14.25" customHeight="1" x14ac:dyDescent="0.35">
      <c r="A25" s="1">
        <v>2024</v>
      </c>
      <c r="B25" s="1" t="s">
        <v>22</v>
      </c>
      <c r="C25" s="1">
        <v>23</v>
      </c>
      <c r="D25" s="12">
        <v>134.96899999999999</v>
      </c>
      <c r="E25" s="13">
        <v>115</v>
      </c>
      <c r="F25" s="21">
        <v>74.733999999999995</v>
      </c>
      <c r="G25" s="22">
        <v>2185.248</v>
      </c>
      <c r="H25" s="13">
        <v>6.9</v>
      </c>
      <c r="I25" s="23">
        <v>2.8000000000000001E-2</v>
      </c>
      <c r="J25" s="13">
        <v>7.94</v>
      </c>
      <c r="K25" s="24">
        <v>36.707000000000001</v>
      </c>
      <c r="L25" s="13">
        <v>5.61</v>
      </c>
      <c r="M25" s="23">
        <v>1.4999999999999999E-2</v>
      </c>
      <c r="N25" s="22">
        <v>48.25</v>
      </c>
      <c r="O25" s="25">
        <v>5.5E-2</v>
      </c>
      <c r="P25" s="26">
        <v>4.0890000000000004</v>
      </c>
      <c r="Q25" s="93">
        <f t="shared" si="0"/>
        <v>123.8848163864494</v>
      </c>
      <c r="R25" s="93"/>
      <c r="S25" s="93">
        <f t="shared" si="2"/>
        <v>1.0151580807673979</v>
      </c>
      <c r="T25" s="93"/>
    </row>
    <row r="26" spans="1:20" ht="14.25" customHeight="1" x14ac:dyDescent="0.35">
      <c r="A26" s="1">
        <v>2024</v>
      </c>
      <c r="B26" s="1" t="s">
        <v>22</v>
      </c>
      <c r="C26" s="1">
        <v>24</v>
      </c>
      <c r="D26" s="12">
        <v>134.875</v>
      </c>
      <c r="E26" s="13">
        <v>114.75</v>
      </c>
      <c r="F26" s="21">
        <v>75.084000000000003</v>
      </c>
      <c r="G26" s="22">
        <v>2311.3240000000001</v>
      </c>
      <c r="H26" s="13">
        <v>6.9</v>
      </c>
      <c r="I26" s="23">
        <v>2.9000000000000001E-2</v>
      </c>
      <c r="J26" s="13">
        <v>7.8570000000000002</v>
      </c>
      <c r="K26" s="24">
        <v>39.842799999999997</v>
      </c>
      <c r="L26" s="13">
        <v>5.6119000000000003</v>
      </c>
      <c r="M26" s="23">
        <v>1.49E-2</v>
      </c>
      <c r="N26" s="22">
        <v>48.017899999999997</v>
      </c>
      <c r="O26" s="25">
        <v>5.1900000000000002E-2</v>
      </c>
      <c r="P26" s="26">
        <v>4.9509999999999996</v>
      </c>
      <c r="Q26" s="93">
        <f t="shared" si="0"/>
        <v>123.79853603510705</v>
      </c>
      <c r="R26" s="93"/>
      <c r="S26" s="93">
        <f t="shared" si="2"/>
        <v>1.0144510676044336</v>
      </c>
      <c r="T26" s="93"/>
    </row>
    <row r="27" spans="1:20" ht="14.25" customHeight="1" x14ac:dyDescent="0.35">
      <c r="A27" s="1">
        <v>2024</v>
      </c>
      <c r="B27" s="1" t="s">
        <v>22</v>
      </c>
      <c r="C27" s="1">
        <v>25</v>
      </c>
      <c r="D27" s="12">
        <v>135.21899999999999</v>
      </c>
      <c r="E27" s="13">
        <v>115</v>
      </c>
      <c r="F27" s="21">
        <v>75.278000000000006</v>
      </c>
      <c r="G27" s="22">
        <v>2395.4740000000002</v>
      </c>
      <c r="H27" s="13">
        <v>6.9</v>
      </c>
      <c r="I27" s="23">
        <v>0.03</v>
      </c>
      <c r="J27" s="13">
        <v>7.9279999999999999</v>
      </c>
      <c r="K27" s="24">
        <v>42.107700000000001</v>
      </c>
      <c r="L27" s="13">
        <v>5.6052</v>
      </c>
      <c r="M27" s="23">
        <v>1.49E-2</v>
      </c>
      <c r="N27" s="22">
        <v>48.741500000000002</v>
      </c>
      <c r="O27" s="25">
        <v>5.7799999999999997E-2</v>
      </c>
      <c r="P27" s="26">
        <v>4.4969999999999999</v>
      </c>
      <c r="Q27" s="93">
        <f t="shared" si="0"/>
        <v>120.81465</v>
      </c>
      <c r="R27" s="93"/>
      <c r="S27" s="93">
        <v>0.99</v>
      </c>
      <c r="T27" s="93"/>
    </row>
    <row r="28" spans="1:20" ht="14.25" customHeight="1" x14ac:dyDescent="0.35">
      <c r="A28" s="1">
        <v>2024</v>
      </c>
      <c r="B28" s="1" t="s">
        <v>22</v>
      </c>
      <c r="C28" s="1">
        <v>26</v>
      </c>
      <c r="D28" s="12">
        <v>135.06299999999999</v>
      </c>
      <c r="E28" s="13">
        <v>114.90600000000001</v>
      </c>
      <c r="F28" s="21">
        <v>75.292000000000002</v>
      </c>
      <c r="G28" s="22">
        <v>2394.3069999999998</v>
      </c>
      <c r="H28" s="13">
        <v>6.9</v>
      </c>
      <c r="I28" s="23">
        <v>2.9000000000000001E-2</v>
      </c>
      <c r="J28" s="13">
        <v>7.8979999999999997</v>
      </c>
      <c r="K28" s="24">
        <v>41.576599999999999</v>
      </c>
      <c r="L28" s="13">
        <v>5.5928000000000004</v>
      </c>
      <c r="M28" s="23">
        <v>1.49E-2</v>
      </c>
      <c r="N28" s="22">
        <v>50.566699999999997</v>
      </c>
      <c r="O28" s="25">
        <v>5.79E-2</v>
      </c>
      <c r="P28" s="26">
        <v>7.9240000000000004</v>
      </c>
      <c r="Q28" s="93">
        <f t="shared" si="0"/>
        <v>123.97109673779174</v>
      </c>
      <c r="R28" s="93"/>
      <c r="S28" s="93">
        <f t="shared" ref="S28:S33" si="3">D28/$R$3</f>
        <v>1.0158650939303622</v>
      </c>
      <c r="T28" s="93"/>
    </row>
    <row r="29" spans="1:20" ht="14.25" customHeight="1" x14ac:dyDescent="0.35">
      <c r="A29" s="1">
        <v>2024</v>
      </c>
      <c r="B29" s="1" t="s">
        <v>22</v>
      </c>
      <c r="C29" s="1">
        <v>27</v>
      </c>
      <c r="D29" s="12">
        <v>135.172</v>
      </c>
      <c r="E29" s="13">
        <v>115</v>
      </c>
      <c r="F29" s="21">
        <v>75.427999999999997</v>
      </c>
      <c r="G29" s="22">
        <v>2383.768</v>
      </c>
      <c r="H29" s="13">
        <v>6.9</v>
      </c>
      <c r="I29" s="23">
        <v>2.8000000000000001E-2</v>
      </c>
      <c r="J29" s="13">
        <v>7.8120000000000003</v>
      </c>
      <c r="K29" s="24">
        <v>40.490099999999998</v>
      </c>
      <c r="L29" s="13">
        <v>5.5631000000000004</v>
      </c>
      <c r="M29" s="23">
        <v>1.49E-2</v>
      </c>
      <c r="N29" s="22">
        <v>54.0443</v>
      </c>
      <c r="O29" s="25">
        <v>4.8599999999999997E-2</v>
      </c>
      <c r="P29" s="26">
        <v>11.153</v>
      </c>
      <c r="Q29" s="93">
        <f t="shared" si="0"/>
        <v>124.07114523030577</v>
      </c>
      <c r="R29" s="93"/>
      <c r="S29" s="93">
        <f t="shared" si="3"/>
        <v>1.0166849283427359</v>
      </c>
      <c r="T29" s="93"/>
    </row>
    <row r="30" spans="1:20" ht="14.25" customHeight="1" x14ac:dyDescent="0.35">
      <c r="A30" s="1">
        <v>2024</v>
      </c>
      <c r="B30" s="1" t="s">
        <v>22</v>
      </c>
      <c r="C30" s="1">
        <v>28</v>
      </c>
      <c r="D30" s="12">
        <v>135.26599999999999</v>
      </c>
      <c r="E30" s="13">
        <v>114.875</v>
      </c>
      <c r="F30" s="21">
        <v>75.694999999999993</v>
      </c>
      <c r="G30" s="22">
        <v>2241</v>
      </c>
      <c r="H30" s="13">
        <v>6.9009999999999998</v>
      </c>
      <c r="I30" s="23">
        <v>2.9000000000000001E-2</v>
      </c>
      <c r="J30" s="13">
        <v>7.8949999999999996</v>
      </c>
      <c r="K30" s="24">
        <v>37.79</v>
      </c>
      <c r="L30" s="13">
        <v>5.5830000000000002</v>
      </c>
      <c r="M30" s="23">
        <v>1.4999999999999999E-2</v>
      </c>
      <c r="N30" s="22">
        <v>51.445</v>
      </c>
      <c r="O30" s="25">
        <v>3.5999999999999997E-2</v>
      </c>
      <c r="P30" s="26">
        <v>13.339</v>
      </c>
      <c r="Q30" s="93">
        <f t="shared" si="0"/>
        <v>124.15742558164813</v>
      </c>
      <c r="R30" s="93"/>
      <c r="S30" s="93">
        <f t="shared" si="3"/>
        <v>1.0173919415057002</v>
      </c>
      <c r="T30" s="93"/>
    </row>
    <row r="31" spans="1:20" ht="14.25" customHeight="1" x14ac:dyDescent="0.35">
      <c r="A31" s="1">
        <v>2024</v>
      </c>
      <c r="B31" s="1" t="s">
        <v>22</v>
      </c>
      <c r="C31" s="1">
        <v>29</v>
      </c>
      <c r="D31" s="12">
        <v>135.31299999999999</v>
      </c>
      <c r="E31" s="13">
        <v>115</v>
      </c>
      <c r="F31" s="21">
        <v>75.691999999999993</v>
      </c>
      <c r="G31" s="22">
        <v>2229.2060000000001</v>
      </c>
      <c r="H31" s="13">
        <v>6.9</v>
      </c>
      <c r="I31" s="23">
        <v>2.9000000000000001E-2</v>
      </c>
      <c r="J31" s="13">
        <v>7.6210000000000004</v>
      </c>
      <c r="K31" s="24">
        <v>38.859000000000002</v>
      </c>
      <c r="L31" s="13">
        <v>5.5570000000000004</v>
      </c>
      <c r="M31" s="23">
        <v>1.4999999999999999E-2</v>
      </c>
      <c r="N31" s="22">
        <v>54.593000000000004</v>
      </c>
      <c r="O31" s="25">
        <v>3.5000000000000003E-2</v>
      </c>
      <c r="P31" s="26">
        <v>13.545</v>
      </c>
      <c r="Q31" s="93">
        <f t="shared" si="0"/>
        <v>124.2005657573193</v>
      </c>
      <c r="R31" s="93"/>
      <c r="S31" s="93">
        <f t="shared" si="3"/>
        <v>1.0177454480871824</v>
      </c>
      <c r="T31" s="93"/>
    </row>
    <row r="32" spans="1:20" ht="14.25" customHeight="1" x14ac:dyDescent="0.35">
      <c r="A32" s="1">
        <v>2024</v>
      </c>
      <c r="B32" s="1" t="s">
        <v>22</v>
      </c>
      <c r="C32" s="1">
        <v>30</v>
      </c>
      <c r="D32" s="12">
        <v>135.328</v>
      </c>
      <c r="E32" s="13">
        <v>115</v>
      </c>
      <c r="F32" s="21">
        <v>75.897999999999996</v>
      </c>
      <c r="G32" s="22">
        <v>2320.2289999999998</v>
      </c>
      <c r="H32" s="13">
        <v>6.9</v>
      </c>
      <c r="I32" s="23">
        <v>2.8000000000000001E-2</v>
      </c>
      <c r="J32" s="13">
        <v>7.2789999999999999</v>
      </c>
      <c r="K32" s="24">
        <v>40.57</v>
      </c>
      <c r="L32" s="13">
        <v>5.5640000000000001</v>
      </c>
      <c r="M32" s="23">
        <v>1.4999999999999999E-2</v>
      </c>
      <c r="N32" s="22">
        <v>53.868000000000002</v>
      </c>
      <c r="O32" s="25">
        <v>3.7999999999999999E-2</v>
      </c>
      <c r="P32" s="26">
        <v>14.722</v>
      </c>
      <c r="Q32" s="93">
        <f t="shared" si="0"/>
        <v>124.21433389849095</v>
      </c>
      <c r="R32" s="93"/>
      <c r="S32" s="93">
        <f t="shared" si="3"/>
        <v>1.0178582693365916</v>
      </c>
      <c r="T32" s="93"/>
    </row>
    <row r="33" spans="1:20" ht="14.25" customHeight="1" x14ac:dyDescent="0.35">
      <c r="A33" s="1">
        <v>2024</v>
      </c>
      <c r="B33" s="1" t="s">
        <v>22</v>
      </c>
      <c r="C33" s="1">
        <v>31</v>
      </c>
      <c r="D33" s="34">
        <v>134.10900000000001</v>
      </c>
      <c r="E33" s="35">
        <v>114</v>
      </c>
      <c r="F33" s="36">
        <v>75.923000000000002</v>
      </c>
      <c r="G33" s="37">
        <v>2118.5</v>
      </c>
      <c r="H33" s="35">
        <v>6.9</v>
      </c>
      <c r="I33" s="38">
        <v>2.8000000000000001E-2</v>
      </c>
      <c r="J33" s="35">
        <v>7.3769999999999998</v>
      </c>
      <c r="K33" s="39">
        <v>35.562800000000003</v>
      </c>
      <c r="L33" s="35">
        <v>5.5509000000000004</v>
      </c>
      <c r="M33" s="38">
        <v>1.4800000000000001E-2</v>
      </c>
      <c r="N33" s="37">
        <v>55.257399999999997</v>
      </c>
      <c r="O33" s="40">
        <v>3.7400000000000003E-2</v>
      </c>
      <c r="P33" s="41">
        <v>15.349</v>
      </c>
      <c r="Q33" s="93">
        <f t="shared" si="0"/>
        <v>123.09544295927468</v>
      </c>
      <c r="R33" s="93"/>
      <c r="S33" s="93">
        <f t="shared" si="3"/>
        <v>1.0086896624679369</v>
      </c>
      <c r="T33" s="93"/>
    </row>
    <row r="34" spans="1:20" ht="14.25" customHeight="1" x14ac:dyDescent="0.35">
      <c r="A34" s="1">
        <v>2024</v>
      </c>
      <c r="B34" s="1" t="s">
        <v>23</v>
      </c>
      <c r="C34" s="1">
        <v>1</v>
      </c>
      <c r="D34" s="12">
        <v>132.625</v>
      </c>
      <c r="E34" s="13">
        <v>113</v>
      </c>
      <c r="F34" s="14">
        <v>74.266000000000005</v>
      </c>
      <c r="G34" s="15">
        <v>1677.345</v>
      </c>
      <c r="H34" s="16">
        <v>6.899</v>
      </c>
      <c r="I34" s="17">
        <v>2.8000000000000001E-2</v>
      </c>
      <c r="J34" s="16">
        <v>7.6379999999999999</v>
      </c>
      <c r="K34" s="18">
        <v>25.642199999999999</v>
      </c>
      <c r="L34" s="16">
        <v>5.415</v>
      </c>
      <c r="M34" s="17">
        <v>1.4800000000000001E-2</v>
      </c>
      <c r="N34" s="15">
        <v>77.463200000000001</v>
      </c>
      <c r="O34" s="19">
        <v>3.7100000000000001E-2</v>
      </c>
      <c r="P34" s="20">
        <v>15.281000000000001</v>
      </c>
      <c r="Q34" s="93">
        <f t="shared" si="0"/>
        <v>133.75612071601529</v>
      </c>
      <c r="R34" s="243">
        <f>N4+O4</f>
        <v>121.003</v>
      </c>
      <c r="S34" s="93">
        <f t="shared" ref="S34:S62" si="4">D34/$R$34</f>
        <v>1.0960472054411874</v>
      </c>
      <c r="T34" s="93"/>
    </row>
    <row r="35" spans="1:20" ht="14.25" customHeight="1" x14ac:dyDescent="0.35">
      <c r="A35" s="1">
        <v>2024</v>
      </c>
      <c r="B35" s="1" t="s">
        <v>24</v>
      </c>
      <c r="C35" s="1">
        <v>2</v>
      </c>
      <c r="D35" s="12">
        <v>134.828</v>
      </c>
      <c r="E35" s="13">
        <v>114.90600000000001</v>
      </c>
      <c r="F35" s="21">
        <v>73.471000000000004</v>
      </c>
      <c r="G35" s="22">
        <v>1622.81</v>
      </c>
      <c r="H35" s="13">
        <v>6.9</v>
      </c>
      <c r="I35" s="23">
        <v>2.5999999999999999E-2</v>
      </c>
      <c r="J35" s="13">
        <v>7.4809999999999999</v>
      </c>
      <c r="K35" s="24">
        <v>24.424199999999999</v>
      </c>
      <c r="L35" s="13">
        <v>5.3258000000000001</v>
      </c>
      <c r="M35" s="23">
        <v>1.47E-2</v>
      </c>
      <c r="N35" s="22">
        <v>93.055499999999995</v>
      </c>
      <c r="O35" s="25">
        <v>3.6900000000000002E-2</v>
      </c>
      <c r="P35" s="26">
        <v>7.2610000000000001</v>
      </c>
      <c r="Q35" s="93">
        <f t="shared" si="0"/>
        <v>135.97790947331885</v>
      </c>
      <c r="R35" s="93"/>
      <c r="S35" s="93">
        <f t="shared" si="4"/>
        <v>1.1142533656190343</v>
      </c>
      <c r="T35" s="93"/>
    </row>
    <row r="36" spans="1:20" ht="14.25" customHeight="1" x14ac:dyDescent="0.35">
      <c r="A36" s="1">
        <v>2024</v>
      </c>
      <c r="B36" s="1" t="s">
        <v>23</v>
      </c>
      <c r="C36" s="1">
        <v>3</v>
      </c>
      <c r="D36" s="12">
        <v>129.328</v>
      </c>
      <c r="E36" s="13">
        <v>110.15600000000001</v>
      </c>
      <c r="F36" s="21">
        <v>74.257999999999996</v>
      </c>
      <c r="G36" s="22">
        <v>1725.9559999999999</v>
      </c>
      <c r="H36" s="13">
        <v>6.9</v>
      </c>
      <c r="I36" s="23">
        <v>2.7E-2</v>
      </c>
      <c r="J36" s="13">
        <v>8.3040000000000003</v>
      </c>
      <c r="K36" s="24">
        <v>25.69</v>
      </c>
      <c r="L36" s="13">
        <v>5.3449999999999998</v>
      </c>
      <c r="M36" s="23">
        <v>1.4999999999999999E-2</v>
      </c>
      <c r="N36" s="22">
        <v>89.128</v>
      </c>
      <c r="O36" s="25">
        <v>3.9E-2</v>
      </c>
      <c r="P36" s="26">
        <v>7.952</v>
      </c>
      <c r="Q36" s="93">
        <f t="shared" si="0"/>
        <v>130.43100154541625</v>
      </c>
      <c r="R36" s="93"/>
      <c r="S36" s="93">
        <f t="shared" si="4"/>
        <v>1.0687999471087495</v>
      </c>
      <c r="T36" s="93"/>
    </row>
    <row r="37" spans="1:20" ht="14.25" customHeight="1" x14ac:dyDescent="0.35">
      <c r="A37" s="1">
        <v>2024</v>
      </c>
      <c r="B37" s="1" t="s">
        <v>23</v>
      </c>
      <c r="C37" s="1">
        <v>4</v>
      </c>
      <c r="D37" s="12">
        <v>128.43799999999999</v>
      </c>
      <c r="E37" s="13">
        <v>109.438</v>
      </c>
      <c r="F37" s="21">
        <v>74.049000000000007</v>
      </c>
      <c r="G37" s="22">
        <v>1681.0820000000001</v>
      </c>
      <c r="H37" s="13">
        <v>6.9</v>
      </c>
      <c r="I37" s="23">
        <v>2.7E-2</v>
      </c>
      <c r="J37" s="13">
        <v>8.5500000000000007</v>
      </c>
      <c r="K37" s="24">
        <v>25.138000000000002</v>
      </c>
      <c r="L37" s="13">
        <v>5.3179999999999996</v>
      </c>
      <c r="M37" s="23">
        <v>1.4999999999999999E-2</v>
      </c>
      <c r="N37" s="22">
        <v>94.674999999999997</v>
      </c>
      <c r="O37" s="25">
        <v>3.7999999999999999E-2</v>
      </c>
      <c r="P37" s="26">
        <v>8.5749999999999993</v>
      </c>
      <c r="Q37" s="93">
        <f t="shared" si="0"/>
        <v>129.53341098981016</v>
      </c>
      <c r="R37" s="93"/>
      <c r="S37" s="93">
        <f t="shared" si="4"/>
        <v>1.0614447575679942</v>
      </c>
      <c r="T37" s="93"/>
    </row>
    <row r="38" spans="1:20" ht="14.25" customHeight="1" x14ac:dyDescent="0.35">
      <c r="A38" s="1">
        <v>2024</v>
      </c>
      <c r="B38" s="1" t="s">
        <v>23</v>
      </c>
      <c r="C38" s="1">
        <v>5</v>
      </c>
      <c r="D38" s="12">
        <v>132.797</v>
      </c>
      <c r="E38" s="13">
        <v>113.25</v>
      </c>
      <c r="F38" s="21">
        <v>72.001000000000005</v>
      </c>
      <c r="G38" s="22">
        <v>1485.2819999999999</v>
      </c>
      <c r="H38" s="13">
        <v>6.9</v>
      </c>
      <c r="I38" s="23">
        <v>2.5999999999999999E-2</v>
      </c>
      <c r="J38" s="13">
        <v>8.2539999999999996</v>
      </c>
      <c r="K38" s="24">
        <v>22.182300000000001</v>
      </c>
      <c r="L38" s="13">
        <v>5.3471000000000002</v>
      </c>
      <c r="M38" s="23">
        <v>1.47E-2</v>
      </c>
      <c r="N38" s="22">
        <v>88.436099999999996</v>
      </c>
      <c r="O38" s="25">
        <v>3.3399999999999999E-2</v>
      </c>
      <c r="P38" s="26">
        <v>8.5299999999999994</v>
      </c>
      <c r="Q38" s="93">
        <f t="shared" si="0"/>
        <v>133.92958765485153</v>
      </c>
      <c r="R38" s="93"/>
      <c r="S38" s="93">
        <f t="shared" si="4"/>
        <v>1.0974686578018726</v>
      </c>
      <c r="T38" s="93"/>
    </row>
    <row r="39" spans="1:20" ht="14.25" customHeight="1" x14ac:dyDescent="0.35">
      <c r="A39" s="1">
        <v>2024</v>
      </c>
      <c r="B39" s="1" t="s">
        <v>23</v>
      </c>
      <c r="C39" s="1">
        <v>6</v>
      </c>
      <c r="D39" s="12">
        <v>110.438</v>
      </c>
      <c r="E39" s="13">
        <v>93.938000000000002</v>
      </c>
      <c r="F39" s="21">
        <v>70.896000000000001</v>
      </c>
      <c r="G39" s="22">
        <v>1515.923</v>
      </c>
      <c r="H39" s="13">
        <v>6.9</v>
      </c>
      <c r="I39" s="23">
        <v>2.5999999999999999E-2</v>
      </c>
      <c r="J39" s="13">
        <v>8.0820000000000007</v>
      </c>
      <c r="K39" s="24">
        <v>21.1</v>
      </c>
      <c r="L39" s="13">
        <v>5.3140000000000001</v>
      </c>
      <c r="M39" s="23">
        <v>1.4999999999999999E-2</v>
      </c>
      <c r="N39" s="22">
        <v>95.706000000000003</v>
      </c>
      <c r="O39" s="25">
        <v>3.7999999999999999E-2</v>
      </c>
      <c r="P39" s="26">
        <v>9.0749999999999993</v>
      </c>
      <c r="Q39" s="93">
        <f t="shared" si="0"/>
        <v>111.37989413485616</v>
      </c>
      <c r="R39" s="93"/>
      <c r="S39" s="93">
        <f t="shared" si="4"/>
        <v>0.91268811517069826</v>
      </c>
      <c r="T39" s="93"/>
    </row>
    <row r="40" spans="1:20" ht="14.25" customHeight="1" x14ac:dyDescent="0.35">
      <c r="A40" s="1">
        <v>2024</v>
      </c>
      <c r="B40" s="1" t="s">
        <v>23</v>
      </c>
      <c r="C40" s="1">
        <v>7</v>
      </c>
      <c r="D40" s="12">
        <v>134.89099999999999</v>
      </c>
      <c r="E40" s="13">
        <v>115</v>
      </c>
      <c r="F40" s="21">
        <v>71.335999999999999</v>
      </c>
      <c r="G40" s="22">
        <v>1706.2919999999999</v>
      </c>
      <c r="H40" s="13">
        <v>6.9009999999999998</v>
      </c>
      <c r="I40" s="23">
        <v>2.5999999999999999E-2</v>
      </c>
      <c r="J40" s="13">
        <v>8.31</v>
      </c>
      <c r="K40" s="24">
        <v>24.1511</v>
      </c>
      <c r="L40" s="13">
        <v>5.3422999999999998</v>
      </c>
      <c r="M40" s="23">
        <v>1.4800000000000001E-2</v>
      </c>
      <c r="N40" s="22">
        <v>89.196799999999996</v>
      </c>
      <c r="O40" s="25">
        <v>3.8100000000000002E-2</v>
      </c>
      <c r="P40" s="26">
        <v>8.3699999999999992</v>
      </c>
      <c r="Q40" s="93">
        <f t="shared" si="0"/>
        <v>136.04144678231117</v>
      </c>
      <c r="R40" s="93"/>
      <c r="S40" s="93">
        <f t="shared" si="4"/>
        <v>1.1147740138674247</v>
      </c>
      <c r="T40" s="93"/>
    </row>
    <row r="41" spans="1:20" ht="14.25" customHeight="1" x14ac:dyDescent="0.35">
      <c r="A41" s="1">
        <v>2024</v>
      </c>
      <c r="B41" s="1" t="s">
        <v>23</v>
      </c>
      <c r="C41" s="1">
        <v>8</v>
      </c>
      <c r="D41" s="12">
        <v>134.89099999999999</v>
      </c>
      <c r="E41" s="13">
        <v>115</v>
      </c>
      <c r="F41" s="21">
        <v>72.033000000000001</v>
      </c>
      <c r="G41" s="22">
        <v>1808.98</v>
      </c>
      <c r="H41" s="13">
        <v>6.9</v>
      </c>
      <c r="I41" s="23">
        <v>2.7E-2</v>
      </c>
      <c r="J41" s="13">
        <v>8.3290000000000006</v>
      </c>
      <c r="K41" s="24">
        <v>26.807600000000001</v>
      </c>
      <c r="L41" s="13">
        <v>5.3556999999999997</v>
      </c>
      <c r="M41" s="23">
        <v>1.47E-2</v>
      </c>
      <c r="N41" s="22">
        <v>86.682699999999997</v>
      </c>
      <c r="O41" s="25">
        <v>3.2099999999999997E-2</v>
      </c>
      <c r="P41" s="26">
        <v>8.6760000000000002</v>
      </c>
      <c r="Q41" s="93">
        <f t="shared" si="0"/>
        <v>136.04144678231117</v>
      </c>
      <c r="R41" s="93"/>
      <c r="S41" s="93">
        <f t="shared" si="4"/>
        <v>1.1147740138674247</v>
      </c>
      <c r="T41" s="93"/>
    </row>
    <row r="42" spans="1:20" ht="14.25" customHeight="1" x14ac:dyDescent="0.35">
      <c r="A42" s="1">
        <v>2024</v>
      </c>
      <c r="B42" s="1" t="s">
        <v>23</v>
      </c>
      <c r="C42" s="1">
        <v>9</v>
      </c>
      <c r="D42" s="12">
        <v>134.875</v>
      </c>
      <c r="E42" s="13">
        <v>115</v>
      </c>
      <c r="F42" s="21">
        <v>72.912000000000006</v>
      </c>
      <c r="G42" s="22">
        <v>1886.2470000000001</v>
      </c>
      <c r="H42" s="13">
        <v>6.9</v>
      </c>
      <c r="I42" s="23">
        <v>2.5999999999999999E-2</v>
      </c>
      <c r="J42" s="13">
        <v>8.1229999999999993</v>
      </c>
      <c r="K42" s="24">
        <v>28.158100000000001</v>
      </c>
      <c r="L42" s="13">
        <v>5.3032000000000004</v>
      </c>
      <c r="M42" s="23">
        <v>1.72E-2</v>
      </c>
      <c r="N42" s="22">
        <v>97.769099999999995</v>
      </c>
      <c r="O42" s="25">
        <v>3.5200000000000002E-2</v>
      </c>
      <c r="P42" s="26">
        <v>6.4749999999999996</v>
      </c>
      <c r="Q42" s="93">
        <f t="shared" si="0"/>
        <v>136.02531032288456</v>
      </c>
      <c r="R42" s="93"/>
      <c r="S42" s="93">
        <f t="shared" si="4"/>
        <v>1.1146417857408495</v>
      </c>
      <c r="T42" s="93"/>
    </row>
    <row r="43" spans="1:20" ht="14.25" customHeight="1" x14ac:dyDescent="0.35">
      <c r="A43" s="1">
        <v>2024</v>
      </c>
      <c r="B43" s="1" t="s">
        <v>23</v>
      </c>
      <c r="C43" s="1">
        <v>10</v>
      </c>
      <c r="D43" s="12">
        <v>134.90600000000001</v>
      </c>
      <c r="E43" s="13">
        <v>115</v>
      </c>
      <c r="F43" s="27">
        <v>73.251999999999995</v>
      </c>
      <c r="G43" s="22">
        <v>1872.7529999999999</v>
      </c>
      <c r="H43" s="13">
        <v>6.9</v>
      </c>
      <c r="I43" s="23">
        <v>2.5000000000000001E-2</v>
      </c>
      <c r="J43" s="28">
        <v>7.9</v>
      </c>
      <c r="K43" s="24">
        <v>28.161000000000001</v>
      </c>
      <c r="L43" s="13">
        <v>5.2457000000000003</v>
      </c>
      <c r="M43" s="29">
        <v>1.95E-2</v>
      </c>
      <c r="N43" s="22">
        <v>112.1397</v>
      </c>
      <c r="O43" s="30">
        <v>3.5499999999999997E-2</v>
      </c>
      <c r="P43" s="31">
        <v>5.8719999999999999</v>
      </c>
      <c r="Q43" s="93">
        <f t="shared" si="0"/>
        <v>136.05657471302365</v>
      </c>
      <c r="R43" s="93"/>
      <c r="S43" s="93">
        <f t="shared" si="4"/>
        <v>1.1148979777360892</v>
      </c>
      <c r="T43" s="93"/>
    </row>
    <row r="44" spans="1:20" ht="14.25" customHeight="1" x14ac:dyDescent="0.35">
      <c r="A44" s="1">
        <v>2024</v>
      </c>
      <c r="B44" s="1" t="s">
        <v>23</v>
      </c>
      <c r="C44" s="1">
        <v>11</v>
      </c>
      <c r="D44" s="12">
        <v>134.93799999999999</v>
      </c>
      <c r="E44" s="13">
        <v>115</v>
      </c>
      <c r="F44" s="27">
        <v>73.44</v>
      </c>
      <c r="G44" s="22">
        <v>1790.511</v>
      </c>
      <c r="H44" s="13">
        <v>6.9</v>
      </c>
      <c r="I44" s="23">
        <v>2.5000000000000001E-2</v>
      </c>
      <c r="J44" s="28">
        <v>7.9930000000000003</v>
      </c>
      <c r="K44" s="24">
        <v>26.22</v>
      </c>
      <c r="L44" s="13">
        <v>5.226</v>
      </c>
      <c r="M44" s="29">
        <v>1.9E-2</v>
      </c>
      <c r="N44" s="22">
        <v>117.624</v>
      </c>
      <c r="O44" s="30">
        <v>3.4000000000000002E-2</v>
      </c>
      <c r="P44" s="31">
        <v>6.0529999999999999</v>
      </c>
      <c r="Q44" s="93">
        <f t="shared" si="0"/>
        <v>136.08884763187689</v>
      </c>
      <c r="R44" s="93"/>
      <c r="S44" s="93">
        <f t="shared" si="4"/>
        <v>1.1151624339892399</v>
      </c>
      <c r="T44" s="93"/>
    </row>
    <row r="45" spans="1:20" ht="14.25" customHeight="1" x14ac:dyDescent="0.35">
      <c r="A45" s="1">
        <v>2024</v>
      </c>
      <c r="B45" s="1" t="s">
        <v>23</v>
      </c>
      <c r="C45" s="1">
        <v>12</v>
      </c>
      <c r="D45" s="12">
        <v>135.03100000000001</v>
      </c>
      <c r="E45" s="13">
        <v>115</v>
      </c>
      <c r="F45" s="27">
        <v>73.622</v>
      </c>
      <c r="G45" s="22">
        <v>1772.7329999999999</v>
      </c>
      <c r="H45" s="13">
        <v>6.9</v>
      </c>
      <c r="I45" s="23">
        <v>2.5000000000000001E-2</v>
      </c>
      <c r="J45" s="28">
        <v>8.17</v>
      </c>
      <c r="K45" s="24">
        <v>25.001999999999999</v>
      </c>
      <c r="L45" s="13">
        <v>5.226</v>
      </c>
      <c r="M45" s="29">
        <v>1.9E-2</v>
      </c>
      <c r="N45" s="22">
        <v>117.889</v>
      </c>
      <c r="O45" s="30">
        <v>3.4000000000000002E-2</v>
      </c>
      <c r="P45" s="31">
        <v>5.8819999999999997</v>
      </c>
      <c r="Q45" s="93">
        <f t="shared" si="0"/>
        <v>136.18264080229415</v>
      </c>
      <c r="R45" s="93"/>
      <c r="S45" s="93">
        <f t="shared" si="4"/>
        <v>1.1159310099749593</v>
      </c>
      <c r="T45" s="93"/>
    </row>
    <row r="46" spans="1:20" ht="14.25" customHeight="1" x14ac:dyDescent="0.35">
      <c r="A46" s="1">
        <v>2024</v>
      </c>
      <c r="B46" s="1" t="s">
        <v>23</v>
      </c>
      <c r="C46" s="1">
        <v>13</v>
      </c>
      <c r="D46" s="12">
        <v>133.797</v>
      </c>
      <c r="E46" s="13">
        <v>113.938</v>
      </c>
      <c r="F46" s="27">
        <v>74.016000000000005</v>
      </c>
      <c r="G46" s="22">
        <v>1770.7950000000001</v>
      </c>
      <c r="H46" s="13">
        <v>6.9</v>
      </c>
      <c r="I46" s="23">
        <v>2.5000000000000001E-2</v>
      </c>
      <c r="J46" s="28">
        <v>8.3529999999999998</v>
      </c>
      <c r="K46" s="24">
        <v>25.484999999999999</v>
      </c>
      <c r="L46" s="13">
        <v>5.2480000000000002</v>
      </c>
      <c r="M46" s="23">
        <v>1.9E-2</v>
      </c>
      <c r="N46" s="22">
        <v>111.66</v>
      </c>
      <c r="O46" s="30">
        <v>3.7999999999999999E-2</v>
      </c>
      <c r="P46" s="31">
        <v>5.5629999999999997</v>
      </c>
      <c r="Q46" s="93">
        <f t="shared" si="0"/>
        <v>134.93811636901563</v>
      </c>
      <c r="R46" s="93"/>
      <c r="S46" s="93">
        <f t="shared" si="4"/>
        <v>1.1057329157128335</v>
      </c>
      <c r="T46" s="93"/>
    </row>
    <row r="47" spans="1:20" ht="14.25" customHeight="1" x14ac:dyDescent="0.35">
      <c r="A47" s="1">
        <v>2024</v>
      </c>
      <c r="B47" s="1" t="s">
        <v>23</v>
      </c>
      <c r="C47" s="1">
        <v>14</v>
      </c>
      <c r="D47" s="12">
        <v>131.875</v>
      </c>
      <c r="E47" s="13">
        <v>112.65600000000001</v>
      </c>
      <c r="F47" s="21">
        <v>74.253</v>
      </c>
      <c r="G47" s="22">
        <v>1802.799</v>
      </c>
      <c r="H47" s="13">
        <v>6.9</v>
      </c>
      <c r="I47" s="23">
        <v>2.5999999999999999E-2</v>
      </c>
      <c r="J47" s="28">
        <v>8.5609999999999999</v>
      </c>
      <c r="K47" s="33">
        <v>27.3872</v>
      </c>
      <c r="L47" s="13">
        <v>5.3040000000000003</v>
      </c>
      <c r="M47" s="23">
        <v>1.95E-2</v>
      </c>
      <c r="N47" s="22">
        <v>98.134200000000007</v>
      </c>
      <c r="O47" s="30">
        <v>4.2299999999999997E-2</v>
      </c>
      <c r="P47" s="31">
        <v>7.9640000000000004</v>
      </c>
      <c r="Q47" s="93">
        <f t="shared" si="0"/>
        <v>132.99972418039221</v>
      </c>
      <c r="R47" s="93"/>
      <c r="S47" s="93">
        <f t="shared" si="4"/>
        <v>1.0898490120079667</v>
      </c>
      <c r="T47" s="93"/>
    </row>
    <row r="48" spans="1:20" ht="14.25" customHeight="1" x14ac:dyDescent="0.35">
      <c r="A48" s="1">
        <v>2024</v>
      </c>
      <c r="B48" s="1" t="s">
        <v>23</v>
      </c>
      <c r="C48" s="1">
        <v>15</v>
      </c>
      <c r="D48" s="12">
        <v>128.453</v>
      </c>
      <c r="E48" s="13">
        <v>109.84399999999999</v>
      </c>
      <c r="F48" s="21">
        <v>74.504000000000005</v>
      </c>
      <c r="G48" s="22">
        <v>1811.953</v>
      </c>
      <c r="H48" s="13">
        <v>6.9</v>
      </c>
      <c r="I48" s="23">
        <v>2.7E-2</v>
      </c>
      <c r="J48" s="28">
        <v>8.6080000000000005</v>
      </c>
      <c r="K48" s="24">
        <v>26.422499999999999</v>
      </c>
      <c r="L48" s="13">
        <v>5.2858000000000001</v>
      </c>
      <c r="M48" s="23">
        <v>1.95E-2</v>
      </c>
      <c r="N48" s="22">
        <v>102.04510000000001</v>
      </c>
      <c r="O48" s="30">
        <v>4.2700000000000002E-2</v>
      </c>
      <c r="P48" s="31">
        <v>7.0949999999999998</v>
      </c>
      <c r="Q48" s="93">
        <f t="shared" si="0"/>
        <v>129.54853892052265</v>
      </c>
      <c r="R48" s="93"/>
      <c r="S48" s="93">
        <f t="shared" si="4"/>
        <v>1.0615687214366587</v>
      </c>
      <c r="T48" s="93"/>
    </row>
    <row r="49" spans="1:20" ht="14.25" customHeight="1" x14ac:dyDescent="0.35">
      <c r="A49" s="1">
        <v>2024</v>
      </c>
      <c r="B49" s="1" t="s">
        <v>23</v>
      </c>
      <c r="C49" s="1">
        <v>16</v>
      </c>
      <c r="D49" s="12">
        <v>130.39099999999999</v>
      </c>
      <c r="E49" s="13">
        <v>111.438</v>
      </c>
      <c r="F49" s="21">
        <v>74.757999999999996</v>
      </c>
      <c r="G49" s="22">
        <v>1747.944</v>
      </c>
      <c r="H49" s="13">
        <v>6.9</v>
      </c>
      <c r="I49" s="23">
        <v>2.5000000000000001E-2</v>
      </c>
      <c r="J49" s="28">
        <v>7.673</v>
      </c>
      <c r="K49" s="24">
        <v>25.845300000000002</v>
      </c>
      <c r="L49" s="13">
        <v>5.1936</v>
      </c>
      <c r="M49" s="23">
        <v>1.5900000000000001E-2</v>
      </c>
      <c r="N49" s="22">
        <v>126.9494</v>
      </c>
      <c r="O49" s="30">
        <v>5.0099999999999999E-2</v>
      </c>
      <c r="P49" s="31">
        <v>5.508</v>
      </c>
      <c r="Q49" s="93">
        <f t="shared" si="0"/>
        <v>131.50306756857267</v>
      </c>
      <c r="R49" s="93"/>
      <c r="S49" s="93">
        <f t="shared" si="4"/>
        <v>1.0775848532681007</v>
      </c>
      <c r="T49" s="93"/>
    </row>
    <row r="50" spans="1:20" ht="14.25" customHeight="1" x14ac:dyDescent="0.35">
      <c r="A50" s="1">
        <v>2024</v>
      </c>
      <c r="B50" s="1" t="s">
        <v>23</v>
      </c>
      <c r="C50" s="1">
        <v>17</v>
      </c>
      <c r="D50" s="12">
        <v>128.85900000000001</v>
      </c>
      <c r="E50" s="13">
        <v>110</v>
      </c>
      <c r="F50" s="21">
        <v>74.775000000000006</v>
      </c>
      <c r="G50" s="22">
        <v>1719.7550000000001</v>
      </c>
      <c r="H50" s="13">
        <v>6.9</v>
      </c>
      <c r="I50" s="23">
        <v>2.5999999999999999E-2</v>
      </c>
      <c r="J50" s="13">
        <v>7.3479999999999999</v>
      </c>
      <c r="K50" s="24">
        <v>25.175000000000001</v>
      </c>
      <c r="L50" s="13">
        <v>5.1440000000000001</v>
      </c>
      <c r="M50" s="23">
        <v>1.2999999999999999E-2</v>
      </c>
      <c r="N50" s="22">
        <v>141.19499999999999</v>
      </c>
      <c r="O50" s="25">
        <v>5.0999999999999997E-2</v>
      </c>
      <c r="P50" s="26">
        <v>5.4139999999999997</v>
      </c>
      <c r="Q50" s="93">
        <f t="shared" si="0"/>
        <v>129.95800157847324</v>
      </c>
      <c r="R50" s="93"/>
      <c r="S50" s="93">
        <f t="shared" si="4"/>
        <v>1.0649240101485087</v>
      </c>
      <c r="T50" s="93"/>
    </row>
    <row r="51" spans="1:20" ht="14.25" customHeight="1" x14ac:dyDescent="0.35">
      <c r="A51" s="1">
        <v>2024</v>
      </c>
      <c r="B51" s="1" t="s">
        <v>23</v>
      </c>
      <c r="C51" s="1">
        <v>18</v>
      </c>
      <c r="D51" s="12">
        <v>128.81299999999999</v>
      </c>
      <c r="E51" s="13">
        <v>110</v>
      </c>
      <c r="F51" s="21">
        <v>75.031999999999996</v>
      </c>
      <c r="G51" s="22">
        <v>1663.2619999999999</v>
      </c>
      <c r="H51" s="13">
        <v>6.9</v>
      </c>
      <c r="I51" s="23">
        <v>2.5000000000000001E-2</v>
      </c>
      <c r="J51" s="13">
        <v>7.2640000000000002</v>
      </c>
      <c r="K51" s="24">
        <v>24.475000000000001</v>
      </c>
      <c r="L51" s="13">
        <v>5.1559999999999997</v>
      </c>
      <c r="M51" s="23">
        <v>1.2999999999999999E-2</v>
      </c>
      <c r="N51" s="22">
        <v>137.46100000000001</v>
      </c>
      <c r="O51" s="25">
        <v>4.8000000000000001E-2</v>
      </c>
      <c r="P51" s="26">
        <v>5.35</v>
      </c>
      <c r="Q51" s="93">
        <f t="shared" si="0"/>
        <v>129.91160925762171</v>
      </c>
      <c r="R51" s="93"/>
      <c r="S51" s="93">
        <f t="shared" si="4"/>
        <v>1.0645438542846044</v>
      </c>
      <c r="T51" s="93"/>
    </row>
    <row r="52" spans="1:20" ht="14.25" customHeight="1" x14ac:dyDescent="0.35">
      <c r="A52" s="1">
        <v>2024</v>
      </c>
      <c r="B52" s="1" t="s">
        <v>23</v>
      </c>
      <c r="C52" s="1">
        <v>19</v>
      </c>
      <c r="D52" s="12">
        <v>133.18799999999999</v>
      </c>
      <c r="E52" s="13">
        <v>113.688</v>
      </c>
      <c r="F52" s="21">
        <v>74.501999999999995</v>
      </c>
      <c r="G52" s="22">
        <v>1662.1369999999999</v>
      </c>
      <c r="H52" s="13">
        <v>6.9</v>
      </c>
      <c r="I52" s="23">
        <v>2.5999999999999999E-2</v>
      </c>
      <c r="J52" s="13">
        <v>7.5819999999999999</v>
      </c>
      <c r="K52" s="24">
        <v>25.754999999999999</v>
      </c>
      <c r="L52" s="13">
        <v>5.15</v>
      </c>
      <c r="M52" s="23">
        <v>1.2999999999999999E-2</v>
      </c>
      <c r="N52" s="22">
        <v>139.68299999999999</v>
      </c>
      <c r="O52" s="25">
        <v>4.9000000000000002E-2</v>
      </c>
      <c r="P52" s="26">
        <v>5.7030000000000003</v>
      </c>
      <c r="Q52" s="93">
        <f t="shared" si="0"/>
        <v>134.32392238208968</v>
      </c>
      <c r="R52" s="93"/>
      <c r="S52" s="93">
        <f t="shared" si="4"/>
        <v>1.1006999826450583</v>
      </c>
      <c r="T52" s="93"/>
    </row>
    <row r="53" spans="1:20" ht="14.25" customHeight="1" x14ac:dyDescent="0.35">
      <c r="A53" s="1">
        <v>2024</v>
      </c>
      <c r="B53" s="1" t="s">
        <v>23</v>
      </c>
      <c r="C53" s="1">
        <v>20</v>
      </c>
      <c r="D53" s="12">
        <v>134.672</v>
      </c>
      <c r="E53" s="13">
        <v>115</v>
      </c>
      <c r="F53" s="21">
        <v>73.894999999999996</v>
      </c>
      <c r="G53" s="22">
        <v>1616.9839999999999</v>
      </c>
      <c r="H53" s="13">
        <v>6.9</v>
      </c>
      <c r="I53" s="23">
        <v>2.5999999999999999E-2</v>
      </c>
      <c r="J53" s="13">
        <v>7.5419999999999998</v>
      </c>
      <c r="K53" s="24">
        <v>24.117000000000001</v>
      </c>
      <c r="L53" s="13">
        <v>5.1580000000000004</v>
      </c>
      <c r="M53" s="23">
        <v>1.2999999999999999E-2</v>
      </c>
      <c r="N53" s="22">
        <v>136.67699999999999</v>
      </c>
      <c r="O53" s="25">
        <v>4.9000000000000002E-2</v>
      </c>
      <c r="P53" s="26">
        <v>5.6289999999999996</v>
      </c>
      <c r="Q53" s="93">
        <f t="shared" si="0"/>
        <v>135.82057899390924</v>
      </c>
      <c r="R53" s="93"/>
      <c r="S53" s="93">
        <f t="shared" si="4"/>
        <v>1.1129641413849243</v>
      </c>
      <c r="T53" s="93"/>
    </row>
    <row r="54" spans="1:20" ht="14.25" customHeight="1" x14ac:dyDescent="0.35">
      <c r="A54" s="1">
        <v>2024</v>
      </c>
      <c r="B54" s="1" t="s">
        <v>23</v>
      </c>
      <c r="C54" s="1">
        <v>21</v>
      </c>
      <c r="D54" s="12">
        <v>134.73400000000001</v>
      </c>
      <c r="E54" s="13">
        <v>115</v>
      </c>
      <c r="F54" s="21">
        <v>73.662000000000006</v>
      </c>
      <c r="G54" s="22">
        <v>1678.3019999999999</v>
      </c>
      <c r="H54" s="13">
        <v>6.9</v>
      </c>
      <c r="I54" s="23">
        <v>2.5999999999999999E-2</v>
      </c>
      <c r="J54" s="13">
        <v>7.2510000000000003</v>
      </c>
      <c r="K54" s="24">
        <v>24.264199999999999</v>
      </c>
      <c r="L54" s="13">
        <v>5.1574</v>
      </c>
      <c r="M54" s="23">
        <v>1.3299999999999999E-2</v>
      </c>
      <c r="N54" s="22">
        <v>137.05690000000001</v>
      </c>
      <c r="O54" s="25">
        <v>4.87E-2</v>
      </c>
      <c r="P54" s="26">
        <v>5.2110000000000003</v>
      </c>
      <c r="Q54" s="93">
        <f t="shared" si="0"/>
        <v>135.88310777418741</v>
      </c>
      <c r="R54" s="93"/>
      <c r="S54" s="93">
        <f t="shared" si="4"/>
        <v>1.113476525375404</v>
      </c>
      <c r="T54" s="93"/>
    </row>
    <row r="55" spans="1:20" ht="14.25" customHeight="1" x14ac:dyDescent="0.35">
      <c r="A55" s="1">
        <v>2024</v>
      </c>
      <c r="B55" s="1" t="s">
        <v>23</v>
      </c>
      <c r="C55" s="1">
        <v>22</v>
      </c>
      <c r="D55" s="12">
        <v>134.78100000000001</v>
      </c>
      <c r="E55" s="13">
        <v>115</v>
      </c>
      <c r="F55" s="21">
        <v>74.323999999999998</v>
      </c>
      <c r="G55" s="22">
        <v>1779.3820000000001</v>
      </c>
      <c r="H55" s="13">
        <v>6.899</v>
      </c>
      <c r="I55" s="23">
        <v>2.5000000000000001E-2</v>
      </c>
      <c r="J55" s="13">
        <v>7.4420000000000002</v>
      </c>
      <c r="K55" s="24">
        <v>25.238600000000002</v>
      </c>
      <c r="L55" s="13">
        <v>5.1544999999999996</v>
      </c>
      <c r="M55" s="23">
        <v>1.3299999999999999E-2</v>
      </c>
      <c r="N55" s="22">
        <v>138.2534</v>
      </c>
      <c r="O55" s="25">
        <v>5.1799999999999999E-2</v>
      </c>
      <c r="P55" s="26">
        <v>4.601</v>
      </c>
      <c r="Q55" s="93">
        <f t="shared" si="0"/>
        <v>135.93050862375313</v>
      </c>
      <c r="R55" s="93"/>
      <c r="S55" s="93">
        <f t="shared" si="4"/>
        <v>1.1138649454972191</v>
      </c>
      <c r="T55" s="93"/>
    </row>
    <row r="56" spans="1:20" ht="14.25" customHeight="1" x14ac:dyDescent="0.35">
      <c r="A56" s="1">
        <v>2024</v>
      </c>
      <c r="B56" s="1" t="s">
        <v>23</v>
      </c>
      <c r="C56" s="1">
        <v>23</v>
      </c>
      <c r="D56" s="12">
        <v>108.51600000000001</v>
      </c>
      <c r="E56" s="13">
        <v>92.313000000000002</v>
      </c>
      <c r="F56" s="21">
        <v>74.863</v>
      </c>
      <c r="G56" s="22">
        <v>1819.97</v>
      </c>
      <c r="H56" s="13">
        <v>6.9</v>
      </c>
      <c r="I56" s="23">
        <v>2.4E-2</v>
      </c>
      <c r="J56" s="13">
        <v>7.23</v>
      </c>
      <c r="K56" s="24">
        <v>25.486499999999999</v>
      </c>
      <c r="L56" s="13">
        <v>5.1967999999999996</v>
      </c>
      <c r="M56" s="23">
        <v>1.3299999999999999E-2</v>
      </c>
      <c r="N56" s="22">
        <v>129.6739</v>
      </c>
      <c r="O56" s="25">
        <v>5.3199999999999997E-2</v>
      </c>
      <c r="P56" s="26">
        <v>3.1859999999999999</v>
      </c>
      <c r="Q56" s="93">
        <f t="shared" si="0"/>
        <v>109.44150194623273</v>
      </c>
      <c r="R56" s="93"/>
      <c r="S56" s="93">
        <f t="shared" si="4"/>
        <v>0.89680421146583145</v>
      </c>
      <c r="T56" s="93"/>
    </row>
    <row r="57" spans="1:20" ht="14.25" customHeight="1" x14ac:dyDescent="0.35">
      <c r="A57" s="1">
        <v>2024</v>
      </c>
      <c r="B57" s="1" t="s">
        <v>23</v>
      </c>
      <c r="C57" s="1">
        <v>24</v>
      </c>
      <c r="D57" s="12">
        <v>94.171999999999997</v>
      </c>
      <c r="E57" s="13">
        <v>80</v>
      </c>
      <c r="F57" s="21">
        <v>74.888999999999996</v>
      </c>
      <c r="G57" s="22">
        <v>1811.5909999999999</v>
      </c>
      <c r="H57" s="13">
        <v>6.9</v>
      </c>
      <c r="I57" s="23">
        <v>2.4E-2</v>
      </c>
      <c r="J57" s="13">
        <v>7.2309999999999999</v>
      </c>
      <c r="K57" s="24">
        <v>25.888100000000001</v>
      </c>
      <c r="L57" s="13">
        <v>5.2458999999999998</v>
      </c>
      <c r="M57" s="23">
        <v>1.3299999999999999E-2</v>
      </c>
      <c r="N57" s="22">
        <v>112.3648</v>
      </c>
      <c r="O57" s="25">
        <v>5.4800000000000001E-2</v>
      </c>
      <c r="P57" s="26">
        <v>2.9569999999999999</v>
      </c>
      <c r="Q57" s="93">
        <f t="shared" si="0"/>
        <v>94.975166070262716</v>
      </c>
      <c r="R57" s="93"/>
      <c r="S57" s="93">
        <f t="shared" si="4"/>
        <v>0.77826169599100847</v>
      </c>
      <c r="T57" s="93"/>
    </row>
    <row r="58" spans="1:20" ht="14.25" customHeight="1" x14ac:dyDescent="0.35">
      <c r="A58" s="1">
        <v>2024</v>
      </c>
      <c r="B58" s="1" t="s">
        <v>23</v>
      </c>
      <c r="C58" s="1">
        <v>25</v>
      </c>
      <c r="D58" s="12">
        <v>94.125</v>
      </c>
      <c r="E58" s="13">
        <v>80</v>
      </c>
      <c r="F58" s="21">
        <v>75.113</v>
      </c>
      <c r="G58" s="22">
        <v>1761.7380000000001</v>
      </c>
      <c r="H58" s="13">
        <v>6.9</v>
      </c>
      <c r="I58" s="23">
        <v>2.5000000000000001E-2</v>
      </c>
      <c r="J58" s="13">
        <v>7.3070000000000004</v>
      </c>
      <c r="K58" s="24">
        <v>25.323</v>
      </c>
      <c r="L58" s="13">
        <v>5.2709999999999999</v>
      </c>
      <c r="M58" s="23">
        <v>1.2999999999999999E-2</v>
      </c>
      <c r="N58" s="22">
        <v>105.813</v>
      </c>
      <c r="O58" s="25">
        <v>5.2999999999999999E-2</v>
      </c>
      <c r="P58" s="26">
        <v>3.64</v>
      </c>
      <c r="Q58" s="93">
        <f t="shared" si="0"/>
        <v>94.927765220696998</v>
      </c>
      <c r="R58" s="93"/>
      <c r="S58" s="93">
        <f t="shared" si="4"/>
        <v>0.7778732758691933</v>
      </c>
      <c r="T58" s="93"/>
    </row>
    <row r="59" spans="1:20" ht="14.25" customHeight="1" x14ac:dyDescent="0.35">
      <c r="A59" s="1">
        <v>2024</v>
      </c>
      <c r="B59" s="1" t="s">
        <v>23</v>
      </c>
      <c r="C59" s="1">
        <v>26</v>
      </c>
      <c r="D59" s="12">
        <v>94.233999999999995</v>
      </c>
      <c r="E59" s="13">
        <v>79.968999999999994</v>
      </c>
      <c r="F59" s="21">
        <v>74.884</v>
      </c>
      <c r="G59" s="22">
        <v>1717.7650000000001</v>
      </c>
      <c r="H59" s="13">
        <v>6.9</v>
      </c>
      <c r="I59" s="23">
        <v>2.5000000000000001E-2</v>
      </c>
      <c r="J59" s="13">
        <v>7.4829999999999997</v>
      </c>
      <c r="K59" s="24">
        <v>25.718</v>
      </c>
      <c r="L59" s="13">
        <v>5.3</v>
      </c>
      <c r="M59" s="23">
        <v>1.2999999999999999E-2</v>
      </c>
      <c r="N59" s="22">
        <v>98.561999999999998</v>
      </c>
      <c r="O59" s="25">
        <v>5.6000000000000001E-2</v>
      </c>
      <c r="P59" s="26">
        <v>1.837</v>
      </c>
      <c r="Q59" s="93">
        <f t="shared" si="0"/>
        <v>95.037694850540888</v>
      </c>
      <c r="R59" s="93"/>
      <c r="S59" s="93">
        <f t="shared" si="4"/>
        <v>0.77877407998148807</v>
      </c>
      <c r="T59" s="93"/>
    </row>
    <row r="60" spans="1:20" ht="14.25" customHeight="1" x14ac:dyDescent="0.35">
      <c r="A60" s="1">
        <v>2024</v>
      </c>
      <c r="B60" s="1" t="s">
        <v>23</v>
      </c>
      <c r="C60" s="1">
        <v>27</v>
      </c>
      <c r="D60" s="12">
        <v>94.171999999999997</v>
      </c>
      <c r="E60" s="13">
        <v>79.875</v>
      </c>
      <c r="F60" s="21">
        <v>75.016999999999996</v>
      </c>
      <c r="G60" s="22">
        <v>1769.701</v>
      </c>
      <c r="H60" s="13">
        <v>6.9</v>
      </c>
      <c r="I60" s="23">
        <v>2.5000000000000001E-2</v>
      </c>
      <c r="J60" s="13">
        <v>7.5670000000000002</v>
      </c>
      <c r="K60" s="24">
        <v>26.477</v>
      </c>
      <c r="L60" s="13">
        <v>5.2949999999999999</v>
      </c>
      <c r="M60" s="23">
        <v>1.2999999999999999E-2</v>
      </c>
      <c r="N60" s="22">
        <v>98.819000000000003</v>
      </c>
      <c r="O60" s="25">
        <v>6.4000000000000001E-2</v>
      </c>
      <c r="P60" s="26">
        <v>0.47299999999999998</v>
      </c>
      <c r="Q60" s="93">
        <f t="shared" si="0"/>
        <v>94.975166070262716</v>
      </c>
      <c r="R60" s="93"/>
      <c r="S60" s="93">
        <f t="shared" si="4"/>
        <v>0.77826169599100847</v>
      </c>
      <c r="T60" s="93"/>
    </row>
    <row r="61" spans="1:20" ht="14.25" customHeight="1" x14ac:dyDescent="0.35">
      <c r="A61" s="1">
        <v>2024</v>
      </c>
      <c r="B61" s="1" t="s">
        <v>23</v>
      </c>
      <c r="C61" s="1">
        <v>28</v>
      </c>
      <c r="D61" s="12">
        <v>94.218999999999994</v>
      </c>
      <c r="E61" s="13">
        <v>79.968999999999994</v>
      </c>
      <c r="F61" s="21">
        <v>75.236000000000004</v>
      </c>
      <c r="G61" s="22">
        <v>1785.42</v>
      </c>
      <c r="H61" s="13">
        <v>6.9</v>
      </c>
      <c r="I61" s="23">
        <v>2.5000000000000001E-2</v>
      </c>
      <c r="J61" s="13">
        <v>7.43</v>
      </c>
      <c r="K61" s="24">
        <v>26.113299999999999</v>
      </c>
      <c r="L61" s="13">
        <v>5.2462999999999997</v>
      </c>
      <c r="M61" s="23">
        <v>1.3299999999999999E-2</v>
      </c>
      <c r="N61" s="22">
        <v>111.8232</v>
      </c>
      <c r="O61" s="25">
        <v>5.91E-2</v>
      </c>
      <c r="P61" s="26">
        <v>0.47599999999999998</v>
      </c>
      <c r="Q61" s="93">
        <f t="shared" si="0"/>
        <v>95.022566919828435</v>
      </c>
      <c r="R61" s="93"/>
      <c r="S61" s="93">
        <f t="shared" si="4"/>
        <v>0.77865011611282364</v>
      </c>
      <c r="T61" s="93"/>
    </row>
    <row r="62" spans="1:20" ht="14.25" customHeight="1" x14ac:dyDescent="0.35">
      <c r="A62" s="1">
        <v>2024</v>
      </c>
      <c r="B62" s="1" t="s">
        <v>23</v>
      </c>
      <c r="C62" s="1">
        <v>29</v>
      </c>
      <c r="D62" s="34">
        <v>94.218999999999994</v>
      </c>
      <c r="E62" s="35">
        <v>80.031000000000006</v>
      </c>
      <c r="F62" s="21">
        <v>75.266999999999996</v>
      </c>
      <c r="G62" s="22">
        <v>1776.771</v>
      </c>
      <c r="H62" s="13">
        <v>6.9</v>
      </c>
      <c r="I62" s="23">
        <v>2.5999999999999999E-2</v>
      </c>
      <c r="J62" s="13">
        <v>7.3680000000000003</v>
      </c>
      <c r="K62" s="24">
        <v>25.635000000000002</v>
      </c>
      <c r="L62" s="13">
        <v>5.2792000000000003</v>
      </c>
      <c r="M62" s="23">
        <v>1.3299999999999999E-2</v>
      </c>
      <c r="N62" s="22">
        <v>103.5005</v>
      </c>
      <c r="O62" s="25">
        <v>5.5100000000000003E-2</v>
      </c>
      <c r="P62" s="26">
        <v>0.47899999999999998</v>
      </c>
      <c r="Q62" s="93">
        <f t="shared" si="0"/>
        <v>95.022566919828435</v>
      </c>
      <c r="R62" s="93"/>
      <c r="S62" s="93">
        <f t="shared" si="4"/>
        <v>0.77865011611282364</v>
      </c>
      <c r="T62" s="93"/>
    </row>
    <row r="63" spans="1:20" ht="14.25" customHeight="1" x14ac:dyDescent="0.35">
      <c r="A63" s="1">
        <v>2024</v>
      </c>
      <c r="B63" s="1" t="s">
        <v>25</v>
      </c>
      <c r="C63" s="1">
        <v>1</v>
      </c>
      <c r="D63" s="12">
        <v>94.203000000000003</v>
      </c>
      <c r="E63" s="13">
        <v>79.968999999999994</v>
      </c>
      <c r="F63" s="14">
        <v>75.325000000000003</v>
      </c>
      <c r="G63" s="15">
        <v>1751.0920000000001</v>
      </c>
      <c r="H63" s="16">
        <v>6.9</v>
      </c>
      <c r="I63" s="17">
        <v>2.5999999999999999E-2</v>
      </c>
      <c r="J63" s="16">
        <v>8.016</v>
      </c>
      <c r="K63" s="18">
        <v>24.831700000000001</v>
      </c>
      <c r="L63" s="16">
        <v>5.2275</v>
      </c>
      <c r="M63" s="17">
        <v>1.32E-2</v>
      </c>
      <c r="N63" s="15">
        <v>117.4593</v>
      </c>
      <c r="O63" s="19">
        <v>5.3999999999999999E-2</v>
      </c>
      <c r="P63" s="20">
        <v>0.63</v>
      </c>
      <c r="Q63" s="93">
        <v>127.23399999999999</v>
      </c>
      <c r="R63" s="243">
        <f>N5+O5</f>
        <v>127.496</v>
      </c>
      <c r="S63" s="93">
        <f t="shared" ref="S63:S317" si="5">D63/$R$63</f>
        <v>0.73887023906632365</v>
      </c>
      <c r="T63" s="93"/>
    </row>
    <row r="64" spans="1:20" ht="14.25" customHeight="1" x14ac:dyDescent="0.35">
      <c r="A64" s="1">
        <v>2024</v>
      </c>
      <c r="B64" s="1" t="s">
        <v>25</v>
      </c>
      <c r="C64" s="1">
        <v>2</v>
      </c>
      <c r="D64" s="12">
        <v>94.188000000000002</v>
      </c>
      <c r="E64" s="13">
        <v>80.031000000000006</v>
      </c>
      <c r="F64" s="21">
        <v>74.798000000000002</v>
      </c>
      <c r="G64" s="22">
        <v>1714.8019999999999</v>
      </c>
      <c r="H64" s="13">
        <v>6.9</v>
      </c>
      <c r="I64" s="23">
        <v>2.5999999999999999E-2</v>
      </c>
      <c r="J64" s="13">
        <v>8.3490000000000002</v>
      </c>
      <c r="K64" s="24">
        <v>23.788</v>
      </c>
      <c r="L64" s="13">
        <v>5.1849999999999996</v>
      </c>
      <c r="M64" s="23">
        <v>1.2999999999999999E-2</v>
      </c>
      <c r="N64" s="22">
        <v>128.34700000000001</v>
      </c>
      <c r="O64" s="25">
        <v>5.2999999999999999E-2</v>
      </c>
      <c r="P64" s="26">
        <v>0.88400000000000001</v>
      </c>
      <c r="Q64" s="93">
        <f>R63*$S$64</f>
        <v>94.188000000000002</v>
      </c>
      <c r="R64" s="93"/>
      <c r="S64" s="93">
        <f t="shared" si="5"/>
        <v>0.73875258831649626</v>
      </c>
      <c r="T64" s="93"/>
    </row>
    <row r="65" spans="1:20" ht="14.25" customHeight="1" x14ac:dyDescent="0.35">
      <c r="A65" s="1">
        <v>2024</v>
      </c>
      <c r="B65" s="1" t="s">
        <v>25</v>
      </c>
      <c r="C65" s="1">
        <v>3</v>
      </c>
      <c r="D65" s="12">
        <v>94.233999999999995</v>
      </c>
      <c r="E65" s="13">
        <v>80</v>
      </c>
      <c r="F65" s="21">
        <v>74.704999999999998</v>
      </c>
      <c r="G65" s="22">
        <v>1660.9280000000001</v>
      </c>
      <c r="H65" s="13">
        <v>6.9</v>
      </c>
      <c r="I65" s="23">
        <v>2.5999999999999999E-2</v>
      </c>
      <c r="J65" s="13">
        <v>8.36</v>
      </c>
      <c r="K65" s="24">
        <v>22.704000000000001</v>
      </c>
      <c r="L65" s="13">
        <v>5.1820000000000004</v>
      </c>
      <c r="M65" s="23">
        <v>1.2999999999999999E-2</v>
      </c>
      <c r="N65" s="22">
        <v>129.51</v>
      </c>
      <c r="O65" s="25">
        <v>0.05</v>
      </c>
      <c r="P65" s="26">
        <v>0.873</v>
      </c>
      <c r="Q65" s="93">
        <v>95.012299999999996</v>
      </c>
      <c r="R65" s="93"/>
      <c r="S65" s="93">
        <f t="shared" si="5"/>
        <v>0.73911338394930037</v>
      </c>
      <c r="T65" s="93"/>
    </row>
    <row r="66" spans="1:20" ht="14.25" customHeight="1" x14ac:dyDescent="0.35">
      <c r="A66" s="1">
        <v>2024</v>
      </c>
      <c r="B66" s="1" t="s">
        <v>25</v>
      </c>
      <c r="C66" s="1">
        <v>4</v>
      </c>
      <c r="D66" s="12">
        <v>94.203000000000003</v>
      </c>
      <c r="E66" s="13">
        <v>79.968999999999994</v>
      </c>
      <c r="F66" s="21">
        <v>74.736999999999995</v>
      </c>
      <c r="G66" s="22">
        <v>1652.723</v>
      </c>
      <c r="H66" s="13">
        <v>6.9</v>
      </c>
      <c r="I66" s="23">
        <v>2.5999999999999999E-2</v>
      </c>
      <c r="J66" s="13">
        <v>8.4930000000000003</v>
      </c>
      <c r="K66" s="24">
        <v>22.2</v>
      </c>
      <c r="L66" s="13">
        <v>5.1840000000000002</v>
      </c>
      <c r="M66" s="23">
        <v>1.2999999999999999E-2</v>
      </c>
      <c r="N66" s="22">
        <v>128.99</v>
      </c>
      <c r="O66" s="25">
        <v>0.05</v>
      </c>
      <c r="P66" s="26">
        <v>0.81100000000000005</v>
      </c>
      <c r="Q66" s="93">
        <v>99.012299999999996</v>
      </c>
      <c r="R66" s="93"/>
      <c r="S66" s="93">
        <f t="shared" si="5"/>
        <v>0.73887023906632365</v>
      </c>
      <c r="T66" s="93"/>
    </row>
    <row r="67" spans="1:20" ht="14.25" customHeight="1" x14ac:dyDescent="0.35">
      <c r="A67" s="1">
        <v>2024</v>
      </c>
      <c r="B67" s="1" t="s">
        <v>25</v>
      </c>
      <c r="C67" s="1">
        <v>5</v>
      </c>
      <c r="D67" s="12">
        <v>94.25</v>
      </c>
      <c r="E67" s="13">
        <v>80</v>
      </c>
      <c r="F67" s="21">
        <v>74.944999999999993</v>
      </c>
      <c r="G67" s="22">
        <v>1719.1279999999999</v>
      </c>
      <c r="H67" s="13">
        <v>6.9</v>
      </c>
      <c r="I67" s="23">
        <v>2.7E-2</v>
      </c>
      <c r="J67" s="13">
        <v>8.6280000000000001</v>
      </c>
      <c r="K67" s="24">
        <v>23.442</v>
      </c>
      <c r="L67" s="13">
        <v>5.181</v>
      </c>
      <c r="M67" s="23">
        <v>1.2999999999999999E-2</v>
      </c>
      <c r="N67" s="22">
        <v>130.261</v>
      </c>
      <c r="O67" s="25">
        <v>5.1999999999999998E-2</v>
      </c>
      <c r="P67" s="26">
        <v>0.81100000000000005</v>
      </c>
      <c r="Q67" s="93">
        <v>130.32429999999999</v>
      </c>
      <c r="R67" s="93"/>
      <c r="S67" s="93">
        <f t="shared" si="5"/>
        <v>0.7392388780824497</v>
      </c>
      <c r="T67" s="93"/>
    </row>
    <row r="68" spans="1:20" ht="14.25" customHeight="1" x14ac:dyDescent="0.35">
      <c r="A68" s="1">
        <v>2024</v>
      </c>
      <c r="B68" s="1" t="s">
        <v>25</v>
      </c>
      <c r="C68" s="1">
        <v>6</v>
      </c>
      <c r="D68" s="12">
        <v>63.140999999999998</v>
      </c>
      <c r="E68" s="13">
        <v>53.625</v>
      </c>
      <c r="F68" s="21">
        <v>74.978999999999999</v>
      </c>
      <c r="G68" s="22">
        <v>1739.2860000000001</v>
      </c>
      <c r="H68" s="13">
        <v>6.9</v>
      </c>
      <c r="I68" s="23">
        <v>2.5999999999999999E-2</v>
      </c>
      <c r="J68" s="13">
        <v>8.2919999999999998</v>
      </c>
      <c r="K68" s="24">
        <v>24.476400000000002</v>
      </c>
      <c r="L68" s="13">
        <v>5.1769999999999996</v>
      </c>
      <c r="M68" s="23">
        <v>1.3299999999999999E-2</v>
      </c>
      <c r="N68" s="22">
        <v>131.02000000000001</v>
      </c>
      <c r="O68" s="25">
        <v>5.1799999999999999E-2</v>
      </c>
      <c r="P68" s="26">
        <v>0.93200000000000005</v>
      </c>
      <c r="Q68" s="93">
        <v>124.0123</v>
      </c>
      <c r="R68" s="93"/>
      <c r="S68" s="93">
        <f t="shared" si="5"/>
        <v>0.49523906632364939</v>
      </c>
      <c r="T68" s="93"/>
    </row>
    <row r="69" spans="1:20" ht="14.25" customHeight="1" x14ac:dyDescent="0.35">
      <c r="A69" s="1">
        <v>2024</v>
      </c>
      <c r="B69" s="1" t="s">
        <v>25</v>
      </c>
      <c r="C69" s="1">
        <v>7</v>
      </c>
      <c r="D69" s="12">
        <v>42.734000000000002</v>
      </c>
      <c r="E69" s="13">
        <v>36.375</v>
      </c>
      <c r="F69" s="21">
        <v>74.387</v>
      </c>
      <c r="G69" s="22">
        <v>1690.585</v>
      </c>
      <c r="H69" s="13">
        <v>6.9</v>
      </c>
      <c r="I69" s="23">
        <v>2.5999999999999999E-2</v>
      </c>
      <c r="J69" s="13">
        <v>7.9569999999999999</v>
      </c>
      <c r="K69" s="24">
        <v>23.705500000000001</v>
      </c>
      <c r="L69" s="13">
        <v>5.1775000000000002</v>
      </c>
      <c r="M69" s="23">
        <v>1.32E-2</v>
      </c>
      <c r="N69" s="22">
        <v>131.376</v>
      </c>
      <c r="O69" s="25">
        <v>4.7E-2</v>
      </c>
      <c r="P69" s="26">
        <v>0.82599999999999996</v>
      </c>
      <c r="Q69" s="93">
        <v>90.344999999999999</v>
      </c>
      <c r="R69" s="93"/>
      <c r="S69" s="93">
        <f t="shared" si="5"/>
        <v>0.33517914287507061</v>
      </c>
      <c r="T69" s="93"/>
    </row>
    <row r="70" spans="1:20" ht="14.25" customHeight="1" x14ac:dyDescent="0.35">
      <c r="A70" s="1">
        <v>2024</v>
      </c>
      <c r="B70" s="1" t="s">
        <v>25</v>
      </c>
      <c r="C70" s="1">
        <v>8</v>
      </c>
      <c r="D70" s="12">
        <v>41.063000000000002</v>
      </c>
      <c r="E70" s="13">
        <v>35.030999999999999</v>
      </c>
      <c r="F70" s="21">
        <v>74.852000000000004</v>
      </c>
      <c r="G70" s="22">
        <v>1750.3989999999999</v>
      </c>
      <c r="H70" s="13">
        <v>6.9</v>
      </c>
      <c r="I70" s="23">
        <v>2.7E-2</v>
      </c>
      <c r="J70" s="13">
        <v>8.34</v>
      </c>
      <c r="K70" s="24">
        <v>23.329799999999999</v>
      </c>
      <c r="L70" s="13">
        <v>4.9766000000000004</v>
      </c>
      <c r="M70" s="23">
        <v>1.3299999999999999E-2</v>
      </c>
      <c r="N70" s="22">
        <v>213.75020000000001</v>
      </c>
      <c r="O70" s="25">
        <v>6.2300000000000001E-2</v>
      </c>
      <c r="P70" s="26">
        <v>0.76700000000000002</v>
      </c>
      <c r="Q70" s="93">
        <v>98.341999999999999</v>
      </c>
      <c r="R70" s="93"/>
      <c r="S70" s="93">
        <f t="shared" si="5"/>
        <v>0.3220728493442932</v>
      </c>
      <c r="T70" s="93"/>
    </row>
    <row r="71" spans="1:20" ht="14.25" customHeight="1" x14ac:dyDescent="0.35">
      <c r="A71" s="1">
        <v>2024</v>
      </c>
      <c r="B71" s="1" t="s">
        <v>25</v>
      </c>
      <c r="C71" s="1">
        <v>9</v>
      </c>
      <c r="D71" s="12">
        <v>41.078000000000003</v>
      </c>
      <c r="E71" s="13">
        <v>34.969000000000001</v>
      </c>
      <c r="F71" s="21">
        <v>75.052999999999997</v>
      </c>
      <c r="G71" s="22">
        <v>1730.65</v>
      </c>
      <c r="H71" s="13">
        <v>6.9</v>
      </c>
      <c r="I71" s="23">
        <v>2.8000000000000001E-2</v>
      </c>
      <c r="J71" s="13">
        <v>8.3469999999999995</v>
      </c>
      <c r="K71" s="24">
        <v>22.9587</v>
      </c>
      <c r="L71" s="13">
        <v>4.8403999999999998</v>
      </c>
      <c r="M71" s="23">
        <v>1.3299999999999999E-2</v>
      </c>
      <c r="N71" s="22">
        <v>287.7928</v>
      </c>
      <c r="O71" s="25">
        <v>4.8399999999999999E-2</v>
      </c>
      <c r="P71" s="26">
        <v>0.80800000000000005</v>
      </c>
      <c r="Q71" s="93">
        <v>78.986999999999995</v>
      </c>
      <c r="R71" s="93"/>
      <c r="S71" s="93">
        <f t="shared" si="5"/>
        <v>0.32219050009412065</v>
      </c>
      <c r="T71" s="93"/>
    </row>
    <row r="72" spans="1:20" ht="14.25" customHeight="1" x14ac:dyDescent="0.35">
      <c r="A72" s="1">
        <v>2024</v>
      </c>
      <c r="B72" s="1" t="s">
        <v>25</v>
      </c>
      <c r="C72" s="1">
        <v>10</v>
      </c>
      <c r="D72" s="12">
        <v>39.328000000000003</v>
      </c>
      <c r="E72" s="13">
        <v>33.563000000000002</v>
      </c>
      <c r="F72" s="27">
        <v>75.203000000000003</v>
      </c>
      <c r="G72" s="22">
        <v>1678.914</v>
      </c>
      <c r="H72" s="13">
        <v>6.9</v>
      </c>
      <c r="I72" s="23">
        <v>2.5999999999999999E-2</v>
      </c>
      <c r="J72" s="28">
        <v>8.3819999999999997</v>
      </c>
      <c r="K72" s="24">
        <v>22.071999999999999</v>
      </c>
      <c r="L72" s="13">
        <v>4.8289999999999997</v>
      </c>
      <c r="M72" s="29">
        <v>1.2999999999999999E-2</v>
      </c>
      <c r="N72" s="22">
        <v>295.40199999999999</v>
      </c>
      <c r="O72" s="30">
        <v>4.7E-2</v>
      </c>
      <c r="P72" s="31">
        <v>0.73199999999999998</v>
      </c>
      <c r="Q72" s="93">
        <v>110</v>
      </c>
      <c r="R72" s="93"/>
      <c r="S72" s="93">
        <f t="shared" si="5"/>
        <v>0.30846457928091864</v>
      </c>
      <c r="T72" s="93"/>
    </row>
    <row r="73" spans="1:20" ht="14.25" customHeight="1" x14ac:dyDescent="0.35">
      <c r="A73" s="1">
        <v>2024</v>
      </c>
      <c r="B73" s="1" t="s">
        <v>25</v>
      </c>
      <c r="C73" s="1">
        <v>11</v>
      </c>
      <c r="D73" s="12">
        <v>41.078000000000003</v>
      </c>
      <c r="E73" s="13">
        <v>35</v>
      </c>
      <c r="F73" s="27">
        <v>75.123000000000005</v>
      </c>
      <c r="G73" s="22">
        <v>1679.93</v>
      </c>
      <c r="H73" s="13">
        <v>6.9</v>
      </c>
      <c r="I73" s="23">
        <v>2.5999999999999999E-2</v>
      </c>
      <c r="J73" s="28">
        <v>8.7010000000000005</v>
      </c>
      <c r="K73" s="24">
        <v>22.052</v>
      </c>
      <c r="L73" s="13">
        <v>4.8419999999999996</v>
      </c>
      <c r="M73" s="29">
        <v>1.2999999999999999E-2</v>
      </c>
      <c r="N73" s="22">
        <v>288.56</v>
      </c>
      <c r="O73" s="30">
        <v>4.5999999999999999E-2</v>
      </c>
      <c r="P73" s="31">
        <v>0.75900000000000001</v>
      </c>
      <c r="Q73" s="93">
        <v>100</v>
      </c>
      <c r="R73" s="93"/>
      <c r="S73" s="93">
        <f t="shared" si="5"/>
        <v>0.32219050009412065</v>
      </c>
      <c r="T73" s="93"/>
    </row>
    <row r="74" spans="1:20" ht="14.25" customHeight="1" x14ac:dyDescent="0.35">
      <c r="A74" s="1">
        <v>2024</v>
      </c>
      <c r="B74" s="1" t="s">
        <v>25</v>
      </c>
      <c r="C74" s="1">
        <v>12</v>
      </c>
      <c r="D74" s="12">
        <v>41.063000000000002</v>
      </c>
      <c r="E74" s="13">
        <v>34.969000000000001</v>
      </c>
      <c r="F74" s="27">
        <v>75.397999999999996</v>
      </c>
      <c r="G74" s="22">
        <v>1720.2940000000001</v>
      </c>
      <c r="H74" s="13">
        <v>6.9</v>
      </c>
      <c r="I74" s="23">
        <v>2.5999999999999999E-2</v>
      </c>
      <c r="J74" s="28">
        <v>8.5250000000000004</v>
      </c>
      <c r="K74" s="24">
        <v>22.471</v>
      </c>
      <c r="L74" s="13">
        <v>4.8689999999999998</v>
      </c>
      <c r="M74" s="29">
        <v>1.2999999999999999E-2</v>
      </c>
      <c r="N74" s="22">
        <v>267.27</v>
      </c>
      <c r="O74" s="30">
        <v>5.5E-2</v>
      </c>
      <c r="P74" s="31">
        <v>0.66400000000000003</v>
      </c>
      <c r="Q74" s="93">
        <v>130</v>
      </c>
      <c r="R74" s="93"/>
      <c r="S74" s="93">
        <f t="shared" si="5"/>
        <v>0.3220728493442932</v>
      </c>
      <c r="T74" s="93"/>
    </row>
    <row r="75" spans="1:20" ht="14.25" customHeight="1" x14ac:dyDescent="0.35">
      <c r="A75" s="1">
        <v>2024</v>
      </c>
      <c r="B75" s="1" t="s">
        <v>25</v>
      </c>
      <c r="C75" s="1">
        <v>13</v>
      </c>
      <c r="D75" s="12">
        <v>41.219000000000001</v>
      </c>
      <c r="E75" s="13">
        <v>34.875</v>
      </c>
      <c r="F75" s="27">
        <v>75.558000000000007</v>
      </c>
      <c r="G75" s="22">
        <v>1771.404</v>
      </c>
      <c r="H75" s="13">
        <v>6.899</v>
      </c>
      <c r="I75" s="23">
        <v>3.2000000000000001E-2</v>
      </c>
      <c r="J75" s="28">
        <v>8.6880000000000006</v>
      </c>
      <c r="K75" s="24">
        <v>24.465599999999998</v>
      </c>
      <c r="L75" s="13">
        <v>4.8692000000000002</v>
      </c>
      <c r="M75" s="23">
        <v>1.34E-2</v>
      </c>
      <c r="N75" s="22">
        <v>267.49950000000001</v>
      </c>
      <c r="O75" s="30">
        <v>6.6799999999999998E-2</v>
      </c>
      <c r="P75" s="31">
        <v>0.81499999999999995</v>
      </c>
      <c r="Q75" s="93">
        <v>127</v>
      </c>
      <c r="R75" s="93"/>
      <c r="S75" s="93">
        <f t="shared" si="5"/>
        <v>0.32329641714249863</v>
      </c>
      <c r="T75" s="93"/>
    </row>
    <row r="76" spans="1:20" ht="14.25" customHeight="1" x14ac:dyDescent="0.35">
      <c r="A76" s="1">
        <v>2024</v>
      </c>
      <c r="B76" s="1" t="s">
        <v>25</v>
      </c>
      <c r="C76" s="1">
        <v>14</v>
      </c>
      <c r="D76" s="12">
        <v>41.328000000000003</v>
      </c>
      <c r="E76" s="13">
        <v>34.969000000000001</v>
      </c>
      <c r="F76" s="21">
        <v>75.231999999999999</v>
      </c>
      <c r="G76" s="22">
        <v>1766.846</v>
      </c>
      <c r="H76" s="13">
        <v>6.9</v>
      </c>
      <c r="I76" s="23">
        <v>2.7E-2</v>
      </c>
      <c r="J76" s="28">
        <v>8.6210000000000004</v>
      </c>
      <c r="K76" s="33">
        <v>30.574200000000001</v>
      </c>
      <c r="L76" s="13">
        <v>4.8266</v>
      </c>
      <c r="M76" s="23">
        <v>1.3299999999999999E-2</v>
      </c>
      <c r="N76" s="22">
        <v>294.13490000000002</v>
      </c>
      <c r="O76" s="30">
        <v>0.08</v>
      </c>
      <c r="P76" s="31">
        <v>0.93500000000000005</v>
      </c>
      <c r="Q76" s="93">
        <v>122</v>
      </c>
      <c r="R76" s="93"/>
      <c r="S76" s="93">
        <f t="shared" si="5"/>
        <v>0.32415134592457806</v>
      </c>
      <c r="T76" s="93"/>
    </row>
    <row r="77" spans="1:20" ht="14.25" customHeight="1" x14ac:dyDescent="0.35">
      <c r="A77" s="1">
        <v>2024</v>
      </c>
      <c r="B77" s="1" t="s">
        <v>25</v>
      </c>
      <c r="C77" s="1">
        <v>15</v>
      </c>
      <c r="D77" s="12">
        <v>41.453000000000003</v>
      </c>
      <c r="E77" s="13">
        <v>35</v>
      </c>
      <c r="F77" s="21">
        <v>75.132000000000005</v>
      </c>
      <c r="G77" s="22">
        <v>1756.31</v>
      </c>
      <c r="H77" s="13">
        <v>6.9</v>
      </c>
      <c r="I77" s="23">
        <v>2.7E-2</v>
      </c>
      <c r="J77" s="28">
        <v>8.593</v>
      </c>
      <c r="K77" s="24">
        <v>26.784500000000001</v>
      </c>
      <c r="L77" s="13">
        <v>5.1445999999999996</v>
      </c>
      <c r="M77" s="23">
        <v>1.2800000000000001E-2</v>
      </c>
      <c r="N77" s="22">
        <v>184.54400000000001</v>
      </c>
      <c r="O77" s="30">
        <v>5.8400000000000001E-2</v>
      </c>
      <c r="P77" s="31">
        <v>0.92400000000000004</v>
      </c>
      <c r="Q77" s="93">
        <v>123</v>
      </c>
      <c r="R77" s="93"/>
      <c r="S77" s="93">
        <f t="shared" si="5"/>
        <v>0.32513176883980677</v>
      </c>
      <c r="T77" s="93"/>
    </row>
    <row r="78" spans="1:20" ht="14.25" customHeight="1" x14ac:dyDescent="0.35">
      <c r="A78" s="1">
        <v>2024</v>
      </c>
      <c r="B78" s="1" t="s">
        <v>25</v>
      </c>
      <c r="C78" s="1">
        <v>16</v>
      </c>
      <c r="D78" s="12">
        <v>41.421999999999997</v>
      </c>
      <c r="E78" s="13">
        <v>35</v>
      </c>
      <c r="F78" s="21">
        <v>75.540000000000006</v>
      </c>
      <c r="G78" s="22">
        <v>1716.2260000000001</v>
      </c>
      <c r="H78" s="13">
        <v>6.9</v>
      </c>
      <c r="I78" s="23">
        <v>2.5999999999999999E-2</v>
      </c>
      <c r="J78" s="28">
        <v>8.6590000000000007</v>
      </c>
      <c r="K78" s="24">
        <v>25.306000000000001</v>
      </c>
      <c r="L78" s="13">
        <v>5.3460000000000001</v>
      </c>
      <c r="M78" s="23">
        <v>1.2999999999999999E-2</v>
      </c>
      <c r="N78" s="22">
        <v>88.543000000000006</v>
      </c>
      <c r="O78" s="30">
        <v>5.6000000000000001E-2</v>
      </c>
      <c r="P78" s="31">
        <v>0.86799999999999999</v>
      </c>
      <c r="Q78" s="93">
        <v>100</v>
      </c>
      <c r="R78" s="93"/>
      <c r="S78" s="93">
        <f t="shared" si="5"/>
        <v>0.32488862395682999</v>
      </c>
      <c r="T78" s="93"/>
    </row>
    <row r="79" spans="1:20" ht="14.25" customHeight="1" x14ac:dyDescent="0.35">
      <c r="A79" s="1">
        <v>2024</v>
      </c>
      <c r="B79" s="1" t="s">
        <v>25</v>
      </c>
      <c r="C79" s="1">
        <v>17</v>
      </c>
      <c r="D79" s="12">
        <v>34.780999999999999</v>
      </c>
      <c r="E79" s="13">
        <v>29.125</v>
      </c>
      <c r="F79" s="21">
        <v>75.558000000000007</v>
      </c>
      <c r="G79" s="22">
        <v>1665.8889999999999</v>
      </c>
      <c r="H79" s="13">
        <v>6.7809999999999997</v>
      </c>
      <c r="I79" s="23">
        <v>2.7E-2</v>
      </c>
      <c r="J79" s="13">
        <v>8.5060000000000002</v>
      </c>
      <c r="K79" s="24">
        <v>34.085000000000001</v>
      </c>
      <c r="L79" s="13">
        <v>5.266</v>
      </c>
      <c r="M79" s="23">
        <v>1.2999999999999999E-2</v>
      </c>
      <c r="N79" s="22">
        <v>423.53500000000003</v>
      </c>
      <c r="O79" s="25">
        <v>5.8000000000000003E-2</v>
      </c>
      <c r="P79" s="26">
        <v>0.50800000000000001</v>
      </c>
      <c r="Q79" s="93">
        <v>80</v>
      </c>
      <c r="R79" s="93"/>
      <c r="S79" s="93">
        <f t="shared" si="5"/>
        <v>0.27280071531655897</v>
      </c>
      <c r="T79" s="93"/>
    </row>
    <row r="80" spans="1:20" ht="14.25" customHeight="1" x14ac:dyDescent="0.35">
      <c r="A80" s="1">
        <v>2024</v>
      </c>
      <c r="B80" s="1" t="s">
        <v>25</v>
      </c>
      <c r="C80" s="1">
        <v>18</v>
      </c>
      <c r="D80" s="12">
        <v>41.328000000000003</v>
      </c>
      <c r="E80" s="13">
        <v>35</v>
      </c>
      <c r="F80" s="21">
        <v>75.686000000000007</v>
      </c>
      <c r="G80" s="22">
        <v>1636.0340000000001</v>
      </c>
      <c r="H80" s="13">
        <v>6.9</v>
      </c>
      <c r="I80" s="23">
        <v>2.5999999999999999E-2</v>
      </c>
      <c r="J80" s="13">
        <v>8.8019999999999996</v>
      </c>
      <c r="K80" s="24">
        <v>23.385999999999999</v>
      </c>
      <c r="L80" s="13">
        <v>5.3719999999999999</v>
      </c>
      <c r="M80" s="23">
        <v>1.2999999999999999E-2</v>
      </c>
      <c r="N80" s="22">
        <v>83.381</v>
      </c>
      <c r="O80" s="25">
        <v>5.1999999999999998E-2</v>
      </c>
      <c r="P80" s="26">
        <v>0.443</v>
      </c>
      <c r="Q80" s="93">
        <v>90</v>
      </c>
      <c r="R80" s="93"/>
      <c r="S80" s="93">
        <f t="shared" si="5"/>
        <v>0.32415134592457806</v>
      </c>
      <c r="T80" s="93"/>
    </row>
    <row r="81" spans="1:20" ht="14.25" customHeight="1" x14ac:dyDescent="0.35">
      <c r="A81" s="1">
        <v>2024</v>
      </c>
      <c r="B81" s="1" t="s">
        <v>25</v>
      </c>
      <c r="C81" s="1">
        <v>19</v>
      </c>
      <c r="D81" s="12">
        <v>41.344000000000001</v>
      </c>
      <c r="E81" s="13">
        <v>35</v>
      </c>
      <c r="F81" s="21">
        <v>75.972999999999999</v>
      </c>
      <c r="G81" s="22">
        <v>1690.635</v>
      </c>
      <c r="H81" s="13">
        <v>6.9</v>
      </c>
      <c r="I81" s="23">
        <v>2.5999999999999999E-2</v>
      </c>
      <c r="J81" s="13">
        <v>8.4659999999999993</v>
      </c>
      <c r="K81" s="24">
        <v>23.507000000000001</v>
      </c>
      <c r="L81" s="13">
        <v>5.3739999999999997</v>
      </c>
      <c r="M81" s="23">
        <v>1.2999999999999999E-2</v>
      </c>
      <c r="N81" s="22">
        <v>82.819000000000003</v>
      </c>
      <c r="O81" s="25">
        <v>5.5E-2</v>
      </c>
      <c r="P81" s="26">
        <v>0.50600000000000001</v>
      </c>
      <c r="Q81" s="93">
        <v>94</v>
      </c>
      <c r="R81" s="93"/>
      <c r="S81" s="93">
        <f t="shared" si="5"/>
        <v>0.32427684005772733</v>
      </c>
      <c r="T81" s="93"/>
    </row>
    <row r="82" spans="1:20" ht="14.25" customHeight="1" x14ac:dyDescent="0.35">
      <c r="A82" s="1">
        <v>2024</v>
      </c>
      <c r="B82" s="1" t="s">
        <v>25</v>
      </c>
      <c r="C82" s="1">
        <v>20</v>
      </c>
      <c r="D82" s="12">
        <v>41.328000000000003</v>
      </c>
      <c r="E82" s="13">
        <v>35.030999999999999</v>
      </c>
      <c r="F82" s="21">
        <v>76.278999999999996</v>
      </c>
      <c r="G82" s="22">
        <v>1744.462</v>
      </c>
      <c r="H82" s="13">
        <v>6.9</v>
      </c>
      <c r="I82" s="23">
        <v>2.5999999999999999E-2</v>
      </c>
      <c r="J82" s="13">
        <v>7.91</v>
      </c>
      <c r="K82" s="24">
        <v>24.1906</v>
      </c>
      <c r="L82" s="13">
        <v>5.3807999999999998</v>
      </c>
      <c r="M82" s="23">
        <v>1.2699999999999999E-2</v>
      </c>
      <c r="N82" s="22">
        <v>82.089299999999994</v>
      </c>
      <c r="O82" s="25">
        <v>6.0100000000000001E-2</v>
      </c>
      <c r="P82" s="26">
        <v>0.59799999999999998</v>
      </c>
      <c r="Q82" s="93">
        <v>97</v>
      </c>
      <c r="R82" s="93"/>
      <c r="S82" s="93">
        <f t="shared" si="5"/>
        <v>0.32415134592457806</v>
      </c>
      <c r="T82" s="93"/>
    </row>
    <row r="83" spans="1:20" ht="14.25" customHeight="1" x14ac:dyDescent="0.35">
      <c r="A83" s="1">
        <v>2024</v>
      </c>
      <c r="B83" s="1" t="s">
        <v>25</v>
      </c>
      <c r="C83" s="1">
        <v>21</v>
      </c>
      <c r="D83" s="12">
        <v>41.296999999999997</v>
      </c>
      <c r="E83" s="13">
        <v>35</v>
      </c>
      <c r="F83" s="21">
        <v>76.332999999999998</v>
      </c>
      <c r="G83" s="22">
        <v>1733.441</v>
      </c>
      <c r="H83" s="13">
        <v>6.9</v>
      </c>
      <c r="I83" s="23">
        <v>2.5999999999999999E-2</v>
      </c>
      <c r="J83" s="13">
        <v>7.8620000000000001</v>
      </c>
      <c r="K83" s="24">
        <v>24.301400000000001</v>
      </c>
      <c r="L83" s="13">
        <v>5.1624999999999996</v>
      </c>
      <c r="M83" s="23">
        <v>1.26E-2</v>
      </c>
      <c r="N83" s="22">
        <v>142.89279999999999</v>
      </c>
      <c r="O83" s="25">
        <v>6.4500000000000002E-2</v>
      </c>
      <c r="P83" s="26">
        <v>0.871</v>
      </c>
      <c r="Q83" s="93">
        <v>98</v>
      </c>
      <c r="R83" s="93"/>
      <c r="S83" s="93">
        <f t="shared" si="5"/>
        <v>0.32390820104160128</v>
      </c>
      <c r="T83" s="93"/>
    </row>
    <row r="84" spans="1:20" ht="14.25" customHeight="1" x14ac:dyDescent="0.35">
      <c r="A84" s="1">
        <v>2024</v>
      </c>
      <c r="B84" s="1" t="s">
        <v>25</v>
      </c>
      <c r="C84" s="1">
        <v>22</v>
      </c>
      <c r="D84" s="12">
        <v>59.063000000000002</v>
      </c>
      <c r="E84" s="13">
        <v>49.875</v>
      </c>
      <c r="F84" s="21">
        <v>76.372</v>
      </c>
      <c r="G84" s="22">
        <v>1736.779</v>
      </c>
      <c r="H84" s="13">
        <v>6.9</v>
      </c>
      <c r="I84" s="23">
        <v>2.5999999999999999E-2</v>
      </c>
      <c r="J84" s="13">
        <v>8.0820000000000007</v>
      </c>
      <c r="K84" s="24">
        <v>24.710699999999999</v>
      </c>
      <c r="L84" s="13">
        <v>5.0559000000000003</v>
      </c>
      <c r="M84" s="23">
        <v>1.2699999999999999E-2</v>
      </c>
      <c r="N84" s="22">
        <v>173.74539999999999</v>
      </c>
      <c r="O84" s="25">
        <v>6.1600000000000002E-2</v>
      </c>
      <c r="P84" s="26">
        <v>0.92300000000000004</v>
      </c>
      <c r="Q84" s="93">
        <v>123</v>
      </c>
      <c r="R84" s="93"/>
      <c r="S84" s="93">
        <f t="shared" si="5"/>
        <v>0.46325374913722789</v>
      </c>
      <c r="T84" s="93"/>
    </row>
    <row r="85" spans="1:20" ht="14.25" customHeight="1" x14ac:dyDescent="0.35">
      <c r="A85" s="1">
        <v>2024</v>
      </c>
      <c r="B85" s="1" t="s">
        <v>25</v>
      </c>
      <c r="C85" s="1">
        <v>23</v>
      </c>
      <c r="D85" s="12">
        <v>76.843999999999994</v>
      </c>
      <c r="E85" s="13">
        <v>65</v>
      </c>
      <c r="F85" s="21">
        <v>75.650999999999996</v>
      </c>
      <c r="G85" s="22">
        <v>1709.9490000000001</v>
      </c>
      <c r="H85" s="13">
        <v>6.9</v>
      </c>
      <c r="I85" s="23">
        <v>2.5999999999999999E-2</v>
      </c>
      <c r="J85" s="13">
        <v>8.1329999999999991</v>
      </c>
      <c r="K85" s="24">
        <v>22.502600000000001</v>
      </c>
      <c r="L85" s="13">
        <v>5.0213000000000001</v>
      </c>
      <c r="M85" s="23">
        <v>1.2699999999999999E-2</v>
      </c>
      <c r="N85" s="22">
        <v>187.3193</v>
      </c>
      <c r="O85" s="25">
        <v>4.4900000000000002E-2</v>
      </c>
      <c r="P85" s="26">
        <v>1.127</v>
      </c>
      <c r="Q85" s="93">
        <v>123</v>
      </c>
      <c r="R85" s="93"/>
      <c r="S85" s="93">
        <f t="shared" si="5"/>
        <v>0.60271694798268183</v>
      </c>
      <c r="T85" s="93"/>
    </row>
    <row r="86" spans="1:20" ht="14.25" customHeight="1" x14ac:dyDescent="0.35">
      <c r="A86" s="1">
        <v>2024</v>
      </c>
      <c r="B86" s="1" t="s">
        <v>25</v>
      </c>
      <c r="C86" s="1">
        <v>24</v>
      </c>
      <c r="D86" s="12">
        <v>76.858999999999995</v>
      </c>
      <c r="E86" s="13">
        <v>65</v>
      </c>
      <c r="F86" s="21">
        <v>74.938999999999993</v>
      </c>
      <c r="G86" s="22">
        <v>1663.1320000000001</v>
      </c>
      <c r="H86" s="13">
        <v>6.9</v>
      </c>
      <c r="I86" s="23">
        <v>2.5999999999999999E-2</v>
      </c>
      <c r="J86" s="13">
        <v>7.9960000000000004</v>
      </c>
      <c r="K86" s="24">
        <v>21.212</v>
      </c>
      <c r="L86" s="13">
        <v>5.032</v>
      </c>
      <c r="M86" s="23">
        <v>1.2999999999999999E-2</v>
      </c>
      <c r="N86" s="22">
        <v>183.328</v>
      </c>
      <c r="O86" s="25">
        <v>0.04</v>
      </c>
      <c r="P86" s="26">
        <v>1.0660000000000001</v>
      </c>
      <c r="Q86" s="93">
        <v>120</v>
      </c>
      <c r="R86" s="93"/>
      <c r="S86" s="93">
        <f t="shared" si="5"/>
        <v>0.60283459873250922</v>
      </c>
      <c r="T86" s="93"/>
    </row>
    <row r="87" spans="1:20" ht="14.25" customHeight="1" x14ac:dyDescent="0.35">
      <c r="A87" s="1">
        <v>2024</v>
      </c>
      <c r="B87" s="1" t="s">
        <v>25</v>
      </c>
      <c r="C87" s="1">
        <v>25</v>
      </c>
      <c r="D87" s="12">
        <v>68.688000000000002</v>
      </c>
      <c r="E87" s="13">
        <v>58.094000000000001</v>
      </c>
      <c r="F87" s="21">
        <v>75.403999999999996</v>
      </c>
      <c r="G87" s="22">
        <v>1661.61</v>
      </c>
      <c r="H87" s="13">
        <v>6.9</v>
      </c>
      <c r="I87" s="23">
        <v>2.5999999999999999E-2</v>
      </c>
      <c r="J87" s="13">
        <v>8.1479999999999997</v>
      </c>
      <c r="K87" s="24">
        <v>21.451000000000001</v>
      </c>
      <c r="L87" s="13">
        <v>5.056</v>
      </c>
      <c r="M87" s="23">
        <v>1.2999999999999999E-2</v>
      </c>
      <c r="N87" s="22">
        <v>173.82599999999999</v>
      </c>
      <c r="O87" s="25">
        <v>4.1000000000000002E-2</v>
      </c>
      <c r="P87" s="26">
        <v>0.96</v>
      </c>
      <c r="Q87" s="93">
        <v>110</v>
      </c>
      <c r="R87" s="93"/>
      <c r="S87" s="93">
        <f t="shared" si="5"/>
        <v>0.53874631360983882</v>
      </c>
      <c r="T87" s="93"/>
    </row>
    <row r="88" spans="1:20" ht="14.25" customHeight="1" x14ac:dyDescent="0.35">
      <c r="A88" s="1">
        <v>2024</v>
      </c>
      <c r="B88" s="1" t="s">
        <v>25</v>
      </c>
      <c r="C88" s="1">
        <v>26</v>
      </c>
      <c r="D88" s="12">
        <v>8.8130000000000006</v>
      </c>
      <c r="E88" s="13">
        <v>7.375</v>
      </c>
      <c r="F88" s="21">
        <v>73.849999999999994</v>
      </c>
      <c r="G88" s="22">
        <v>1683.6079999999999</v>
      </c>
      <c r="H88" s="13">
        <v>6.9219999999999997</v>
      </c>
      <c r="I88" s="23">
        <v>3.5999999999999997E-2</v>
      </c>
      <c r="J88" s="13">
        <v>8.7370000000000001</v>
      </c>
      <c r="K88" s="24">
        <v>27.863</v>
      </c>
      <c r="L88" s="13">
        <v>5.0780000000000003</v>
      </c>
      <c r="M88" s="23">
        <v>1.2999999999999999E-2</v>
      </c>
      <c r="N88" s="22">
        <v>165.70599999999999</v>
      </c>
      <c r="O88" s="25">
        <v>0.06</v>
      </c>
      <c r="P88" s="26">
        <v>0.747</v>
      </c>
      <c r="Q88" s="93">
        <v>87</v>
      </c>
      <c r="R88" s="93"/>
      <c r="S88" s="93">
        <f t="shared" si="5"/>
        <v>6.9123737215285197E-2</v>
      </c>
      <c r="T88" s="93"/>
    </row>
    <row r="89" spans="1:20" ht="14.25" customHeight="1" x14ac:dyDescent="0.35">
      <c r="A89" s="1">
        <v>2024</v>
      </c>
      <c r="B89" s="1" t="s">
        <v>25</v>
      </c>
      <c r="C89" s="1">
        <v>27</v>
      </c>
      <c r="D89" s="12">
        <v>0.65600000000000003</v>
      </c>
      <c r="E89" s="13">
        <v>0.5</v>
      </c>
      <c r="F89" s="21">
        <v>72.605000000000004</v>
      </c>
      <c r="G89" s="22">
        <v>1681.164</v>
      </c>
      <c r="H89" s="13">
        <v>6.8949999999999996</v>
      </c>
      <c r="I89" s="23">
        <v>5.8000000000000003E-2</v>
      </c>
      <c r="J89" s="13">
        <v>6.899</v>
      </c>
      <c r="K89" s="24">
        <v>49.139499999999998</v>
      </c>
      <c r="L89" s="13">
        <v>5.2866999999999997</v>
      </c>
      <c r="M89" s="23">
        <v>4.1300000000000003E-2</v>
      </c>
      <c r="N89" s="22">
        <v>209.83250000000001</v>
      </c>
      <c r="O89" s="25">
        <v>8.9999999999999998E-4</v>
      </c>
      <c r="P89" s="26">
        <v>0.85799999999999998</v>
      </c>
      <c r="Q89" s="93">
        <v>110</v>
      </c>
      <c r="R89" s="93"/>
      <c r="S89" s="93">
        <f t="shared" si="5"/>
        <v>5.1452594591202862E-3</v>
      </c>
      <c r="T89" s="93"/>
    </row>
    <row r="90" spans="1:20" ht="14.25" customHeight="1" x14ac:dyDescent="0.35">
      <c r="A90" s="1">
        <v>2024</v>
      </c>
      <c r="B90" s="1" t="s">
        <v>25</v>
      </c>
      <c r="C90" s="1">
        <v>28</v>
      </c>
      <c r="D90" s="12">
        <v>48.875</v>
      </c>
      <c r="E90" s="13">
        <v>41.280999999999999</v>
      </c>
      <c r="F90" s="21">
        <v>75.608000000000004</v>
      </c>
      <c r="G90" s="22">
        <v>1738.655</v>
      </c>
      <c r="H90" s="13">
        <v>6.8929999999999998</v>
      </c>
      <c r="I90" s="23">
        <v>2.8000000000000001E-2</v>
      </c>
      <c r="J90" s="13">
        <v>9.0039999999999996</v>
      </c>
      <c r="K90" s="24">
        <v>29.268000000000001</v>
      </c>
      <c r="L90" s="13">
        <v>5.0720000000000001</v>
      </c>
      <c r="M90" s="23">
        <v>3.7999999999999999E-2</v>
      </c>
      <c r="N90" s="22">
        <v>173.28139999999999</v>
      </c>
      <c r="O90" s="25">
        <v>0.09</v>
      </c>
      <c r="P90" s="26">
        <v>1.901</v>
      </c>
      <c r="Q90" s="93">
        <v>140</v>
      </c>
      <c r="R90" s="93"/>
      <c r="S90" s="93">
        <f t="shared" si="5"/>
        <v>0.3833453598544268</v>
      </c>
      <c r="T90" s="93"/>
    </row>
    <row r="91" spans="1:20" ht="14.25" customHeight="1" x14ac:dyDescent="0.35">
      <c r="A91" s="1">
        <v>2024</v>
      </c>
      <c r="B91" s="1" t="s">
        <v>25</v>
      </c>
      <c r="C91" s="1">
        <v>29</v>
      </c>
      <c r="D91" s="12">
        <v>102.09399999999999</v>
      </c>
      <c r="E91" s="13">
        <v>86.781000000000006</v>
      </c>
      <c r="F91" s="21">
        <v>75.692999999999998</v>
      </c>
      <c r="G91" s="22">
        <v>1714.809</v>
      </c>
      <c r="H91" s="13">
        <v>6.9</v>
      </c>
      <c r="I91" s="23">
        <v>2.8000000000000001E-2</v>
      </c>
      <c r="J91" s="13">
        <v>8.641</v>
      </c>
      <c r="K91" s="24">
        <v>24.311</v>
      </c>
      <c r="L91" s="13">
        <v>5.2050000000000001</v>
      </c>
      <c r="M91" s="23">
        <v>1.2999999999999999E-2</v>
      </c>
      <c r="N91" s="22">
        <v>133.63399999999999</v>
      </c>
      <c r="O91" s="25">
        <v>0.05</v>
      </c>
      <c r="P91" s="26">
        <v>2.3769999999999998</v>
      </c>
      <c r="Q91" s="93">
        <v>140</v>
      </c>
      <c r="R91" s="93"/>
      <c r="S91" s="93">
        <f t="shared" si="5"/>
        <v>0.80076237685888185</v>
      </c>
      <c r="T91" s="93"/>
    </row>
    <row r="92" spans="1:20" ht="14.25" customHeight="1" x14ac:dyDescent="0.35">
      <c r="A92" s="1">
        <v>2024</v>
      </c>
      <c r="B92" s="1" t="s">
        <v>25</v>
      </c>
      <c r="C92" s="1">
        <v>30</v>
      </c>
      <c r="D92" s="12">
        <v>107.46899999999999</v>
      </c>
      <c r="E92" s="13">
        <v>91.375</v>
      </c>
      <c r="F92" s="21">
        <v>74.290999999999997</v>
      </c>
      <c r="G92" s="22">
        <v>1605.921</v>
      </c>
      <c r="H92" s="13">
        <v>6.9</v>
      </c>
      <c r="I92" s="23">
        <v>2.8000000000000001E-2</v>
      </c>
      <c r="J92" s="13">
        <v>7.9370000000000003</v>
      </c>
      <c r="K92" s="24">
        <v>22.012</v>
      </c>
      <c r="L92" s="13">
        <v>5.3460000000000001</v>
      </c>
      <c r="M92" s="23">
        <v>1.2999999999999999E-2</v>
      </c>
      <c r="N92" s="22">
        <v>88.721999999999994</v>
      </c>
      <c r="O92" s="25">
        <v>3.6999999999999998E-2</v>
      </c>
      <c r="P92" s="26">
        <v>2.1440000000000001</v>
      </c>
      <c r="Q92" s="93">
        <v>110</v>
      </c>
      <c r="R92" s="93"/>
      <c r="S92" s="93">
        <f t="shared" si="5"/>
        <v>0.84292056221371647</v>
      </c>
      <c r="T92" s="93"/>
    </row>
    <row r="93" spans="1:20" ht="14.25" customHeight="1" x14ac:dyDescent="0.35">
      <c r="A93" s="1">
        <v>2024</v>
      </c>
      <c r="B93" s="1" t="s">
        <v>25</v>
      </c>
      <c r="C93" s="1">
        <v>31</v>
      </c>
      <c r="D93" s="42">
        <v>109.53100000000001</v>
      </c>
      <c r="E93" s="43">
        <v>93.218999999999994</v>
      </c>
      <c r="F93" s="36">
        <v>73.956000000000003</v>
      </c>
      <c r="G93" s="37">
        <v>1560.5989999999999</v>
      </c>
      <c r="H93" s="35">
        <v>6.9</v>
      </c>
      <c r="I93" s="38">
        <v>2.5000000000000001E-2</v>
      </c>
      <c r="J93" s="35">
        <v>7.4660000000000002</v>
      </c>
      <c r="K93" s="39">
        <v>19.434000000000001</v>
      </c>
      <c r="L93" s="35">
        <v>5.2889999999999997</v>
      </c>
      <c r="M93" s="38">
        <v>1.2999999999999999E-2</v>
      </c>
      <c r="N93" s="37">
        <v>101.17100000000001</v>
      </c>
      <c r="O93" s="40">
        <v>3.4000000000000002E-2</v>
      </c>
      <c r="P93" s="41">
        <v>1.653</v>
      </c>
      <c r="Q93" s="93">
        <v>98</v>
      </c>
      <c r="R93" s="93"/>
      <c r="S93" s="93">
        <f t="shared" si="5"/>
        <v>0.85909361862332945</v>
      </c>
      <c r="T93" s="93"/>
    </row>
    <row r="94" spans="1:20" ht="14.25" customHeight="1" x14ac:dyDescent="0.35">
      <c r="A94" s="1">
        <v>2024</v>
      </c>
      <c r="B94" s="1" t="s">
        <v>26</v>
      </c>
      <c r="C94" s="1">
        <v>1</v>
      </c>
      <c r="D94" s="12">
        <v>92.453000000000003</v>
      </c>
      <c r="E94" s="13">
        <v>78.468999999999994</v>
      </c>
      <c r="F94" s="14">
        <v>74.481999999999999</v>
      </c>
      <c r="G94" s="15">
        <v>1652.0350000000001</v>
      </c>
      <c r="H94" s="16">
        <v>6.9</v>
      </c>
      <c r="I94" s="17">
        <v>2.5999999999999999E-2</v>
      </c>
      <c r="J94" s="16">
        <v>7.476</v>
      </c>
      <c r="K94" s="18">
        <v>20.9771</v>
      </c>
      <c r="L94" s="16">
        <v>5.2910000000000004</v>
      </c>
      <c r="M94" s="17">
        <v>1.2699999999999999E-2</v>
      </c>
      <c r="N94" s="15">
        <v>100.6721</v>
      </c>
      <c r="O94" s="19">
        <v>3.73E-2</v>
      </c>
      <c r="P94" s="20">
        <v>0.93</v>
      </c>
      <c r="Q94" s="93">
        <f t="shared" ref="Q94:Q348" si="6">S94*$T$3</f>
        <v>88.492986878019707</v>
      </c>
      <c r="R94" s="243">
        <f>N6+O6</f>
        <v>122.97499999999999</v>
      </c>
      <c r="S94" s="93">
        <f t="shared" si="5"/>
        <v>0.72514431825312176</v>
      </c>
      <c r="T94" s="93"/>
    </row>
    <row r="95" spans="1:20" ht="14.25" customHeight="1" x14ac:dyDescent="0.35">
      <c r="A95" s="1">
        <v>2024</v>
      </c>
      <c r="B95" s="1" t="s">
        <v>26</v>
      </c>
      <c r="C95" s="1">
        <v>2</v>
      </c>
      <c r="D95" s="12">
        <v>93.781000000000006</v>
      </c>
      <c r="E95" s="13">
        <v>79.563000000000002</v>
      </c>
      <c r="F95" s="21">
        <v>75.457999999999998</v>
      </c>
      <c r="G95" s="22">
        <v>1767.8579999999999</v>
      </c>
      <c r="H95" s="13">
        <v>6.9</v>
      </c>
      <c r="I95" s="23">
        <v>2.7E-2</v>
      </c>
      <c r="J95" s="13">
        <v>7.9450000000000003</v>
      </c>
      <c r="K95" s="24">
        <v>22.625</v>
      </c>
      <c r="L95" s="13">
        <v>5.298</v>
      </c>
      <c r="M95" s="23">
        <v>1.2999999999999999E-2</v>
      </c>
      <c r="N95" s="22">
        <v>99.165999999999997</v>
      </c>
      <c r="O95" s="25">
        <v>4.2999999999999997E-2</v>
      </c>
      <c r="P95" s="26">
        <v>1.167</v>
      </c>
      <c r="Q95" s="93">
        <f t="shared" si="6"/>
        <v>89.764105030746066</v>
      </c>
      <c r="R95" s="93"/>
      <c r="S95" s="93">
        <f t="shared" si="5"/>
        <v>0.73556033130451159</v>
      </c>
      <c r="T95" s="93"/>
    </row>
    <row r="96" spans="1:20" ht="14.25" customHeight="1" x14ac:dyDescent="0.35">
      <c r="A96" s="1">
        <v>2024</v>
      </c>
      <c r="B96" s="1" t="s">
        <v>26</v>
      </c>
      <c r="C96" s="1">
        <v>3</v>
      </c>
      <c r="D96" s="12">
        <v>102.078</v>
      </c>
      <c r="E96" s="13">
        <v>86.781000000000006</v>
      </c>
      <c r="F96" s="21">
        <v>76.088999999999999</v>
      </c>
      <c r="G96" s="22">
        <v>1796.492</v>
      </c>
      <c r="H96" s="13">
        <v>6.9</v>
      </c>
      <c r="I96" s="23">
        <v>2.7E-2</v>
      </c>
      <c r="J96" s="13">
        <v>7.8810000000000002</v>
      </c>
      <c r="K96" s="24">
        <v>25.632000000000001</v>
      </c>
      <c r="L96" s="13">
        <v>5.319</v>
      </c>
      <c r="M96" s="23">
        <v>1.2999999999999999E-2</v>
      </c>
      <c r="N96" s="22">
        <v>94.494</v>
      </c>
      <c r="O96" s="25">
        <v>4.9000000000000002E-2</v>
      </c>
      <c r="P96" s="26">
        <v>1.1599999999999999</v>
      </c>
      <c r="Q96" s="93">
        <f t="shared" si="6"/>
        <v>97.705721983434785</v>
      </c>
      <c r="R96" s="93"/>
      <c r="S96" s="93">
        <f t="shared" si="5"/>
        <v>0.80063688272573263</v>
      </c>
      <c r="T96" s="93"/>
    </row>
    <row r="97" spans="1:20" ht="14.25" customHeight="1" x14ac:dyDescent="0.35">
      <c r="A97" s="1">
        <v>2024</v>
      </c>
      <c r="B97" s="1" t="s">
        <v>26</v>
      </c>
      <c r="C97" s="1">
        <v>4</v>
      </c>
      <c r="D97" s="12">
        <v>116.797</v>
      </c>
      <c r="E97" s="13">
        <v>99.438000000000002</v>
      </c>
      <c r="F97" s="21">
        <v>75.772000000000006</v>
      </c>
      <c r="G97" s="22">
        <v>1792.4860000000001</v>
      </c>
      <c r="H97" s="13">
        <v>6.9</v>
      </c>
      <c r="I97" s="23">
        <v>2.8000000000000001E-2</v>
      </c>
      <c r="J97" s="13">
        <v>8.2040000000000006</v>
      </c>
      <c r="K97" s="24">
        <v>24.78</v>
      </c>
      <c r="L97" s="13">
        <v>5.3209999999999997</v>
      </c>
      <c r="M97" s="23">
        <v>1.2999999999999999E-2</v>
      </c>
      <c r="N97" s="22">
        <v>94.06</v>
      </c>
      <c r="O97" s="25">
        <v>5.0999999999999997E-2</v>
      </c>
      <c r="P97" s="26">
        <v>1.673</v>
      </c>
      <c r="Q97" s="93">
        <f t="shared" si="6"/>
        <v>111.79426723191315</v>
      </c>
      <c r="R97" s="93"/>
      <c r="S97" s="93">
        <f t="shared" si="5"/>
        <v>0.916083641839744</v>
      </c>
      <c r="T97" s="93"/>
    </row>
    <row r="98" spans="1:20" ht="14.25" customHeight="1" x14ac:dyDescent="0.35">
      <c r="A98" s="1">
        <v>2024</v>
      </c>
      <c r="B98" s="1" t="s">
        <v>26</v>
      </c>
      <c r="C98" s="1">
        <v>5</v>
      </c>
      <c r="D98" s="12">
        <v>115.34399999999999</v>
      </c>
      <c r="E98" s="13">
        <v>98.218999999999994</v>
      </c>
      <c r="F98" s="21">
        <v>74.850999999999999</v>
      </c>
      <c r="G98" s="22">
        <v>1797.5740000000001</v>
      </c>
      <c r="H98" s="13">
        <v>6.9</v>
      </c>
      <c r="I98" s="23">
        <v>2.7E-2</v>
      </c>
      <c r="J98" s="13">
        <v>7.7350000000000003</v>
      </c>
      <c r="K98" s="24">
        <v>23.395</v>
      </c>
      <c r="L98" s="13">
        <v>5.3529999999999998</v>
      </c>
      <c r="M98" s="23">
        <v>1.2999999999999999E-2</v>
      </c>
      <c r="N98" s="22">
        <v>88.418999999999997</v>
      </c>
      <c r="O98" s="25">
        <v>4.2999999999999997E-2</v>
      </c>
      <c r="P98" s="26">
        <v>1.1459999999999999</v>
      </c>
      <c r="Q98" s="93">
        <f t="shared" si="6"/>
        <v>110.40350316872686</v>
      </c>
      <c r="R98" s="93"/>
      <c r="S98" s="93">
        <f t="shared" si="5"/>
        <v>0.90468720587312546</v>
      </c>
      <c r="T98" s="93"/>
    </row>
    <row r="99" spans="1:20" ht="14.25" customHeight="1" x14ac:dyDescent="0.35">
      <c r="A99" s="1">
        <v>2024</v>
      </c>
      <c r="B99" s="1" t="s">
        <v>26</v>
      </c>
      <c r="C99" s="1">
        <v>6</v>
      </c>
      <c r="D99" s="12">
        <v>111.547</v>
      </c>
      <c r="E99" s="13">
        <v>95</v>
      </c>
      <c r="F99" s="21">
        <v>74.909000000000006</v>
      </c>
      <c r="G99" s="22">
        <v>1782.04</v>
      </c>
      <c r="H99" s="13">
        <v>6.9</v>
      </c>
      <c r="I99" s="23">
        <v>2.5999999999999999E-2</v>
      </c>
      <c r="J99" s="13">
        <v>7.5449999999999999</v>
      </c>
      <c r="K99" s="24">
        <v>22.471900000000002</v>
      </c>
      <c r="L99" s="13">
        <v>5.4109999999999996</v>
      </c>
      <c r="M99" s="23">
        <v>1.2699999999999999E-2</v>
      </c>
      <c r="N99" s="22">
        <v>76.178700000000006</v>
      </c>
      <c r="O99" s="25">
        <v>3.9600000000000003E-2</v>
      </c>
      <c r="P99" s="26">
        <v>0.85599999999999998</v>
      </c>
      <c r="Q99" s="93">
        <f t="shared" si="6"/>
        <v>106.76913899259584</v>
      </c>
      <c r="R99" s="93"/>
      <c r="S99" s="93">
        <f t="shared" si="5"/>
        <v>0.87490587940013809</v>
      </c>
      <c r="T99" s="93"/>
    </row>
    <row r="100" spans="1:20" ht="14.25" customHeight="1" x14ac:dyDescent="0.35">
      <c r="A100" s="1">
        <v>2024</v>
      </c>
      <c r="B100" s="1" t="s">
        <v>26</v>
      </c>
      <c r="C100" s="1">
        <v>7</v>
      </c>
      <c r="D100" s="12">
        <v>111.563</v>
      </c>
      <c r="E100" s="13">
        <v>95</v>
      </c>
      <c r="F100" s="21">
        <v>75.061999999999998</v>
      </c>
      <c r="G100" s="22">
        <v>1726.125</v>
      </c>
      <c r="H100" s="13">
        <v>6.9</v>
      </c>
      <c r="I100" s="23">
        <v>2.5999999999999999E-2</v>
      </c>
      <c r="J100" s="13">
        <v>7.5919999999999996</v>
      </c>
      <c r="K100" s="24">
        <v>21.771000000000001</v>
      </c>
      <c r="L100" s="13">
        <v>5.4249999999999998</v>
      </c>
      <c r="M100" s="23">
        <v>1.2999999999999999E-2</v>
      </c>
      <c r="N100" s="22">
        <v>73.997</v>
      </c>
      <c r="O100" s="25">
        <v>3.9E-2</v>
      </c>
      <c r="P100" s="26">
        <v>0.79300000000000004</v>
      </c>
      <c r="Q100" s="93">
        <f t="shared" si="6"/>
        <v>106.78445366913472</v>
      </c>
      <c r="R100" s="93"/>
      <c r="S100" s="93">
        <f t="shared" si="5"/>
        <v>0.87503137353328742</v>
      </c>
      <c r="T100" s="93"/>
    </row>
    <row r="101" spans="1:20" ht="14.25" customHeight="1" x14ac:dyDescent="0.35">
      <c r="A101" s="1">
        <v>2024</v>
      </c>
      <c r="B101" s="1" t="s">
        <v>26</v>
      </c>
      <c r="C101" s="1">
        <v>8</v>
      </c>
      <c r="D101" s="12">
        <v>114.10899999999999</v>
      </c>
      <c r="E101" s="13">
        <v>97.156000000000006</v>
      </c>
      <c r="F101" s="21">
        <v>75.47</v>
      </c>
      <c r="G101" s="22">
        <v>1703.75</v>
      </c>
      <c r="H101" s="13">
        <v>6.9</v>
      </c>
      <c r="I101" s="23">
        <v>2.7E-2</v>
      </c>
      <c r="J101" s="13">
        <v>7.8760000000000003</v>
      </c>
      <c r="K101" s="24">
        <v>21.765000000000001</v>
      </c>
      <c r="L101" s="13">
        <v>5.4390000000000001</v>
      </c>
      <c r="M101" s="23">
        <v>1.2999999999999999E-2</v>
      </c>
      <c r="N101" s="22">
        <v>71.616</v>
      </c>
      <c r="O101" s="25">
        <v>3.6999999999999998E-2</v>
      </c>
      <c r="P101" s="26">
        <v>0.754</v>
      </c>
      <c r="Q101" s="93">
        <f t="shared" si="6"/>
        <v>109.22140157338269</v>
      </c>
      <c r="R101" s="93"/>
      <c r="S101" s="93">
        <f t="shared" si="5"/>
        <v>0.89500062747066578</v>
      </c>
      <c r="T101" s="93"/>
    </row>
    <row r="102" spans="1:20" ht="14.25" customHeight="1" x14ac:dyDescent="0.35">
      <c r="A102" s="1">
        <v>2024</v>
      </c>
      <c r="B102" s="1" t="s">
        <v>26</v>
      </c>
      <c r="C102" s="1">
        <v>9</v>
      </c>
      <c r="D102" s="12">
        <v>117.422</v>
      </c>
      <c r="E102" s="13">
        <v>99.906000000000006</v>
      </c>
      <c r="F102" s="21">
        <v>76.234999999999999</v>
      </c>
      <c r="G102" s="22">
        <v>1752.9490000000001</v>
      </c>
      <c r="H102" s="13">
        <v>6.9</v>
      </c>
      <c r="I102" s="23">
        <v>2.8000000000000001E-2</v>
      </c>
      <c r="J102" s="13">
        <v>8.1</v>
      </c>
      <c r="K102" s="24">
        <v>22.361000000000001</v>
      </c>
      <c r="L102" s="13">
        <v>5.4359999999999999</v>
      </c>
      <c r="M102" s="23">
        <v>1.2999999999999999E-2</v>
      </c>
      <c r="N102" s="22">
        <v>72.010999999999996</v>
      </c>
      <c r="O102" s="25">
        <v>4.2000000000000003E-2</v>
      </c>
      <c r="P102" s="26">
        <v>0.59899999999999998</v>
      </c>
      <c r="Q102" s="93">
        <f t="shared" si="6"/>
        <v>112.39249678421284</v>
      </c>
      <c r="R102" s="93"/>
      <c r="S102" s="93">
        <f t="shared" si="5"/>
        <v>0.92098575641588754</v>
      </c>
      <c r="T102" s="93"/>
    </row>
    <row r="103" spans="1:20" ht="14.25" customHeight="1" x14ac:dyDescent="0.35">
      <c r="A103" s="1">
        <v>2024</v>
      </c>
      <c r="B103" s="1" t="s">
        <v>26</v>
      </c>
      <c r="C103" s="1">
        <v>10</v>
      </c>
      <c r="D103" s="12">
        <v>117.422</v>
      </c>
      <c r="E103" s="13">
        <v>100</v>
      </c>
      <c r="F103" s="27">
        <v>76.462999999999994</v>
      </c>
      <c r="G103" s="22">
        <v>2026.4739999999999</v>
      </c>
      <c r="H103" s="13">
        <v>6.9</v>
      </c>
      <c r="I103" s="23">
        <v>2.8000000000000001E-2</v>
      </c>
      <c r="J103" s="28">
        <v>8.0519999999999996</v>
      </c>
      <c r="K103" s="24">
        <v>26.626999999999999</v>
      </c>
      <c r="L103" s="13">
        <v>5.4589999999999996</v>
      </c>
      <c r="M103" s="29">
        <v>1.2999999999999999E-2</v>
      </c>
      <c r="N103" s="22">
        <v>68.66</v>
      </c>
      <c r="O103" s="30">
        <v>0.04</v>
      </c>
      <c r="P103" s="31">
        <v>0.68600000000000005</v>
      </c>
      <c r="Q103" s="93">
        <f t="shared" si="6"/>
        <v>112.39249678421284</v>
      </c>
      <c r="R103" s="93"/>
      <c r="S103" s="93">
        <f t="shared" si="5"/>
        <v>0.92098575641588754</v>
      </c>
      <c r="T103" s="93"/>
    </row>
    <row r="104" spans="1:20" ht="14.25" customHeight="1" x14ac:dyDescent="0.35">
      <c r="A104" s="1">
        <v>2024</v>
      </c>
      <c r="B104" s="1" t="s">
        <v>26</v>
      </c>
      <c r="C104" s="1">
        <v>11</v>
      </c>
      <c r="D104" s="12">
        <v>117.75</v>
      </c>
      <c r="E104" s="13">
        <v>100</v>
      </c>
      <c r="F104" s="27">
        <v>76.325000000000003</v>
      </c>
      <c r="G104" s="22">
        <v>2084.797</v>
      </c>
      <c r="H104" s="13">
        <v>6.9</v>
      </c>
      <c r="I104" s="23">
        <v>2.9000000000000001E-2</v>
      </c>
      <c r="J104" s="28">
        <v>8.1790000000000003</v>
      </c>
      <c r="K104" s="24">
        <v>28.353999999999999</v>
      </c>
      <c r="L104" s="13">
        <v>5.4880000000000004</v>
      </c>
      <c r="M104" s="29">
        <v>1.2999999999999999E-2</v>
      </c>
      <c r="N104" s="22">
        <v>63.973999999999997</v>
      </c>
      <c r="O104" s="30">
        <v>3.5999999999999997E-2</v>
      </c>
      <c r="P104" s="31">
        <v>0.95099999999999996</v>
      </c>
      <c r="Q104" s="93">
        <f t="shared" si="6"/>
        <v>112.70644765325972</v>
      </c>
      <c r="R104" s="93"/>
      <c r="S104" s="93">
        <f t="shared" si="5"/>
        <v>0.92355838614544772</v>
      </c>
      <c r="T104" s="93"/>
    </row>
    <row r="105" spans="1:20" ht="14.25" customHeight="1" x14ac:dyDescent="0.35">
      <c r="A105" s="1">
        <v>2024</v>
      </c>
      <c r="B105" s="1" t="s">
        <v>26</v>
      </c>
      <c r="C105" s="1">
        <v>12</v>
      </c>
      <c r="D105" s="12">
        <v>117.84399999999999</v>
      </c>
      <c r="E105" s="13">
        <v>99.938000000000002</v>
      </c>
      <c r="F105" s="27">
        <v>75.825999999999993</v>
      </c>
      <c r="G105" s="22">
        <v>2099.8310000000001</v>
      </c>
      <c r="H105" s="13">
        <v>6.9</v>
      </c>
      <c r="I105" s="23">
        <v>0.03</v>
      </c>
      <c r="J105" s="28">
        <v>7.8109999999999999</v>
      </c>
      <c r="K105" s="24">
        <v>28.802</v>
      </c>
      <c r="L105" s="13">
        <v>5.4790000000000001</v>
      </c>
      <c r="M105" s="29">
        <v>1.2999999999999999E-2</v>
      </c>
      <c r="N105" s="22">
        <v>65.277000000000001</v>
      </c>
      <c r="O105" s="30">
        <v>3.6999999999999998E-2</v>
      </c>
      <c r="P105" s="31">
        <v>1.016</v>
      </c>
      <c r="Q105" s="93">
        <f t="shared" si="6"/>
        <v>112.79642137792558</v>
      </c>
      <c r="R105" s="93"/>
      <c r="S105" s="93">
        <f t="shared" si="5"/>
        <v>0.92429566417769971</v>
      </c>
      <c r="T105" s="93"/>
    </row>
    <row r="106" spans="1:20" ht="14.25" customHeight="1" x14ac:dyDescent="0.35">
      <c r="A106" s="1">
        <v>2024</v>
      </c>
      <c r="B106" s="1" t="s">
        <v>26</v>
      </c>
      <c r="C106" s="1">
        <v>13</v>
      </c>
      <c r="D106" s="12">
        <v>117.65600000000001</v>
      </c>
      <c r="E106" s="13">
        <v>99.968999999999994</v>
      </c>
      <c r="F106" s="27">
        <v>75.319999999999993</v>
      </c>
      <c r="G106" s="22">
        <v>2157.7779999999998</v>
      </c>
      <c r="H106" s="13">
        <v>6.9</v>
      </c>
      <c r="I106" s="23">
        <v>0.03</v>
      </c>
      <c r="J106" s="28">
        <v>7.883</v>
      </c>
      <c r="K106" s="24">
        <v>29.510999999999999</v>
      </c>
      <c r="L106" s="13">
        <v>5.5019999999999998</v>
      </c>
      <c r="M106" s="23">
        <v>1.2999999999999999E-2</v>
      </c>
      <c r="N106" s="22">
        <v>61.738999999999997</v>
      </c>
      <c r="O106" s="30">
        <v>3.6999999999999998E-2</v>
      </c>
      <c r="P106" s="31">
        <v>1.155</v>
      </c>
      <c r="Q106" s="93">
        <f t="shared" si="6"/>
        <v>112.61647392859385</v>
      </c>
      <c r="R106" s="93"/>
      <c r="S106" s="93">
        <f t="shared" si="5"/>
        <v>0.92282110811319584</v>
      </c>
      <c r="T106" s="93"/>
    </row>
    <row r="107" spans="1:20" ht="14.25" customHeight="1" x14ac:dyDescent="0.35">
      <c r="A107" s="1">
        <v>2024</v>
      </c>
      <c r="B107" s="1" t="s">
        <v>26</v>
      </c>
      <c r="C107" s="1">
        <v>14</v>
      </c>
      <c r="D107" s="12">
        <v>117.76600000000001</v>
      </c>
      <c r="E107" s="13">
        <v>100</v>
      </c>
      <c r="F107" s="21">
        <v>74.994</v>
      </c>
      <c r="G107" s="22">
        <v>2064.7080000000001</v>
      </c>
      <c r="H107" s="13">
        <v>6.9</v>
      </c>
      <c r="I107" s="23">
        <v>0.03</v>
      </c>
      <c r="J107" s="28">
        <v>7.7709999999999999</v>
      </c>
      <c r="K107" s="33">
        <v>27.774999999999999</v>
      </c>
      <c r="L107" s="13">
        <v>5.4939999999999998</v>
      </c>
      <c r="M107" s="23">
        <v>1.2999999999999999E-2</v>
      </c>
      <c r="N107" s="22">
        <v>63.033000000000001</v>
      </c>
      <c r="O107" s="30">
        <v>3.4000000000000002E-2</v>
      </c>
      <c r="P107" s="31">
        <v>1.198</v>
      </c>
      <c r="Q107" s="93">
        <f t="shared" si="6"/>
        <v>112.72176232979859</v>
      </c>
      <c r="R107" s="93"/>
      <c r="S107" s="93">
        <f t="shared" si="5"/>
        <v>0.92368388027859705</v>
      </c>
      <c r="T107" s="93"/>
    </row>
    <row r="108" spans="1:20" ht="14.25" customHeight="1" x14ac:dyDescent="0.35">
      <c r="A108" s="1">
        <v>2024</v>
      </c>
      <c r="B108" s="1" t="s">
        <v>26</v>
      </c>
      <c r="C108" s="1">
        <v>15</v>
      </c>
      <c r="D108" s="12">
        <v>108.85899999999999</v>
      </c>
      <c r="E108" s="13">
        <v>92.468999999999994</v>
      </c>
      <c r="F108" s="21">
        <v>75.918000000000006</v>
      </c>
      <c r="G108" s="22">
        <v>2047.9690000000001</v>
      </c>
      <c r="H108" s="13">
        <v>6.9</v>
      </c>
      <c r="I108" s="23">
        <v>0.03</v>
      </c>
      <c r="J108" s="28">
        <v>8.0350000000000001</v>
      </c>
      <c r="K108" s="24">
        <v>27.931000000000001</v>
      </c>
      <c r="L108" s="13">
        <v>5.52</v>
      </c>
      <c r="M108" s="23">
        <v>1.2999999999999999E-2</v>
      </c>
      <c r="N108" s="22">
        <v>59.319000000000003</v>
      </c>
      <c r="O108" s="30">
        <v>3.4000000000000002E-2</v>
      </c>
      <c r="P108" s="31">
        <v>1.165</v>
      </c>
      <c r="Q108" s="93">
        <f t="shared" si="6"/>
        <v>104.19627333406537</v>
      </c>
      <c r="R108" s="93"/>
      <c r="S108" s="93">
        <f t="shared" si="5"/>
        <v>0.85382286503105975</v>
      </c>
      <c r="T108" s="93"/>
    </row>
    <row r="109" spans="1:20" ht="14.25" customHeight="1" x14ac:dyDescent="0.35">
      <c r="A109" s="1">
        <v>2024</v>
      </c>
      <c r="B109" s="1" t="s">
        <v>26</v>
      </c>
      <c r="C109" s="1">
        <v>16</v>
      </c>
      <c r="D109" s="12">
        <v>108.547</v>
      </c>
      <c r="E109" s="13">
        <v>92.563000000000002</v>
      </c>
      <c r="F109" s="21">
        <v>76.36</v>
      </c>
      <c r="G109" s="22">
        <v>2156.2170000000001</v>
      </c>
      <c r="H109" s="13">
        <v>6.9</v>
      </c>
      <c r="I109" s="23">
        <v>3.1E-2</v>
      </c>
      <c r="J109" s="28">
        <v>8.1999999999999993</v>
      </c>
      <c r="K109" s="24">
        <v>31.254000000000001</v>
      </c>
      <c r="L109" s="13">
        <v>5.5119999999999996</v>
      </c>
      <c r="M109" s="23">
        <v>1.2999999999999999E-2</v>
      </c>
      <c r="N109" s="22">
        <v>60.603999999999999</v>
      </c>
      <c r="O109" s="30">
        <v>4.5999999999999999E-2</v>
      </c>
      <c r="P109" s="31">
        <v>0.96899999999999997</v>
      </c>
      <c r="Q109" s="93">
        <f t="shared" si="6"/>
        <v>103.89763714155738</v>
      </c>
      <c r="R109" s="93"/>
      <c r="S109" s="93">
        <f t="shared" si="5"/>
        <v>0.8513757294346489</v>
      </c>
      <c r="T109" s="93"/>
    </row>
    <row r="110" spans="1:20" ht="14.25" customHeight="1" x14ac:dyDescent="0.35">
      <c r="A110" s="1">
        <v>2024</v>
      </c>
      <c r="B110" s="1" t="s">
        <v>26</v>
      </c>
      <c r="C110" s="1">
        <v>17</v>
      </c>
      <c r="D110" s="12">
        <v>111.53100000000001</v>
      </c>
      <c r="E110" s="13">
        <v>94.968999999999994</v>
      </c>
      <c r="F110" s="21">
        <v>76.466999999999999</v>
      </c>
      <c r="G110" s="22">
        <v>2250.7930000000001</v>
      </c>
      <c r="H110" s="13">
        <v>6.9</v>
      </c>
      <c r="I110" s="23">
        <v>3.2000000000000001E-2</v>
      </c>
      <c r="J110" s="13">
        <v>8.3480000000000008</v>
      </c>
      <c r="K110" s="24">
        <v>33.265999999999998</v>
      </c>
      <c r="L110" s="13">
        <v>5.4989999999999997</v>
      </c>
      <c r="M110" s="23">
        <v>1.2999999999999999E-2</v>
      </c>
      <c r="N110" s="22">
        <v>62.344999999999999</v>
      </c>
      <c r="O110" s="25">
        <v>5.0999999999999997E-2</v>
      </c>
      <c r="P110" s="26">
        <v>1.028</v>
      </c>
      <c r="Q110" s="93">
        <f t="shared" si="6"/>
        <v>106.75382431605698</v>
      </c>
      <c r="R110" s="93"/>
      <c r="S110" s="93">
        <f t="shared" si="5"/>
        <v>0.87478038526698887</v>
      </c>
      <c r="T110" s="93"/>
    </row>
    <row r="111" spans="1:20" ht="14.25" customHeight="1" x14ac:dyDescent="0.35">
      <c r="A111" s="1">
        <v>2024</v>
      </c>
      <c r="B111" s="1" t="s">
        <v>26</v>
      </c>
      <c r="C111" s="1">
        <v>18</v>
      </c>
      <c r="D111" s="12">
        <v>111.688</v>
      </c>
      <c r="E111" s="13">
        <v>94.968999999999994</v>
      </c>
      <c r="F111" s="21">
        <v>76.709999999999994</v>
      </c>
      <c r="G111" s="22">
        <v>2262.9859999999999</v>
      </c>
      <c r="H111" s="13">
        <v>6.9</v>
      </c>
      <c r="I111" s="23">
        <v>3.2000000000000001E-2</v>
      </c>
      <c r="J111" s="13">
        <v>8.7070000000000007</v>
      </c>
      <c r="K111" s="24">
        <v>34.334000000000003</v>
      </c>
      <c r="L111" s="13">
        <v>5.5149999999999997</v>
      </c>
      <c r="M111" s="23">
        <v>1.2999999999999999E-2</v>
      </c>
      <c r="N111" s="22">
        <v>60.119</v>
      </c>
      <c r="O111" s="25">
        <v>4.8000000000000001E-2</v>
      </c>
      <c r="P111" s="26">
        <v>1.3049999999999999</v>
      </c>
      <c r="Q111" s="93">
        <f t="shared" si="6"/>
        <v>106.90409957959466</v>
      </c>
      <c r="R111" s="93"/>
      <c r="S111" s="93">
        <f t="shared" si="5"/>
        <v>0.87601179644851612</v>
      </c>
      <c r="T111" s="93"/>
    </row>
    <row r="112" spans="1:20" ht="14.25" customHeight="1" x14ac:dyDescent="0.35">
      <c r="A112" s="1">
        <v>2024</v>
      </c>
      <c r="B112" s="1" t="s">
        <v>26</v>
      </c>
      <c r="C112" s="1">
        <v>19</v>
      </c>
      <c r="D112" s="12">
        <v>111.64100000000001</v>
      </c>
      <c r="E112" s="13">
        <v>95</v>
      </c>
      <c r="F112" s="21">
        <v>76.56</v>
      </c>
      <c r="G112" s="22">
        <v>2243.9479999999999</v>
      </c>
      <c r="H112" s="13">
        <v>6.9</v>
      </c>
      <c r="I112" s="23">
        <v>3.5000000000000003E-2</v>
      </c>
      <c r="J112" s="13">
        <v>9.1329999999999991</v>
      </c>
      <c r="K112" s="24">
        <v>33.161000000000001</v>
      </c>
      <c r="L112" s="13">
        <v>5.15</v>
      </c>
      <c r="M112" s="23">
        <v>1.6E-2</v>
      </c>
      <c r="N112" s="22">
        <v>156.00899999999999</v>
      </c>
      <c r="O112" s="25">
        <v>4.9000000000000002E-2</v>
      </c>
      <c r="P112" s="26">
        <v>2.8340000000000001</v>
      </c>
      <c r="Q112" s="93">
        <f t="shared" si="6"/>
        <v>106.85911271726172</v>
      </c>
      <c r="R112" s="93"/>
      <c r="S112" s="93">
        <f t="shared" si="5"/>
        <v>0.87564315743239007</v>
      </c>
      <c r="T112" s="93"/>
    </row>
    <row r="113" spans="1:20" ht="14.25" customHeight="1" x14ac:dyDescent="0.35">
      <c r="A113" s="1">
        <v>2024</v>
      </c>
      <c r="B113" s="1" t="s">
        <v>26</v>
      </c>
      <c r="C113" s="1">
        <v>20</v>
      </c>
      <c r="D113" s="12">
        <v>111.625</v>
      </c>
      <c r="E113" s="13">
        <v>95</v>
      </c>
      <c r="F113" s="21">
        <v>76.563000000000002</v>
      </c>
      <c r="G113" s="22">
        <v>2221.8760000000002</v>
      </c>
      <c r="H113" s="13">
        <v>6.9</v>
      </c>
      <c r="I113" s="23">
        <v>3.6999999999999998E-2</v>
      </c>
      <c r="J113" s="13">
        <v>9.4649999999999999</v>
      </c>
      <c r="K113" s="24">
        <v>33.317</v>
      </c>
      <c r="L113" s="13">
        <v>4.9989999999999997</v>
      </c>
      <c r="M113" s="23">
        <v>1.7000000000000001E-2</v>
      </c>
      <c r="N113" s="22">
        <v>197.04900000000001</v>
      </c>
      <c r="O113" s="25">
        <v>0.05</v>
      </c>
      <c r="P113" s="26">
        <v>4.26</v>
      </c>
      <c r="Q113" s="93">
        <f t="shared" si="6"/>
        <v>106.84379804072285</v>
      </c>
      <c r="R113" s="93"/>
      <c r="S113" s="93">
        <f t="shared" si="5"/>
        <v>0.87551766329924074</v>
      </c>
      <c r="T113" s="93"/>
    </row>
    <row r="114" spans="1:20" ht="14.25" customHeight="1" x14ac:dyDescent="0.35">
      <c r="A114" s="1">
        <v>2024</v>
      </c>
      <c r="B114" s="1" t="s">
        <v>26</v>
      </c>
      <c r="C114" s="1">
        <v>21</v>
      </c>
      <c r="D114" s="12">
        <v>111.563</v>
      </c>
      <c r="E114" s="13">
        <v>95</v>
      </c>
      <c r="F114" s="21">
        <v>76.909000000000006</v>
      </c>
      <c r="G114" s="22">
        <v>2174.203</v>
      </c>
      <c r="H114" s="13">
        <v>6.9</v>
      </c>
      <c r="I114" s="23">
        <v>3.6999999999999998E-2</v>
      </c>
      <c r="J114" s="13">
        <v>9.5749999999999993</v>
      </c>
      <c r="K114" s="24">
        <v>33.942999999999998</v>
      </c>
      <c r="L114" s="13">
        <v>4.9550000000000001</v>
      </c>
      <c r="M114" s="23">
        <v>1.7000000000000001E-2</v>
      </c>
      <c r="N114" s="22">
        <v>218.459</v>
      </c>
      <c r="O114" s="25">
        <v>4.8000000000000001E-2</v>
      </c>
      <c r="P114" s="26">
        <v>3.734</v>
      </c>
      <c r="Q114" s="93">
        <f t="shared" si="6"/>
        <v>106.78445366913472</v>
      </c>
      <c r="R114" s="93"/>
      <c r="S114" s="93">
        <f t="shared" si="5"/>
        <v>0.87503137353328742</v>
      </c>
      <c r="T114" s="93"/>
    </row>
    <row r="115" spans="1:20" ht="14.25" customHeight="1" x14ac:dyDescent="0.35">
      <c r="A115" s="1">
        <v>2024</v>
      </c>
      <c r="B115" s="1" t="s">
        <v>26</v>
      </c>
      <c r="C115" s="1">
        <v>22</v>
      </c>
      <c r="D115" s="12">
        <v>111.328</v>
      </c>
      <c r="E115" s="13">
        <v>94.781000000000006</v>
      </c>
      <c r="F115" s="21">
        <v>76.730999999999995</v>
      </c>
      <c r="G115" s="22">
        <v>2147.4870000000001</v>
      </c>
      <c r="H115" s="13">
        <v>6.9009999999999998</v>
      </c>
      <c r="I115" s="23">
        <v>3.6999999999999998E-2</v>
      </c>
      <c r="J115" s="13">
        <v>9.8320000000000007</v>
      </c>
      <c r="K115" s="24">
        <v>33.439</v>
      </c>
      <c r="L115" s="13">
        <v>4.9089999999999998</v>
      </c>
      <c r="M115" s="23">
        <v>1.7000000000000001E-2</v>
      </c>
      <c r="N115" s="22">
        <v>242.15299999999999</v>
      </c>
      <c r="O115" s="25">
        <v>0.05</v>
      </c>
      <c r="P115" s="26">
        <v>4.0860000000000003</v>
      </c>
      <c r="Q115" s="93">
        <f t="shared" si="6"/>
        <v>106.55951935747004</v>
      </c>
      <c r="R115" s="93"/>
      <c r="S115" s="93">
        <f t="shared" si="5"/>
        <v>0.87318817845265739</v>
      </c>
      <c r="T115" s="93"/>
    </row>
    <row r="116" spans="1:20" ht="14.25" customHeight="1" x14ac:dyDescent="0.35">
      <c r="A116" s="1">
        <v>2024</v>
      </c>
      <c r="B116" s="1" t="s">
        <v>26</v>
      </c>
      <c r="C116" s="1">
        <v>23</v>
      </c>
      <c r="D116" s="12">
        <v>107.297</v>
      </c>
      <c r="E116" s="13">
        <v>91.531000000000006</v>
      </c>
      <c r="F116" s="21">
        <v>76.95</v>
      </c>
      <c r="G116" s="22">
        <v>2216.8560000000002</v>
      </c>
      <c r="H116" s="13">
        <v>6.9</v>
      </c>
      <c r="I116" s="23">
        <v>3.4000000000000002E-2</v>
      </c>
      <c r="J116" s="13">
        <v>9.7140000000000004</v>
      </c>
      <c r="K116" s="24">
        <v>34.534999999999997</v>
      </c>
      <c r="L116" s="13">
        <v>4.9080000000000004</v>
      </c>
      <c r="M116" s="23">
        <v>1.7000000000000001E-2</v>
      </c>
      <c r="N116" s="22">
        <v>243.11199999999999</v>
      </c>
      <c r="O116" s="25">
        <v>5.5E-2</v>
      </c>
      <c r="P116" s="26">
        <v>4.0279999999999996</v>
      </c>
      <c r="Q116" s="93">
        <f t="shared" si="6"/>
        <v>102.70117803695803</v>
      </c>
      <c r="R116" s="93"/>
      <c r="S116" s="93">
        <f t="shared" si="5"/>
        <v>0.84157150028236183</v>
      </c>
      <c r="T116" s="93"/>
    </row>
    <row r="117" spans="1:20" ht="14.25" customHeight="1" x14ac:dyDescent="0.35">
      <c r="A117" s="1">
        <v>2024</v>
      </c>
      <c r="B117" s="1" t="s">
        <v>26</v>
      </c>
      <c r="C117" s="1">
        <v>24</v>
      </c>
      <c r="D117" s="12">
        <v>98.438000000000002</v>
      </c>
      <c r="E117" s="13">
        <v>84.031000000000006</v>
      </c>
      <c r="F117" s="21">
        <v>76.915000000000006</v>
      </c>
      <c r="G117" s="22">
        <v>2187.8829999999998</v>
      </c>
      <c r="H117" s="13">
        <v>6.9</v>
      </c>
      <c r="I117" s="23">
        <v>3.1E-2</v>
      </c>
      <c r="J117" s="13">
        <v>9.3040000000000003</v>
      </c>
      <c r="K117" s="24">
        <v>33.74</v>
      </c>
      <c r="L117" s="13">
        <v>4.9340000000000002</v>
      </c>
      <c r="M117" s="23">
        <v>1.7000000000000001E-2</v>
      </c>
      <c r="N117" s="22">
        <v>230.047</v>
      </c>
      <c r="O117" s="25">
        <v>5.5E-2</v>
      </c>
      <c r="P117" s="26">
        <v>3.6070000000000002</v>
      </c>
      <c r="Q117" s="93">
        <f t="shared" si="6"/>
        <v>94.221633070841449</v>
      </c>
      <c r="R117" s="93"/>
      <c r="S117" s="93">
        <f t="shared" si="5"/>
        <v>0.77208696743427252</v>
      </c>
      <c r="T117" s="93"/>
    </row>
    <row r="118" spans="1:20" ht="14.25" customHeight="1" x14ac:dyDescent="0.35">
      <c r="A118" s="1">
        <v>2024</v>
      </c>
      <c r="B118" s="1" t="s">
        <v>26</v>
      </c>
      <c r="C118" s="1">
        <v>25</v>
      </c>
      <c r="D118" s="12">
        <v>94.233999999999995</v>
      </c>
      <c r="E118" s="13">
        <v>80.218999999999994</v>
      </c>
      <c r="F118" s="21">
        <v>76.894999999999996</v>
      </c>
      <c r="G118" s="22">
        <v>2187.4780000000001</v>
      </c>
      <c r="H118" s="13">
        <v>6.9</v>
      </c>
      <c r="I118" s="23">
        <v>3.1E-2</v>
      </c>
      <c r="J118" s="13">
        <v>9.2989999999999995</v>
      </c>
      <c r="K118" s="24">
        <v>32.770000000000003</v>
      </c>
      <c r="L118" s="13">
        <v>4.9589999999999996</v>
      </c>
      <c r="M118" s="23">
        <v>1.7000000000000001E-2</v>
      </c>
      <c r="N118" s="22">
        <v>216.04300000000001</v>
      </c>
      <c r="O118" s="25">
        <v>0.05</v>
      </c>
      <c r="P118" s="26">
        <v>4.1669999999999998</v>
      </c>
      <c r="Q118" s="93">
        <f t="shared" si="6"/>
        <v>90.197701810252866</v>
      </c>
      <c r="R118" s="93"/>
      <c r="S118" s="93">
        <f t="shared" si="5"/>
        <v>0.73911338394930037</v>
      </c>
      <c r="T118" s="93"/>
    </row>
    <row r="119" spans="1:20" ht="14.25" customHeight="1" x14ac:dyDescent="0.35">
      <c r="A119" s="1">
        <v>2024</v>
      </c>
      <c r="B119" s="1" t="s">
        <v>26</v>
      </c>
      <c r="C119" s="1">
        <v>26</v>
      </c>
      <c r="D119" s="12">
        <v>111.59399999999999</v>
      </c>
      <c r="E119" s="13">
        <v>94.938000000000002</v>
      </c>
      <c r="F119" s="21">
        <v>76.97</v>
      </c>
      <c r="G119" s="22">
        <v>2286.1559999999999</v>
      </c>
      <c r="H119" s="13">
        <v>6.9</v>
      </c>
      <c r="I119" s="23">
        <v>2.9000000000000001E-2</v>
      </c>
      <c r="J119" s="13">
        <v>8.93</v>
      </c>
      <c r="K119" s="24">
        <v>34.853000000000002</v>
      </c>
      <c r="L119" s="13">
        <v>5.1740000000000004</v>
      </c>
      <c r="M119" s="23">
        <v>1.4E-2</v>
      </c>
      <c r="N119" s="22">
        <v>141.53800000000001</v>
      </c>
      <c r="O119" s="25">
        <v>4.5999999999999999E-2</v>
      </c>
      <c r="P119" s="26">
        <v>4.2210000000000001</v>
      </c>
      <c r="Q119" s="93">
        <f t="shared" si="6"/>
        <v>106.81412585492878</v>
      </c>
      <c r="R119" s="93"/>
      <c r="S119" s="93">
        <f t="shared" si="5"/>
        <v>0.87527451841626402</v>
      </c>
      <c r="T119" s="93"/>
    </row>
    <row r="120" spans="1:20" ht="14.25" customHeight="1" x14ac:dyDescent="0.35">
      <c r="A120" s="1">
        <v>2024</v>
      </c>
      <c r="B120" s="1" t="s">
        <v>26</v>
      </c>
      <c r="C120" s="1">
        <v>27</v>
      </c>
      <c r="D120" s="12">
        <v>111.578</v>
      </c>
      <c r="E120" s="13">
        <v>94.906000000000006</v>
      </c>
      <c r="F120" s="21">
        <v>76.828999999999994</v>
      </c>
      <c r="G120" s="22">
        <v>2266.5990000000002</v>
      </c>
      <c r="H120" s="13">
        <v>6.9</v>
      </c>
      <c r="I120" s="23">
        <v>2.5999999999999999E-2</v>
      </c>
      <c r="J120" s="13">
        <v>8.9870000000000001</v>
      </c>
      <c r="K120" s="24">
        <v>34.29</v>
      </c>
      <c r="L120" s="13">
        <v>5.2919999999999998</v>
      </c>
      <c r="M120" s="23">
        <v>1.2999999999999999E-2</v>
      </c>
      <c r="N120" s="22">
        <v>100.593</v>
      </c>
      <c r="O120" s="25">
        <v>4.4999999999999998E-2</v>
      </c>
      <c r="P120" s="26">
        <v>3.4009999999999998</v>
      </c>
      <c r="Q120" s="93">
        <f t="shared" si="6"/>
        <v>106.79881117838991</v>
      </c>
      <c r="R120" s="93"/>
      <c r="S120" s="93">
        <f t="shared" si="5"/>
        <v>0.87514902428311481</v>
      </c>
      <c r="T120" s="93"/>
    </row>
    <row r="121" spans="1:20" ht="14.25" customHeight="1" x14ac:dyDescent="0.35">
      <c r="A121" s="1">
        <v>2024</v>
      </c>
      <c r="B121" s="1" t="s">
        <v>26</v>
      </c>
      <c r="C121" s="1">
        <v>28</v>
      </c>
      <c r="D121" s="12">
        <v>107.563</v>
      </c>
      <c r="E121" s="13">
        <v>91.563000000000002</v>
      </c>
      <c r="F121" s="21">
        <v>76.995000000000005</v>
      </c>
      <c r="G121" s="22">
        <v>2204.6390000000001</v>
      </c>
      <c r="H121" s="13">
        <v>6.9</v>
      </c>
      <c r="I121" s="23">
        <v>2.7E-2</v>
      </c>
      <c r="J121" s="13">
        <v>9.157</v>
      </c>
      <c r="K121" s="24">
        <v>34.985999999999997</v>
      </c>
      <c r="L121" s="13">
        <v>5.327</v>
      </c>
      <c r="M121" s="23">
        <v>1.2999999999999999E-2</v>
      </c>
      <c r="N121" s="22">
        <v>92.671000000000006</v>
      </c>
      <c r="O121" s="25">
        <v>4.4999999999999998E-2</v>
      </c>
      <c r="P121" s="26">
        <v>3.1110000000000002</v>
      </c>
      <c r="Q121" s="93">
        <f t="shared" si="6"/>
        <v>102.95578453441678</v>
      </c>
      <c r="R121" s="93"/>
      <c r="S121" s="93">
        <f t="shared" si="5"/>
        <v>0.84365784024596857</v>
      </c>
      <c r="T121" s="93"/>
    </row>
    <row r="122" spans="1:20" ht="14.25" customHeight="1" x14ac:dyDescent="0.35">
      <c r="A122" s="1">
        <v>2024</v>
      </c>
      <c r="B122" s="1" t="s">
        <v>26</v>
      </c>
      <c r="C122" s="1">
        <v>29</v>
      </c>
      <c r="D122" s="12">
        <v>111.578</v>
      </c>
      <c r="E122" s="13">
        <v>94.968999999999994</v>
      </c>
      <c r="F122" s="21">
        <v>77.376000000000005</v>
      </c>
      <c r="G122" s="22">
        <v>2213.701</v>
      </c>
      <c r="H122" s="13">
        <v>6.9009999999999998</v>
      </c>
      <c r="I122" s="23">
        <v>2.8000000000000001E-2</v>
      </c>
      <c r="J122" s="13">
        <v>9.0779999999999994</v>
      </c>
      <c r="K122" s="24">
        <v>34.44</v>
      </c>
      <c r="L122" s="13">
        <v>5.319</v>
      </c>
      <c r="M122" s="23">
        <v>1.2999999999999999E-2</v>
      </c>
      <c r="N122" s="22">
        <v>94.465000000000003</v>
      </c>
      <c r="O122" s="25">
        <v>0.05</v>
      </c>
      <c r="P122" s="26">
        <v>6.43</v>
      </c>
      <c r="Q122" s="93">
        <f t="shared" si="6"/>
        <v>106.79881117838991</v>
      </c>
      <c r="R122" s="93"/>
      <c r="S122" s="93">
        <f t="shared" si="5"/>
        <v>0.87514902428311481</v>
      </c>
      <c r="T122" s="93"/>
    </row>
    <row r="123" spans="1:20" ht="14.25" customHeight="1" x14ac:dyDescent="0.35">
      <c r="A123" s="1">
        <v>2024</v>
      </c>
      <c r="B123" s="1" t="s">
        <v>26</v>
      </c>
      <c r="C123" s="1">
        <v>30</v>
      </c>
      <c r="D123" s="34">
        <v>100.578</v>
      </c>
      <c r="E123" s="35">
        <v>85.563000000000002</v>
      </c>
      <c r="F123" s="21">
        <v>77.56</v>
      </c>
      <c r="G123" s="22">
        <v>2221.2399999999998</v>
      </c>
      <c r="H123" s="13">
        <v>6.9</v>
      </c>
      <c r="I123" s="23">
        <v>2.8000000000000001E-2</v>
      </c>
      <c r="J123" s="13">
        <v>9.5530000000000008</v>
      </c>
      <c r="K123" s="24">
        <v>33.719000000000001</v>
      </c>
      <c r="L123" s="13">
        <v>5.3049999999999997</v>
      </c>
      <c r="M123" s="23">
        <v>1.2999999999999999E-2</v>
      </c>
      <c r="N123" s="22">
        <v>97.679000000000002</v>
      </c>
      <c r="O123" s="25">
        <v>5.3999999999999999E-2</v>
      </c>
      <c r="P123" s="26">
        <v>10.887</v>
      </c>
      <c r="Q123" s="93">
        <f t="shared" si="6"/>
        <v>96.269971057915541</v>
      </c>
      <c r="R123" s="93"/>
      <c r="S123" s="93">
        <f t="shared" si="5"/>
        <v>0.78887180774298804</v>
      </c>
      <c r="T123" s="93"/>
    </row>
    <row r="124" spans="1:20" ht="14.25" customHeight="1" x14ac:dyDescent="0.35">
      <c r="A124" s="1">
        <v>2024</v>
      </c>
      <c r="B124" s="1" t="s">
        <v>27</v>
      </c>
      <c r="C124" s="1">
        <v>1</v>
      </c>
      <c r="D124" s="44">
        <v>48.328000000000003</v>
      </c>
      <c r="E124" s="45">
        <v>41.155999999999999</v>
      </c>
      <c r="F124" s="21">
        <v>78.456000000000003</v>
      </c>
      <c r="G124" s="22">
        <v>1820.1079999999999</v>
      </c>
      <c r="H124" s="13">
        <v>6.9</v>
      </c>
      <c r="I124" s="23">
        <v>2.3E-2</v>
      </c>
      <c r="J124" s="13">
        <v>9.343</v>
      </c>
      <c r="K124" s="24">
        <v>23.245999999999999</v>
      </c>
      <c r="L124" s="13">
        <v>5.1470000000000002</v>
      </c>
      <c r="M124" s="23">
        <v>1.2999999999999999E-2</v>
      </c>
      <c r="N124" s="22">
        <v>141.64599999999999</v>
      </c>
      <c r="O124" s="25">
        <v>0.06</v>
      </c>
      <c r="P124" s="26">
        <v>5.7530000000000001</v>
      </c>
      <c r="Q124" s="93">
        <f t="shared" si="6"/>
        <v>46.257980485662294</v>
      </c>
      <c r="R124" s="243">
        <f>N7+O7</f>
        <v>139.17509999999999</v>
      </c>
      <c r="S124" s="93">
        <f t="shared" si="5"/>
        <v>0.37905502917738598</v>
      </c>
      <c r="T124" s="93"/>
    </row>
    <row r="125" spans="1:20" ht="14.25" customHeight="1" x14ac:dyDescent="0.35">
      <c r="A125" s="1">
        <v>2024</v>
      </c>
      <c r="B125" s="1" t="s">
        <v>27</v>
      </c>
      <c r="C125" s="1">
        <v>2</v>
      </c>
      <c r="D125" s="12">
        <v>68.671999999999997</v>
      </c>
      <c r="E125" s="13">
        <v>58.438000000000002</v>
      </c>
      <c r="F125" s="21">
        <v>78.484999999999999</v>
      </c>
      <c r="G125" s="22">
        <v>1768.289</v>
      </c>
      <c r="H125" s="13">
        <v>6.9</v>
      </c>
      <c r="I125" s="23">
        <v>2.3E-2</v>
      </c>
      <c r="J125" s="13">
        <v>8.9949999999999992</v>
      </c>
      <c r="K125" s="24">
        <v>23.196999999999999</v>
      </c>
      <c r="L125" s="13">
        <v>5.117</v>
      </c>
      <c r="M125" s="23">
        <v>1.2999999999999999E-2</v>
      </c>
      <c r="N125" s="22">
        <v>150.65600000000001</v>
      </c>
      <c r="O125" s="25">
        <v>5.6000000000000001E-2</v>
      </c>
      <c r="P125" s="26">
        <v>4.9539999999999997</v>
      </c>
      <c r="Q125" s="93">
        <f t="shared" si="6"/>
        <v>65.730591704837806</v>
      </c>
      <c r="R125" s="93"/>
      <c r="S125" s="93">
        <f t="shared" si="5"/>
        <v>0.53862081947668949</v>
      </c>
      <c r="T125" s="93"/>
    </row>
    <row r="126" spans="1:20" ht="14.25" customHeight="1" x14ac:dyDescent="0.35">
      <c r="A126" s="1">
        <v>2024</v>
      </c>
      <c r="B126" s="1" t="s">
        <v>27</v>
      </c>
      <c r="C126" s="1">
        <v>3</v>
      </c>
      <c r="D126" s="12">
        <v>64.438000000000002</v>
      </c>
      <c r="E126" s="13">
        <v>54.780999999999999</v>
      </c>
      <c r="F126" s="21">
        <v>77.936999999999998</v>
      </c>
      <c r="G126" s="22">
        <v>1748.826</v>
      </c>
      <c r="H126" s="13">
        <v>6.9</v>
      </c>
      <c r="I126" s="23">
        <v>2.5999999999999999E-2</v>
      </c>
      <c r="J126" s="13">
        <v>8.6780000000000008</v>
      </c>
      <c r="K126" s="24">
        <v>24.276700000000002</v>
      </c>
      <c r="L126" s="13">
        <v>4.9569000000000001</v>
      </c>
      <c r="M126" s="23">
        <v>1.29E-2</v>
      </c>
      <c r="N126" s="22">
        <v>227.3896</v>
      </c>
      <c r="O126" s="25">
        <v>5.0099999999999999E-2</v>
      </c>
      <c r="P126" s="26">
        <v>2.4769999999999999</v>
      </c>
      <c r="Q126" s="93">
        <f t="shared" si="6"/>
        <v>61.677945425738855</v>
      </c>
      <c r="R126" s="93"/>
      <c r="S126" s="93">
        <f t="shared" si="5"/>
        <v>0.50541193449206256</v>
      </c>
      <c r="T126" s="93"/>
    </row>
    <row r="127" spans="1:20" ht="14.25" customHeight="1" x14ac:dyDescent="0.35">
      <c r="A127" s="1">
        <v>2024</v>
      </c>
      <c r="B127" s="1" t="s">
        <v>27</v>
      </c>
      <c r="C127" s="1">
        <v>4</v>
      </c>
      <c r="D127" s="12">
        <v>68.233999999999995</v>
      </c>
      <c r="E127" s="13">
        <v>57.938000000000002</v>
      </c>
      <c r="F127" s="21">
        <v>78.355999999999995</v>
      </c>
      <c r="G127" s="22">
        <v>1719.2670000000001</v>
      </c>
      <c r="H127" s="13">
        <v>6.9</v>
      </c>
      <c r="I127" s="23">
        <v>2.1999999999999999E-2</v>
      </c>
      <c r="J127" s="13">
        <v>8.8810000000000002</v>
      </c>
      <c r="K127" s="24">
        <v>23.228100000000001</v>
      </c>
      <c r="L127" s="13">
        <v>4.7614000000000001</v>
      </c>
      <c r="M127" s="23">
        <v>1.32E-2</v>
      </c>
      <c r="N127" s="22">
        <v>340.77749999999997</v>
      </c>
      <c r="O127" s="25">
        <v>5.3400000000000003E-2</v>
      </c>
      <c r="P127" s="26">
        <v>0.442</v>
      </c>
      <c r="Q127" s="93">
        <f t="shared" si="6"/>
        <v>65.311352434586169</v>
      </c>
      <c r="R127" s="93"/>
      <c r="S127" s="93">
        <f t="shared" si="5"/>
        <v>0.535185417581728</v>
      </c>
      <c r="T127" s="93"/>
    </row>
    <row r="128" spans="1:20" ht="14.25" customHeight="1" x14ac:dyDescent="0.35">
      <c r="A128" s="1">
        <v>2024</v>
      </c>
      <c r="B128" s="1" t="s">
        <v>27</v>
      </c>
      <c r="C128" s="1">
        <v>5</v>
      </c>
      <c r="D128" s="12">
        <v>61.203000000000003</v>
      </c>
      <c r="E128" s="13">
        <v>52</v>
      </c>
      <c r="F128" s="21">
        <v>77.807000000000002</v>
      </c>
      <c r="G128" s="22">
        <v>1656.376</v>
      </c>
      <c r="H128" s="13">
        <v>6.9</v>
      </c>
      <c r="I128" s="23">
        <v>2.1999999999999999E-2</v>
      </c>
      <c r="J128" s="13">
        <v>8.9390000000000001</v>
      </c>
      <c r="K128" s="24">
        <v>22.132000000000001</v>
      </c>
      <c r="L128" s="13">
        <v>4.76</v>
      </c>
      <c r="M128" s="23">
        <v>1.4E-2</v>
      </c>
      <c r="N128" s="22">
        <v>342.40199999999999</v>
      </c>
      <c r="O128" s="25">
        <v>6.2E-2</v>
      </c>
      <c r="P128" s="26">
        <v>0.373</v>
      </c>
      <c r="Q128" s="93">
        <f t="shared" si="6"/>
        <v>58.581509263035706</v>
      </c>
      <c r="R128" s="93"/>
      <c r="S128" s="93">
        <f t="shared" si="5"/>
        <v>0.48003858944594346</v>
      </c>
      <c r="T128" s="93"/>
    </row>
    <row r="129" spans="1:20" ht="14.25" customHeight="1" x14ac:dyDescent="0.35">
      <c r="A129" s="1">
        <v>2024</v>
      </c>
      <c r="B129" s="1" t="s">
        <v>27</v>
      </c>
      <c r="C129" s="1">
        <v>6</v>
      </c>
      <c r="D129" s="12">
        <v>71.016000000000005</v>
      </c>
      <c r="E129" s="13">
        <v>60.375</v>
      </c>
      <c r="F129" s="21">
        <v>78.099000000000004</v>
      </c>
      <c r="G129" s="22">
        <v>1649.9680000000001</v>
      </c>
      <c r="H129" s="13">
        <v>6.9</v>
      </c>
      <c r="I129" s="23">
        <v>2.5000000000000001E-2</v>
      </c>
      <c r="J129" s="13">
        <v>9.0250000000000004</v>
      </c>
      <c r="K129" s="24">
        <v>21.725999999999999</v>
      </c>
      <c r="L129" s="13">
        <v>4.7809999999999997</v>
      </c>
      <c r="M129" s="23">
        <v>1.2999999999999999E-2</v>
      </c>
      <c r="N129" s="22">
        <v>325.17500000000001</v>
      </c>
      <c r="O129" s="25">
        <v>0.06</v>
      </c>
      <c r="P129" s="26">
        <v>0.20799999999999999</v>
      </c>
      <c r="Q129" s="93">
        <f t="shared" si="6"/>
        <v>67.974191817782526</v>
      </c>
      <c r="R129" s="93"/>
      <c r="S129" s="93">
        <f t="shared" si="5"/>
        <v>0.55700570998305832</v>
      </c>
      <c r="T129" s="93"/>
    </row>
    <row r="130" spans="1:20" ht="14.25" customHeight="1" x14ac:dyDescent="0.35">
      <c r="A130" s="1">
        <v>2024</v>
      </c>
      <c r="B130" s="1" t="s">
        <v>27</v>
      </c>
      <c r="C130" s="1">
        <v>7</v>
      </c>
      <c r="D130" s="12">
        <v>68.078000000000003</v>
      </c>
      <c r="E130" s="13">
        <v>57.969000000000001</v>
      </c>
      <c r="F130" s="21">
        <v>78.335999999999999</v>
      </c>
      <c r="G130" s="22">
        <v>1711.19</v>
      </c>
      <c r="H130" s="13">
        <v>6.9</v>
      </c>
      <c r="I130" s="23">
        <v>2.5000000000000001E-2</v>
      </c>
      <c r="J130" s="13">
        <v>8.8650000000000002</v>
      </c>
      <c r="K130" s="24">
        <v>22.094999999999999</v>
      </c>
      <c r="L130" s="13">
        <v>4.7789999999999999</v>
      </c>
      <c r="M130" s="23">
        <v>1.2999999999999999E-2</v>
      </c>
      <c r="N130" s="22">
        <v>327.61200000000002</v>
      </c>
      <c r="O130" s="25">
        <v>7.2999999999999995E-2</v>
      </c>
      <c r="P130" s="26">
        <v>0.17100000000000001</v>
      </c>
      <c r="Q130" s="93">
        <f t="shared" si="6"/>
        <v>65.162034338332191</v>
      </c>
      <c r="R130" s="93"/>
      <c r="S130" s="93">
        <f t="shared" si="5"/>
        <v>0.53396184978352268</v>
      </c>
      <c r="T130" s="93"/>
    </row>
    <row r="131" spans="1:20" ht="14.25" customHeight="1" x14ac:dyDescent="0.35">
      <c r="A131" s="1">
        <v>2024</v>
      </c>
      <c r="B131" s="1" t="s">
        <v>27</v>
      </c>
      <c r="C131" s="1">
        <v>8</v>
      </c>
      <c r="D131" s="12">
        <v>68.906000000000006</v>
      </c>
      <c r="E131" s="13">
        <v>58.75</v>
      </c>
      <c r="F131" s="21">
        <v>78.637</v>
      </c>
      <c r="G131" s="22">
        <v>1740.913</v>
      </c>
      <c r="H131" s="13">
        <v>6.9</v>
      </c>
      <c r="I131" s="23">
        <v>2.9000000000000001E-2</v>
      </c>
      <c r="J131" s="13">
        <v>8.2789999999999999</v>
      </c>
      <c r="K131" s="24">
        <v>22.367000000000001</v>
      </c>
      <c r="L131" s="13">
        <v>4.8070000000000004</v>
      </c>
      <c r="M131" s="23">
        <v>1.2999999999999999E-2</v>
      </c>
      <c r="N131" s="22">
        <v>307.61599999999999</v>
      </c>
      <c r="O131" s="25">
        <v>8.2000000000000003E-2</v>
      </c>
      <c r="P131" s="26">
        <v>0.20599999999999999</v>
      </c>
      <c r="Q131" s="93">
        <f t="shared" si="6"/>
        <v>65.954568849218802</v>
      </c>
      <c r="R131" s="93"/>
      <c r="S131" s="93">
        <f t="shared" si="5"/>
        <v>0.54045617117399769</v>
      </c>
      <c r="T131" s="93"/>
    </row>
    <row r="132" spans="1:20" ht="14.25" customHeight="1" x14ac:dyDescent="0.35">
      <c r="A132" s="1">
        <v>2024</v>
      </c>
      <c r="B132" s="1" t="s">
        <v>27</v>
      </c>
      <c r="C132" s="1">
        <v>9</v>
      </c>
      <c r="D132" s="12">
        <v>64.593999999999994</v>
      </c>
      <c r="E132" s="13">
        <v>55</v>
      </c>
      <c r="F132" s="21">
        <v>78.808999999999997</v>
      </c>
      <c r="G132" s="22">
        <v>1714.3140000000001</v>
      </c>
      <c r="H132" s="13">
        <v>6.9</v>
      </c>
      <c r="I132" s="23">
        <v>2.3E-2</v>
      </c>
      <c r="J132" s="13">
        <v>7.8550000000000004</v>
      </c>
      <c r="K132" s="24">
        <v>21.350999999999999</v>
      </c>
      <c r="L132" s="13">
        <v>4.79</v>
      </c>
      <c r="M132" s="23">
        <v>1.2999999999999999E-2</v>
      </c>
      <c r="N132" s="22">
        <v>319.17899999999997</v>
      </c>
      <c r="O132" s="25">
        <v>7.9000000000000001E-2</v>
      </c>
      <c r="P132" s="26">
        <v>0.28899999999999998</v>
      </c>
      <c r="Q132" s="93">
        <f t="shared" si="6"/>
        <v>61.82726352199284</v>
      </c>
      <c r="R132" s="93"/>
      <c r="S132" s="93">
        <f t="shared" si="5"/>
        <v>0.50663550229026788</v>
      </c>
      <c r="T132" s="93"/>
    </row>
    <row r="133" spans="1:20" ht="14.25" customHeight="1" x14ac:dyDescent="0.35">
      <c r="A133" s="1">
        <v>2024</v>
      </c>
      <c r="B133" s="1" t="s">
        <v>27</v>
      </c>
      <c r="C133" s="1">
        <v>10</v>
      </c>
      <c r="D133" s="12">
        <v>70.233999999999995</v>
      </c>
      <c r="E133" s="13">
        <v>59.75</v>
      </c>
      <c r="F133" s="27">
        <v>78.739999999999995</v>
      </c>
      <c r="G133" s="22">
        <v>1731.2180000000001</v>
      </c>
      <c r="H133" s="13">
        <v>6.9</v>
      </c>
      <c r="I133" s="23">
        <v>2.4E-2</v>
      </c>
      <c r="J133" s="28">
        <v>8.3030000000000008</v>
      </c>
      <c r="K133" s="24">
        <v>21.56</v>
      </c>
      <c r="L133" s="13">
        <v>4.8769999999999998</v>
      </c>
      <c r="M133" s="29">
        <v>1.2999999999999999E-2</v>
      </c>
      <c r="N133" s="22">
        <v>264.19900000000001</v>
      </c>
      <c r="O133" s="30">
        <v>8.2000000000000003E-2</v>
      </c>
      <c r="P133" s="31">
        <v>1.1299999999999999</v>
      </c>
      <c r="Q133" s="93">
        <f t="shared" si="6"/>
        <v>67.225687001945147</v>
      </c>
      <c r="R133" s="93"/>
      <c r="S133" s="93">
        <f t="shared" si="5"/>
        <v>0.55087218422538742</v>
      </c>
      <c r="T133" s="93"/>
    </row>
    <row r="134" spans="1:20" ht="14.25" customHeight="1" x14ac:dyDescent="0.35">
      <c r="A134" s="1">
        <v>2024</v>
      </c>
      <c r="B134" s="1" t="s">
        <v>27</v>
      </c>
      <c r="C134" s="1">
        <v>11</v>
      </c>
      <c r="D134" s="12">
        <v>65.328000000000003</v>
      </c>
      <c r="E134" s="13">
        <v>55.594000000000001</v>
      </c>
      <c r="F134" s="27">
        <v>78.462000000000003</v>
      </c>
      <c r="G134" s="22">
        <v>1755.2380000000001</v>
      </c>
      <c r="H134" s="13">
        <v>6.9</v>
      </c>
      <c r="I134" s="23">
        <v>2.1999999999999999E-2</v>
      </c>
      <c r="J134" s="28">
        <v>8.8529999999999998</v>
      </c>
      <c r="K134" s="24">
        <v>21.664000000000001</v>
      </c>
      <c r="L134" s="13">
        <v>4.9029999999999996</v>
      </c>
      <c r="M134" s="29">
        <v>1.2999999999999999E-2</v>
      </c>
      <c r="N134" s="22">
        <v>244.72</v>
      </c>
      <c r="O134" s="30">
        <v>7.1999999999999995E-2</v>
      </c>
      <c r="P134" s="31">
        <v>1.754</v>
      </c>
      <c r="Q134" s="93">
        <f t="shared" si="6"/>
        <v>62.529824308213598</v>
      </c>
      <c r="R134" s="93"/>
      <c r="S134" s="93">
        <f t="shared" si="5"/>
        <v>0.51239254564849102</v>
      </c>
      <c r="T134" s="93"/>
    </row>
    <row r="135" spans="1:20" ht="14.25" customHeight="1" x14ac:dyDescent="0.35">
      <c r="A135" s="1">
        <v>2024</v>
      </c>
      <c r="B135" s="1" t="s">
        <v>27</v>
      </c>
      <c r="C135" s="1">
        <v>12</v>
      </c>
      <c r="D135" s="12">
        <v>67.75</v>
      </c>
      <c r="E135" s="13">
        <v>57.594000000000001</v>
      </c>
      <c r="F135" s="27">
        <v>78.397000000000006</v>
      </c>
      <c r="G135" s="22">
        <v>1697.75</v>
      </c>
      <c r="H135" s="13">
        <v>6.9</v>
      </c>
      <c r="I135" s="23">
        <v>2.3E-2</v>
      </c>
      <c r="J135" s="28">
        <v>8.9320000000000004</v>
      </c>
      <c r="K135" s="24">
        <v>20.954000000000001</v>
      </c>
      <c r="L135" s="13">
        <v>4.9400000000000004</v>
      </c>
      <c r="M135" s="29">
        <v>1.2999999999999999E-2</v>
      </c>
      <c r="N135" s="22">
        <v>226.697</v>
      </c>
      <c r="O135" s="30">
        <v>6.3E-2</v>
      </c>
      <c r="P135" s="31">
        <v>2.1030000000000002</v>
      </c>
      <c r="Q135" s="93">
        <f t="shared" si="6"/>
        <v>64.848083469285314</v>
      </c>
      <c r="R135" s="93"/>
      <c r="S135" s="93">
        <f t="shared" si="5"/>
        <v>0.5313892200539625</v>
      </c>
      <c r="T135" s="93"/>
    </row>
    <row r="136" spans="1:20" ht="14.25" customHeight="1" x14ac:dyDescent="0.35">
      <c r="A136" s="1">
        <v>2024</v>
      </c>
      <c r="B136" s="1" t="s">
        <v>27</v>
      </c>
      <c r="C136" s="1">
        <v>13</v>
      </c>
      <c r="D136" s="12">
        <v>63.046999999999997</v>
      </c>
      <c r="E136" s="13">
        <v>53.625</v>
      </c>
      <c r="F136" s="27">
        <v>78.494</v>
      </c>
      <c r="G136" s="22">
        <v>1685.7339999999999</v>
      </c>
      <c r="H136" s="13">
        <v>6.9</v>
      </c>
      <c r="I136" s="23">
        <v>2.4E-2</v>
      </c>
      <c r="J136" s="28">
        <v>9.157</v>
      </c>
      <c r="K136" s="24">
        <v>22.428999999999998</v>
      </c>
      <c r="L136" s="13">
        <v>4.9470000000000001</v>
      </c>
      <c r="M136" s="23">
        <v>1.2999999999999999E-2</v>
      </c>
      <c r="N136" s="22">
        <v>223.94300000000001</v>
      </c>
      <c r="O136" s="30">
        <v>5.7000000000000002E-2</v>
      </c>
      <c r="P136" s="31">
        <v>2.65</v>
      </c>
      <c r="Q136" s="93">
        <f t="shared" si="6"/>
        <v>60.346525734140677</v>
      </c>
      <c r="R136" s="93"/>
      <c r="S136" s="93">
        <f t="shared" si="5"/>
        <v>0.49450178829139735</v>
      </c>
      <c r="T136" s="93"/>
    </row>
    <row r="137" spans="1:20" ht="14.25" customHeight="1" x14ac:dyDescent="0.35">
      <c r="A137" s="1">
        <v>2024</v>
      </c>
      <c r="B137" s="1" t="s">
        <v>27</v>
      </c>
      <c r="C137" s="1">
        <v>14</v>
      </c>
      <c r="D137" s="12">
        <v>65.813000000000002</v>
      </c>
      <c r="E137" s="13">
        <v>56</v>
      </c>
      <c r="F137" s="21">
        <v>78.774000000000001</v>
      </c>
      <c r="G137" s="22">
        <v>1718.415</v>
      </c>
      <c r="H137" s="13">
        <v>6.9</v>
      </c>
      <c r="I137" s="23">
        <v>2.3E-2</v>
      </c>
      <c r="J137" s="28">
        <v>8.8979999999999997</v>
      </c>
      <c r="K137" s="33">
        <v>21.984999999999999</v>
      </c>
      <c r="L137" s="13">
        <v>4.9059999999999997</v>
      </c>
      <c r="M137" s="23">
        <v>1.2999999999999999E-2</v>
      </c>
      <c r="N137" s="22">
        <v>243.87100000000001</v>
      </c>
      <c r="O137" s="30">
        <v>5.3999999999999999E-2</v>
      </c>
      <c r="P137" s="31">
        <v>2.1059999999999999</v>
      </c>
      <c r="Q137" s="93">
        <f t="shared" si="6"/>
        <v>62.994050440798141</v>
      </c>
      <c r="R137" s="93"/>
      <c r="S137" s="93">
        <f t="shared" si="5"/>
        <v>0.51619658655957834</v>
      </c>
      <c r="T137" s="93"/>
    </row>
    <row r="138" spans="1:20" ht="14.25" customHeight="1" x14ac:dyDescent="0.35">
      <c r="A138" s="1">
        <v>2024</v>
      </c>
      <c r="B138" s="1" t="s">
        <v>27</v>
      </c>
      <c r="C138" s="1">
        <v>15</v>
      </c>
      <c r="D138" s="12">
        <v>63.203000000000003</v>
      </c>
      <c r="E138" s="13">
        <v>53.780999999999999</v>
      </c>
      <c r="F138" s="21">
        <v>78.739000000000004</v>
      </c>
      <c r="G138" s="22">
        <v>1741.4639999999999</v>
      </c>
      <c r="H138" s="13">
        <v>6.9</v>
      </c>
      <c r="I138" s="23">
        <v>2.1999999999999999E-2</v>
      </c>
      <c r="J138" s="28">
        <v>8.08</v>
      </c>
      <c r="K138" s="24">
        <v>21.372</v>
      </c>
      <c r="L138" s="13">
        <v>4.8769999999999998</v>
      </c>
      <c r="M138" s="23">
        <v>1.2999999999999999E-2</v>
      </c>
      <c r="N138" s="22">
        <v>261.32220000000001</v>
      </c>
      <c r="O138" s="30">
        <v>5.96E-2</v>
      </c>
      <c r="P138" s="31">
        <v>1.889</v>
      </c>
      <c r="Q138" s="93">
        <f t="shared" si="6"/>
        <v>60.495843830394676</v>
      </c>
      <c r="R138" s="93"/>
      <c r="S138" s="93">
        <f t="shared" si="5"/>
        <v>0.49572535608960283</v>
      </c>
      <c r="T138" s="93"/>
    </row>
    <row r="139" spans="1:20" ht="14.25" customHeight="1" x14ac:dyDescent="0.35">
      <c r="A139" s="1">
        <v>2024</v>
      </c>
      <c r="B139" s="1" t="s">
        <v>27</v>
      </c>
      <c r="C139" s="1">
        <v>16</v>
      </c>
      <c r="D139" s="12">
        <v>59.469000000000001</v>
      </c>
      <c r="E139" s="13">
        <v>50.594000000000001</v>
      </c>
      <c r="F139" s="21">
        <v>78.585999999999999</v>
      </c>
      <c r="G139" s="22">
        <v>1770.5609999999999</v>
      </c>
      <c r="H139" s="13">
        <v>6.9</v>
      </c>
      <c r="I139" s="23">
        <v>2.1999999999999999E-2</v>
      </c>
      <c r="J139" s="28">
        <v>7.7569999999999997</v>
      </c>
      <c r="K139" s="24">
        <v>20.992999999999999</v>
      </c>
      <c r="L139" s="13">
        <v>4.8769999999999998</v>
      </c>
      <c r="M139" s="23">
        <v>1.2999999999999999E-2</v>
      </c>
      <c r="N139" s="22">
        <v>261.19</v>
      </c>
      <c r="O139" s="30">
        <v>5.2999999999999999E-2</v>
      </c>
      <c r="P139" s="31">
        <v>1.9410000000000001</v>
      </c>
      <c r="Q139" s="93">
        <f t="shared" si="6"/>
        <v>56.921781193135473</v>
      </c>
      <c r="R139" s="93"/>
      <c r="S139" s="93">
        <f t="shared" si="5"/>
        <v>0.46643816276589073</v>
      </c>
      <c r="T139" s="93"/>
    </row>
    <row r="140" spans="1:20" ht="14.25" customHeight="1" x14ac:dyDescent="0.35">
      <c r="A140" s="1">
        <v>2024</v>
      </c>
      <c r="B140" s="1" t="s">
        <v>27</v>
      </c>
      <c r="C140" s="1">
        <v>17</v>
      </c>
      <c r="D140" s="12">
        <v>66.75</v>
      </c>
      <c r="E140" s="13">
        <v>56.813000000000002</v>
      </c>
      <c r="F140" s="21">
        <v>78.641999999999996</v>
      </c>
      <c r="G140" s="22">
        <v>1738.8040000000001</v>
      </c>
      <c r="H140" s="13">
        <v>6.9</v>
      </c>
      <c r="I140" s="23">
        <v>2.1999999999999999E-2</v>
      </c>
      <c r="J140" s="13">
        <v>7.7110000000000003</v>
      </c>
      <c r="K140" s="24">
        <v>20.164999999999999</v>
      </c>
      <c r="L140" s="13">
        <v>4.8929999999999998</v>
      </c>
      <c r="M140" s="23">
        <v>1.2999999999999999E-2</v>
      </c>
      <c r="N140" s="22">
        <v>251.33799999999999</v>
      </c>
      <c r="O140" s="25">
        <v>5.7000000000000002E-2</v>
      </c>
      <c r="P140" s="26">
        <v>0.70899999999999996</v>
      </c>
      <c r="Q140" s="93">
        <f t="shared" si="6"/>
        <v>63.890916185605832</v>
      </c>
      <c r="R140" s="93"/>
      <c r="S140" s="93">
        <f t="shared" si="5"/>
        <v>0.52354583673213284</v>
      </c>
      <c r="T140" s="93"/>
    </row>
    <row r="141" spans="1:20" ht="14.25" customHeight="1" x14ac:dyDescent="0.35">
      <c r="A141" s="1">
        <v>2024</v>
      </c>
      <c r="B141" s="1" t="s">
        <v>27</v>
      </c>
      <c r="C141" s="1">
        <v>18</v>
      </c>
      <c r="D141" s="12">
        <v>64.531000000000006</v>
      </c>
      <c r="E141" s="13">
        <v>54.969000000000001</v>
      </c>
      <c r="F141" s="21">
        <v>78.682000000000002</v>
      </c>
      <c r="G141" s="22">
        <v>1745.6279999999999</v>
      </c>
      <c r="H141" s="13">
        <v>6.9</v>
      </c>
      <c r="I141" s="23">
        <v>2.1999999999999999E-2</v>
      </c>
      <c r="J141" s="13">
        <v>7.7469999999999999</v>
      </c>
      <c r="K141" s="24">
        <v>20.013000000000002</v>
      </c>
      <c r="L141" s="13">
        <v>4.9135999999999997</v>
      </c>
      <c r="M141" s="23">
        <v>1.29E-2</v>
      </c>
      <c r="N141" s="22">
        <v>240.98830000000001</v>
      </c>
      <c r="O141" s="25">
        <v>4.9500000000000002E-2</v>
      </c>
      <c r="P141" s="26">
        <v>4.2000000000000003E-2</v>
      </c>
      <c r="Q141" s="93">
        <f t="shared" si="6"/>
        <v>61.766961983121043</v>
      </c>
      <c r="R141" s="93"/>
      <c r="S141" s="93">
        <f t="shared" si="5"/>
        <v>0.50614136914099273</v>
      </c>
      <c r="T141" s="93"/>
    </row>
    <row r="142" spans="1:20" ht="14.25" customHeight="1" x14ac:dyDescent="0.35">
      <c r="A142" s="1">
        <v>2024</v>
      </c>
      <c r="B142" s="1" t="s">
        <v>27</v>
      </c>
      <c r="C142" s="1">
        <v>19</v>
      </c>
      <c r="D142" s="12">
        <v>64.531000000000006</v>
      </c>
      <c r="E142" s="13">
        <v>55</v>
      </c>
      <c r="F142" s="21">
        <v>78.692999999999998</v>
      </c>
      <c r="G142" s="22">
        <v>1698.9849999999999</v>
      </c>
      <c r="H142" s="13">
        <v>6.9</v>
      </c>
      <c r="I142" s="23">
        <v>2.3E-2</v>
      </c>
      <c r="J142" s="13">
        <v>7.7430000000000003</v>
      </c>
      <c r="K142" s="24">
        <v>19.620999999999999</v>
      </c>
      <c r="L142" s="13">
        <v>4.9240000000000004</v>
      </c>
      <c r="M142" s="23">
        <v>1.2999999999999999E-2</v>
      </c>
      <c r="N142" s="22">
        <v>233.696</v>
      </c>
      <c r="O142" s="25">
        <v>5.7000000000000002E-2</v>
      </c>
      <c r="P142" s="26">
        <v>4.2999999999999997E-2</v>
      </c>
      <c r="Q142" s="93">
        <f t="shared" si="6"/>
        <v>61.766961983121043</v>
      </c>
      <c r="R142" s="93"/>
      <c r="S142" s="93">
        <f t="shared" si="5"/>
        <v>0.50614136914099273</v>
      </c>
      <c r="T142" s="93"/>
    </row>
    <row r="143" spans="1:20" ht="14.25" customHeight="1" x14ac:dyDescent="0.35">
      <c r="A143" s="1">
        <v>2024</v>
      </c>
      <c r="B143" s="1" t="s">
        <v>27</v>
      </c>
      <c r="C143" s="1">
        <v>20</v>
      </c>
      <c r="D143" s="12">
        <v>64.546999999999997</v>
      </c>
      <c r="E143" s="13">
        <v>54.969000000000001</v>
      </c>
      <c r="F143" s="21">
        <v>78.637</v>
      </c>
      <c r="G143" s="22">
        <v>1664.5509999999999</v>
      </c>
      <c r="H143" s="13">
        <v>6.9</v>
      </c>
      <c r="I143" s="23">
        <v>2.3E-2</v>
      </c>
      <c r="J143" s="13">
        <v>7.7229999999999999</v>
      </c>
      <c r="K143" s="24">
        <v>19.562000000000001</v>
      </c>
      <c r="L143" s="13">
        <v>4.931</v>
      </c>
      <c r="M143" s="23">
        <v>1.2999999999999999E-2</v>
      </c>
      <c r="N143" s="22">
        <v>230.62299999999999</v>
      </c>
      <c r="O143" s="25">
        <v>5.0999999999999997E-2</v>
      </c>
      <c r="P143" s="26">
        <v>3.6999999999999998E-2</v>
      </c>
      <c r="Q143" s="93">
        <f t="shared" si="6"/>
        <v>61.782276659659914</v>
      </c>
      <c r="R143" s="93"/>
      <c r="S143" s="93">
        <f t="shared" si="5"/>
        <v>0.50626686327414194</v>
      </c>
      <c r="T143" s="93"/>
    </row>
    <row r="144" spans="1:20" ht="14.25" customHeight="1" x14ac:dyDescent="0.35">
      <c r="A144" s="1">
        <v>2024</v>
      </c>
      <c r="B144" s="1" t="s">
        <v>27</v>
      </c>
      <c r="C144" s="1">
        <v>21</v>
      </c>
      <c r="D144" s="12">
        <v>81.813000000000002</v>
      </c>
      <c r="E144" s="13">
        <v>69.75</v>
      </c>
      <c r="F144" s="21">
        <v>78.366</v>
      </c>
      <c r="G144" s="22">
        <v>1734.2950000000001</v>
      </c>
      <c r="H144" s="13">
        <v>6.9</v>
      </c>
      <c r="I144" s="23">
        <v>2.5000000000000001E-2</v>
      </c>
      <c r="J144" s="13">
        <v>8.2590000000000003</v>
      </c>
      <c r="K144" s="24">
        <v>22.126999999999999</v>
      </c>
      <c r="L144" s="13">
        <v>4.9649999999999999</v>
      </c>
      <c r="M144" s="23">
        <v>1.2999999999999999E-2</v>
      </c>
      <c r="N144" s="22">
        <v>213.39699999999999</v>
      </c>
      <c r="O144" s="25">
        <v>4.9000000000000002E-2</v>
      </c>
      <c r="P144" s="26">
        <v>5.1999999999999998E-2</v>
      </c>
      <c r="Q144" s="93">
        <f t="shared" si="6"/>
        <v>78.308726979669942</v>
      </c>
      <c r="R144" s="93"/>
      <c r="S144" s="93">
        <f t="shared" si="5"/>
        <v>0.64169071970885361</v>
      </c>
      <c r="T144" s="93"/>
    </row>
    <row r="145" spans="1:20" ht="14.25" customHeight="1" x14ac:dyDescent="0.35">
      <c r="A145" s="1">
        <v>2024</v>
      </c>
      <c r="B145" s="1" t="s">
        <v>27</v>
      </c>
      <c r="C145" s="1">
        <v>22</v>
      </c>
      <c r="D145" s="12">
        <v>102.797</v>
      </c>
      <c r="E145" s="13">
        <v>87.781000000000006</v>
      </c>
      <c r="F145" s="21">
        <v>78.338999999999999</v>
      </c>
      <c r="G145" s="22">
        <v>1779.202</v>
      </c>
      <c r="H145" s="13">
        <v>6.9</v>
      </c>
      <c r="I145" s="23">
        <v>2.5000000000000001E-2</v>
      </c>
      <c r="J145" s="13">
        <v>8.6050000000000004</v>
      </c>
      <c r="K145" s="24">
        <v>24.0854</v>
      </c>
      <c r="L145" s="13">
        <v>4.9793000000000003</v>
      </c>
      <c r="M145" s="23">
        <v>1.29E-2</v>
      </c>
      <c r="N145" s="22">
        <v>206.59440000000001</v>
      </c>
      <c r="O145" s="25">
        <v>5.2499999999999998E-2</v>
      </c>
      <c r="P145" s="26">
        <v>5.6000000000000001E-2</v>
      </c>
      <c r="Q145" s="93">
        <f t="shared" si="6"/>
        <v>98.393925260400323</v>
      </c>
      <c r="R145" s="93"/>
      <c r="S145" s="93">
        <f t="shared" si="5"/>
        <v>0.80627627533412816</v>
      </c>
      <c r="T145" s="93"/>
    </row>
    <row r="146" spans="1:20" ht="14.25" customHeight="1" x14ac:dyDescent="0.35">
      <c r="A146" s="1">
        <v>2024</v>
      </c>
      <c r="B146" s="1" t="s">
        <v>27</v>
      </c>
      <c r="C146" s="1">
        <v>23</v>
      </c>
      <c r="D146" s="12">
        <v>98.593999999999994</v>
      </c>
      <c r="E146" s="13">
        <v>84.25</v>
      </c>
      <c r="F146" s="21">
        <v>78.506</v>
      </c>
      <c r="G146" s="22">
        <v>1753.069</v>
      </c>
      <c r="H146" s="13">
        <v>6.9</v>
      </c>
      <c r="I146" s="23">
        <v>2.5000000000000001E-2</v>
      </c>
      <c r="J146" s="13">
        <v>8.8469999999999995</v>
      </c>
      <c r="K146" s="24">
        <v>24.387</v>
      </c>
      <c r="L146" s="13">
        <v>4.9770000000000003</v>
      </c>
      <c r="M146" s="23">
        <v>1.2999999999999999E-2</v>
      </c>
      <c r="N146" s="22">
        <v>207.54400000000001</v>
      </c>
      <c r="O146" s="25">
        <v>6.2E-2</v>
      </c>
      <c r="P146" s="26">
        <v>5.6000000000000001E-2</v>
      </c>
      <c r="Q146" s="93">
        <f t="shared" si="6"/>
        <v>94.370951167095427</v>
      </c>
      <c r="R146" s="93"/>
      <c r="S146" s="93">
        <f t="shared" si="5"/>
        <v>0.77331053523247784</v>
      </c>
      <c r="T146" s="93"/>
    </row>
    <row r="147" spans="1:20" ht="14.25" customHeight="1" x14ac:dyDescent="0.35">
      <c r="A147" s="1">
        <v>2024</v>
      </c>
      <c r="B147" s="1" t="s">
        <v>27</v>
      </c>
      <c r="C147" s="1">
        <v>24</v>
      </c>
      <c r="D147" s="12">
        <v>93.5</v>
      </c>
      <c r="E147" s="13">
        <v>79.843999999999994</v>
      </c>
      <c r="F147" s="21">
        <v>78.218999999999994</v>
      </c>
      <c r="G147" s="22">
        <v>1773.623</v>
      </c>
      <c r="H147" s="13">
        <v>6.9</v>
      </c>
      <c r="I147" s="23">
        <v>2.5000000000000001E-2</v>
      </c>
      <c r="J147" s="13">
        <v>8.8989999999999991</v>
      </c>
      <c r="K147" s="24">
        <v>24.893999999999998</v>
      </c>
      <c r="L147" s="13">
        <v>4.8639999999999999</v>
      </c>
      <c r="M147" s="23">
        <v>1.2999999999999999E-2</v>
      </c>
      <c r="N147" s="22">
        <v>274.267</v>
      </c>
      <c r="O147" s="25">
        <v>6.3E-2</v>
      </c>
      <c r="P147" s="26">
        <v>0.251</v>
      </c>
      <c r="Q147" s="93">
        <f t="shared" si="6"/>
        <v>89.495141024032122</v>
      </c>
      <c r="R147" s="93"/>
      <c r="S147" s="93">
        <f t="shared" si="5"/>
        <v>0.73335634059107735</v>
      </c>
      <c r="T147" s="93"/>
    </row>
    <row r="148" spans="1:20" ht="14.25" customHeight="1" x14ac:dyDescent="0.35">
      <c r="A148" s="1">
        <v>2024</v>
      </c>
      <c r="B148" s="1" t="s">
        <v>27</v>
      </c>
      <c r="C148" s="1">
        <v>25</v>
      </c>
      <c r="D148" s="12">
        <v>102.23399999999999</v>
      </c>
      <c r="E148" s="13">
        <v>87.375</v>
      </c>
      <c r="F148" s="21">
        <v>78.314999999999998</v>
      </c>
      <c r="G148" s="22">
        <v>1721.1669999999999</v>
      </c>
      <c r="H148" s="13">
        <v>6.9</v>
      </c>
      <c r="I148" s="23">
        <v>2.4E-2</v>
      </c>
      <c r="J148" s="13">
        <v>8.7850000000000001</v>
      </c>
      <c r="K148" s="24">
        <v>25.157</v>
      </c>
      <c r="L148" s="13">
        <v>4.7910000000000004</v>
      </c>
      <c r="M148" s="23">
        <v>1.2999999999999999E-2</v>
      </c>
      <c r="N148" s="22">
        <v>318.87799999999999</v>
      </c>
      <c r="O148" s="25">
        <v>6.0999999999999999E-2</v>
      </c>
      <c r="P148" s="26">
        <v>4.4999999999999998E-2</v>
      </c>
      <c r="Q148" s="93">
        <f t="shared" si="6"/>
        <v>97.855040079688763</v>
      </c>
      <c r="R148" s="93"/>
      <c r="S148" s="93">
        <f t="shared" si="5"/>
        <v>0.80186045052393795</v>
      </c>
      <c r="T148" s="93"/>
    </row>
    <row r="149" spans="1:20" ht="14.25" customHeight="1" x14ac:dyDescent="0.35">
      <c r="A149" s="1">
        <v>2024</v>
      </c>
      <c r="B149" s="1" t="s">
        <v>27</v>
      </c>
      <c r="C149" s="1">
        <v>26</v>
      </c>
      <c r="D149" s="12">
        <v>97.281000000000006</v>
      </c>
      <c r="E149" s="13">
        <v>83.218999999999994</v>
      </c>
      <c r="F149" s="21">
        <v>78.251999999999995</v>
      </c>
      <c r="G149" s="22">
        <v>1652.15</v>
      </c>
      <c r="H149" s="13">
        <v>6.9</v>
      </c>
      <c r="I149" s="23">
        <v>2.4E-2</v>
      </c>
      <c r="J149" s="13">
        <v>8.6110000000000007</v>
      </c>
      <c r="K149" s="24">
        <v>29.823</v>
      </c>
      <c r="L149" s="13">
        <v>4.8369999999999997</v>
      </c>
      <c r="M149" s="23">
        <v>1.2999999999999999E-2</v>
      </c>
      <c r="N149" s="22">
        <v>287.36099999999999</v>
      </c>
      <c r="O149" s="25">
        <v>7.5999999999999998E-2</v>
      </c>
      <c r="P149" s="26">
        <v>5.5E-2</v>
      </c>
      <c r="Q149" s="93">
        <f t="shared" si="6"/>
        <v>93.114190523624274</v>
      </c>
      <c r="R149" s="93"/>
      <c r="S149" s="93">
        <f t="shared" si="5"/>
        <v>0.7630121729309155</v>
      </c>
      <c r="T149" s="93"/>
    </row>
    <row r="150" spans="1:20" ht="14.25" customHeight="1" x14ac:dyDescent="0.35">
      <c r="A150" s="1">
        <v>2024</v>
      </c>
      <c r="B150" s="1" t="s">
        <v>27</v>
      </c>
      <c r="C150" s="1">
        <v>27</v>
      </c>
      <c r="D150" s="12">
        <v>92.688000000000002</v>
      </c>
      <c r="E150" s="13">
        <v>79.313000000000002</v>
      </c>
      <c r="F150" s="21">
        <v>78.269000000000005</v>
      </c>
      <c r="G150" s="22">
        <v>1637.979</v>
      </c>
      <c r="H150" s="13">
        <v>6.9</v>
      </c>
      <c r="I150" s="23">
        <v>2.4E-2</v>
      </c>
      <c r="J150" s="13">
        <v>8.6219999999999999</v>
      </c>
      <c r="K150" s="24">
        <v>29.663</v>
      </c>
      <c r="L150" s="13">
        <v>4.8479999999999999</v>
      </c>
      <c r="M150" s="23">
        <v>1.2999999999999999E-2</v>
      </c>
      <c r="N150" s="22">
        <v>278.23599999999999</v>
      </c>
      <c r="O150" s="25">
        <v>7.4999999999999997E-2</v>
      </c>
      <c r="P150" s="26">
        <v>5.5E-2</v>
      </c>
      <c r="Q150" s="93">
        <f t="shared" si="6"/>
        <v>88.717921189684375</v>
      </c>
      <c r="R150" s="93"/>
      <c r="S150" s="93">
        <f t="shared" si="5"/>
        <v>0.72698751333375167</v>
      </c>
      <c r="T150" s="93"/>
    </row>
    <row r="151" spans="1:20" ht="14.25" customHeight="1" x14ac:dyDescent="0.35">
      <c r="A151" s="1">
        <v>2024</v>
      </c>
      <c r="B151" s="1" t="s">
        <v>27</v>
      </c>
      <c r="C151" s="1">
        <v>28</v>
      </c>
      <c r="D151" s="12">
        <v>85.531000000000006</v>
      </c>
      <c r="E151" s="13">
        <v>72.813000000000002</v>
      </c>
      <c r="F151" s="21">
        <v>78.381</v>
      </c>
      <c r="G151" s="22">
        <v>1624.8789999999999</v>
      </c>
      <c r="H151" s="13">
        <v>6.9</v>
      </c>
      <c r="I151" s="23">
        <v>2.4E-2</v>
      </c>
      <c r="J151" s="13">
        <v>8.7520000000000007</v>
      </c>
      <c r="K151" s="24">
        <v>27.067</v>
      </c>
      <c r="L151" s="13">
        <v>4.8220000000000001</v>
      </c>
      <c r="M151" s="23">
        <v>1.2999999999999999E-2</v>
      </c>
      <c r="N151" s="22">
        <v>296.21899999999999</v>
      </c>
      <c r="O151" s="25">
        <v>7.0000000000000007E-2</v>
      </c>
      <c r="P151" s="26">
        <v>4.4999999999999998E-2</v>
      </c>
      <c r="Q151" s="93">
        <f t="shared" si="6"/>
        <v>81.867474940390295</v>
      </c>
      <c r="R151" s="93"/>
      <c r="S151" s="93">
        <f t="shared" si="5"/>
        <v>0.67085241889941649</v>
      </c>
      <c r="T151" s="93"/>
    </row>
    <row r="152" spans="1:20" ht="14.25" customHeight="1" x14ac:dyDescent="0.35">
      <c r="A152" s="1">
        <v>2024</v>
      </c>
      <c r="B152" s="1" t="s">
        <v>27</v>
      </c>
      <c r="C152" s="1">
        <v>29</v>
      </c>
      <c r="D152" s="12">
        <v>10.531000000000001</v>
      </c>
      <c r="E152" s="13">
        <v>8.9380000000000006</v>
      </c>
      <c r="F152" s="21">
        <v>75.722999999999999</v>
      </c>
      <c r="G152" s="22">
        <v>1671.5809999999999</v>
      </c>
      <c r="H152" s="13">
        <v>6.9980000000000002</v>
      </c>
      <c r="I152" s="23">
        <v>3.3000000000000002E-2</v>
      </c>
      <c r="J152" s="13">
        <v>8.9269999999999996</v>
      </c>
      <c r="K152" s="24">
        <v>30.471</v>
      </c>
      <c r="L152" s="13">
        <v>4.8079999999999998</v>
      </c>
      <c r="M152" s="23">
        <v>1.6E-2</v>
      </c>
      <c r="N152" s="22">
        <v>307.56099999999998</v>
      </c>
      <c r="O152" s="25">
        <v>7.6999999999999999E-2</v>
      </c>
      <c r="P152" s="26">
        <v>3.4000000000000002E-2</v>
      </c>
      <c r="Q152" s="93">
        <f t="shared" si="6"/>
        <v>10.079928664428689</v>
      </c>
      <c r="R152" s="93"/>
      <c r="S152" s="93">
        <f t="shared" si="5"/>
        <v>8.2598669762188631E-2</v>
      </c>
      <c r="T152" s="93"/>
    </row>
    <row r="153" spans="1:20" ht="14.25" customHeight="1" x14ac:dyDescent="0.35">
      <c r="A153" s="1">
        <v>2024</v>
      </c>
      <c r="B153" s="1" t="s">
        <v>27</v>
      </c>
      <c r="C153" s="1">
        <v>30</v>
      </c>
      <c r="D153" s="12">
        <v>16.219000000000001</v>
      </c>
      <c r="E153" s="13">
        <v>13.718999999999999</v>
      </c>
      <c r="F153" s="21">
        <v>75.698999999999998</v>
      </c>
      <c r="G153" s="22">
        <v>1691.1410000000001</v>
      </c>
      <c r="H153" s="13">
        <v>6.9729999999999999</v>
      </c>
      <c r="I153" s="23">
        <v>5.6000000000000001E-2</v>
      </c>
      <c r="J153" s="13">
        <v>8.3689999999999998</v>
      </c>
      <c r="K153" s="24">
        <v>33.322000000000003</v>
      </c>
      <c r="L153" s="13">
        <v>4.72</v>
      </c>
      <c r="M153" s="23">
        <v>1.2999999999999999E-2</v>
      </c>
      <c r="N153" s="22">
        <v>381.15</v>
      </c>
      <c r="O153" s="25">
        <v>6.4000000000000001E-2</v>
      </c>
      <c r="P153" s="26">
        <v>3.5000000000000003E-2</v>
      </c>
      <c r="Q153" s="93">
        <f t="shared" si="6"/>
        <v>15.524296173997616</v>
      </c>
      <c r="R153" s="93"/>
      <c r="S153" s="93">
        <f t="shared" si="5"/>
        <v>0.12721183409675599</v>
      </c>
      <c r="T153" s="93"/>
    </row>
    <row r="154" spans="1:20" ht="14.25" customHeight="1" x14ac:dyDescent="0.35">
      <c r="A154" s="1">
        <v>2024</v>
      </c>
      <c r="B154" s="1" t="s">
        <v>27</v>
      </c>
      <c r="C154" s="1">
        <v>31</v>
      </c>
      <c r="D154" s="34">
        <v>100.96899999999999</v>
      </c>
      <c r="E154" s="35">
        <v>86.25</v>
      </c>
      <c r="F154" s="36">
        <v>78.915999999999997</v>
      </c>
      <c r="G154" s="37">
        <v>1695.741</v>
      </c>
      <c r="H154" s="35">
        <v>6.9</v>
      </c>
      <c r="I154" s="38">
        <v>2.4E-2</v>
      </c>
      <c r="J154" s="35">
        <v>8.0640000000000001</v>
      </c>
      <c r="K154" s="39">
        <v>26.902999999999999</v>
      </c>
      <c r="L154" s="35">
        <v>4.9180000000000001</v>
      </c>
      <c r="M154" s="38">
        <v>1.2999999999999999E-2</v>
      </c>
      <c r="N154" s="37">
        <v>247.70099999999999</v>
      </c>
      <c r="O154" s="40">
        <v>7.5999999999999998E-2</v>
      </c>
      <c r="P154" s="41">
        <v>0.60799999999999998</v>
      </c>
      <c r="Q154" s="93">
        <f t="shared" si="6"/>
        <v>96.644223465834216</v>
      </c>
      <c r="R154" s="93"/>
      <c r="S154" s="93">
        <f t="shared" si="5"/>
        <v>0.79193857062182338</v>
      </c>
      <c r="T154" s="93"/>
    </row>
    <row r="155" spans="1:20" ht="14.25" customHeight="1" x14ac:dyDescent="0.35">
      <c r="A155" s="1">
        <v>2024</v>
      </c>
      <c r="B155" s="1" t="s">
        <v>28</v>
      </c>
      <c r="C155" s="1">
        <v>1</v>
      </c>
      <c r="D155" s="12">
        <v>97.343999999999994</v>
      </c>
      <c r="E155" s="13">
        <v>83.281000000000006</v>
      </c>
      <c r="F155" s="21">
        <v>78.873999999999995</v>
      </c>
      <c r="G155" s="22">
        <v>1676.72</v>
      </c>
      <c r="H155" s="13">
        <v>6.9</v>
      </c>
      <c r="I155" s="23">
        <v>2.4E-2</v>
      </c>
      <c r="J155" s="13">
        <v>8.6890000000000001</v>
      </c>
      <c r="K155" s="24">
        <v>24.7422</v>
      </c>
      <c r="L155" s="13">
        <v>5.0056000000000003</v>
      </c>
      <c r="M155" s="23">
        <v>1.29E-2</v>
      </c>
      <c r="N155" s="22">
        <v>194.6233</v>
      </c>
      <c r="O155" s="25">
        <v>6.5699999999999995E-2</v>
      </c>
      <c r="P155" s="26">
        <v>1.302</v>
      </c>
      <c r="Q155" s="93">
        <f t="shared" si="6"/>
        <v>93.174492062496071</v>
      </c>
      <c r="R155" s="243">
        <f>N8+O8</f>
        <v>148.00640000000001</v>
      </c>
      <c r="S155" s="93">
        <f t="shared" si="5"/>
        <v>0.76350630608019077</v>
      </c>
      <c r="T155" s="93"/>
    </row>
    <row r="156" spans="1:20" ht="14.25" customHeight="1" x14ac:dyDescent="0.35">
      <c r="A156" s="1">
        <v>2024</v>
      </c>
      <c r="B156" s="1" t="s">
        <v>28</v>
      </c>
      <c r="C156" s="1">
        <v>2</v>
      </c>
      <c r="D156" s="12">
        <v>104.60899999999999</v>
      </c>
      <c r="E156" s="13">
        <v>89.625</v>
      </c>
      <c r="F156" s="21">
        <v>78.843999999999994</v>
      </c>
      <c r="G156" s="22">
        <v>1615.057</v>
      </c>
      <c r="H156" s="13">
        <v>6.9</v>
      </c>
      <c r="I156" s="23">
        <v>2.5000000000000001E-2</v>
      </c>
      <c r="J156" s="13">
        <v>8.532</v>
      </c>
      <c r="K156" s="24">
        <v>22.596</v>
      </c>
      <c r="L156" s="13">
        <v>5.0010000000000003</v>
      </c>
      <c r="M156" s="23">
        <v>1.2999999999999999E-2</v>
      </c>
      <c r="N156" s="22">
        <v>196.91</v>
      </c>
      <c r="O156" s="25">
        <v>5.7000000000000002E-2</v>
      </c>
      <c r="P156" s="26">
        <v>1.4670000000000001</v>
      </c>
      <c r="Q156" s="93">
        <f t="shared" si="6"/>
        <v>100.12831237842755</v>
      </c>
      <c r="R156" s="93"/>
      <c r="S156" s="93">
        <f t="shared" si="5"/>
        <v>0.82048848591328349</v>
      </c>
      <c r="T156" s="93"/>
    </row>
    <row r="157" spans="1:20" ht="14.25" customHeight="1" x14ac:dyDescent="0.35">
      <c r="A157" s="1">
        <v>2024</v>
      </c>
      <c r="B157" s="1" t="s">
        <v>28</v>
      </c>
      <c r="C157" s="1">
        <v>3</v>
      </c>
      <c r="D157" s="12">
        <v>97.75</v>
      </c>
      <c r="E157" s="13">
        <v>83.563000000000002</v>
      </c>
      <c r="F157" s="21">
        <v>78.622</v>
      </c>
      <c r="G157" s="22">
        <v>1628.558</v>
      </c>
      <c r="H157" s="13">
        <v>6.9</v>
      </c>
      <c r="I157" s="23">
        <v>2.5999999999999999E-2</v>
      </c>
      <c r="J157" s="13">
        <v>9.2590000000000003</v>
      </c>
      <c r="K157" s="24">
        <v>23.34036</v>
      </c>
      <c r="L157" s="13">
        <v>5.0190000000000001</v>
      </c>
      <c r="M157" s="23">
        <v>1.2999999999999999E-2</v>
      </c>
      <c r="N157" s="22">
        <v>190.941</v>
      </c>
      <c r="O157" s="25">
        <v>7.0000000000000007E-2</v>
      </c>
      <c r="P157" s="26">
        <v>1.5549999999999999</v>
      </c>
      <c r="Q157" s="93">
        <f t="shared" si="6"/>
        <v>93.563101979669952</v>
      </c>
      <c r="R157" s="93"/>
      <c r="S157" s="93">
        <f t="shared" si="5"/>
        <v>0.76669071970885361</v>
      </c>
      <c r="T157" s="93"/>
    </row>
    <row r="158" spans="1:20" ht="14.25" customHeight="1" x14ac:dyDescent="0.35">
      <c r="A158" s="1">
        <v>2024</v>
      </c>
      <c r="B158" s="1" t="s">
        <v>28</v>
      </c>
      <c r="C158" s="1">
        <v>4</v>
      </c>
      <c r="D158" s="12">
        <v>104.60899999999999</v>
      </c>
      <c r="E158" s="13">
        <v>89.406000000000006</v>
      </c>
      <c r="F158" s="21">
        <v>79.171999999999997</v>
      </c>
      <c r="G158" s="22">
        <v>1664.3340000000001</v>
      </c>
      <c r="H158" s="13">
        <v>6.9</v>
      </c>
      <c r="I158" s="23">
        <v>2.5999999999999999E-2</v>
      </c>
      <c r="J158" s="13">
        <v>9.1739999999999995</v>
      </c>
      <c r="K158" s="24">
        <v>22.748000000000001</v>
      </c>
      <c r="L158" s="13">
        <v>4.99</v>
      </c>
      <c r="M158" s="23">
        <v>1.2999999999999999E-2</v>
      </c>
      <c r="N158" s="22">
        <v>202.28800000000001</v>
      </c>
      <c r="O158" s="25">
        <v>6.6000000000000003E-2</v>
      </c>
      <c r="P158" s="26">
        <v>1.327</v>
      </c>
      <c r="Q158" s="93">
        <f t="shared" si="6"/>
        <v>100.12831237842755</v>
      </c>
      <c r="R158" s="93"/>
      <c r="S158" s="93">
        <f t="shared" si="5"/>
        <v>0.82048848591328349</v>
      </c>
      <c r="T158" s="93"/>
    </row>
    <row r="159" spans="1:20" ht="14.25" customHeight="1" x14ac:dyDescent="0.35">
      <c r="A159" s="1">
        <v>2024</v>
      </c>
      <c r="B159" s="1" t="s">
        <v>28</v>
      </c>
      <c r="C159" s="1">
        <v>5</v>
      </c>
      <c r="D159" s="12">
        <v>105.25</v>
      </c>
      <c r="E159" s="13">
        <v>89.968999999999994</v>
      </c>
      <c r="F159" s="21">
        <v>79.503</v>
      </c>
      <c r="G159" s="22">
        <v>1672.865</v>
      </c>
      <c r="H159" s="13">
        <v>6.9</v>
      </c>
      <c r="I159" s="23">
        <v>2.5000000000000001E-2</v>
      </c>
      <c r="J159" s="13">
        <v>8.2680000000000007</v>
      </c>
      <c r="K159" s="24">
        <v>22.809000000000001</v>
      </c>
      <c r="L159" s="13">
        <v>4.9770000000000003</v>
      </c>
      <c r="M159" s="23">
        <v>1.2999999999999999E-2</v>
      </c>
      <c r="N159" s="22">
        <v>208.637</v>
      </c>
      <c r="O159" s="25">
        <v>6.7000000000000004E-2</v>
      </c>
      <c r="P159" s="26">
        <v>1.073</v>
      </c>
      <c r="Q159" s="93">
        <f t="shared" si="6"/>
        <v>100.74185660726612</v>
      </c>
      <c r="R159" s="93"/>
      <c r="S159" s="93">
        <f t="shared" si="5"/>
        <v>0.82551609462257647</v>
      </c>
      <c r="T159" s="93"/>
    </row>
    <row r="160" spans="1:20" ht="14.25" customHeight="1" x14ac:dyDescent="0.35">
      <c r="A160" s="1">
        <v>2024</v>
      </c>
      <c r="B160" s="1" t="s">
        <v>28</v>
      </c>
      <c r="C160" s="1">
        <v>6</v>
      </c>
      <c r="D160" s="12">
        <v>102.828</v>
      </c>
      <c r="E160" s="13">
        <v>87.906000000000006</v>
      </c>
      <c r="F160" s="21">
        <v>79.569000000000003</v>
      </c>
      <c r="G160" s="22">
        <v>1730.6020000000001</v>
      </c>
      <c r="H160" s="13">
        <v>6.9</v>
      </c>
      <c r="I160" s="23">
        <v>2.5000000000000001E-2</v>
      </c>
      <c r="J160" s="13">
        <v>8.0779999999999994</v>
      </c>
      <c r="K160" s="24">
        <v>24.652999999999999</v>
      </c>
      <c r="L160" s="13">
        <v>4.9610000000000003</v>
      </c>
      <c r="M160" s="23">
        <v>1.2999999999999999E-2</v>
      </c>
      <c r="N160" s="22">
        <v>215.56700000000001</v>
      </c>
      <c r="O160" s="25">
        <v>7.8E-2</v>
      </c>
      <c r="P160" s="26">
        <v>1.081</v>
      </c>
      <c r="Q160" s="93">
        <f t="shared" si="6"/>
        <v>98.423597446194393</v>
      </c>
      <c r="R160" s="93"/>
      <c r="S160" s="93">
        <f t="shared" si="5"/>
        <v>0.80651942021710488</v>
      </c>
      <c r="T160" s="93"/>
    </row>
    <row r="161" spans="1:20" ht="14.25" customHeight="1" x14ac:dyDescent="0.35">
      <c r="A161" s="1">
        <v>2024</v>
      </c>
      <c r="B161" s="1" t="s">
        <v>28</v>
      </c>
      <c r="C161" s="1">
        <v>7</v>
      </c>
      <c r="D161" s="12">
        <v>101.563</v>
      </c>
      <c r="E161" s="13">
        <v>87.063000000000002</v>
      </c>
      <c r="F161" s="21">
        <v>79.477000000000004</v>
      </c>
      <c r="G161" s="22">
        <v>1710.8309999999999</v>
      </c>
      <c r="H161" s="13">
        <v>6.9</v>
      </c>
      <c r="I161" s="23">
        <v>2.5000000000000001E-2</v>
      </c>
      <c r="J161" s="13">
        <v>7.9710000000000001</v>
      </c>
      <c r="K161" s="24">
        <v>27.553000000000001</v>
      </c>
      <c r="L161" s="13">
        <v>4.99</v>
      </c>
      <c r="M161" s="23">
        <v>1.2999999999999999E-2</v>
      </c>
      <c r="N161" s="22">
        <v>201.113</v>
      </c>
      <c r="O161" s="25">
        <v>8.6999999999999994E-2</v>
      </c>
      <c r="P161" s="26">
        <v>1.06</v>
      </c>
      <c r="Q161" s="93">
        <f t="shared" si="6"/>
        <v>97.212780832339845</v>
      </c>
      <c r="R161" s="93"/>
      <c r="S161" s="93">
        <f t="shared" si="5"/>
        <v>0.7965975403149903</v>
      </c>
      <c r="T161" s="93"/>
    </row>
    <row r="162" spans="1:20" ht="14.25" customHeight="1" x14ac:dyDescent="0.35">
      <c r="A162" s="1">
        <v>2024</v>
      </c>
      <c r="B162" s="1" t="s">
        <v>28</v>
      </c>
      <c r="C162" s="1">
        <v>8</v>
      </c>
      <c r="D162" s="12">
        <v>101.01600000000001</v>
      </c>
      <c r="E162" s="13">
        <v>86.593999999999994</v>
      </c>
      <c r="F162" s="21">
        <v>79.385000000000005</v>
      </c>
      <c r="G162" s="22">
        <v>1705.289</v>
      </c>
      <c r="H162" s="13">
        <v>6.9</v>
      </c>
      <c r="I162" s="23">
        <v>2.3E-2</v>
      </c>
      <c r="J162" s="13">
        <v>7.7779999999999996</v>
      </c>
      <c r="K162" s="24">
        <v>27.216999999999999</v>
      </c>
      <c r="L162" s="13">
        <v>5</v>
      </c>
      <c r="M162" s="23">
        <v>1.2999999999999999E-2</v>
      </c>
      <c r="N162" s="22">
        <v>197.90100000000001</v>
      </c>
      <c r="O162" s="25">
        <v>7.9000000000000001E-2</v>
      </c>
      <c r="P162" s="26">
        <v>1.0089999999999999</v>
      </c>
      <c r="Q162" s="93">
        <f t="shared" si="6"/>
        <v>96.689210328167164</v>
      </c>
      <c r="R162" s="93"/>
      <c r="S162" s="93">
        <f t="shared" si="5"/>
        <v>0.79230720963794954</v>
      </c>
      <c r="T162" s="93"/>
    </row>
    <row r="163" spans="1:20" ht="14.25" customHeight="1" x14ac:dyDescent="0.35">
      <c r="A163" s="1">
        <v>2024</v>
      </c>
      <c r="B163" s="1" t="s">
        <v>28</v>
      </c>
      <c r="C163" s="1">
        <v>9</v>
      </c>
      <c r="D163" s="12">
        <v>79.921999999999997</v>
      </c>
      <c r="E163" s="13">
        <v>68.375</v>
      </c>
      <c r="F163" s="21">
        <v>79.335999999999999</v>
      </c>
      <c r="G163" s="22">
        <v>1619.348</v>
      </c>
      <c r="H163" s="13">
        <v>6.9020000000000001</v>
      </c>
      <c r="I163" s="23">
        <v>3.2000000000000001E-2</v>
      </c>
      <c r="J163" s="13">
        <v>7.0739999999999998</v>
      </c>
      <c r="K163" s="24">
        <v>31.698</v>
      </c>
      <c r="L163" s="13">
        <v>5.0380000000000003</v>
      </c>
      <c r="M163" s="23">
        <v>1.2999999999999999E-2</v>
      </c>
      <c r="N163" s="22">
        <v>185.26300000000001</v>
      </c>
      <c r="O163" s="25">
        <v>7.8E-2</v>
      </c>
      <c r="P163" s="26">
        <v>0.873</v>
      </c>
      <c r="Q163" s="93">
        <f t="shared" si="6"/>
        <v>76.498723646232037</v>
      </c>
      <c r="R163" s="93"/>
      <c r="S163" s="93">
        <f t="shared" si="5"/>
        <v>0.62685888184727367</v>
      </c>
      <c r="T163" s="93"/>
    </row>
    <row r="164" spans="1:20" ht="14.25" customHeight="1" x14ac:dyDescent="0.35">
      <c r="A164" s="1">
        <v>2024</v>
      </c>
      <c r="B164" s="1" t="s">
        <v>28</v>
      </c>
      <c r="C164" s="1">
        <v>10</v>
      </c>
      <c r="D164" s="12">
        <v>97.141000000000005</v>
      </c>
      <c r="E164" s="13">
        <v>83.313000000000002</v>
      </c>
      <c r="F164" s="27">
        <v>79.581000000000003</v>
      </c>
      <c r="G164" s="22">
        <v>1600.1320000000001</v>
      </c>
      <c r="H164" s="13">
        <v>6.9</v>
      </c>
      <c r="I164" s="23">
        <v>2.1999999999999999E-2</v>
      </c>
      <c r="J164" s="28">
        <v>7.423</v>
      </c>
      <c r="K164" s="24">
        <v>23.271999999999998</v>
      </c>
      <c r="L164" s="13">
        <v>4.9400000000000004</v>
      </c>
      <c r="M164" s="29">
        <v>1.2999999999999999E-2</v>
      </c>
      <c r="N164" s="22">
        <v>225.77600000000001</v>
      </c>
      <c r="O164" s="30">
        <v>7.3999999999999996E-2</v>
      </c>
      <c r="P164" s="31">
        <v>0.79900000000000004</v>
      </c>
      <c r="Q164" s="93">
        <f t="shared" si="6"/>
        <v>92.980187103909145</v>
      </c>
      <c r="R164" s="93"/>
      <c r="S164" s="93">
        <f t="shared" si="5"/>
        <v>0.7619140992658594</v>
      </c>
      <c r="T164" s="93"/>
    </row>
    <row r="165" spans="1:20" ht="14.25" customHeight="1" x14ac:dyDescent="0.35">
      <c r="A165" s="1">
        <v>2024</v>
      </c>
      <c r="B165" s="1" t="s">
        <v>28</v>
      </c>
      <c r="C165" s="1">
        <v>11</v>
      </c>
      <c r="D165" s="12">
        <v>101.96899999999999</v>
      </c>
      <c r="E165" s="13">
        <v>87.375</v>
      </c>
      <c r="F165" s="27">
        <v>79.537000000000006</v>
      </c>
      <c r="G165" s="22">
        <v>1659.848</v>
      </c>
      <c r="H165" s="13">
        <v>6.9</v>
      </c>
      <c r="I165" s="23">
        <v>2.1999999999999999E-2</v>
      </c>
      <c r="J165" s="28">
        <v>7.6520000000000001</v>
      </c>
      <c r="K165" s="24">
        <v>25.305</v>
      </c>
      <c r="L165" s="13">
        <v>4.96</v>
      </c>
      <c r="M165" s="29">
        <v>1.2999999999999999E-2</v>
      </c>
      <c r="N165" s="22">
        <v>215.62799999999999</v>
      </c>
      <c r="O165" s="30">
        <v>7.5999999999999998E-2</v>
      </c>
      <c r="P165" s="31">
        <v>0.71099999999999997</v>
      </c>
      <c r="Q165" s="93">
        <f t="shared" si="6"/>
        <v>97.601390749513712</v>
      </c>
      <c r="R165" s="93"/>
      <c r="S165" s="93">
        <f t="shared" si="5"/>
        <v>0.79978195394365315</v>
      </c>
      <c r="T165" s="93"/>
    </row>
    <row r="166" spans="1:20" ht="14.25" customHeight="1" x14ac:dyDescent="0.35">
      <c r="A166" s="1">
        <v>2024</v>
      </c>
      <c r="B166" s="1" t="s">
        <v>28</v>
      </c>
      <c r="C166" s="1">
        <v>12</v>
      </c>
      <c r="D166" s="12">
        <v>97.813000000000002</v>
      </c>
      <c r="E166" s="13">
        <v>83.656000000000006</v>
      </c>
      <c r="F166" s="27">
        <v>80.040999999999997</v>
      </c>
      <c r="G166" s="22">
        <v>1683.06</v>
      </c>
      <c r="H166" s="13">
        <v>6.9</v>
      </c>
      <c r="I166" s="23">
        <v>2.1000000000000001E-2</v>
      </c>
      <c r="J166" s="28">
        <v>7.4</v>
      </c>
      <c r="K166" s="24">
        <v>25.21</v>
      </c>
      <c r="L166" s="13">
        <v>4.9420000000000002</v>
      </c>
      <c r="M166" s="29">
        <v>1.2999999999999999E-2</v>
      </c>
      <c r="N166" s="22">
        <v>224.429</v>
      </c>
      <c r="O166" s="30">
        <v>7.1999999999999995E-2</v>
      </c>
      <c r="P166" s="31">
        <v>0.63100000000000001</v>
      </c>
      <c r="Q166" s="93">
        <f t="shared" si="6"/>
        <v>93.623403518541764</v>
      </c>
      <c r="R166" s="93"/>
      <c r="S166" s="93">
        <f t="shared" si="5"/>
        <v>0.76718485285812898</v>
      </c>
      <c r="T166" s="93"/>
    </row>
    <row r="167" spans="1:20" ht="14.25" customHeight="1" x14ac:dyDescent="0.35">
      <c r="A167" s="1">
        <v>2024</v>
      </c>
      <c r="B167" s="1" t="s">
        <v>28</v>
      </c>
      <c r="C167" s="1">
        <v>13</v>
      </c>
      <c r="D167" s="12">
        <v>103.15600000000001</v>
      </c>
      <c r="E167" s="13">
        <v>88.218999999999994</v>
      </c>
      <c r="F167" s="27">
        <v>80.117999999999995</v>
      </c>
      <c r="G167" s="22">
        <v>1687.702</v>
      </c>
      <c r="H167" s="13">
        <v>6.9</v>
      </c>
      <c r="I167" s="23">
        <v>2.1000000000000001E-2</v>
      </c>
      <c r="J167" s="28">
        <v>7.5190000000000001</v>
      </c>
      <c r="K167" s="24">
        <v>24.14</v>
      </c>
      <c r="L167" s="13">
        <v>4.9240000000000004</v>
      </c>
      <c r="M167" s="23">
        <v>1.2999999999999999E-2</v>
      </c>
      <c r="N167" s="22">
        <v>233.48480000000001</v>
      </c>
      <c r="O167" s="30">
        <v>8.1600000000000006E-2</v>
      </c>
      <c r="P167" s="31">
        <v>0.59699999999999998</v>
      </c>
      <c r="Q167" s="93">
        <f t="shared" si="6"/>
        <v>98.73754831524127</v>
      </c>
      <c r="R167" s="93"/>
      <c r="S167" s="93">
        <f t="shared" si="5"/>
        <v>0.80909204994666506</v>
      </c>
      <c r="T167" s="93"/>
    </row>
    <row r="168" spans="1:20" ht="14.25" customHeight="1" x14ac:dyDescent="0.35">
      <c r="A168" s="1">
        <v>2024</v>
      </c>
      <c r="B168" s="1" t="s">
        <v>28</v>
      </c>
      <c r="C168" s="1">
        <v>14</v>
      </c>
      <c r="D168" s="12">
        <v>97.188000000000002</v>
      </c>
      <c r="E168" s="13">
        <v>83.156000000000006</v>
      </c>
      <c r="F168" s="21">
        <v>79.997</v>
      </c>
      <c r="G168" s="22">
        <v>1664.732</v>
      </c>
      <c r="H168" s="13">
        <v>6.9</v>
      </c>
      <c r="I168" s="23">
        <v>2.1000000000000001E-2</v>
      </c>
      <c r="J168" s="28">
        <v>7.6219999999999999</v>
      </c>
      <c r="K168" s="33">
        <v>22.725000000000001</v>
      </c>
      <c r="L168" s="13">
        <v>4.8369999999999997</v>
      </c>
      <c r="M168" s="23">
        <v>1.2999999999999999E-2</v>
      </c>
      <c r="N168" s="22">
        <v>287.56700000000001</v>
      </c>
      <c r="O168" s="30">
        <v>8.1000000000000003E-2</v>
      </c>
      <c r="P168" s="31">
        <v>0.54800000000000004</v>
      </c>
      <c r="Q168" s="93">
        <f t="shared" si="6"/>
        <v>93.025173966242079</v>
      </c>
      <c r="R168" s="93"/>
      <c r="S168" s="93">
        <f t="shared" si="5"/>
        <v>0.76228273828198534</v>
      </c>
      <c r="T168" s="93"/>
    </row>
    <row r="169" spans="1:20" ht="14.25" customHeight="1" x14ac:dyDescent="0.35">
      <c r="A169" s="1">
        <v>2024</v>
      </c>
      <c r="B169" s="1" t="s">
        <v>28</v>
      </c>
      <c r="C169" s="1">
        <v>15</v>
      </c>
      <c r="D169" s="12">
        <v>100.09399999999999</v>
      </c>
      <c r="E169" s="13">
        <v>85.688000000000002</v>
      </c>
      <c r="F169" s="21">
        <v>80.265000000000001</v>
      </c>
      <c r="G169" s="22">
        <v>1658.84</v>
      </c>
      <c r="H169" s="13">
        <v>6.9</v>
      </c>
      <c r="I169" s="23">
        <v>2.1999999999999999E-2</v>
      </c>
      <c r="J169" s="28">
        <v>7.54</v>
      </c>
      <c r="K169" s="24">
        <v>23.125</v>
      </c>
      <c r="L169" s="13">
        <v>4.7969999999999997</v>
      </c>
      <c r="M169" s="23">
        <v>1.2999999999999999E-2</v>
      </c>
      <c r="N169" s="22">
        <v>314.45400000000001</v>
      </c>
      <c r="O169" s="30">
        <v>7.2999999999999995E-2</v>
      </c>
      <c r="P169" s="31">
        <v>0.48599999999999999</v>
      </c>
      <c r="Q169" s="93">
        <f t="shared" si="6"/>
        <v>95.806702092614671</v>
      </c>
      <c r="R169" s="93"/>
      <c r="S169" s="93">
        <f t="shared" si="5"/>
        <v>0.78507561021522243</v>
      </c>
      <c r="T169" s="93"/>
    </row>
    <row r="170" spans="1:20" ht="14.25" customHeight="1" x14ac:dyDescent="0.35">
      <c r="A170" s="1">
        <v>2024</v>
      </c>
      <c r="B170" s="1" t="s">
        <v>28</v>
      </c>
      <c r="C170" s="1">
        <v>16</v>
      </c>
      <c r="D170" s="12">
        <v>95.218999999999994</v>
      </c>
      <c r="E170" s="13">
        <v>81.531000000000006</v>
      </c>
      <c r="F170" s="21">
        <v>80.228999999999999</v>
      </c>
      <c r="G170" s="22">
        <v>1588.423</v>
      </c>
      <c r="H170" s="13">
        <v>6.9</v>
      </c>
      <c r="I170" s="23">
        <v>2.1999999999999999E-2</v>
      </c>
      <c r="J170" s="28">
        <v>7.32</v>
      </c>
      <c r="K170" s="24">
        <v>24.337</v>
      </c>
      <c r="L170" s="13">
        <v>4.8230000000000004</v>
      </c>
      <c r="M170" s="23">
        <v>1.2999999999999999E-2</v>
      </c>
      <c r="N170" s="22">
        <v>296.04899999999998</v>
      </c>
      <c r="O170" s="30">
        <v>6.8000000000000005E-2</v>
      </c>
      <c r="P170" s="31">
        <v>0.55600000000000005</v>
      </c>
      <c r="Q170" s="93">
        <f t="shared" si="6"/>
        <v>91.140511584677171</v>
      </c>
      <c r="R170" s="93"/>
      <c r="S170" s="93">
        <f t="shared" si="5"/>
        <v>0.74683911652130264</v>
      </c>
      <c r="T170" s="93"/>
    </row>
    <row r="171" spans="1:20" ht="14.25" customHeight="1" x14ac:dyDescent="0.35">
      <c r="A171" s="1">
        <v>2024</v>
      </c>
      <c r="B171" s="1" t="s">
        <v>28</v>
      </c>
      <c r="C171" s="1">
        <v>17</v>
      </c>
      <c r="D171" s="12">
        <v>99.296999999999997</v>
      </c>
      <c r="E171" s="13">
        <v>84.906000000000006</v>
      </c>
      <c r="F171" s="21">
        <v>80.013999999999996</v>
      </c>
      <c r="G171" s="22">
        <v>1598.248</v>
      </c>
      <c r="H171" s="13">
        <v>6.9</v>
      </c>
      <c r="I171" s="23">
        <v>2.1999999999999999E-2</v>
      </c>
      <c r="J171" s="13">
        <v>7.47</v>
      </c>
      <c r="K171" s="24">
        <v>22.928000000000001</v>
      </c>
      <c r="L171" s="13">
        <v>4.819</v>
      </c>
      <c r="M171" s="23">
        <v>1.2999999999999999E-2</v>
      </c>
      <c r="N171" s="22">
        <v>299.24200000000002</v>
      </c>
      <c r="O171" s="25">
        <v>0.06</v>
      </c>
      <c r="P171" s="26">
        <v>0.60699999999999998</v>
      </c>
      <c r="Q171" s="93">
        <f t="shared" si="6"/>
        <v>95.043839767522115</v>
      </c>
      <c r="R171" s="93"/>
      <c r="S171" s="93">
        <f t="shared" si="5"/>
        <v>0.77882443370772414</v>
      </c>
      <c r="T171" s="93"/>
    </row>
    <row r="172" spans="1:20" ht="14.25" customHeight="1" x14ac:dyDescent="0.35">
      <c r="A172" s="1">
        <v>2024</v>
      </c>
      <c r="B172" s="1" t="s">
        <v>28</v>
      </c>
      <c r="C172" s="1">
        <v>18</v>
      </c>
      <c r="D172" s="12">
        <v>105.01600000000001</v>
      </c>
      <c r="E172" s="13">
        <v>89.875</v>
      </c>
      <c r="F172" s="21">
        <v>80.25</v>
      </c>
      <c r="G172" s="22">
        <v>1649.971</v>
      </c>
      <c r="H172" s="13">
        <v>6.9</v>
      </c>
      <c r="I172" s="23">
        <v>2.1999999999999999E-2</v>
      </c>
      <c r="J172" s="13">
        <v>8.2100000000000009</v>
      </c>
      <c r="K172" s="24">
        <v>22.736999999999998</v>
      </c>
      <c r="L172" s="13">
        <v>4.8159999999999998</v>
      </c>
      <c r="M172" s="23">
        <v>1.2999999999999999E-2</v>
      </c>
      <c r="N172" s="22">
        <v>300.76</v>
      </c>
      <c r="O172" s="25">
        <v>6.7000000000000004E-2</v>
      </c>
      <c r="P172" s="26">
        <v>0.63500000000000001</v>
      </c>
      <c r="Q172" s="93">
        <f t="shared" si="6"/>
        <v>100.51787946288511</v>
      </c>
      <c r="R172" s="93"/>
      <c r="S172" s="93">
        <f t="shared" si="5"/>
        <v>0.82368074292526827</v>
      </c>
      <c r="T172" s="93"/>
    </row>
    <row r="173" spans="1:20" ht="14.25" customHeight="1" x14ac:dyDescent="0.35">
      <c r="A173" s="1">
        <v>2024</v>
      </c>
      <c r="B173" s="1" t="s">
        <v>28</v>
      </c>
      <c r="C173" s="1">
        <v>19</v>
      </c>
      <c r="D173" s="12">
        <v>99.453000000000003</v>
      </c>
      <c r="E173" s="13">
        <v>85.25</v>
      </c>
      <c r="F173" s="21">
        <v>80.39</v>
      </c>
      <c r="G173" s="22">
        <v>1706.279</v>
      </c>
      <c r="H173" s="13">
        <v>6.9</v>
      </c>
      <c r="I173" s="23">
        <v>2.1999999999999999E-2</v>
      </c>
      <c r="J173" s="13">
        <v>8.3010000000000002</v>
      </c>
      <c r="K173" s="24">
        <v>23.364999999999998</v>
      </c>
      <c r="L173" s="13">
        <v>4.8040000000000003</v>
      </c>
      <c r="M173" s="23">
        <v>1.2999999999999999E-2</v>
      </c>
      <c r="N173" s="22">
        <v>309.541</v>
      </c>
      <c r="O173" s="25">
        <v>6.9000000000000006E-2</v>
      </c>
      <c r="P173" s="26">
        <v>0.6</v>
      </c>
      <c r="Q173" s="93">
        <f t="shared" si="6"/>
        <v>95.193157863776122</v>
      </c>
      <c r="R173" s="93"/>
      <c r="S173" s="93">
        <f t="shared" si="5"/>
        <v>0.78004800150592968</v>
      </c>
      <c r="T173" s="93"/>
    </row>
    <row r="174" spans="1:20" ht="14.25" customHeight="1" x14ac:dyDescent="0.35">
      <c r="A174" s="1">
        <v>2024</v>
      </c>
      <c r="B174" s="1" t="s">
        <v>28</v>
      </c>
      <c r="C174" s="1">
        <v>20</v>
      </c>
      <c r="D174" s="12">
        <v>100.672</v>
      </c>
      <c r="E174" s="13">
        <v>86.218999999999994</v>
      </c>
      <c r="F174" s="21">
        <v>80.861000000000004</v>
      </c>
      <c r="G174" s="22">
        <v>1696.7670000000001</v>
      </c>
      <c r="H174" s="13">
        <v>6.9</v>
      </c>
      <c r="I174" s="23">
        <v>2.1999999999999999E-2</v>
      </c>
      <c r="J174" s="13">
        <v>8.4030000000000005</v>
      </c>
      <c r="K174" s="24">
        <v>24.047999999999998</v>
      </c>
      <c r="L174" s="13">
        <v>4.7990000000000004</v>
      </c>
      <c r="M174" s="23">
        <v>1.2999999999999999E-2</v>
      </c>
      <c r="N174" s="22">
        <v>312.32499999999999</v>
      </c>
      <c r="O174" s="25">
        <v>7.5999999999999998E-2</v>
      </c>
      <c r="P174" s="26">
        <v>1.2230000000000001</v>
      </c>
      <c r="Q174" s="93">
        <f t="shared" si="6"/>
        <v>96.359944782581408</v>
      </c>
      <c r="R174" s="93"/>
      <c r="S174" s="93">
        <f t="shared" si="5"/>
        <v>0.78960908577524003</v>
      </c>
      <c r="T174" s="93"/>
    </row>
    <row r="175" spans="1:20" ht="14.25" customHeight="1" x14ac:dyDescent="0.35">
      <c r="A175" s="1">
        <v>2024</v>
      </c>
      <c r="B175" s="1" t="s">
        <v>28</v>
      </c>
      <c r="C175" s="1">
        <v>21</v>
      </c>
      <c r="D175" s="12">
        <v>105.03100000000001</v>
      </c>
      <c r="E175" s="13">
        <v>90.031000000000006</v>
      </c>
      <c r="F175" s="21">
        <v>80.852999999999994</v>
      </c>
      <c r="G175" s="22">
        <v>1647.538</v>
      </c>
      <c r="H175" s="13">
        <v>6.9</v>
      </c>
      <c r="I175" s="23">
        <v>2.1999999999999999E-2</v>
      </c>
      <c r="J175" s="13">
        <v>8.0060000000000002</v>
      </c>
      <c r="K175" s="24">
        <v>22.466000000000001</v>
      </c>
      <c r="L175" s="13">
        <v>4.7690000000000001</v>
      </c>
      <c r="M175" s="23">
        <v>1.2999999999999999E-2</v>
      </c>
      <c r="N175" s="22">
        <v>336.23599999999999</v>
      </c>
      <c r="O175" s="25">
        <v>6.9000000000000006E-2</v>
      </c>
      <c r="P175" s="26">
        <v>1.88</v>
      </c>
      <c r="Q175" s="93">
        <f t="shared" si="6"/>
        <v>100.53223697214031</v>
      </c>
      <c r="R175" s="93"/>
      <c r="S175" s="93">
        <f t="shared" si="5"/>
        <v>0.82379839367509577</v>
      </c>
      <c r="T175" s="93"/>
    </row>
    <row r="176" spans="1:20" ht="14.25" customHeight="1" x14ac:dyDescent="0.35">
      <c r="A176" s="1">
        <v>2024</v>
      </c>
      <c r="B176" s="1" t="s">
        <v>28</v>
      </c>
      <c r="C176" s="1">
        <v>22</v>
      </c>
      <c r="D176" s="12">
        <v>104.09399999999999</v>
      </c>
      <c r="E176" s="13">
        <v>89.125</v>
      </c>
      <c r="F176" s="21">
        <v>81.266999999999996</v>
      </c>
      <c r="G176" s="22">
        <v>1610.5309999999999</v>
      </c>
      <c r="H176" s="13">
        <v>6.9</v>
      </c>
      <c r="I176" s="23">
        <v>2.1000000000000001E-2</v>
      </c>
      <c r="J176" s="13">
        <v>7.6449999999999996</v>
      </c>
      <c r="K176" s="24">
        <v>23.34</v>
      </c>
      <c r="L176" s="13">
        <v>4.7779999999999996</v>
      </c>
      <c r="M176" s="23">
        <v>1.2999999999999999E-2</v>
      </c>
      <c r="N176" s="22">
        <v>328.12799999999999</v>
      </c>
      <c r="O176" s="25">
        <v>7.0999999999999994E-2</v>
      </c>
      <c r="P176" s="26">
        <v>1.587</v>
      </c>
      <c r="Q176" s="93">
        <f t="shared" si="6"/>
        <v>99.635371227332627</v>
      </c>
      <c r="R176" s="93"/>
      <c r="S176" s="93">
        <f t="shared" si="5"/>
        <v>0.81644914350254127</v>
      </c>
      <c r="T176" s="93"/>
    </row>
    <row r="177" spans="1:20" ht="14.25" customHeight="1" x14ac:dyDescent="0.35">
      <c r="A177" s="1">
        <v>2024</v>
      </c>
      <c r="B177" s="1" t="s">
        <v>28</v>
      </c>
      <c r="C177" s="1">
        <v>23</v>
      </c>
      <c r="D177" s="12">
        <v>99.125</v>
      </c>
      <c r="E177" s="13">
        <v>84.938000000000002</v>
      </c>
      <c r="F177" s="21">
        <v>81.599999999999994</v>
      </c>
      <c r="G177" s="22">
        <v>1532.7329999999999</v>
      </c>
      <c r="H177" s="13">
        <v>6.9</v>
      </c>
      <c r="I177" s="23">
        <v>2.1000000000000001E-2</v>
      </c>
      <c r="J177" s="13">
        <v>7.6890000000000001</v>
      </c>
      <c r="K177" s="24">
        <v>21.72</v>
      </c>
      <c r="L177" s="13">
        <v>4.7830000000000004</v>
      </c>
      <c r="M177" s="23">
        <v>1.2999999999999999E-2</v>
      </c>
      <c r="N177" s="22">
        <v>324.73099999999999</v>
      </c>
      <c r="O177" s="25">
        <v>7.3999999999999996E-2</v>
      </c>
      <c r="P177" s="26">
        <v>1.4319999999999999</v>
      </c>
      <c r="Q177" s="93">
        <f t="shared" si="6"/>
        <v>94.879206994729245</v>
      </c>
      <c r="R177" s="93"/>
      <c r="S177" s="93">
        <f t="shared" si="5"/>
        <v>0.77747537177636949</v>
      </c>
      <c r="T177" s="93"/>
    </row>
    <row r="178" spans="1:20" ht="14.25" customHeight="1" x14ac:dyDescent="0.35">
      <c r="A178" s="1">
        <v>2024</v>
      </c>
      <c r="B178" s="1" t="s">
        <v>28</v>
      </c>
      <c r="C178" s="1">
        <v>24</v>
      </c>
      <c r="D178" s="12">
        <v>99.031000000000006</v>
      </c>
      <c r="E178" s="13">
        <v>84.813000000000002</v>
      </c>
      <c r="F178" s="21">
        <v>81.88</v>
      </c>
      <c r="G178" s="22">
        <v>1515.4349999999999</v>
      </c>
      <c r="H178" s="13">
        <v>6.9</v>
      </c>
      <c r="I178" s="23">
        <v>2.1999999999999999E-2</v>
      </c>
      <c r="J178" s="13">
        <v>7.758</v>
      </c>
      <c r="K178" s="24">
        <v>21.536999999999999</v>
      </c>
      <c r="L178" s="13">
        <v>4.7830000000000004</v>
      </c>
      <c r="M178" s="23">
        <v>1.2999999999999999E-2</v>
      </c>
      <c r="N178" s="22">
        <v>324.44600000000003</v>
      </c>
      <c r="O178" s="25">
        <v>4.9000000000000002E-2</v>
      </c>
      <c r="P178" s="26">
        <v>1.2549999999999999</v>
      </c>
      <c r="Q178" s="93">
        <f t="shared" si="6"/>
        <v>94.789233270063377</v>
      </c>
      <c r="R178" s="93"/>
      <c r="S178" s="93">
        <f t="shared" si="5"/>
        <v>0.77673809374411751</v>
      </c>
      <c r="T178" s="93"/>
    </row>
    <row r="179" spans="1:20" ht="14.25" customHeight="1" x14ac:dyDescent="0.35">
      <c r="A179" s="1">
        <v>2024</v>
      </c>
      <c r="B179" s="1" t="s">
        <v>28</v>
      </c>
      <c r="C179" s="1">
        <v>25</v>
      </c>
      <c r="D179" s="12">
        <v>104.563</v>
      </c>
      <c r="E179" s="13">
        <v>89.531000000000006</v>
      </c>
      <c r="F179" s="21">
        <v>82.045000000000002</v>
      </c>
      <c r="G179" s="22">
        <v>1578.2370000000001</v>
      </c>
      <c r="H179" s="13">
        <v>6.9</v>
      </c>
      <c r="I179" s="23">
        <v>0.02</v>
      </c>
      <c r="J179" s="13">
        <v>7.242</v>
      </c>
      <c r="K179" s="24">
        <v>22.943000000000001</v>
      </c>
      <c r="L179" s="13">
        <v>4.75</v>
      </c>
      <c r="M179" s="23">
        <v>1.2999999999999999E-2</v>
      </c>
      <c r="N179" s="22">
        <v>348.95400000000001</v>
      </c>
      <c r="O179" s="25">
        <v>5.7000000000000002E-2</v>
      </c>
      <c r="P179" s="26">
        <v>1.1839999999999999</v>
      </c>
      <c r="Q179" s="93">
        <f t="shared" si="6"/>
        <v>100.08428268337832</v>
      </c>
      <c r="R179" s="93"/>
      <c r="S179" s="93">
        <f t="shared" si="5"/>
        <v>0.82012769028047949</v>
      </c>
      <c r="T179" s="93"/>
    </row>
    <row r="180" spans="1:20" ht="14.25" customHeight="1" x14ac:dyDescent="0.35">
      <c r="A180" s="1">
        <v>2024</v>
      </c>
      <c r="B180" s="1" t="s">
        <v>28</v>
      </c>
      <c r="C180" s="1">
        <v>26</v>
      </c>
      <c r="D180" s="12">
        <v>99.078000000000003</v>
      </c>
      <c r="E180" s="13">
        <v>84.843999999999994</v>
      </c>
      <c r="F180" s="21">
        <v>82.004000000000005</v>
      </c>
      <c r="G180" s="22">
        <v>1606.723</v>
      </c>
      <c r="H180" s="13">
        <v>6.9</v>
      </c>
      <c r="I180" s="23">
        <v>0.02</v>
      </c>
      <c r="J180" s="13">
        <v>6.8090000000000002</v>
      </c>
      <c r="K180" s="24">
        <v>23.257000000000001</v>
      </c>
      <c r="L180" s="13">
        <v>4.74</v>
      </c>
      <c r="M180" s="23">
        <v>1.2999999999999999E-2</v>
      </c>
      <c r="N180" s="22">
        <v>357.74099999999999</v>
      </c>
      <c r="O180" s="25">
        <v>0.06</v>
      </c>
      <c r="P180" s="26">
        <v>2.3420000000000001</v>
      </c>
      <c r="Q180" s="93">
        <f t="shared" si="6"/>
        <v>94.834220132396325</v>
      </c>
      <c r="R180" s="93"/>
      <c r="S180" s="93">
        <f t="shared" si="5"/>
        <v>0.77710673276024356</v>
      </c>
      <c r="T180" s="93"/>
    </row>
    <row r="181" spans="1:20" ht="14.25" customHeight="1" x14ac:dyDescent="0.35">
      <c r="A181" s="1">
        <v>2024</v>
      </c>
      <c r="B181" s="1" t="s">
        <v>28</v>
      </c>
      <c r="C181" s="1">
        <v>27</v>
      </c>
      <c r="D181" s="12">
        <v>96.578000000000003</v>
      </c>
      <c r="E181" s="13">
        <v>82.75</v>
      </c>
      <c r="F181" s="21">
        <v>82.090999999999994</v>
      </c>
      <c r="G181" s="22">
        <v>1620.077</v>
      </c>
      <c r="H181" s="13">
        <v>6.9</v>
      </c>
      <c r="I181" s="23">
        <v>0.02</v>
      </c>
      <c r="J181" s="13">
        <v>7.0510000000000002</v>
      </c>
      <c r="K181" s="24">
        <v>23.763000000000002</v>
      </c>
      <c r="L181" s="13">
        <v>4.734</v>
      </c>
      <c r="M181" s="23">
        <v>1.2999999999999999E-2</v>
      </c>
      <c r="N181" s="22">
        <v>363.56</v>
      </c>
      <c r="O181" s="25">
        <v>6.2E-2</v>
      </c>
      <c r="P181" s="26">
        <v>0.95099999999999996</v>
      </c>
      <c r="Q181" s="93">
        <f t="shared" si="6"/>
        <v>92.441301923197585</v>
      </c>
      <c r="R181" s="93"/>
      <c r="S181" s="93">
        <f t="shared" si="5"/>
        <v>0.7574982744556692</v>
      </c>
      <c r="T181" s="93"/>
    </row>
    <row r="182" spans="1:20" ht="14.25" customHeight="1" x14ac:dyDescent="0.35">
      <c r="A182" s="1">
        <v>2024</v>
      </c>
      <c r="B182" s="1" t="s">
        <v>28</v>
      </c>
      <c r="C182" s="1">
        <v>28</v>
      </c>
      <c r="D182" s="12">
        <v>100.78100000000001</v>
      </c>
      <c r="E182" s="13">
        <v>86.375</v>
      </c>
      <c r="F182" s="21">
        <v>82.034999999999997</v>
      </c>
      <c r="G182" s="22">
        <v>1683.769</v>
      </c>
      <c r="H182" s="13">
        <v>6.9</v>
      </c>
      <c r="I182" s="23">
        <v>0.02</v>
      </c>
      <c r="J182" s="13">
        <v>7.0289999999999999</v>
      </c>
      <c r="K182" s="24">
        <v>24.486999999999998</v>
      </c>
      <c r="L182" s="13">
        <v>5.1660000000000004</v>
      </c>
      <c r="M182" s="23">
        <v>1.4E-2</v>
      </c>
      <c r="N182" s="22">
        <v>189.82900000000001</v>
      </c>
      <c r="O182" s="25">
        <v>6.5000000000000002E-2</v>
      </c>
      <c r="P182" s="26">
        <v>4.0000000000000001E-3</v>
      </c>
      <c r="Q182" s="93">
        <f t="shared" si="6"/>
        <v>96.464276016502481</v>
      </c>
      <c r="R182" s="93"/>
      <c r="S182" s="93">
        <f t="shared" si="5"/>
        <v>0.79046401455731952</v>
      </c>
      <c r="T182" s="93"/>
    </row>
    <row r="183" spans="1:20" ht="14.25" customHeight="1" x14ac:dyDescent="0.35">
      <c r="A183" s="1">
        <v>2024</v>
      </c>
      <c r="B183" s="1" t="s">
        <v>28</v>
      </c>
      <c r="C183" s="1">
        <v>29</v>
      </c>
      <c r="D183" s="12">
        <v>101.797</v>
      </c>
      <c r="E183" s="13">
        <v>87.25</v>
      </c>
      <c r="F183" s="21">
        <v>82.031999999999996</v>
      </c>
      <c r="G183" s="22">
        <v>1700.077</v>
      </c>
      <c r="H183" s="13">
        <v>6.9</v>
      </c>
      <c r="I183" s="23">
        <v>1.9E-2</v>
      </c>
      <c r="J183" s="13">
        <v>6.8769999999999998</v>
      </c>
      <c r="K183" s="24">
        <v>25.292000000000002</v>
      </c>
      <c r="L183" s="13">
        <v>5.4710000000000001</v>
      </c>
      <c r="M183" s="23">
        <v>1.4999999999999999E-2</v>
      </c>
      <c r="N183" s="22">
        <v>66.375</v>
      </c>
      <c r="O183" s="25">
        <v>6.6000000000000003E-2</v>
      </c>
      <c r="P183" s="26">
        <v>0</v>
      </c>
      <c r="Q183" s="93">
        <f t="shared" si="6"/>
        <v>97.436757976720827</v>
      </c>
      <c r="R183" s="93"/>
      <c r="S183" s="93">
        <f t="shared" si="5"/>
        <v>0.79843289201229839</v>
      </c>
      <c r="T183" s="93"/>
    </row>
    <row r="184" spans="1:20" ht="14.25" customHeight="1" x14ac:dyDescent="0.35">
      <c r="A184" s="1">
        <v>2024</v>
      </c>
      <c r="B184" s="1" t="s">
        <v>28</v>
      </c>
      <c r="C184" s="1">
        <v>30</v>
      </c>
      <c r="D184" s="34">
        <v>101.797</v>
      </c>
      <c r="E184" s="35">
        <v>87.281000000000006</v>
      </c>
      <c r="F184" s="21">
        <v>81.787999999999997</v>
      </c>
      <c r="G184" s="22">
        <v>1657.076</v>
      </c>
      <c r="H184" s="13">
        <v>6.9</v>
      </c>
      <c r="I184" s="23">
        <v>0.02</v>
      </c>
      <c r="J184" s="13">
        <v>6.7359999999999998</v>
      </c>
      <c r="K184" s="24">
        <v>25.242000000000001</v>
      </c>
      <c r="L184" s="13">
        <v>5.4560000000000004</v>
      </c>
      <c r="M184" s="23">
        <v>1.4999999999999999E-2</v>
      </c>
      <c r="N184" s="22">
        <v>68.77</v>
      </c>
      <c r="O184" s="25">
        <v>5.8999999999999997E-2</v>
      </c>
      <c r="P184" s="26">
        <v>-1E-3</v>
      </c>
      <c r="Q184" s="93">
        <f t="shared" si="6"/>
        <v>97.436757976720827</v>
      </c>
      <c r="R184" s="93"/>
      <c r="S184" s="93">
        <f t="shared" si="5"/>
        <v>0.79843289201229839</v>
      </c>
      <c r="T184" s="93"/>
    </row>
    <row r="185" spans="1:20" ht="14.25" customHeight="1" x14ac:dyDescent="0.35">
      <c r="A185" s="1">
        <v>2024</v>
      </c>
      <c r="B185" s="1" t="s">
        <v>29</v>
      </c>
      <c r="C185" s="1">
        <v>1</v>
      </c>
      <c r="D185" s="12">
        <v>100.85899999999999</v>
      </c>
      <c r="E185" s="13">
        <v>86.438000000000002</v>
      </c>
      <c r="F185" s="14">
        <v>81.885999999999996</v>
      </c>
      <c r="G185" s="15">
        <v>1626.5419999999999</v>
      </c>
      <c r="H185" s="16">
        <v>6.9</v>
      </c>
      <c r="I185" s="17">
        <v>0.02</v>
      </c>
      <c r="J185" s="16">
        <v>6.8940000000000001</v>
      </c>
      <c r="K185" s="18">
        <v>24.0442</v>
      </c>
      <c r="L185" s="16">
        <v>5.4859</v>
      </c>
      <c r="M185" s="17">
        <v>1.5100000000000001E-2</v>
      </c>
      <c r="N185" s="15">
        <v>64.209900000000005</v>
      </c>
      <c r="O185" s="19">
        <v>5.28E-2</v>
      </c>
      <c r="P185" s="20">
        <v>0</v>
      </c>
      <c r="Q185" s="93">
        <f t="shared" si="6"/>
        <v>96.538935064629484</v>
      </c>
      <c r="R185" s="243">
        <f>N9+O9</f>
        <v>162.21769999999998</v>
      </c>
      <c r="S185" s="93">
        <f t="shared" si="5"/>
        <v>0.79107579845642217</v>
      </c>
      <c r="T185" s="93"/>
    </row>
    <row r="186" spans="1:20" ht="14.25" customHeight="1" x14ac:dyDescent="0.35">
      <c r="A186" s="1">
        <v>2024</v>
      </c>
      <c r="B186" s="1" t="s">
        <v>29</v>
      </c>
      <c r="C186" s="1">
        <v>2</v>
      </c>
      <c r="D186" s="12">
        <v>104.21899999999999</v>
      </c>
      <c r="E186" s="13">
        <v>89.188000000000002</v>
      </c>
      <c r="F186" s="21">
        <v>81.99</v>
      </c>
      <c r="G186" s="22">
        <v>1690.742</v>
      </c>
      <c r="H186" s="13">
        <v>6.9</v>
      </c>
      <c r="I186" s="23">
        <v>0.02</v>
      </c>
      <c r="J186" s="13">
        <v>7.2759999999999998</v>
      </c>
      <c r="K186" s="24">
        <v>24.684000000000001</v>
      </c>
      <c r="L186" s="13">
        <v>5.4640000000000004</v>
      </c>
      <c r="M186" s="23">
        <v>1.4999999999999999E-2</v>
      </c>
      <c r="N186" s="22">
        <v>67.680000000000007</v>
      </c>
      <c r="O186" s="25">
        <v>6.2E-2</v>
      </c>
      <c r="P186" s="26">
        <v>0</v>
      </c>
      <c r="Q186" s="93">
        <f t="shared" si="6"/>
        <v>99.755017137792564</v>
      </c>
      <c r="R186" s="93"/>
      <c r="S186" s="93">
        <f t="shared" si="5"/>
        <v>0.81742956641776998</v>
      </c>
      <c r="T186" s="93"/>
    </row>
    <row r="187" spans="1:20" ht="14.25" customHeight="1" x14ac:dyDescent="0.35">
      <c r="A187" s="1">
        <v>2024</v>
      </c>
      <c r="B187" s="1" t="s">
        <v>29</v>
      </c>
      <c r="C187" s="1">
        <v>3</v>
      </c>
      <c r="D187" s="12">
        <v>99.141000000000005</v>
      </c>
      <c r="E187" s="13">
        <v>85</v>
      </c>
      <c r="F187" s="21">
        <v>82.043999999999997</v>
      </c>
      <c r="G187" s="22">
        <v>1701.415</v>
      </c>
      <c r="H187" s="13">
        <v>6.9</v>
      </c>
      <c r="I187" s="23">
        <v>0.02</v>
      </c>
      <c r="J187" s="13">
        <v>7.673</v>
      </c>
      <c r="K187" s="24">
        <v>23.931000000000001</v>
      </c>
      <c r="L187" s="13">
        <v>5.484</v>
      </c>
      <c r="M187" s="23">
        <v>1.4999999999999999E-2</v>
      </c>
      <c r="N187" s="22">
        <v>64.459999999999994</v>
      </c>
      <c r="O187" s="25">
        <v>6.4000000000000001E-2</v>
      </c>
      <c r="P187" s="26">
        <v>0</v>
      </c>
      <c r="Q187" s="93">
        <f t="shared" si="6"/>
        <v>94.894521671268123</v>
      </c>
      <c r="R187" s="93"/>
      <c r="S187" s="93">
        <f t="shared" si="5"/>
        <v>0.77760086590951882</v>
      </c>
      <c r="T187" s="93"/>
    </row>
    <row r="188" spans="1:20" ht="14.25" customHeight="1" x14ac:dyDescent="0.35">
      <c r="A188" s="1">
        <v>2024</v>
      </c>
      <c r="B188" s="1" t="s">
        <v>29</v>
      </c>
      <c r="C188" s="1">
        <v>4</v>
      </c>
      <c r="D188" s="12">
        <v>100.063</v>
      </c>
      <c r="E188" s="13">
        <v>85.75</v>
      </c>
      <c r="F188" s="21">
        <v>82.034999999999997</v>
      </c>
      <c r="G188" s="22">
        <v>1733.82</v>
      </c>
      <c r="H188" s="13">
        <v>6.9</v>
      </c>
      <c r="I188" s="23">
        <v>0.02</v>
      </c>
      <c r="J188" s="13">
        <v>8.1140000000000008</v>
      </c>
      <c r="K188" s="24">
        <v>24.690999999999999</v>
      </c>
      <c r="L188" s="13">
        <v>5.4809999999999999</v>
      </c>
      <c r="M188" s="23">
        <v>1.4999999999999999E-2</v>
      </c>
      <c r="N188" s="22">
        <v>64.875</v>
      </c>
      <c r="O188" s="25">
        <v>6.0999999999999999E-2</v>
      </c>
      <c r="P188" s="26">
        <v>0</v>
      </c>
      <c r="Q188" s="93">
        <f t="shared" si="6"/>
        <v>95.777029906820616</v>
      </c>
      <c r="R188" s="93"/>
      <c r="S188" s="93">
        <f t="shared" si="5"/>
        <v>0.78483246533224582</v>
      </c>
      <c r="T188" s="93"/>
    </row>
    <row r="189" spans="1:20" ht="14.25" customHeight="1" x14ac:dyDescent="0.35">
      <c r="A189" s="1">
        <v>2024</v>
      </c>
      <c r="B189" s="1" t="s">
        <v>29</v>
      </c>
      <c r="C189" s="1">
        <v>5</v>
      </c>
      <c r="D189" s="12">
        <v>95.891000000000005</v>
      </c>
      <c r="E189" s="13">
        <v>82.188000000000002</v>
      </c>
      <c r="F189" s="21">
        <v>82.088999999999999</v>
      </c>
      <c r="G189" s="22">
        <v>1655.973</v>
      </c>
      <c r="H189" s="13">
        <v>6.9</v>
      </c>
      <c r="I189" s="23">
        <v>0.02</v>
      </c>
      <c r="J189" s="13">
        <v>7.1619999999999999</v>
      </c>
      <c r="K189" s="24">
        <v>24.521999999999998</v>
      </c>
      <c r="L189" s="13">
        <v>5.1070000000000002</v>
      </c>
      <c r="M189" s="23">
        <v>1.4999999999999999E-2</v>
      </c>
      <c r="N189" s="22">
        <v>181.02</v>
      </c>
      <c r="O189" s="25">
        <v>5.6000000000000001E-2</v>
      </c>
      <c r="P189" s="26">
        <v>0</v>
      </c>
      <c r="Q189" s="93">
        <f t="shared" si="6"/>
        <v>91.783727999309789</v>
      </c>
      <c r="R189" s="93"/>
      <c r="S189" s="93">
        <f t="shared" si="5"/>
        <v>0.75210987011357222</v>
      </c>
      <c r="T189" s="93"/>
    </row>
    <row r="190" spans="1:20" ht="14.25" customHeight="1" x14ac:dyDescent="0.35">
      <c r="A190" s="1">
        <v>2024</v>
      </c>
      <c r="B190" s="1" t="s">
        <v>29</v>
      </c>
      <c r="C190" s="1">
        <v>6</v>
      </c>
      <c r="D190" s="12">
        <v>99.468999999999994</v>
      </c>
      <c r="E190" s="13">
        <v>85.25</v>
      </c>
      <c r="F190" s="21">
        <v>82.334999999999994</v>
      </c>
      <c r="G190" s="22">
        <v>1610.1020000000001</v>
      </c>
      <c r="H190" s="13">
        <v>6.9</v>
      </c>
      <c r="I190" s="23">
        <v>0.02</v>
      </c>
      <c r="J190" s="13">
        <v>7.0140000000000002</v>
      </c>
      <c r="K190" s="24">
        <v>24.28</v>
      </c>
      <c r="L190" s="13">
        <v>4.9089999999999998</v>
      </c>
      <c r="M190" s="23">
        <v>1.4999999999999999E-2</v>
      </c>
      <c r="N190" s="22">
        <v>242.33699999999999</v>
      </c>
      <c r="O190" s="25">
        <v>5.8999999999999997E-2</v>
      </c>
      <c r="P190" s="26">
        <v>-3.0000000000000001E-3</v>
      </c>
      <c r="Q190" s="93">
        <f t="shared" si="6"/>
        <v>95.208472540314986</v>
      </c>
      <c r="R190" s="93"/>
      <c r="S190" s="93">
        <f t="shared" si="5"/>
        <v>0.7801734956390789</v>
      </c>
      <c r="T190" s="93"/>
    </row>
    <row r="191" spans="1:20" ht="14.25" customHeight="1" x14ac:dyDescent="0.35">
      <c r="A191" s="1">
        <v>2024</v>
      </c>
      <c r="B191" s="1" t="s">
        <v>29</v>
      </c>
      <c r="C191" s="1">
        <v>7</v>
      </c>
      <c r="D191" s="12">
        <v>101.53100000000001</v>
      </c>
      <c r="E191" s="13">
        <v>86.968999999999994</v>
      </c>
      <c r="F191" s="21">
        <v>82.492999999999995</v>
      </c>
      <c r="G191" s="22">
        <v>1577.183</v>
      </c>
      <c r="H191" s="13">
        <v>6.9</v>
      </c>
      <c r="I191" s="23">
        <v>2.1000000000000001E-2</v>
      </c>
      <c r="J191" s="13">
        <v>6.968</v>
      </c>
      <c r="K191" s="24">
        <v>24.413</v>
      </c>
      <c r="L191" s="13">
        <v>4.9249999999999998</v>
      </c>
      <c r="M191" s="23">
        <v>1.4999999999999999E-2</v>
      </c>
      <c r="N191" s="22">
        <v>234.43299999999999</v>
      </c>
      <c r="O191" s="25">
        <v>5.0999999999999997E-2</v>
      </c>
      <c r="P191" s="26">
        <v>0</v>
      </c>
      <c r="Q191" s="93">
        <f t="shared" si="6"/>
        <v>97.182151479262103</v>
      </c>
      <c r="R191" s="93"/>
      <c r="S191" s="93">
        <f t="shared" si="5"/>
        <v>0.79634655204869176</v>
      </c>
      <c r="T191" s="93"/>
    </row>
    <row r="192" spans="1:20" ht="14.25" customHeight="1" x14ac:dyDescent="0.35">
      <c r="A192" s="1">
        <v>2024</v>
      </c>
      <c r="B192" s="1" t="s">
        <v>29</v>
      </c>
      <c r="C192" s="1">
        <v>8</v>
      </c>
      <c r="D192" s="12">
        <v>82.063000000000002</v>
      </c>
      <c r="E192" s="13">
        <v>70.281000000000006</v>
      </c>
      <c r="F192" s="21">
        <v>82.78</v>
      </c>
      <c r="G192" s="22">
        <v>1555.221</v>
      </c>
      <c r="H192" s="13">
        <v>6.9</v>
      </c>
      <c r="I192" s="23">
        <v>0.02</v>
      </c>
      <c r="J192" s="13">
        <v>7.0780000000000003</v>
      </c>
      <c r="K192" s="24">
        <v>22.588999999999999</v>
      </c>
      <c r="L192" s="13">
        <v>4.9089999999999998</v>
      </c>
      <c r="M192" s="23">
        <v>1.4999999999999999E-2</v>
      </c>
      <c r="N192" s="22">
        <v>242.916</v>
      </c>
      <c r="O192" s="25">
        <v>5.6000000000000001E-2</v>
      </c>
      <c r="P192" s="26">
        <v>0</v>
      </c>
      <c r="Q192" s="93">
        <f t="shared" si="6"/>
        <v>78.54801880058983</v>
      </c>
      <c r="R192" s="93"/>
      <c r="S192" s="93">
        <f t="shared" si="5"/>
        <v>0.64365156553931113</v>
      </c>
      <c r="T192" s="93"/>
    </row>
    <row r="193" spans="1:20" ht="14.25" customHeight="1" x14ac:dyDescent="0.35">
      <c r="A193" s="1">
        <v>2024</v>
      </c>
      <c r="B193" s="1" t="s">
        <v>29</v>
      </c>
      <c r="C193" s="1">
        <v>9</v>
      </c>
      <c r="D193" s="12">
        <v>68.968999999999994</v>
      </c>
      <c r="E193" s="13">
        <v>59.219000000000001</v>
      </c>
      <c r="F193" s="21">
        <v>83.381</v>
      </c>
      <c r="G193" s="22">
        <v>1627.694</v>
      </c>
      <c r="H193" s="13">
        <v>6.9</v>
      </c>
      <c r="I193" s="23">
        <v>2.4E-2</v>
      </c>
      <c r="J193" s="13">
        <v>7.8890000000000002</v>
      </c>
      <c r="K193" s="24">
        <v>24.681000000000001</v>
      </c>
      <c r="L193" s="13">
        <v>4.9450000000000003</v>
      </c>
      <c r="M193" s="23">
        <v>1.4999999999999999E-2</v>
      </c>
      <c r="N193" s="22">
        <v>223.86699999999999</v>
      </c>
      <c r="O193" s="25">
        <v>7.3999999999999996E-2</v>
      </c>
      <c r="P193" s="26">
        <v>-4.0000000000000001E-3</v>
      </c>
      <c r="Q193" s="93">
        <f t="shared" si="6"/>
        <v>66.0148703880906</v>
      </c>
      <c r="R193" s="93"/>
      <c r="S193" s="93">
        <f t="shared" si="5"/>
        <v>0.54095030432327285</v>
      </c>
      <c r="T193" s="93"/>
    </row>
    <row r="194" spans="1:20" ht="14.25" customHeight="1" x14ac:dyDescent="0.35">
      <c r="A194" s="1">
        <v>2024</v>
      </c>
      <c r="B194" s="1" t="s">
        <v>29</v>
      </c>
      <c r="C194" s="1">
        <v>10</v>
      </c>
      <c r="D194" s="12">
        <v>96.25</v>
      </c>
      <c r="E194" s="13">
        <v>82.406000000000006</v>
      </c>
      <c r="F194" s="27">
        <v>83.165999999999997</v>
      </c>
      <c r="G194" s="22">
        <v>1703.3510000000001</v>
      </c>
      <c r="H194" s="13">
        <v>6.9</v>
      </c>
      <c r="I194" s="23">
        <v>2.3E-2</v>
      </c>
      <c r="J194" s="28">
        <v>7.7190000000000003</v>
      </c>
      <c r="K194" s="24">
        <v>26.527999999999999</v>
      </c>
      <c r="L194" s="13">
        <v>4.9290000000000003</v>
      </c>
      <c r="M194" s="29">
        <v>1.4999999999999999E-2</v>
      </c>
      <c r="N194" s="22">
        <v>231.46199999999999</v>
      </c>
      <c r="O194" s="30">
        <v>4.8000000000000001E-2</v>
      </c>
      <c r="P194" s="31">
        <v>1E-3</v>
      </c>
      <c r="Q194" s="93">
        <f t="shared" si="6"/>
        <v>92.127351054150722</v>
      </c>
      <c r="R194" s="93"/>
      <c r="S194" s="93">
        <f t="shared" si="5"/>
        <v>0.75492564472610912</v>
      </c>
      <c r="T194" s="93"/>
    </row>
    <row r="195" spans="1:20" ht="14.25" customHeight="1" x14ac:dyDescent="0.35">
      <c r="A195" s="1">
        <v>2024</v>
      </c>
      <c r="B195" s="1" t="s">
        <v>29</v>
      </c>
      <c r="C195" s="1">
        <v>11</v>
      </c>
      <c r="D195" s="12">
        <v>105.09399999999999</v>
      </c>
      <c r="E195" s="13">
        <v>90</v>
      </c>
      <c r="F195" s="27">
        <v>83.114000000000004</v>
      </c>
      <c r="G195" s="22">
        <v>1693.61</v>
      </c>
      <c r="H195" s="13">
        <v>6.9</v>
      </c>
      <c r="I195" s="23">
        <v>2.1000000000000001E-2</v>
      </c>
      <c r="J195" s="28">
        <v>7.5960000000000001</v>
      </c>
      <c r="K195" s="24">
        <v>25.989000000000001</v>
      </c>
      <c r="L195" s="13">
        <v>4.9050000000000002</v>
      </c>
      <c r="M195" s="29">
        <v>1.4999999999999999E-2</v>
      </c>
      <c r="N195" s="22">
        <v>244.72</v>
      </c>
      <c r="O195" s="30">
        <v>5.7000000000000002E-2</v>
      </c>
      <c r="P195" s="31">
        <v>0</v>
      </c>
      <c r="Q195" s="93">
        <f t="shared" si="6"/>
        <v>100.59253851101211</v>
      </c>
      <c r="R195" s="93"/>
      <c r="S195" s="93">
        <f t="shared" si="5"/>
        <v>0.82429252682437093</v>
      </c>
      <c r="T195" s="93"/>
    </row>
    <row r="196" spans="1:20" ht="14.25" customHeight="1" x14ac:dyDescent="0.35">
      <c r="A196" s="1">
        <v>2024</v>
      </c>
      <c r="B196" s="1" t="s">
        <v>29</v>
      </c>
      <c r="C196" s="1">
        <v>12</v>
      </c>
      <c r="D196" s="12">
        <v>105.172</v>
      </c>
      <c r="E196" s="13">
        <v>90</v>
      </c>
      <c r="F196" s="27">
        <v>82.64</v>
      </c>
      <c r="G196" s="22">
        <v>1728.694</v>
      </c>
      <c r="H196" s="13">
        <v>6.9</v>
      </c>
      <c r="I196" s="23">
        <v>2.1000000000000001E-2</v>
      </c>
      <c r="J196" s="28">
        <v>7.74</v>
      </c>
      <c r="K196" s="24">
        <v>26.007999999999999</v>
      </c>
      <c r="L196" s="13">
        <v>4.9429999999999996</v>
      </c>
      <c r="M196" s="29">
        <v>1.4999999999999999E-2</v>
      </c>
      <c r="N196" s="22">
        <v>225.95599999999999</v>
      </c>
      <c r="O196" s="30">
        <v>6.7000000000000004E-2</v>
      </c>
      <c r="P196" s="31">
        <v>0</v>
      </c>
      <c r="Q196" s="93">
        <f t="shared" si="6"/>
        <v>100.66719755913911</v>
      </c>
      <c r="R196" s="93"/>
      <c r="S196" s="93">
        <f t="shared" si="5"/>
        <v>0.8249043107234737</v>
      </c>
      <c r="T196" s="93"/>
    </row>
    <row r="197" spans="1:20" ht="14.25" customHeight="1" x14ac:dyDescent="0.35">
      <c r="A197" s="1">
        <v>2024</v>
      </c>
      <c r="B197" s="1" t="s">
        <v>29</v>
      </c>
      <c r="C197" s="1">
        <v>13</v>
      </c>
      <c r="D197" s="12">
        <v>100.34399999999999</v>
      </c>
      <c r="E197" s="13">
        <v>85.688000000000002</v>
      </c>
      <c r="F197" s="27">
        <v>82.989000000000004</v>
      </c>
      <c r="G197" s="22">
        <v>1734.2180000000001</v>
      </c>
      <c r="H197" s="13">
        <v>6.9</v>
      </c>
      <c r="I197" s="23">
        <v>2.1999999999999999E-2</v>
      </c>
      <c r="J197" s="28">
        <v>7.92</v>
      </c>
      <c r="K197" s="24">
        <v>29.029</v>
      </c>
      <c r="L197" s="13">
        <v>5.0359999999999996</v>
      </c>
      <c r="M197" s="23">
        <v>1.4999999999999999E-2</v>
      </c>
      <c r="N197" s="22">
        <v>185.86099999999999</v>
      </c>
      <c r="O197" s="30">
        <v>6.9000000000000006E-2</v>
      </c>
      <c r="P197" s="31">
        <v>2.1999999999999999E-2</v>
      </c>
      <c r="Q197" s="93">
        <f t="shared" si="6"/>
        <v>96.045993913534531</v>
      </c>
      <c r="R197" s="93"/>
      <c r="S197" s="93">
        <f t="shared" si="5"/>
        <v>0.78703645604567984</v>
      </c>
      <c r="T197" s="93"/>
    </row>
    <row r="198" spans="1:20" ht="14.25" customHeight="1" x14ac:dyDescent="0.35">
      <c r="A198" s="1">
        <v>2024</v>
      </c>
      <c r="B198" s="1" t="s">
        <v>29</v>
      </c>
      <c r="C198" s="1">
        <v>14</v>
      </c>
      <c r="D198" s="12">
        <v>103.01600000000001</v>
      </c>
      <c r="E198" s="13">
        <v>87.968999999999994</v>
      </c>
      <c r="F198" s="21">
        <v>82.888000000000005</v>
      </c>
      <c r="G198" s="22">
        <v>1656.029</v>
      </c>
      <c r="H198" s="13">
        <v>6.9</v>
      </c>
      <c r="I198" s="23">
        <v>2.3E-2</v>
      </c>
      <c r="J198" s="28">
        <v>7.6120000000000001</v>
      </c>
      <c r="K198" s="33">
        <v>28.071000000000002</v>
      </c>
      <c r="L198" s="13">
        <v>5.0460000000000003</v>
      </c>
      <c r="M198" s="23">
        <v>1.4999999999999999E-2</v>
      </c>
      <c r="N198" s="22">
        <v>176.41399999999999</v>
      </c>
      <c r="O198" s="30">
        <v>5.5E-2</v>
      </c>
      <c r="P198" s="31">
        <v>1.0999999999999999E-2</v>
      </c>
      <c r="Q198" s="93">
        <f t="shared" si="6"/>
        <v>98.603544895526142</v>
      </c>
      <c r="R198" s="93"/>
      <c r="S198" s="93">
        <f t="shared" si="5"/>
        <v>0.80799397628160896</v>
      </c>
      <c r="T198" s="93"/>
    </row>
    <row r="199" spans="1:20" ht="14.25" customHeight="1" x14ac:dyDescent="0.35">
      <c r="A199" s="1">
        <v>2024</v>
      </c>
      <c r="B199" s="1" t="s">
        <v>29</v>
      </c>
      <c r="C199" s="1">
        <v>15</v>
      </c>
      <c r="D199" s="12">
        <v>99.046999999999997</v>
      </c>
      <c r="E199" s="13">
        <v>84.781000000000006</v>
      </c>
      <c r="F199" s="21">
        <v>82.962000000000003</v>
      </c>
      <c r="G199" s="22">
        <v>1611.8530000000001</v>
      </c>
      <c r="H199" s="13">
        <v>6.9</v>
      </c>
      <c r="I199" s="23">
        <v>2.1999999999999999E-2</v>
      </c>
      <c r="J199" s="28">
        <v>7.6</v>
      </c>
      <c r="K199" s="24">
        <v>25.774999999999999</v>
      </c>
      <c r="L199" s="13">
        <v>4.9950000000000001</v>
      </c>
      <c r="M199" s="23">
        <v>1.4999999999999999E-2</v>
      </c>
      <c r="N199" s="22">
        <v>199.56299999999999</v>
      </c>
      <c r="O199" s="30">
        <v>0.05</v>
      </c>
      <c r="P199" s="31">
        <v>-1E-3</v>
      </c>
      <c r="Q199" s="93">
        <f t="shared" si="6"/>
        <v>94.804547946602241</v>
      </c>
      <c r="R199" s="93"/>
      <c r="S199" s="93">
        <f t="shared" si="5"/>
        <v>0.77686358787726673</v>
      </c>
      <c r="T199" s="93"/>
    </row>
    <row r="200" spans="1:20" ht="14.25" customHeight="1" x14ac:dyDescent="0.35">
      <c r="A200" s="1">
        <v>2024</v>
      </c>
      <c r="B200" s="1" t="s">
        <v>29</v>
      </c>
      <c r="C200" s="1">
        <v>16</v>
      </c>
      <c r="D200" s="12">
        <v>94.343999999999994</v>
      </c>
      <c r="E200" s="13">
        <v>81</v>
      </c>
      <c r="F200" s="21">
        <v>83.262</v>
      </c>
      <c r="G200" s="22">
        <v>1680.232</v>
      </c>
      <c r="H200" s="13">
        <v>6.9</v>
      </c>
      <c r="I200" s="23">
        <v>2.3E-2</v>
      </c>
      <c r="J200" s="28">
        <v>8.077</v>
      </c>
      <c r="K200" s="24">
        <v>29.151</v>
      </c>
      <c r="L200" s="13">
        <v>5.0039999999999996</v>
      </c>
      <c r="M200" s="23">
        <v>1.4999999999999999E-2</v>
      </c>
      <c r="N200" s="22">
        <v>194.71700000000001</v>
      </c>
      <c r="O200" s="30">
        <v>5.6000000000000001E-2</v>
      </c>
      <c r="P200" s="31">
        <v>0</v>
      </c>
      <c r="Q200" s="93">
        <f t="shared" si="6"/>
        <v>90.302990211457598</v>
      </c>
      <c r="R200" s="93"/>
      <c r="S200" s="93">
        <f t="shared" si="5"/>
        <v>0.73997615611470158</v>
      </c>
      <c r="T200" s="93"/>
    </row>
    <row r="201" spans="1:20" ht="14.25" customHeight="1" x14ac:dyDescent="0.35">
      <c r="A201" s="1">
        <v>2024</v>
      </c>
      <c r="B201" s="1" t="s">
        <v>29</v>
      </c>
      <c r="C201" s="1">
        <v>17</v>
      </c>
      <c r="D201" s="12">
        <v>94.625</v>
      </c>
      <c r="E201" s="13">
        <v>81.188000000000002</v>
      </c>
      <c r="F201" s="21">
        <v>83.204999999999998</v>
      </c>
      <c r="G201" s="22">
        <v>1703.1189999999999</v>
      </c>
      <c r="H201" s="13">
        <v>6.9</v>
      </c>
      <c r="I201" s="23">
        <v>2.1999999999999999E-2</v>
      </c>
      <c r="J201" s="13">
        <v>7.907</v>
      </c>
      <c r="K201" s="24">
        <v>28.425000000000001</v>
      </c>
      <c r="L201" s="13">
        <v>4.9850000000000003</v>
      </c>
      <c r="M201" s="23">
        <v>1.4999999999999999E-2</v>
      </c>
      <c r="N201" s="22">
        <v>203.28700000000001</v>
      </c>
      <c r="O201" s="25">
        <v>5.5E-2</v>
      </c>
      <c r="P201" s="26">
        <v>0</v>
      </c>
      <c r="Q201" s="93">
        <f t="shared" si="6"/>
        <v>90.571954218171555</v>
      </c>
      <c r="R201" s="93"/>
      <c r="S201" s="93">
        <f t="shared" si="5"/>
        <v>0.74218014682813582</v>
      </c>
      <c r="T201" s="93"/>
    </row>
    <row r="202" spans="1:20" ht="14.25" customHeight="1" x14ac:dyDescent="0.35">
      <c r="A202" s="1">
        <v>2024</v>
      </c>
      <c r="B202" s="1" t="s">
        <v>29</v>
      </c>
      <c r="C202" s="1">
        <v>18</v>
      </c>
      <c r="D202" s="12">
        <v>103.438</v>
      </c>
      <c r="E202" s="13">
        <v>88.468999999999994</v>
      </c>
      <c r="F202" s="21">
        <v>83.323999999999998</v>
      </c>
      <c r="G202" s="22">
        <v>1728.0930000000001</v>
      </c>
      <c r="H202" s="13">
        <v>6.9</v>
      </c>
      <c r="I202" s="23">
        <v>2.3E-2</v>
      </c>
      <c r="J202" s="13">
        <v>7.8090000000000002</v>
      </c>
      <c r="K202" s="24">
        <v>27.623000000000001</v>
      </c>
      <c r="L202" s="13">
        <v>4.9800000000000004</v>
      </c>
      <c r="M202" s="23">
        <v>1.4999999999999999E-2</v>
      </c>
      <c r="N202" s="22">
        <v>206.02500000000001</v>
      </c>
      <c r="O202" s="25">
        <v>5.6000000000000001E-2</v>
      </c>
      <c r="P202" s="26">
        <v>0</v>
      </c>
      <c r="Q202" s="93">
        <f t="shared" si="6"/>
        <v>99.007469489238886</v>
      </c>
      <c r="R202" s="93"/>
      <c r="S202" s="93">
        <f t="shared" si="5"/>
        <v>0.81130388404342102</v>
      </c>
      <c r="T202" s="93"/>
    </row>
    <row r="203" spans="1:20" ht="14.25" customHeight="1" x14ac:dyDescent="0.35">
      <c r="A203" s="1">
        <v>2024</v>
      </c>
      <c r="B203" s="1" t="s">
        <v>29</v>
      </c>
      <c r="C203" s="1">
        <v>19</v>
      </c>
      <c r="D203" s="12">
        <v>104.03100000000001</v>
      </c>
      <c r="E203" s="13">
        <v>89.031000000000006</v>
      </c>
      <c r="F203" s="21">
        <v>83.373999999999995</v>
      </c>
      <c r="G203" s="22">
        <v>1750.7090000000001</v>
      </c>
      <c r="H203" s="13">
        <v>6.9</v>
      </c>
      <c r="I203" s="23">
        <v>2.4E-2</v>
      </c>
      <c r="J203" s="13">
        <v>7.5759999999999996</v>
      </c>
      <c r="K203" s="24">
        <v>30.393000000000001</v>
      </c>
      <c r="L203" s="13">
        <v>5.3079999999999998</v>
      </c>
      <c r="M203" s="23">
        <v>1.6E-2</v>
      </c>
      <c r="N203" s="22">
        <v>114.78</v>
      </c>
      <c r="O203" s="25">
        <v>5.0999999999999997E-2</v>
      </c>
      <c r="P203" s="26">
        <v>2E-3</v>
      </c>
      <c r="Q203" s="93">
        <f t="shared" si="6"/>
        <v>99.575069688460815</v>
      </c>
      <c r="R203" s="93"/>
      <c r="S203" s="93">
        <f t="shared" si="5"/>
        <v>0.81595501035326601</v>
      </c>
      <c r="T203" s="93"/>
    </row>
    <row r="204" spans="1:20" ht="14.25" customHeight="1" x14ac:dyDescent="0.35">
      <c r="A204" s="1">
        <v>2024</v>
      </c>
      <c r="B204" s="1" t="s">
        <v>29</v>
      </c>
      <c r="C204" s="1">
        <v>20</v>
      </c>
      <c r="D204" s="12">
        <v>104.96899999999999</v>
      </c>
      <c r="E204" s="13">
        <v>89.75</v>
      </c>
      <c r="F204" s="21">
        <v>83.262</v>
      </c>
      <c r="G204" s="22">
        <v>1710.9079999999999</v>
      </c>
      <c r="H204" s="13">
        <v>6.9</v>
      </c>
      <c r="I204" s="23">
        <v>2.4E-2</v>
      </c>
      <c r="J204" s="13">
        <v>7.52</v>
      </c>
      <c r="K204" s="24">
        <v>29.61</v>
      </c>
      <c r="L204" s="13">
        <v>5.4560000000000004</v>
      </c>
      <c r="M204" s="23">
        <v>1.6E-2</v>
      </c>
      <c r="N204" s="22">
        <v>68.846999999999994</v>
      </c>
      <c r="O204" s="25">
        <v>0.05</v>
      </c>
      <c r="P204" s="26">
        <v>3.0000000000000001E-3</v>
      </c>
      <c r="Q204" s="93">
        <f t="shared" si="6"/>
        <v>100.47289260055217</v>
      </c>
      <c r="R204" s="93"/>
      <c r="S204" s="93">
        <f t="shared" si="5"/>
        <v>0.82331210390914222</v>
      </c>
      <c r="T204" s="93"/>
    </row>
    <row r="205" spans="1:20" ht="14.25" customHeight="1" x14ac:dyDescent="0.35">
      <c r="A205" s="1">
        <v>2024</v>
      </c>
      <c r="B205" s="1" t="s">
        <v>29</v>
      </c>
      <c r="C205" s="1">
        <v>21</v>
      </c>
      <c r="D205" s="12">
        <v>103.03100000000001</v>
      </c>
      <c r="E205" s="13">
        <v>88.313000000000002</v>
      </c>
      <c r="F205" s="21">
        <v>83.238</v>
      </c>
      <c r="G205" s="22">
        <v>1660.375</v>
      </c>
      <c r="H205" s="13">
        <v>6.9</v>
      </c>
      <c r="I205" s="23">
        <v>2.3E-2</v>
      </c>
      <c r="J205" s="13">
        <v>7.2439999999999998</v>
      </c>
      <c r="K205" s="24">
        <v>32.055999999999997</v>
      </c>
      <c r="L205" s="13">
        <v>5.4669999999999996</v>
      </c>
      <c r="M205" s="23">
        <v>1.6E-2</v>
      </c>
      <c r="N205" s="22">
        <v>67.2</v>
      </c>
      <c r="O205" s="25">
        <v>5.0999999999999997E-2</v>
      </c>
      <c r="P205" s="26">
        <v>1E-3</v>
      </c>
      <c r="Q205" s="93">
        <f t="shared" si="6"/>
        <v>98.617902404781333</v>
      </c>
      <c r="R205" s="93"/>
      <c r="S205" s="93">
        <f t="shared" si="5"/>
        <v>0.80811162703143635</v>
      </c>
      <c r="T205" s="93"/>
    </row>
    <row r="206" spans="1:20" ht="14.25" customHeight="1" x14ac:dyDescent="0.35">
      <c r="A206" s="1">
        <v>2024</v>
      </c>
      <c r="B206" s="1" t="s">
        <v>29</v>
      </c>
      <c r="C206" s="1">
        <v>22</v>
      </c>
      <c r="D206" s="12">
        <v>104.89100000000001</v>
      </c>
      <c r="E206" s="13">
        <v>89.968999999999994</v>
      </c>
      <c r="F206" s="21">
        <v>83.468000000000004</v>
      </c>
      <c r="G206" s="22">
        <v>1654.5419999999999</v>
      </c>
      <c r="H206" s="13">
        <v>6.9</v>
      </c>
      <c r="I206" s="23">
        <v>2.3E-2</v>
      </c>
      <c r="J206" s="13">
        <v>7.5430000000000001</v>
      </c>
      <c r="K206" s="24">
        <v>31.802</v>
      </c>
      <c r="L206" s="13">
        <v>5.4610000000000003</v>
      </c>
      <c r="M206" s="23">
        <v>1.6E-2</v>
      </c>
      <c r="N206" s="22">
        <v>68.055999999999997</v>
      </c>
      <c r="O206" s="25">
        <v>4.9000000000000002E-2</v>
      </c>
      <c r="P206" s="26">
        <v>2E-3</v>
      </c>
      <c r="Q206" s="93">
        <f t="shared" si="6"/>
        <v>100.39823355242518</v>
      </c>
      <c r="R206" s="93"/>
      <c r="S206" s="93">
        <f t="shared" si="5"/>
        <v>0.82270032001003957</v>
      </c>
      <c r="T206" s="93"/>
    </row>
    <row r="207" spans="1:20" ht="14.25" customHeight="1" x14ac:dyDescent="0.35">
      <c r="A207" s="1">
        <v>2024</v>
      </c>
      <c r="B207" s="1" t="s">
        <v>29</v>
      </c>
      <c r="C207" s="1">
        <v>23</v>
      </c>
      <c r="D207" s="12">
        <v>104.125</v>
      </c>
      <c r="E207" s="13">
        <v>89.25</v>
      </c>
      <c r="F207" s="21">
        <v>83.641000000000005</v>
      </c>
      <c r="G207" s="22">
        <v>1715.623</v>
      </c>
      <c r="H207" s="13">
        <v>6.9</v>
      </c>
      <c r="I207" s="23">
        <v>2.1999999999999999E-2</v>
      </c>
      <c r="J207" s="13">
        <v>7.59</v>
      </c>
      <c r="K207" s="24">
        <v>31.51</v>
      </c>
      <c r="L207" s="13">
        <v>5.4020000000000001</v>
      </c>
      <c r="M207" s="23">
        <v>1.7000000000000001E-2</v>
      </c>
      <c r="N207" s="22">
        <v>78.102999999999994</v>
      </c>
      <c r="O207" s="25">
        <v>5.7000000000000002E-2</v>
      </c>
      <c r="P207" s="26">
        <v>0.29199999999999998</v>
      </c>
      <c r="Q207" s="93">
        <f t="shared" si="6"/>
        <v>99.665043413126682</v>
      </c>
      <c r="R207" s="93"/>
      <c r="S207" s="93">
        <f t="shared" si="5"/>
        <v>0.81669228838551799</v>
      </c>
      <c r="T207" s="93"/>
    </row>
    <row r="208" spans="1:20" ht="14.25" customHeight="1" x14ac:dyDescent="0.35">
      <c r="A208" s="1">
        <v>2024</v>
      </c>
      <c r="B208" s="1" t="s">
        <v>29</v>
      </c>
      <c r="C208" s="1">
        <v>24</v>
      </c>
      <c r="D208" s="12">
        <v>95.078000000000003</v>
      </c>
      <c r="E208" s="13">
        <v>81.5</v>
      </c>
      <c r="F208" s="21">
        <v>83.801000000000002</v>
      </c>
      <c r="G208" s="22">
        <v>1739.8889999999999</v>
      </c>
      <c r="H208" s="13">
        <v>6.9</v>
      </c>
      <c r="I208" s="23">
        <v>2.1999999999999999E-2</v>
      </c>
      <c r="J208" s="13">
        <v>7.5529999999999999</v>
      </c>
      <c r="K208" s="24">
        <v>31.74</v>
      </c>
      <c r="L208" s="13">
        <v>5.4020000000000001</v>
      </c>
      <c r="M208" s="23">
        <v>1.7000000000000001E-2</v>
      </c>
      <c r="N208" s="22">
        <v>78.108000000000004</v>
      </c>
      <c r="O208" s="25">
        <v>6.2E-2</v>
      </c>
      <c r="P208" s="26">
        <v>0.53800000000000003</v>
      </c>
      <c r="Q208" s="93">
        <f t="shared" si="6"/>
        <v>91.00555099767837</v>
      </c>
      <c r="R208" s="93"/>
      <c r="S208" s="93">
        <f t="shared" si="5"/>
        <v>0.74573319947292471</v>
      </c>
      <c r="T208" s="93"/>
    </row>
    <row r="209" spans="1:20" ht="14.25" customHeight="1" x14ac:dyDescent="0.35">
      <c r="A209" s="1">
        <v>2024</v>
      </c>
      <c r="B209" s="1" t="s">
        <v>29</v>
      </c>
      <c r="C209" s="1">
        <v>25</v>
      </c>
      <c r="D209" s="12">
        <v>100.313</v>
      </c>
      <c r="E209" s="13">
        <v>86.031000000000006</v>
      </c>
      <c r="F209" s="21">
        <v>83.774000000000001</v>
      </c>
      <c r="G209" s="22">
        <v>1740.9760000000001</v>
      </c>
      <c r="H209" s="13">
        <v>6.9</v>
      </c>
      <c r="I209" s="23">
        <v>2.1999999999999999E-2</v>
      </c>
      <c r="J209" s="13">
        <v>7.508</v>
      </c>
      <c r="K209" s="24">
        <v>32.670999999999999</v>
      </c>
      <c r="L209" s="13">
        <v>5.4619999999999997</v>
      </c>
      <c r="M209" s="23">
        <v>1.7000000000000001E-2</v>
      </c>
      <c r="N209" s="22">
        <v>68.010000000000005</v>
      </c>
      <c r="O209" s="25">
        <v>5.8000000000000003E-2</v>
      </c>
      <c r="P209" s="26">
        <v>0.504</v>
      </c>
      <c r="Q209" s="93">
        <f t="shared" si="6"/>
        <v>96.01632172774049</v>
      </c>
      <c r="R209" s="93"/>
      <c r="S209" s="93">
        <f t="shared" si="5"/>
        <v>0.78679331116270323</v>
      </c>
      <c r="T209" s="93"/>
    </row>
    <row r="210" spans="1:20" ht="14.25" customHeight="1" x14ac:dyDescent="0.35">
      <c r="A210" s="1">
        <v>2024</v>
      </c>
      <c r="B210" s="1" t="s">
        <v>29</v>
      </c>
      <c r="C210" s="1">
        <v>26</v>
      </c>
      <c r="D210" s="12">
        <v>101.28100000000001</v>
      </c>
      <c r="E210" s="13">
        <v>86.906000000000006</v>
      </c>
      <c r="F210" s="21">
        <v>83.528999999999996</v>
      </c>
      <c r="G210" s="22">
        <v>1751.653</v>
      </c>
      <c r="H210" s="13">
        <v>6.9</v>
      </c>
      <c r="I210" s="23">
        <v>2.1000000000000001E-2</v>
      </c>
      <c r="J210" s="13">
        <v>7.5650000000000004</v>
      </c>
      <c r="K210" s="24">
        <v>30.343</v>
      </c>
      <c r="L210" s="13">
        <v>5.0510000000000002</v>
      </c>
      <c r="M210" s="23">
        <v>1.7000000000000001E-2</v>
      </c>
      <c r="N210" s="22">
        <v>201.62100000000001</v>
      </c>
      <c r="O210" s="25">
        <v>6.2E-2</v>
      </c>
      <c r="P210" s="26">
        <v>0.44900000000000001</v>
      </c>
      <c r="Q210" s="93">
        <f t="shared" si="6"/>
        <v>96.942859658342229</v>
      </c>
      <c r="R210" s="93"/>
      <c r="S210" s="93">
        <f t="shared" si="5"/>
        <v>0.79438570621823434</v>
      </c>
      <c r="T210" s="93"/>
    </row>
    <row r="211" spans="1:20" ht="14.25" customHeight="1" x14ac:dyDescent="0.35">
      <c r="A211" s="1">
        <v>2024</v>
      </c>
      <c r="B211" s="1" t="s">
        <v>29</v>
      </c>
      <c r="C211" s="1">
        <v>27</v>
      </c>
      <c r="D211" s="12">
        <v>101.922</v>
      </c>
      <c r="E211" s="13">
        <v>87.438000000000002</v>
      </c>
      <c r="F211" s="21">
        <v>83.438999999999993</v>
      </c>
      <c r="G211" s="22">
        <v>1716.4</v>
      </c>
      <c r="H211" s="13">
        <v>6.9</v>
      </c>
      <c r="I211" s="23">
        <v>2.1000000000000001E-2</v>
      </c>
      <c r="J211" s="13">
        <v>7.45</v>
      </c>
      <c r="K211" s="24">
        <v>28.655000000000001</v>
      </c>
      <c r="L211" s="13">
        <v>4.867</v>
      </c>
      <c r="M211" s="23">
        <v>1.7000000000000001E-2</v>
      </c>
      <c r="N211" s="22">
        <v>266.97500000000002</v>
      </c>
      <c r="O211" s="25">
        <v>5.6000000000000001E-2</v>
      </c>
      <c r="P211" s="26">
        <v>0.48699999999999999</v>
      </c>
      <c r="Q211" s="93">
        <f t="shared" si="6"/>
        <v>97.556403887180764</v>
      </c>
      <c r="R211" s="93"/>
      <c r="S211" s="93">
        <f t="shared" si="5"/>
        <v>0.7994133149275271</v>
      </c>
      <c r="T211" s="93"/>
    </row>
    <row r="212" spans="1:20" ht="14.25" customHeight="1" x14ac:dyDescent="0.35">
      <c r="A212" s="1">
        <v>2024</v>
      </c>
      <c r="B212" s="1" t="s">
        <v>29</v>
      </c>
      <c r="C212" s="1">
        <v>28</v>
      </c>
      <c r="D212" s="12">
        <v>100.313</v>
      </c>
      <c r="E212" s="13">
        <v>86.063000000000002</v>
      </c>
      <c r="F212" s="21">
        <v>83.206999999999994</v>
      </c>
      <c r="G212" s="22">
        <v>1666.0160000000001</v>
      </c>
      <c r="H212" s="13">
        <v>6.9</v>
      </c>
      <c r="I212" s="23">
        <v>2.1000000000000001E-2</v>
      </c>
      <c r="J212" s="13">
        <v>7.5090000000000003</v>
      </c>
      <c r="K212" s="24">
        <v>27.51</v>
      </c>
      <c r="L212" s="13">
        <v>4.8570000000000002</v>
      </c>
      <c r="M212" s="23">
        <v>1.7000000000000001E-2</v>
      </c>
      <c r="N212" s="22">
        <v>273.33199999999999</v>
      </c>
      <c r="O212" s="25">
        <v>5.6000000000000001E-2</v>
      </c>
      <c r="P212" s="26">
        <v>0.46700000000000003</v>
      </c>
      <c r="Q212" s="93">
        <f t="shared" si="6"/>
        <v>96.01632172774049</v>
      </c>
      <c r="R212" s="93"/>
      <c r="S212" s="93">
        <f t="shared" si="5"/>
        <v>0.78679331116270323</v>
      </c>
      <c r="T212" s="93"/>
    </row>
    <row r="213" spans="1:20" ht="14.25" customHeight="1" x14ac:dyDescent="0.35">
      <c r="A213" s="1">
        <v>2024</v>
      </c>
      <c r="B213" s="1" t="s">
        <v>29</v>
      </c>
      <c r="C213" s="1">
        <v>29</v>
      </c>
      <c r="D213" s="12">
        <v>96.953000000000003</v>
      </c>
      <c r="E213" s="13">
        <v>83.188000000000002</v>
      </c>
      <c r="F213" s="21">
        <v>83.15</v>
      </c>
      <c r="G213" s="22">
        <v>1641.825</v>
      </c>
      <c r="H213" s="13">
        <v>6.9</v>
      </c>
      <c r="I213" s="23">
        <v>2.1000000000000001E-2</v>
      </c>
      <c r="J213" s="13">
        <v>7.0990000000000002</v>
      </c>
      <c r="K213" s="24">
        <v>27.974</v>
      </c>
      <c r="L213" s="13">
        <v>4.8650000000000002</v>
      </c>
      <c r="M213" s="23">
        <v>1.7000000000000001E-2</v>
      </c>
      <c r="N213" s="22">
        <v>268.33699999999999</v>
      </c>
      <c r="O213" s="25">
        <v>5.5E-2</v>
      </c>
      <c r="P213" s="26">
        <v>0.41799999999999998</v>
      </c>
      <c r="Q213" s="93">
        <f t="shared" si="6"/>
        <v>92.80023965457741</v>
      </c>
      <c r="R213" s="93"/>
      <c r="S213" s="93">
        <f t="shared" si="5"/>
        <v>0.76043954320135543</v>
      </c>
      <c r="T213" s="93"/>
    </row>
    <row r="214" spans="1:20" ht="14.25" customHeight="1" x14ac:dyDescent="0.35">
      <c r="A214" s="1">
        <v>2024</v>
      </c>
      <c r="B214" s="1" t="s">
        <v>29</v>
      </c>
      <c r="C214" s="1">
        <v>30</v>
      </c>
      <c r="D214" s="12">
        <v>103.563</v>
      </c>
      <c r="E214" s="13">
        <v>88.843999999999994</v>
      </c>
      <c r="F214" s="21">
        <v>83.236999999999995</v>
      </c>
      <c r="G214" s="22">
        <v>1698.9580000000001</v>
      </c>
      <c r="H214" s="13">
        <v>6.9</v>
      </c>
      <c r="I214" s="23">
        <v>2.1000000000000001E-2</v>
      </c>
      <c r="J214" s="13">
        <v>6.7220000000000004</v>
      </c>
      <c r="K214" s="24">
        <v>27.36</v>
      </c>
      <c r="L214" s="13">
        <v>4.8339999999999996</v>
      </c>
      <c r="M214" s="23">
        <v>1.7000000000000001E-2</v>
      </c>
      <c r="N214" s="22">
        <v>287.47699999999998</v>
      </c>
      <c r="O214" s="25">
        <v>6.5000000000000002E-2</v>
      </c>
      <c r="P214" s="26">
        <v>0.35899999999999999</v>
      </c>
      <c r="Q214" s="93">
        <f t="shared" si="6"/>
        <v>99.127115399698823</v>
      </c>
      <c r="R214" s="93"/>
      <c r="S214" s="93">
        <f t="shared" si="5"/>
        <v>0.81228430695864973</v>
      </c>
      <c r="T214" s="93"/>
    </row>
    <row r="215" spans="1:20" ht="14.25" customHeight="1" x14ac:dyDescent="0.35">
      <c r="A215" s="1">
        <v>2024</v>
      </c>
      <c r="B215" s="1" t="s">
        <v>29</v>
      </c>
      <c r="C215" s="1">
        <v>31</v>
      </c>
      <c r="D215" s="34">
        <v>99.891000000000005</v>
      </c>
      <c r="E215" s="35">
        <v>85.75</v>
      </c>
      <c r="F215" s="36">
        <v>83.22</v>
      </c>
      <c r="G215" s="37">
        <v>1720.847</v>
      </c>
      <c r="H215" s="35">
        <v>6.9</v>
      </c>
      <c r="I215" s="38">
        <v>2.1000000000000001E-2</v>
      </c>
      <c r="J215" s="35">
        <v>6.7229999999999999</v>
      </c>
      <c r="K215" s="39">
        <v>27.600999999999999</v>
      </c>
      <c r="L215" s="35">
        <v>4.8280000000000003</v>
      </c>
      <c r="M215" s="38">
        <v>1.7000000000000001E-2</v>
      </c>
      <c r="N215" s="37">
        <v>291.88299999999998</v>
      </c>
      <c r="O215" s="40">
        <v>7.6999999999999999E-2</v>
      </c>
      <c r="P215" s="41">
        <v>0.37</v>
      </c>
      <c r="Q215" s="93">
        <f t="shared" si="6"/>
        <v>95.612397134027745</v>
      </c>
      <c r="R215" s="93"/>
      <c r="S215" s="93">
        <f t="shared" si="5"/>
        <v>0.78348340340089107</v>
      </c>
      <c r="T215" s="93"/>
    </row>
    <row r="216" spans="1:20" ht="14.25" customHeight="1" x14ac:dyDescent="0.35">
      <c r="A216" s="1">
        <v>2024</v>
      </c>
      <c r="B216" s="1" t="s">
        <v>30</v>
      </c>
      <c r="C216" s="1">
        <v>1</v>
      </c>
      <c r="D216" s="12">
        <v>99.796999999999997</v>
      </c>
      <c r="E216" s="13">
        <v>85.563000000000002</v>
      </c>
      <c r="F216" s="14">
        <v>83.144999999999996</v>
      </c>
      <c r="G216" s="15">
        <v>1730.548</v>
      </c>
      <c r="H216" s="16">
        <v>6.9080000000000004</v>
      </c>
      <c r="I216" s="17">
        <v>2.1000000000000001E-2</v>
      </c>
      <c r="J216" s="16">
        <v>6.8140000000000001</v>
      </c>
      <c r="K216" s="18">
        <v>27.2043</v>
      </c>
      <c r="L216" s="16">
        <v>5.1951999999999998</v>
      </c>
      <c r="M216" s="17">
        <v>1.7100000000000001E-2</v>
      </c>
      <c r="N216" s="15">
        <v>164.75829999999999</v>
      </c>
      <c r="O216" s="19">
        <v>6.7799999999999999E-2</v>
      </c>
      <c r="P216" s="20">
        <v>0.38500000000000001</v>
      </c>
      <c r="Q216" s="93">
        <f t="shared" si="6"/>
        <v>95.522423409361849</v>
      </c>
      <c r="R216" s="243">
        <f>N10+O10</f>
        <v>157.46199999999999</v>
      </c>
      <c r="S216" s="93">
        <f t="shared" si="5"/>
        <v>0.78274612536863897</v>
      </c>
      <c r="T216" s="93"/>
    </row>
    <row r="217" spans="1:20" ht="14.25" customHeight="1" x14ac:dyDescent="0.35">
      <c r="A217" s="1">
        <v>2024</v>
      </c>
      <c r="B217" s="1" t="s">
        <v>30</v>
      </c>
      <c r="C217" s="1">
        <v>2</v>
      </c>
      <c r="D217" s="12">
        <v>103.84399999999999</v>
      </c>
      <c r="E217" s="13">
        <v>89.063000000000002</v>
      </c>
      <c r="F217" s="21">
        <v>83</v>
      </c>
      <c r="G217" s="22">
        <v>1747.491</v>
      </c>
      <c r="H217" s="13">
        <v>6.9</v>
      </c>
      <c r="I217" s="23">
        <v>2.1000000000000001E-2</v>
      </c>
      <c r="J217" s="13">
        <v>6.6689999999999996</v>
      </c>
      <c r="K217" s="24">
        <v>27.789000000000001</v>
      </c>
      <c r="L217" s="13">
        <v>5.4349999999999996</v>
      </c>
      <c r="M217" s="23">
        <v>1.6E-2</v>
      </c>
      <c r="N217" s="22">
        <v>77.594999999999999</v>
      </c>
      <c r="O217" s="25">
        <v>6.5000000000000002E-2</v>
      </c>
      <c r="P217" s="26">
        <v>0.36399999999999999</v>
      </c>
      <c r="Q217" s="93">
        <f t="shared" si="6"/>
        <v>99.396079406412753</v>
      </c>
      <c r="R217" s="93"/>
      <c r="S217" s="93">
        <f t="shared" si="5"/>
        <v>0.81448829767208386</v>
      </c>
      <c r="T217" s="93"/>
    </row>
    <row r="218" spans="1:20" ht="14.25" customHeight="1" x14ac:dyDescent="0.35">
      <c r="A218" s="1">
        <v>2024</v>
      </c>
      <c r="B218" s="1" t="s">
        <v>30</v>
      </c>
      <c r="C218" s="1">
        <v>3</v>
      </c>
      <c r="D218" s="12">
        <v>104.23399999999999</v>
      </c>
      <c r="E218" s="13">
        <v>89.375</v>
      </c>
      <c r="F218" s="21">
        <v>83.849000000000004</v>
      </c>
      <c r="G218" s="22">
        <v>1703.2049999999999</v>
      </c>
      <c r="H218" s="13">
        <v>6.9</v>
      </c>
      <c r="I218" s="23">
        <v>2.1999999999999999E-2</v>
      </c>
      <c r="J218" s="13">
        <v>7.1189999999999998</v>
      </c>
      <c r="K218" s="24">
        <v>27.321000000000002</v>
      </c>
      <c r="L218" s="13">
        <v>5.4219999999999997</v>
      </c>
      <c r="M218" s="23">
        <v>1.4E-2</v>
      </c>
      <c r="N218" s="22">
        <v>74.373000000000005</v>
      </c>
      <c r="O218" s="25">
        <v>5.7000000000000002E-2</v>
      </c>
      <c r="P218" s="26">
        <v>0.38200000000000001</v>
      </c>
      <c r="Q218" s="93">
        <f t="shared" si="6"/>
        <v>99.769374647047741</v>
      </c>
      <c r="R218" s="93"/>
      <c r="S218" s="93">
        <f t="shared" si="5"/>
        <v>0.81754721716759737</v>
      </c>
      <c r="T218" s="93"/>
    </row>
    <row r="219" spans="1:20" ht="14.25" customHeight="1" x14ac:dyDescent="0.35">
      <c r="A219" s="1">
        <v>2024</v>
      </c>
      <c r="B219" s="1" t="s">
        <v>30</v>
      </c>
      <c r="C219" s="1">
        <v>4</v>
      </c>
      <c r="D219" s="12">
        <v>97.156000000000006</v>
      </c>
      <c r="E219" s="13">
        <v>83.406000000000006</v>
      </c>
      <c r="F219" s="21">
        <v>83.706999999999994</v>
      </c>
      <c r="G219" s="22">
        <v>1633.913</v>
      </c>
      <c r="H219" s="13">
        <v>6.9</v>
      </c>
      <c r="I219" s="23">
        <v>0.02</v>
      </c>
      <c r="J219" s="13">
        <v>7.3639999999999999</v>
      </c>
      <c r="K219" s="24">
        <v>26.873999999999999</v>
      </c>
      <c r="L219" s="13">
        <v>5.4269999999999996</v>
      </c>
      <c r="M219" s="23">
        <v>1.4E-2</v>
      </c>
      <c r="N219" s="22">
        <v>73.524000000000001</v>
      </c>
      <c r="O219" s="25">
        <v>5.6000000000000001E-2</v>
      </c>
      <c r="P219" s="26">
        <v>0.34300000000000003</v>
      </c>
      <c r="Q219" s="93">
        <f t="shared" si="6"/>
        <v>92.994544613164337</v>
      </c>
      <c r="R219" s="93"/>
      <c r="S219" s="93">
        <f t="shared" si="5"/>
        <v>0.76203175001568679</v>
      </c>
      <c r="T219" s="93"/>
    </row>
    <row r="220" spans="1:20" ht="14.25" customHeight="1" x14ac:dyDescent="0.35">
      <c r="A220" s="1">
        <v>2024</v>
      </c>
      <c r="B220" s="1" t="s">
        <v>30</v>
      </c>
      <c r="C220" s="1">
        <v>5</v>
      </c>
      <c r="D220" s="12">
        <v>103.703</v>
      </c>
      <c r="E220" s="13">
        <v>88.875</v>
      </c>
      <c r="F220" s="21">
        <v>83.837999999999994</v>
      </c>
      <c r="G220" s="22">
        <v>1627.915</v>
      </c>
      <c r="H220" s="13">
        <v>6.9</v>
      </c>
      <c r="I220" s="23">
        <v>2.1000000000000001E-2</v>
      </c>
      <c r="J220" s="13">
        <v>7.4029999999999996</v>
      </c>
      <c r="K220" s="24">
        <v>27.007000000000001</v>
      </c>
      <c r="L220" s="13">
        <v>5.4269999999999996</v>
      </c>
      <c r="M220" s="23">
        <v>1.4E-2</v>
      </c>
      <c r="N220" s="22">
        <v>73.534000000000006</v>
      </c>
      <c r="O220" s="25">
        <v>5.8000000000000003E-2</v>
      </c>
      <c r="P220" s="26">
        <v>0.33600000000000002</v>
      </c>
      <c r="Q220" s="93">
        <f t="shared" si="6"/>
        <v>99.261118819413952</v>
      </c>
      <c r="R220" s="93"/>
      <c r="S220" s="93">
        <f t="shared" si="5"/>
        <v>0.81338238062370594</v>
      </c>
      <c r="T220" s="93"/>
    </row>
    <row r="221" spans="1:20" ht="14.25" customHeight="1" x14ac:dyDescent="0.35">
      <c r="A221" s="1">
        <v>2024</v>
      </c>
      <c r="B221" s="1" t="s">
        <v>30</v>
      </c>
      <c r="C221" s="1">
        <v>6</v>
      </c>
      <c r="D221" s="12">
        <v>99.983999999999995</v>
      </c>
      <c r="E221" s="13">
        <v>85.718999999999994</v>
      </c>
      <c r="F221" s="21">
        <v>83.903000000000006</v>
      </c>
      <c r="G221" s="22">
        <v>1683.0450000000001</v>
      </c>
      <c r="H221" s="13">
        <v>6.9</v>
      </c>
      <c r="I221" s="23">
        <v>2.1000000000000001E-2</v>
      </c>
      <c r="J221" s="13">
        <v>7.52</v>
      </c>
      <c r="K221" s="24">
        <v>28.387</v>
      </c>
      <c r="L221" s="13">
        <v>5.4379999999999997</v>
      </c>
      <c r="M221" s="23">
        <v>1.4E-2</v>
      </c>
      <c r="N221" s="22">
        <v>71.656000000000006</v>
      </c>
      <c r="O221" s="25">
        <v>5.5E-2</v>
      </c>
      <c r="P221" s="26">
        <v>0.35799999999999998</v>
      </c>
      <c r="Q221" s="93">
        <f t="shared" si="6"/>
        <v>95.701413691409911</v>
      </c>
      <c r="R221" s="93"/>
      <c r="S221" s="93">
        <f t="shared" si="5"/>
        <v>0.78421283804982111</v>
      </c>
      <c r="T221" s="93"/>
    </row>
    <row r="222" spans="1:20" ht="14.25" customHeight="1" x14ac:dyDescent="0.35">
      <c r="A222" s="1">
        <v>2024</v>
      </c>
      <c r="B222" s="1" t="s">
        <v>30</v>
      </c>
      <c r="C222" s="1">
        <v>7</v>
      </c>
      <c r="D222" s="12">
        <v>104.578</v>
      </c>
      <c r="E222" s="13">
        <v>89.563000000000002</v>
      </c>
      <c r="F222" s="21">
        <v>84.061000000000007</v>
      </c>
      <c r="G222" s="22">
        <v>1704.9929999999999</v>
      </c>
      <c r="H222" s="13">
        <v>6.9</v>
      </c>
      <c r="I222" s="23">
        <v>2.1000000000000001E-2</v>
      </c>
      <c r="J222" s="13">
        <v>7.5110000000000001</v>
      </c>
      <c r="K222" s="24">
        <v>27.608000000000001</v>
      </c>
      <c r="L222" s="13">
        <v>5.4169999999999998</v>
      </c>
      <c r="M222" s="23">
        <v>1.7000000000000001E-2</v>
      </c>
      <c r="N222" s="22">
        <v>75.293999999999997</v>
      </c>
      <c r="O222" s="25">
        <v>5.8000000000000003E-2</v>
      </c>
      <c r="P222" s="26">
        <v>0.35399999999999998</v>
      </c>
      <c r="Q222" s="93">
        <f t="shared" si="6"/>
        <v>100.0986401926335</v>
      </c>
      <c r="R222" s="93"/>
      <c r="S222" s="93">
        <f t="shared" si="5"/>
        <v>0.82024534103030688</v>
      </c>
      <c r="T222" s="93"/>
    </row>
    <row r="223" spans="1:20" ht="14.25" customHeight="1" x14ac:dyDescent="0.35">
      <c r="A223" s="1">
        <v>2024</v>
      </c>
      <c r="B223" s="1" t="s">
        <v>30</v>
      </c>
      <c r="C223" s="1">
        <v>8</v>
      </c>
      <c r="D223" s="12">
        <v>103.89100000000001</v>
      </c>
      <c r="E223" s="13">
        <v>89.063000000000002</v>
      </c>
      <c r="F223" s="21">
        <v>83.855999999999995</v>
      </c>
      <c r="G223" s="22">
        <v>1684.7080000000001</v>
      </c>
      <c r="H223" s="13">
        <v>6.9</v>
      </c>
      <c r="I223" s="23">
        <v>2.1000000000000001E-2</v>
      </c>
      <c r="J223" s="13">
        <v>7.7140000000000004</v>
      </c>
      <c r="K223" s="24">
        <v>27.821000000000002</v>
      </c>
      <c r="L223" s="13">
        <v>5.431</v>
      </c>
      <c r="M223" s="23">
        <v>1.4999999999999999E-2</v>
      </c>
      <c r="N223" s="22">
        <v>72.935000000000002</v>
      </c>
      <c r="O223" s="25">
        <v>5.8999999999999997E-2</v>
      </c>
      <c r="P223" s="26">
        <v>0.39900000000000002</v>
      </c>
      <c r="Q223" s="93">
        <f t="shared" si="6"/>
        <v>99.441066268745701</v>
      </c>
      <c r="R223" s="93"/>
      <c r="S223" s="93">
        <f t="shared" si="5"/>
        <v>0.81485693668820991</v>
      </c>
      <c r="T223" s="93"/>
    </row>
    <row r="224" spans="1:20" ht="14.25" customHeight="1" x14ac:dyDescent="0.35">
      <c r="A224" s="1">
        <v>2024</v>
      </c>
      <c r="B224" s="1" t="s">
        <v>30</v>
      </c>
      <c r="C224" s="1">
        <v>9</v>
      </c>
      <c r="D224" s="12">
        <v>104.922</v>
      </c>
      <c r="E224" s="13">
        <v>89.968999999999994</v>
      </c>
      <c r="F224" s="21">
        <v>83.808999999999997</v>
      </c>
      <c r="G224" s="22">
        <v>1676.7560000000001</v>
      </c>
      <c r="H224" s="13">
        <v>6.9</v>
      </c>
      <c r="I224" s="23">
        <v>2.1000000000000001E-2</v>
      </c>
      <c r="J224" s="13">
        <v>7.32</v>
      </c>
      <c r="K224" s="24">
        <v>28.832000000000001</v>
      </c>
      <c r="L224" s="13">
        <v>5.375</v>
      </c>
      <c r="M224" s="23">
        <v>1.4E-2</v>
      </c>
      <c r="N224" s="22">
        <v>83.373999999999995</v>
      </c>
      <c r="O224" s="25">
        <v>5.5E-2</v>
      </c>
      <c r="P224" s="26">
        <v>0.17100000000000001</v>
      </c>
      <c r="Q224" s="93">
        <f t="shared" si="6"/>
        <v>100.42790573821924</v>
      </c>
      <c r="R224" s="93"/>
      <c r="S224" s="93">
        <f t="shared" si="5"/>
        <v>0.82294346489301629</v>
      </c>
      <c r="T224" s="93"/>
    </row>
    <row r="225" spans="1:20" ht="14.25" customHeight="1" x14ac:dyDescent="0.35">
      <c r="A225" s="1">
        <v>2024</v>
      </c>
      <c r="B225" s="1" t="s">
        <v>30</v>
      </c>
      <c r="C225" s="1">
        <v>10</v>
      </c>
      <c r="D225" s="12">
        <v>106.84399999999999</v>
      </c>
      <c r="E225" s="13">
        <v>91.563000000000002</v>
      </c>
      <c r="F225" s="27">
        <v>83.93</v>
      </c>
      <c r="G225" s="22">
        <v>1619.9770000000001</v>
      </c>
      <c r="H225" s="13">
        <v>6.9</v>
      </c>
      <c r="I225" s="23">
        <v>2.1999999999999999E-2</v>
      </c>
      <c r="J225" s="28">
        <v>7.3719999999999999</v>
      </c>
      <c r="K225" s="24">
        <v>28.079000000000001</v>
      </c>
      <c r="L225" s="13">
        <v>5.3490000000000002</v>
      </c>
      <c r="M225" s="29">
        <v>1.4E-2</v>
      </c>
      <c r="N225" s="22">
        <v>88.116</v>
      </c>
      <c r="O225" s="30">
        <v>5.1999999999999998E-2</v>
      </c>
      <c r="P225" s="31">
        <v>0.14799999999999999</v>
      </c>
      <c r="Q225" s="93">
        <f t="shared" si="6"/>
        <v>102.26758125745121</v>
      </c>
      <c r="R225" s="93"/>
      <c r="S225" s="93">
        <f t="shared" si="5"/>
        <v>0.83801844763757294</v>
      </c>
      <c r="T225" s="93"/>
    </row>
    <row r="226" spans="1:20" ht="14.25" customHeight="1" x14ac:dyDescent="0.35">
      <c r="A226" s="1">
        <v>2024</v>
      </c>
      <c r="B226" s="1" t="s">
        <v>30</v>
      </c>
      <c r="C226" s="1">
        <v>11</v>
      </c>
      <c r="D226" s="12">
        <v>108.875</v>
      </c>
      <c r="E226" s="13">
        <v>93.218999999999994</v>
      </c>
      <c r="F226" s="27">
        <v>84.146000000000001</v>
      </c>
      <c r="G226" s="22">
        <v>1557.9190000000001</v>
      </c>
      <c r="H226" s="13">
        <v>6.9</v>
      </c>
      <c r="I226" s="23">
        <v>2.4E-2</v>
      </c>
      <c r="J226" s="28">
        <v>7.3920000000000003</v>
      </c>
      <c r="K226" s="24">
        <v>27.532</v>
      </c>
      <c r="L226" s="13">
        <v>5.3879999999999999</v>
      </c>
      <c r="M226" s="29">
        <v>1.4E-2</v>
      </c>
      <c r="N226" s="22">
        <v>80.683999999999997</v>
      </c>
      <c r="O226" s="30">
        <v>4.3999999999999997E-2</v>
      </c>
      <c r="P226" s="31">
        <v>0.183</v>
      </c>
      <c r="Q226" s="93">
        <f t="shared" si="6"/>
        <v>104.21158801060425</v>
      </c>
      <c r="R226" s="93"/>
      <c r="S226" s="93">
        <f t="shared" si="5"/>
        <v>0.85394835916420908</v>
      </c>
      <c r="T226" s="93"/>
    </row>
    <row r="227" spans="1:20" ht="14.25" customHeight="1" x14ac:dyDescent="0.35">
      <c r="A227" s="1">
        <v>2024</v>
      </c>
      <c r="B227" s="1" t="s">
        <v>30</v>
      </c>
      <c r="C227" s="1">
        <v>12</v>
      </c>
      <c r="D227" s="12">
        <v>110.96899999999999</v>
      </c>
      <c r="E227" s="13">
        <v>95.031000000000006</v>
      </c>
      <c r="F227" s="27">
        <v>84.090999999999994</v>
      </c>
      <c r="G227" s="22">
        <v>1534.1479999999999</v>
      </c>
      <c r="H227" s="13">
        <v>6.9</v>
      </c>
      <c r="I227" s="23">
        <v>2.4E-2</v>
      </c>
      <c r="J227" s="28">
        <v>7.452</v>
      </c>
      <c r="K227" s="24">
        <v>26.446999999999999</v>
      </c>
      <c r="L227" s="13">
        <v>5.4169999999999998</v>
      </c>
      <c r="M227" s="29">
        <v>1.4E-2</v>
      </c>
      <c r="N227" s="22">
        <v>75.39</v>
      </c>
      <c r="O227" s="30">
        <v>4.8000000000000001E-2</v>
      </c>
      <c r="P227" s="31">
        <v>0.17399999999999999</v>
      </c>
      <c r="Q227" s="93">
        <f t="shared" si="6"/>
        <v>106.2158963026291</v>
      </c>
      <c r="R227" s="93"/>
      <c r="S227" s="93">
        <f t="shared" si="5"/>
        <v>0.87037240384012049</v>
      </c>
      <c r="T227" s="93"/>
    </row>
    <row r="228" spans="1:20" ht="14.25" customHeight="1" x14ac:dyDescent="0.35">
      <c r="A228" s="1">
        <v>2024</v>
      </c>
      <c r="B228" s="1" t="s">
        <v>30</v>
      </c>
      <c r="C228" s="1">
        <v>13</v>
      </c>
      <c r="D228" s="12">
        <v>111.03100000000001</v>
      </c>
      <c r="E228" s="13">
        <v>95</v>
      </c>
      <c r="F228" s="27">
        <v>84.073999999999998</v>
      </c>
      <c r="G228" s="22">
        <v>1588.085</v>
      </c>
      <c r="H228" s="13">
        <v>6.9</v>
      </c>
      <c r="I228" s="23">
        <v>2.3E-2</v>
      </c>
      <c r="J228" s="28">
        <v>7.718</v>
      </c>
      <c r="K228" s="24">
        <v>26.850999999999999</v>
      </c>
      <c r="L228" s="13">
        <v>5.4089999999999998</v>
      </c>
      <c r="M228" s="23">
        <v>1.4E-2</v>
      </c>
      <c r="N228" s="22">
        <v>76.88</v>
      </c>
      <c r="O228" s="30">
        <v>5.8000000000000003E-2</v>
      </c>
      <c r="P228" s="31">
        <v>0.19400000000000001</v>
      </c>
      <c r="Q228" s="93">
        <f t="shared" si="6"/>
        <v>106.27524067421724</v>
      </c>
      <c r="R228" s="93"/>
      <c r="S228" s="93">
        <f t="shared" si="5"/>
        <v>0.87085869360607404</v>
      </c>
      <c r="T228" s="93"/>
    </row>
    <row r="229" spans="1:20" ht="14.25" customHeight="1" x14ac:dyDescent="0.35">
      <c r="A229" s="1">
        <v>2024</v>
      </c>
      <c r="B229" s="1" t="s">
        <v>30</v>
      </c>
      <c r="C229" s="1">
        <v>14</v>
      </c>
      <c r="D229" s="12">
        <v>111.09399999999999</v>
      </c>
      <c r="E229" s="13">
        <v>94.968999999999994</v>
      </c>
      <c r="F229" s="21">
        <v>84.203000000000003</v>
      </c>
      <c r="G229" s="22">
        <v>1674.7159999999999</v>
      </c>
      <c r="H229" s="13">
        <v>6.9</v>
      </c>
      <c r="I229" s="23">
        <v>2.4E-2</v>
      </c>
      <c r="J229" s="28">
        <v>7.83</v>
      </c>
      <c r="K229" s="33">
        <v>28.922999999999998</v>
      </c>
      <c r="L229" s="13">
        <v>5.3869999999999996</v>
      </c>
      <c r="M229" s="23">
        <v>1.4E-2</v>
      </c>
      <c r="N229" s="22">
        <v>80.686000000000007</v>
      </c>
      <c r="O229" s="30">
        <v>5.8999999999999997E-2</v>
      </c>
      <c r="P229" s="31">
        <v>0.191</v>
      </c>
      <c r="Q229" s="93">
        <f t="shared" si="6"/>
        <v>106.33554221308904</v>
      </c>
      <c r="R229" s="93"/>
      <c r="S229" s="93">
        <f t="shared" si="5"/>
        <v>0.8713528267553492</v>
      </c>
      <c r="T229" s="93"/>
    </row>
    <row r="230" spans="1:20" ht="14.25" customHeight="1" x14ac:dyDescent="0.35">
      <c r="A230" s="1">
        <v>2024</v>
      </c>
      <c r="B230" s="1" t="s">
        <v>30</v>
      </c>
      <c r="C230" s="1">
        <v>15</v>
      </c>
      <c r="D230" s="12">
        <v>110.59399999999999</v>
      </c>
      <c r="E230" s="13">
        <v>94.531000000000006</v>
      </c>
      <c r="F230" s="21">
        <v>84.340999999999994</v>
      </c>
      <c r="G230" s="22">
        <v>1650.836</v>
      </c>
      <c r="H230" s="13">
        <v>6.9</v>
      </c>
      <c r="I230" s="23">
        <v>2.5999999999999999E-2</v>
      </c>
      <c r="J230" s="28">
        <v>7.335</v>
      </c>
      <c r="K230" s="24">
        <v>27.81</v>
      </c>
      <c r="L230" s="13">
        <v>5.3620000000000001</v>
      </c>
      <c r="M230" s="23">
        <v>1.4E-2</v>
      </c>
      <c r="N230" s="22">
        <v>85.433999999999997</v>
      </c>
      <c r="O230" s="30">
        <v>5.7000000000000002E-2</v>
      </c>
      <c r="P230" s="31">
        <v>0.17299999999999999</v>
      </c>
      <c r="Q230" s="93">
        <f t="shared" si="6"/>
        <v>105.85695857124929</v>
      </c>
      <c r="R230" s="93"/>
      <c r="S230" s="93">
        <f t="shared" si="5"/>
        <v>0.86743113509443437</v>
      </c>
      <c r="T230" s="93"/>
    </row>
    <row r="231" spans="1:20" ht="14.25" customHeight="1" x14ac:dyDescent="0.35">
      <c r="A231" s="1">
        <v>2024</v>
      </c>
      <c r="B231" s="1" t="s">
        <v>30</v>
      </c>
      <c r="C231" s="1">
        <v>16</v>
      </c>
      <c r="D231" s="12">
        <v>111.09399999999999</v>
      </c>
      <c r="E231" s="13">
        <v>95</v>
      </c>
      <c r="F231" s="21">
        <v>84.325000000000003</v>
      </c>
      <c r="G231" s="22">
        <v>1647.924</v>
      </c>
      <c r="H231" s="13">
        <v>6.9</v>
      </c>
      <c r="I231" s="23">
        <v>2.4E-2</v>
      </c>
      <c r="J231" s="28">
        <v>7.3</v>
      </c>
      <c r="K231" s="24">
        <v>27.215</v>
      </c>
      <c r="L231" s="13">
        <v>5.4539999999999997</v>
      </c>
      <c r="M231" s="23">
        <v>1.4E-2</v>
      </c>
      <c r="N231" s="22">
        <v>70.347999999999999</v>
      </c>
      <c r="O231" s="30">
        <v>6.3E-2</v>
      </c>
      <c r="P231" s="31">
        <v>0.11700000000000001</v>
      </c>
      <c r="Q231" s="93">
        <f t="shared" si="6"/>
        <v>106.33554221308904</v>
      </c>
      <c r="R231" s="93"/>
      <c r="S231" s="93">
        <f t="shared" si="5"/>
        <v>0.8713528267553492</v>
      </c>
      <c r="T231" s="93"/>
    </row>
    <row r="232" spans="1:20" ht="14.25" customHeight="1" x14ac:dyDescent="0.35">
      <c r="A232" s="1">
        <v>2024</v>
      </c>
      <c r="B232" s="1" t="s">
        <v>30</v>
      </c>
      <c r="C232" s="1">
        <v>17</v>
      </c>
      <c r="D232" s="12">
        <v>115.03100000000001</v>
      </c>
      <c r="E232" s="13">
        <v>98.281000000000006</v>
      </c>
      <c r="F232" s="21">
        <v>84.183000000000007</v>
      </c>
      <c r="G232" s="22">
        <v>1616.03</v>
      </c>
      <c r="H232" s="13">
        <v>6.9</v>
      </c>
      <c r="I232" s="23">
        <v>2.3E-2</v>
      </c>
      <c r="J232" s="13">
        <v>7.7249999999999996</v>
      </c>
      <c r="K232" s="24">
        <v>26.872</v>
      </c>
      <c r="L232" s="13">
        <v>5.5129999999999999</v>
      </c>
      <c r="M232" s="23">
        <v>1.4E-2</v>
      </c>
      <c r="N232" s="22">
        <v>60.412999999999997</v>
      </c>
      <c r="O232" s="25">
        <v>0.06</v>
      </c>
      <c r="P232" s="26">
        <v>7.9000000000000001E-2</v>
      </c>
      <c r="Q232" s="93">
        <f t="shared" si="6"/>
        <v>110.10390980893519</v>
      </c>
      <c r="R232" s="93"/>
      <c r="S232" s="93">
        <f t="shared" si="5"/>
        <v>0.90223222689339277</v>
      </c>
      <c r="T232" s="93"/>
    </row>
    <row r="233" spans="1:20" ht="14.25" customHeight="1" x14ac:dyDescent="0.35">
      <c r="A233" s="1">
        <v>2024</v>
      </c>
      <c r="B233" s="1" t="s">
        <v>30</v>
      </c>
      <c r="C233" s="1">
        <v>18</v>
      </c>
      <c r="D233" s="12">
        <v>115.25</v>
      </c>
      <c r="E233" s="13">
        <v>98.563000000000002</v>
      </c>
      <c r="F233" s="21">
        <v>84.36</v>
      </c>
      <c r="G233" s="22">
        <v>1581.491</v>
      </c>
      <c r="H233" s="13">
        <v>6.9</v>
      </c>
      <c r="I233" s="23">
        <v>2.4E-2</v>
      </c>
      <c r="J233" s="13">
        <v>7.6669999999999998</v>
      </c>
      <c r="K233" s="24">
        <v>26.689</v>
      </c>
      <c r="L233" s="13">
        <v>5.5309999999999997</v>
      </c>
      <c r="M233" s="23">
        <v>1.4E-2</v>
      </c>
      <c r="N233" s="22">
        <v>57.957999999999998</v>
      </c>
      <c r="O233" s="25">
        <v>5.0999999999999997E-2</v>
      </c>
      <c r="P233" s="26">
        <v>8.3000000000000004E-2</v>
      </c>
      <c r="Q233" s="93">
        <f t="shared" si="6"/>
        <v>110.31352944406099</v>
      </c>
      <c r="R233" s="93"/>
      <c r="S233" s="93">
        <f t="shared" si="5"/>
        <v>0.90394992784087347</v>
      </c>
      <c r="T233" s="93"/>
    </row>
    <row r="234" spans="1:20" ht="14.25" customHeight="1" x14ac:dyDescent="0.35">
      <c r="A234" s="1">
        <v>2024</v>
      </c>
      <c r="B234" s="1" t="s">
        <v>30</v>
      </c>
      <c r="C234" s="1">
        <v>19</v>
      </c>
      <c r="D234" s="12">
        <v>114.25</v>
      </c>
      <c r="E234" s="13">
        <v>97.718999999999994</v>
      </c>
      <c r="F234" s="21">
        <v>84.52</v>
      </c>
      <c r="G234" s="22">
        <v>1575.123</v>
      </c>
      <c r="H234" s="13">
        <v>6.9</v>
      </c>
      <c r="I234" s="23">
        <v>2.4E-2</v>
      </c>
      <c r="J234" s="13">
        <v>7.843</v>
      </c>
      <c r="K234" s="24">
        <v>26.367000000000001</v>
      </c>
      <c r="L234" s="13">
        <v>5.5229999999999997</v>
      </c>
      <c r="M234" s="23">
        <v>1.4E-2</v>
      </c>
      <c r="N234" s="22">
        <v>58.99</v>
      </c>
      <c r="O234" s="25">
        <v>5.2999999999999999E-2</v>
      </c>
      <c r="P234" s="26">
        <v>8.2000000000000003E-2</v>
      </c>
      <c r="Q234" s="93">
        <f t="shared" si="6"/>
        <v>109.35636216038151</v>
      </c>
      <c r="R234" s="93"/>
      <c r="S234" s="93">
        <f t="shared" si="5"/>
        <v>0.89610654451904381</v>
      </c>
      <c r="T234" s="93"/>
    </row>
    <row r="235" spans="1:20" ht="14.25" customHeight="1" x14ac:dyDescent="0.35">
      <c r="A235" s="1">
        <v>2024</v>
      </c>
      <c r="B235" s="1" t="s">
        <v>30</v>
      </c>
      <c r="C235" s="1">
        <v>20</v>
      </c>
      <c r="D235" s="12">
        <v>90.233999999999995</v>
      </c>
      <c r="E235" s="13">
        <v>77.031000000000006</v>
      </c>
      <c r="F235" s="21">
        <v>84.74</v>
      </c>
      <c r="G235" s="22">
        <v>1624.492</v>
      </c>
      <c r="H235" s="13">
        <v>6.8879999999999999</v>
      </c>
      <c r="I235" s="23">
        <v>7.2999999999999995E-2</v>
      </c>
      <c r="J235" s="13">
        <v>6.9050000000000002</v>
      </c>
      <c r="K235" s="24">
        <v>33.500999999999998</v>
      </c>
      <c r="L235" s="13">
        <v>5.5460000000000003</v>
      </c>
      <c r="M235" s="23">
        <v>7.3999999999999996E-2</v>
      </c>
      <c r="N235" s="22">
        <v>57.573</v>
      </c>
      <c r="O235" s="25">
        <v>7.0000000000000007E-2</v>
      </c>
      <c r="P235" s="26">
        <v>7.5999999999999998E-2</v>
      </c>
      <c r="Q235" s="93">
        <f t="shared" si="6"/>
        <v>86.36903267553491</v>
      </c>
      <c r="R235" s="93"/>
      <c r="S235" s="93">
        <f t="shared" si="5"/>
        <v>0.70773985066198153</v>
      </c>
      <c r="T235" s="93"/>
    </row>
    <row r="236" spans="1:20" ht="14.25" customHeight="1" x14ac:dyDescent="0.35">
      <c r="A236" s="1">
        <v>2024</v>
      </c>
      <c r="B236" s="1" t="s">
        <v>30</v>
      </c>
      <c r="C236" s="1">
        <v>21</v>
      </c>
      <c r="D236" s="12">
        <v>115.14100000000001</v>
      </c>
      <c r="E236" s="13">
        <v>98.531000000000006</v>
      </c>
      <c r="F236" s="21">
        <v>84.805000000000007</v>
      </c>
      <c r="G236" s="22">
        <v>1649.0319999999999</v>
      </c>
      <c r="H236" s="13">
        <v>6.9</v>
      </c>
      <c r="I236" s="23">
        <v>2.3E-2</v>
      </c>
      <c r="J236" s="13">
        <v>7.6310000000000002</v>
      </c>
      <c r="K236" s="24">
        <v>29.099</v>
      </c>
      <c r="L236" s="13">
        <v>5.4859999999999998</v>
      </c>
      <c r="M236" s="23">
        <v>1.4E-2</v>
      </c>
      <c r="N236" s="22">
        <v>64.233000000000004</v>
      </c>
      <c r="O236" s="25">
        <v>5.8000000000000003E-2</v>
      </c>
      <c r="P236" s="26">
        <v>8.2000000000000003E-2</v>
      </c>
      <c r="Q236" s="93">
        <f t="shared" si="6"/>
        <v>110.20919821013993</v>
      </c>
      <c r="R236" s="93"/>
      <c r="S236" s="93">
        <f t="shared" si="5"/>
        <v>0.90309499905879409</v>
      </c>
      <c r="T236" s="93"/>
    </row>
    <row r="237" spans="1:20" ht="14.25" customHeight="1" x14ac:dyDescent="0.35">
      <c r="A237" s="1">
        <v>2024</v>
      </c>
      <c r="B237" s="1" t="s">
        <v>30</v>
      </c>
      <c r="C237" s="1">
        <v>22</v>
      </c>
      <c r="D237" s="12">
        <v>111.01600000000001</v>
      </c>
      <c r="E237" s="13">
        <v>95</v>
      </c>
      <c r="F237" s="21">
        <v>84.552999999999997</v>
      </c>
      <c r="G237" s="22">
        <v>1657.568</v>
      </c>
      <c r="H237" s="13">
        <v>6.9</v>
      </c>
      <c r="I237" s="23">
        <v>2.3E-2</v>
      </c>
      <c r="J237" s="13">
        <v>7.8239999999999998</v>
      </c>
      <c r="K237" s="24">
        <v>27.693000000000001</v>
      </c>
      <c r="L237" s="13">
        <v>5.4649999999999999</v>
      </c>
      <c r="M237" s="23">
        <v>1.4E-2</v>
      </c>
      <c r="N237" s="22">
        <v>67.509</v>
      </c>
      <c r="O237" s="25">
        <v>5.5E-2</v>
      </c>
      <c r="P237" s="26">
        <v>8.2000000000000003E-2</v>
      </c>
      <c r="Q237" s="93">
        <f t="shared" si="6"/>
        <v>106.26088316496204</v>
      </c>
      <c r="R237" s="93"/>
      <c r="S237" s="93">
        <f t="shared" si="5"/>
        <v>0.87074104285624654</v>
      </c>
      <c r="T237" s="93"/>
    </row>
    <row r="238" spans="1:20" ht="14.25" customHeight="1" x14ac:dyDescent="0.35">
      <c r="A238" s="1">
        <v>2024</v>
      </c>
      <c r="B238" s="1" t="s">
        <v>30</v>
      </c>
      <c r="C238" s="1">
        <v>23</v>
      </c>
      <c r="D238" s="12">
        <v>108.03100000000001</v>
      </c>
      <c r="E238" s="13">
        <v>92.375</v>
      </c>
      <c r="F238" s="21">
        <v>84.242999999999995</v>
      </c>
      <c r="G238" s="22">
        <v>1674.0920000000001</v>
      </c>
      <c r="H238" s="13">
        <v>6.9</v>
      </c>
      <c r="I238" s="23">
        <v>2.1999999999999999E-2</v>
      </c>
      <c r="J238" s="13">
        <v>7.7779999999999996</v>
      </c>
      <c r="K238" s="24">
        <v>27.527999999999999</v>
      </c>
      <c r="L238" s="13">
        <v>5.2720000000000002</v>
      </c>
      <c r="M238" s="23">
        <v>1.4E-2</v>
      </c>
      <c r="N238" s="22">
        <v>111.89400000000001</v>
      </c>
      <c r="O238" s="25">
        <v>5.8000000000000003E-2</v>
      </c>
      <c r="P238" s="26">
        <v>5.8000000000000003E-2</v>
      </c>
      <c r="Q238" s="93">
        <f t="shared" si="6"/>
        <v>103.40373882317877</v>
      </c>
      <c r="R238" s="93"/>
      <c r="S238" s="93">
        <f t="shared" si="5"/>
        <v>0.84732854364058485</v>
      </c>
      <c r="T238" s="93"/>
    </row>
    <row r="239" spans="1:20" ht="14.25" customHeight="1" x14ac:dyDescent="0.35">
      <c r="A239" s="1">
        <v>2024</v>
      </c>
      <c r="B239" s="1" t="s">
        <v>30</v>
      </c>
      <c r="C239" s="1">
        <v>24</v>
      </c>
      <c r="D239" s="12">
        <v>108.98399999999999</v>
      </c>
      <c r="E239" s="13">
        <v>93.218999999999994</v>
      </c>
      <c r="F239" s="21">
        <v>83.911000000000001</v>
      </c>
      <c r="G239" s="22">
        <v>1672.0989999999999</v>
      </c>
      <c r="H239" s="13">
        <v>6.9</v>
      </c>
      <c r="I239" s="23">
        <v>2.1999999999999999E-2</v>
      </c>
      <c r="J239" s="13">
        <v>7.8010000000000002</v>
      </c>
      <c r="K239" s="24">
        <v>27.564</v>
      </c>
      <c r="L239" s="13">
        <v>5.1349999999999998</v>
      </c>
      <c r="M239" s="23">
        <v>1.4E-2</v>
      </c>
      <c r="N239" s="22">
        <v>144.15100000000001</v>
      </c>
      <c r="O239" s="25">
        <v>5.8999999999999997E-2</v>
      </c>
      <c r="P239" s="26">
        <v>5.2999999999999999E-2</v>
      </c>
      <c r="Q239" s="93">
        <f t="shared" si="6"/>
        <v>104.3159192445253</v>
      </c>
      <c r="R239" s="93"/>
      <c r="S239" s="93">
        <f t="shared" si="5"/>
        <v>0.85480328794628846</v>
      </c>
      <c r="T239" s="93"/>
    </row>
    <row r="240" spans="1:20" ht="14.25" customHeight="1" x14ac:dyDescent="0.35">
      <c r="A240" s="1">
        <v>2024</v>
      </c>
      <c r="B240" s="1" t="s">
        <v>30</v>
      </c>
      <c r="C240" s="1">
        <v>25</v>
      </c>
      <c r="D240" s="12">
        <v>109.26600000000001</v>
      </c>
      <c r="E240" s="13">
        <v>93.5</v>
      </c>
      <c r="F240" s="21">
        <v>83.945999999999998</v>
      </c>
      <c r="G240" s="22">
        <v>1603.797</v>
      </c>
      <c r="H240" s="13">
        <v>6.9</v>
      </c>
      <c r="I240" s="23">
        <v>2.1999999999999999E-2</v>
      </c>
      <c r="J240" s="13">
        <v>7.8869999999999996</v>
      </c>
      <c r="K240" s="24">
        <v>27.074999999999999</v>
      </c>
      <c r="L240" s="13">
        <v>5.1609999999999996</v>
      </c>
      <c r="M240" s="23">
        <v>1.4E-2</v>
      </c>
      <c r="N240" s="22">
        <v>135.93100000000001</v>
      </c>
      <c r="O240" s="25">
        <v>5.3999999999999999E-2</v>
      </c>
      <c r="P240" s="26">
        <v>0.05</v>
      </c>
      <c r="Q240" s="93">
        <f t="shared" si="6"/>
        <v>104.58584041852293</v>
      </c>
      <c r="R240" s="93"/>
      <c r="S240" s="93">
        <f t="shared" si="5"/>
        <v>0.85701512204304453</v>
      </c>
      <c r="T240" s="93"/>
    </row>
    <row r="241" spans="1:20" ht="14.25" customHeight="1" x14ac:dyDescent="0.35">
      <c r="A241" s="1">
        <v>2024</v>
      </c>
      <c r="B241" s="1" t="s">
        <v>30</v>
      </c>
      <c r="C241" s="1">
        <v>26</v>
      </c>
      <c r="D241" s="12">
        <v>107.828</v>
      </c>
      <c r="E241" s="13">
        <v>92.281000000000006</v>
      </c>
      <c r="F241" s="21">
        <v>84.194999999999993</v>
      </c>
      <c r="G241" s="22">
        <v>1579.5309999999999</v>
      </c>
      <c r="H241" s="13">
        <v>6.9</v>
      </c>
      <c r="I241" s="23">
        <v>2.3E-2</v>
      </c>
      <c r="J241" s="13">
        <v>7.9539999999999997</v>
      </c>
      <c r="K241" s="24">
        <v>26.625</v>
      </c>
      <c r="L241" s="13">
        <v>5.1630000000000003</v>
      </c>
      <c r="M241" s="23">
        <v>1.4E-2</v>
      </c>
      <c r="N241" s="22">
        <v>135.376</v>
      </c>
      <c r="O241" s="25">
        <v>5.0999999999999997E-2</v>
      </c>
      <c r="P241" s="26">
        <v>0.05</v>
      </c>
      <c r="Q241" s="93">
        <f t="shared" si="6"/>
        <v>103.20943386459183</v>
      </c>
      <c r="R241" s="93"/>
      <c r="S241" s="93">
        <f t="shared" si="5"/>
        <v>0.84573633682625338</v>
      </c>
      <c r="T241" s="93"/>
    </row>
    <row r="242" spans="1:20" ht="14.25" customHeight="1" x14ac:dyDescent="0.35">
      <c r="A242" s="1">
        <v>2024</v>
      </c>
      <c r="B242" s="1" t="s">
        <v>30</v>
      </c>
      <c r="C242" s="1">
        <v>27</v>
      </c>
      <c r="D242" s="12">
        <v>107.172</v>
      </c>
      <c r="E242" s="13">
        <v>91.843999999999994</v>
      </c>
      <c r="F242" s="21">
        <v>84.230999999999995</v>
      </c>
      <c r="G242" s="22">
        <v>1668.01</v>
      </c>
      <c r="H242" s="13">
        <v>6.9</v>
      </c>
      <c r="I242" s="23">
        <v>2.4E-2</v>
      </c>
      <c r="J242" s="13">
        <v>8.2070000000000007</v>
      </c>
      <c r="K242" s="24">
        <v>27.434000000000001</v>
      </c>
      <c r="L242" s="13">
        <v>5.1609999999999996</v>
      </c>
      <c r="M242" s="23">
        <v>1.4E-2</v>
      </c>
      <c r="N242" s="22">
        <v>135.94</v>
      </c>
      <c r="O242" s="25">
        <v>5.8000000000000003E-2</v>
      </c>
      <c r="P242" s="26">
        <v>4.8000000000000001E-2</v>
      </c>
      <c r="Q242" s="93">
        <f t="shared" si="6"/>
        <v>102.58153212649809</v>
      </c>
      <c r="R242" s="93"/>
      <c r="S242" s="93">
        <f t="shared" si="5"/>
        <v>0.84059107736713312</v>
      </c>
      <c r="T242" s="93"/>
    </row>
    <row r="243" spans="1:20" ht="14.25" customHeight="1" x14ac:dyDescent="0.35">
      <c r="A243" s="1">
        <v>2024</v>
      </c>
      <c r="B243" s="1" t="s">
        <v>30</v>
      </c>
      <c r="C243" s="1">
        <v>28</v>
      </c>
      <c r="D243" s="12">
        <v>109.047</v>
      </c>
      <c r="E243" s="13">
        <v>93.313000000000002</v>
      </c>
      <c r="F243" s="21">
        <v>84.204999999999998</v>
      </c>
      <c r="G243" s="22">
        <v>1658.796</v>
      </c>
      <c r="H243" s="13">
        <v>6.9</v>
      </c>
      <c r="I243" s="23">
        <v>2.4E-2</v>
      </c>
      <c r="J243" s="13">
        <v>7.3170000000000002</v>
      </c>
      <c r="K243" s="24">
        <v>27.228999999999999</v>
      </c>
      <c r="L243" s="13">
        <v>5.14</v>
      </c>
      <c r="M243" s="23">
        <v>1.4E-2</v>
      </c>
      <c r="N243" s="22">
        <v>142.774</v>
      </c>
      <c r="O243" s="25">
        <v>5.5E-2</v>
      </c>
      <c r="P243" s="26">
        <v>4.8000000000000001E-2</v>
      </c>
      <c r="Q243" s="93">
        <f t="shared" si="6"/>
        <v>104.37622078339713</v>
      </c>
      <c r="R243" s="93"/>
      <c r="S243" s="93">
        <f t="shared" si="5"/>
        <v>0.85529742109556384</v>
      </c>
      <c r="T243" s="93"/>
    </row>
    <row r="244" spans="1:20" ht="14.25" customHeight="1" x14ac:dyDescent="0.35">
      <c r="A244" s="1">
        <v>2024</v>
      </c>
      <c r="B244" s="1" t="s">
        <v>30</v>
      </c>
      <c r="C244" s="1">
        <v>29</v>
      </c>
      <c r="D244" s="12">
        <v>105.64100000000001</v>
      </c>
      <c r="E244" s="13">
        <v>90.375</v>
      </c>
      <c r="F244" s="21">
        <v>84.087000000000003</v>
      </c>
      <c r="G244" s="22">
        <v>1687.394</v>
      </c>
      <c r="H244" s="13">
        <v>6.9</v>
      </c>
      <c r="I244" s="23">
        <v>2.4E-2</v>
      </c>
      <c r="J244" s="13">
        <v>6.9009999999999998</v>
      </c>
      <c r="K244" s="24">
        <v>27.695</v>
      </c>
      <c r="L244" s="13">
        <v>5.1210000000000004</v>
      </c>
      <c r="M244" s="23">
        <v>1.4E-2</v>
      </c>
      <c r="N244" s="22">
        <v>148.93199999999999</v>
      </c>
      <c r="O244" s="25">
        <v>5.5E-2</v>
      </c>
      <c r="P244" s="26">
        <v>4.4999999999999998E-2</v>
      </c>
      <c r="Q244" s="93">
        <f t="shared" si="6"/>
        <v>101.1161090151848</v>
      </c>
      <c r="R244" s="93"/>
      <c r="S244" s="93">
        <f t="shared" si="5"/>
        <v>0.82858285750141192</v>
      </c>
      <c r="T244" s="93"/>
    </row>
    <row r="245" spans="1:20" ht="14.25" customHeight="1" x14ac:dyDescent="0.35">
      <c r="A245" s="1">
        <v>2024</v>
      </c>
      <c r="B245" s="1" t="s">
        <v>30</v>
      </c>
      <c r="C245" s="1">
        <v>30</v>
      </c>
      <c r="D245" s="12">
        <v>104.89100000000001</v>
      </c>
      <c r="E245" s="13">
        <v>89.875</v>
      </c>
      <c r="F245" s="21">
        <v>83.480999999999995</v>
      </c>
      <c r="G245" s="22">
        <v>1717.15</v>
      </c>
      <c r="H245" s="13">
        <v>6.9</v>
      </c>
      <c r="I245" s="23">
        <v>2.3E-2</v>
      </c>
      <c r="J245" s="13">
        <v>6.93</v>
      </c>
      <c r="K245" s="24">
        <v>28.376999999999999</v>
      </c>
      <c r="L245" s="13">
        <v>5.3010000000000002</v>
      </c>
      <c r="M245" s="23">
        <v>1.4E-2</v>
      </c>
      <c r="N245" s="22">
        <v>110.176</v>
      </c>
      <c r="O245" s="25">
        <v>0.06</v>
      </c>
      <c r="P245" s="26">
        <v>8.7999999999999995E-2</v>
      </c>
      <c r="Q245" s="93">
        <f t="shared" si="6"/>
        <v>100.39823355242518</v>
      </c>
      <c r="R245" s="93"/>
      <c r="S245" s="93">
        <f t="shared" si="5"/>
        <v>0.82270032001003957</v>
      </c>
      <c r="T245" s="93"/>
    </row>
    <row r="246" spans="1:20" ht="14.25" customHeight="1" x14ac:dyDescent="0.35">
      <c r="A246" s="1">
        <v>2024</v>
      </c>
      <c r="B246" s="1" t="s">
        <v>30</v>
      </c>
      <c r="C246" s="1">
        <v>31</v>
      </c>
      <c r="D246" s="46">
        <v>107.047</v>
      </c>
      <c r="E246" s="35">
        <v>91.656000000000006</v>
      </c>
      <c r="F246" s="36">
        <v>83.617000000000004</v>
      </c>
      <c r="G246" s="37">
        <v>1650.0920000000001</v>
      </c>
      <c r="H246" s="35">
        <v>6.9</v>
      </c>
      <c r="I246" s="38">
        <v>2.4E-2</v>
      </c>
      <c r="J246" s="35">
        <v>7.0380000000000003</v>
      </c>
      <c r="K246" s="39">
        <v>27.294</v>
      </c>
      <c r="L246" s="35">
        <v>5.4820000000000002</v>
      </c>
      <c r="M246" s="38">
        <v>1.4E-2</v>
      </c>
      <c r="N246" s="37">
        <v>64.938999999999993</v>
      </c>
      <c r="O246" s="40">
        <v>5.1999999999999998E-2</v>
      </c>
      <c r="P246" s="41">
        <v>0.11</v>
      </c>
      <c r="Q246" s="93">
        <f t="shared" si="6"/>
        <v>102.46188621603815</v>
      </c>
      <c r="R246" s="93"/>
      <c r="S246" s="93">
        <f t="shared" si="5"/>
        <v>0.83961065445190441</v>
      </c>
      <c r="T246" s="93"/>
    </row>
    <row r="247" spans="1:20" ht="14.25" customHeight="1" x14ac:dyDescent="0.35">
      <c r="A247" s="1">
        <v>2024</v>
      </c>
      <c r="B247" s="1" t="s">
        <v>31</v>
      </c>
      <c r="C247" s="1">
        <v>1</v>
      </c>
      <c r="D247" s="12">
        <v>110.48399999999999</v>
      </c>
      <c r="E247" s="13">
        <v>94.438000000000002</v>
      </c>
      <c r="F247" s="14">
        <v>83.921000000000006</v>
      </c>
      <c r="G247" s="15">
        <v>1573.4110000000001</v>
      </c>
      <c r="H247" s="16">
        <v>6.9</v>
      </c>
      <c r="I247" s="17">
        <v>2.3E-2</v>
      </c>
      <c r="J247" s="16">
        <v>7.3730000000000002</v>
      </c>
      <c r="K247" s="18">
        <v>26.2896</v>
      </c>
      <c r="L247" s="16">
        <v>5.4790000000000001</v>
      </c>
      <c r="M247" s="17">
        <v>1.37E-2</v>
      </c>
      <c r="N247" s="15">
        <v>65.692700000000002</v>
      </c>
      <c r="O247" s="19">
        <v>0.05</v>
      </c>
      <c r="P247" s="20">
        <v>0.11799999999999999</v>
      </c>
      <c r="Q247" s="93">
        <f t="shared" si="6"/>
        <v>105.75167017004455</v>
      </c>
      <c r="R247" s="243">
        <f>N11+O11</f>
        <v>153.44200000000001</v>
      </c>
      <c r="S247" s="93">
        <f t="shared" si="5"/>
        <v>0.86656836292903305</v>
      </c>
      <c r="T247" s="93"/>
    </row>
    <row r="248" spans="1:20" ht="14.25" customHeight="1" x14ac:dyDescent="0.35">
      <c r="A248" s="1">
        <v>2024</v>
      </c>
      <c r="B248" s="1" t="s">
        <v>31</v>
      </c>
      <c r="C248" s="1">
        <v>2</v>
      </c>
      <c r="D248" s="12">
        <v>106.03100000000001</v>
      </c>
      <c r="E248" s="13">
        <v>90.781000000000006</v>
      </c>
      <c r="F248" s="21">
        <v>83.992999999999995</v>
      </c>
      <c r="G248" s="22">
        <v>1559.9259999999999</v>
      </c>
      <c r="H248" s="13">
        <v>6.9</v>
      </c>
      <c r="I248" s="23">
        <v>2.3E-2</v>
      </c>
      <c r="J248" s="13">
        <v>7.7869999999999999</v>
      </c>
      <c r="K248" s="24">
        <v>26.402999999999999</v>
      </c>
      <c r="L248" s="13">
        <v>5.4779999999999998</v>
      </c>
      <c r="M248" s="23">
        <v>1.4E-2</v>
      </c>
      <c r="N248" s="22">
        <v>65.700999999999993</v>
      </c>
      <c r="O248" s="25">
        <v>0.05</v>
      </c>
      <c r="P248" s="26">
        <v>9.8000000000000004E-2</v>
      </c>
      <c r="Q248" s="93">
        <f t="shared" si="6"/>
        <v>101.48940425581979</v>
      </c>
      <c r="R248" s="93"/>
      <c r="S248" s="93">
        <f t="shared" si="5"/>
        <v>0.83164177699692543</v>
      </c>
      <c r="T248" s="93"/>
    </row>
    <row r="249" spans="1:20" ht="14.25" customHeight="1" x14ac:dyDescent="0.35">
      <c r="A249" s="1">
        <v>2024</v>
      </c>
      <c r="B249" s="1" t="s">
        <v>31</v>
      </c>
      <c r="C249" s="1">
        <v>3</v>
      </c>
      <c r="D249" s="12">
        <v>111.64100000000001</v>
      </c>
      <c r="E249" s="13">
        <v>95.438000000000002</v>
      </c>
      <c r="F249" s="21">
        <v>84.251999999999995</v>
      </c>
      <c r="G249" s="22">
        <v>1574.7</v>
      </c>
      <c r="H249" s="13">
        <v>6.9</v>
      </c>
      <c r="I249" s="23">
        <v>2.3E-2</v>
      </c>
      <c r="J249" s="13">
        <v>7.907</v>
      </c>
      <c r="K249" s="24">
        <v>25.651</v>
      </c>
      <c r="L249" s="13">
        <v>5.4690000000000003</v>
      </c>
      <c r="M249" s="23">
        <v>1.4E-2</v>
      </c>
      <c r="N249" s="22">
        <v>67.007999999999996</v>
      </c>
      <c r="O249" s="25">
        <v>5.0999999999999997E-2</v>
      </c>
      <c r="P249" s="26">
        <v>9.9000000000000005E-2</v>
      </c>
      <c r="Q249" s="93">
        <f t="shared" si="6"/>
        <v>106.85911271726172</v>
      </c>
      <c r="R249" s="93"/>
      <c r="S249" s="93">
        <f t="shared" si="5"/>
        <v>0.87564315743239007</v>
      </c>
      <c r="T249" s="93"/>
    </row>
    <row r="250" spans="1:20" ht="14.25" customHeight="1" x14ac:dyDescent="0.35">
      <c r="A250" s="1">
        <v>2024</v>
      </c>
      <c r="B250" s="1" t="s">
        <v>31</v>
      </c>
      <c r="C250" s="1">
        <v>4</v>
      </c>
      <c r="D250" s="12">
        <v>108.547</v>
      </c>
      <c r="E250" s="13">
        <v>92.813000000000002</v>
      </c>
      <c r="F250" s="21">
        <v>84.558999999999997</v>
      </c>
      <c r="G250" s="22">
        <v>1646.7439999999999</v>
      </c>
      <c r="H250" s="13">
        <v>6.9</v>
      </c>
      <c r="I250" s="23">
        <v>2.3E-2</v>
      </c>
      <c r="J250" s="13">
        <v>7.74</v>
      </c>
      <c r="K250" s="24">
        <v>26.696999999999999</v>
      </c>
      <c r="L250" s="13">
        <v>5.4539999999999997</v>
      </c>
      <c r="M250" s="23">
        <v>1.4E-2</v>
      </c>
      <c r="N250" s="22">
        <v>69.266999999999996</v>
      </c>
      <c r="O250" s="25">
        <v>0.06</v>
      </c>
      <c r="P250" s="26">
        <v>9.5000000000000001E-2</v>
      </c>
      <c r="Q250" s="93">
        <f t="shared" si="6"/>
        <v>103.89763714155738</v>
      </c>
      <c r="R250" s="93"/>
      <c r="S250" s="93">
        <f t="shared" si="5"/>
        <v>0.8513757294346489</v>
      </c>
      <c r="T250" s="93"/>
    </row>
    <row r="251" spans="1:20" ht="14.25" customHeight="1" x14ac:dyDescent="0.35">
      <c r="A251" s="1">
        <v>2024</v>
      </c>
      <c r="B251" s="1" t="s">
        <v>31</v>
      </c>
      <c r="C251" s="1">
        <v>5</v>
      </c>
      <c r="D251" s="12">
        <v>108.938</v>
      </c>
      <c r="E251" s="13">
        <v>93.125</v>
      </c>
      <c r="F251" s="21">
        <v>84.905000000000001</v>
      </c>
      <c r="G251" s="22">
        <v>1677.2539999999999</v>
      </c>
      <c r="H251" s="13">
        <v>6.9</v>
      </c>
      <c r="I251" s="23">
        <v>2.3E-2</v>
      </c>
      <c r="J251" s="13">
        <v>7.8890000000000002</v>
      </c>
      <c r="K251" s="24">
        <v>27.289000000000001</v>
      </c>
      <c r="L251" s="13">
        <v>5.4589999999999996</v>
      </c>
      <c r="M251" s="23">
        <v>1.4E-2</v>
      </c>
      <c r="N251" s="22">
        <v>68.358000000000004</v>
      </c>
      <c r="O251" s="25">
        <v>6.2E-2</v>
      </c>
      <c r="P251" s="26">
        <v>0.10100000000000001</v>
      </c>
      <c r="Q251" s="93">
        <f t="shared" si="6"/>
        <v>104.27188954947606</v>
      </c>
      <c r="R251" s="93"/>
      <c r="S251" s="93">
        <f t="shared" si="5"/>
        <v>0.85444249231348435</v>
      </c>
      <c r="T251" s="93"/>
    </row>
    <row r="252" spans="1:20" ht="14.25" customHeight="1" x14ac:dyDescent="0.35">
      <c r="A252" s="1">
        <v>2024</v>
      </c>
      <c r="B252" s="1" t="s">
        <v>31</v>
      </c>
      <c r="C252" s="1">
        <v>6</v>
      </c>
      <c r="D252" s="12">
        <v>112.813</v>
      </c>
      <c r="E252" s="13">
        <v>96.531000000000006</v>
      </c>
      <c r="F252" s="21">
        <v>85.290999999999997</v>
      </c>
      <c r="G252" s="22">
        <v>1676.6479999999999</v>
      </c>
      <c r="H252" s="13">
        <v>6.9</v>
      </c>
      <c r="I252" s="23">
        <v>2.1999999999999999E-2</v>
      </c>
      <c r="J252" s="13">
        <v>7.7560000000000002</v>
      </c>
      <c r="K252" s="24">
        <v>27.308</v>
      </c>
      <c r="L252" s="13">
        <v>5.4539999999999997</v>
      </c>
      <c r="M252" s="23">
        <v>1.4E-2</v>
      </c>
      <c r="N252" s="22">
        <v>69.379000000000005</v>
      </c>
      <c r="O252" s="25">
        <v>6.0999999999999999E-2</v>
      </c>
      <c r="P252" s="26">
        <v>0.107</v>
      </c>
      <c r="Q252" s="93">
        <f t="shared" si="6"/>
        <v>107.98091277373408</v>
      </c>
      <c r="R252" s="93"/>
      <c r="S252" s="93">
        <f t="shared" si="5"/>
        <v>0.88483560268557448</v>
      </c>
      <c r="T252" s="93"/>
    </row>
    <row r="253" spans="1:20" ht="14.25" customHeight="1" x14ac:dyDescent="0.35">
      <c r="A253" s="1">
        <v>2024</v>
      </c>
      <c r="B253" s="1" t="s">
        <v>31</v>
      </c>
      <c r="C253" s="1">
        <v>7</v>
      </c>
      <c r="D253" s="12">
        <v>109.76600000000001</v>
      </c>
      <c r="E253" s="13">
        <v>93.938000000000002</v>
      </c>
      <c r="F253" s="21">
        <v>85.272000000000006</v>
      </c>
      <c r="G253" s="22">
        <v>1637.258</v>
      </c>
      <c r="H253" s="13">
        <v>6.9</v>
      </c>
      <c r="I253" s="23">
        <v>2.1999999999999999E-2</v>
      </c>
      <c r="J253" s="13">
        <v>7.6580000000000004</v>
      </c>
      <c r="K253" s="24">
        <v>27.268999999999998</v>
      </c>
      <c r="L253" s="13">
        <v>5.4420000000000002</v>
      </c>
      <c r="M253" s="23">
        <v>1.4E-2</v>
      </c>
      <c r="N253" s="22">
        <v>71.105000000000004</v>
      </c>
      <c r="O253" s="25">
        <v>0.06</v>
      </c>
      <c r="P253" s="26">
        <v>9.9000000000000005E-2</v>
      </c>
      <c r="Q253" s="93">
        <f t="shared" si="6"/>
        <v>105.0644240603627</v>
      </c>
      <c r="R253" s="93"/>
      <c r="S253" s="93">
        <f t="shared" si="5"/>
        <v>0.86093681370395947</v>
      </c>
      <c r="T253" s="93"/>
    </row>
    <row r="254" spans="1:20" ht="14.25" customHeight="1" x14ac:dyDescent="0.35">
      <c r="A254" s="1">
        <v>2024</v>
      </c>
      <c r="B254" s="1" t="s">
        <v>31</v>
      </c>
      <c r="C254" s="1">
        <v>8</v>
      </c>
      <c r="D254" s="12">
        <v>110.672</v>
      </c>
      <c r="E254" s="13">
        <v>94.688000000000002</v>
      </c>
      <c r="F254" s="21">
        <v>85.320999999999998</v>
      </c>
      <c r="G254" s="22">
        <v>1594.2449999999999</v>
      </c>
      <c r="H254" s="13">
        <v>6.9</v>
      </c>
      <c r="I254" s="23">
        <v>2.1999999999999999E-2</v>
      </c>
      <c r="J254" s="13">
        <v>7.58</v>
      </c>
      <c r="K254" s="24">
        <v>26.869</v>
      </c>
      <c r="L254" s="13">
        <v>5.4390000000000001</v>
      </c>
      <c r="M254" s="23">
        <v>1.4E-2</v>
      </c>
      <c r="N254" s="22">
        <v>71.652000000000001</v>
      </c>
      <c r="O254" s="25">
        <v>5.1999999999999998E-2</v>
      </c>
      <c r="P254" s="26">
        <v>0.11600000000000001</v>
      </c>
      <c r="Q254" s="93">
        <f t="shared" si="6"/>
        <v>105.93161761937628</v>
      </c>
      <c r="R254" s="93"/>
      <c r="S254" s="93">
        <f t="shared" si="5"/>
        <v>0.86804291899353703</v>
      </c>
      <c r="T254" s="93"/>
    </row>
    <row r="255" spans="1:20" ht="14.25" customHeight="1" x14ac:dyDescent="0.35">
      <c r="A255" s="1">
        <v>2024</v>
      </c>
      <c r="B255" s="1" t="s">
        <v>31</v>
      </c>
      <c r="C255" s="1">
        <v>9</v>
      </c>
      <c r="D255" s="12">
        <v>111.828</v>
      </c>
      <c r="E255" s="13">
        <v>95.563000000000002</v>
      </c>
      <c r="F255" s="21">
        <v>85.233000000000004</v>
      </c>
      <c r="G255" s="22">
        <v>1600.52</v>
      </c>
      <c r="H255" s="13">
        <v>6.9</v>
      </c>
      <c r="I255" s="23">
        <v>2.4E-2</v>
      </c>
      <c r="J255" s="13">
        <v>7.9320000000000004</v>
      </c>
      <c r="K255" s="24">
        <v>27.244</v>
      </c>
      <c r="L255" s="13">
        <v>5.4589999999999996</v>
      </c>
      <c r="M255" s="23">
        <v>1.4E-2</v>
      </c>
      <c r="N255" s="22">
        <v>68.870999999999995</v>
      </c>
      <c r="O255" s="25">
        <v>4.8000000000000001E-2</v>
      </c>
      <c r="P255" s="26">
        <v>0.14599999999999999</v>
      </c>
      <c r="Q255" s="93">
        <f t="shared" si="6"/>
        <v>107.03810299930979</v>
      </c>
      <c r="R255" s="93"/>
      <c r="S255" s="93">
        <f t="shared" si="5"/>
        <v>0.87710987011357222</v>
      </c>
      <c r="T255" s="93"/>
    </row>
    <row r="256" spans="1:20" ht="14.25" customHeight="1" x14ac:dyDescent="0.35">
      <c r="A256" s="1">
        <v>2024</v>
      </c>
      <c r="B256" s="1" t="s">
        <v>31</v>
      </c>
      <c r="C256" s="1">
        <v>10</v>
      </c>
      <c r="D256" s="12">
        <v>109.828</v>
      </c>
      <c r="E256" s="13">
        <v>94</v>
      </c>
      <c r="F256" s="27">
        <v>84.92</v>
      </c>
      <c r="G256" s="22">
        <v>1665.7260000000001</v>
      </c>
      <c r="H256" s="13">
        <v>6.9</v>
      </c>
      <c r="I256" s="23">
        <v>2.4E-2</v>
      </c>
      <c r="J256" s="28">
        <v>8.2840000000000007</v>
      </c>
      <c r="K256" s="24">
        <v>28.29</v>
      </c>
      <c r="L256" s="13">
        <v>5.468</v>
      </c>
      <c r="M256" s="29">
        <v>1.4E-2</v>
      </c>
      <c r="N256" s="22">
        <v>67.236999999999995</v>
      </c>
      <c r="O256" s="30">
        <v>5.2999999999999999E-2</v>
      </c>
      <c r="P256" s="31">
        <v>0.16300000000000001</v>
      </c>
      <c r="Q256" s="93">
        <f t="shared" si="6"/>
        <v>105.12376843195081</v>
      </c>
      <c r="R256" s="93"/>
      <c r="S256" s="93">
        <f t="shared" si="5"/>
        <v>0.8614231034699128</v>
      </c>
      <c r="T256" s="93"/>
    </row>
    <row r="257" spans="1:20" ht="14.25" customHeight="1" x14ac:dyDescent="0.35">
      <c r="A257" s="1">
        <v>2024</v>
      </c>
      <c r="B257" s="1" t="s">
        <v>31</v>
      </c>
      <c r="C257" s="1">
        <v>11</v>
      </c>
      <c r="D257" s="12">
        <v>115.10899999999999</v>
      </c>
      <c r="E257" s="13">
        <v>98.343999999999994</v>
      </c>
      <c r="F257" s="27">
        <v>84.337999999999994</v>
      </c>
      <c r="G257" s="22">
        <v>1681.1510000000001</v>
      </c>
      <c r="H257" s="13">
        <v>6.9</v>
      </c>
      <c r="I257" s="23">
        <v>2.5000000000000001E-2</v>
      </c>
      <c r="J257" s="28">
        <v>7.8959999999999999</v>
      </c>
      <c r="K257" s="24">
        <v>28.36</v>
      </c>
      <c r="L257" s="13">
        <v>5.4649999999999999</v>
      </c>
      <c r="M257" s="29">
        <v>1.4E-2</v>
      </c>
      <c r="N257" s="22">
        <v>67.760999999999996</v>
      </c>
      <c r="O257" s="30">
        <v>5.2999999999999999E-2</v>
      </c>
      <c r="P257" s="31">
        <v>0.16400000000000001</v>
      </c>
      <c r="Q257" s="93">
        <f t="shared" si="6"/>
        <v>110.17856885706217</v>
      </c>
      <c r="R257" s="93"/>
      <c r="S257" s="93">
        <f t="shared" si="5"/>
        <v>0.90284401079249543</v>
      </c>
      <c r="T257" s="93"/>
    </row>
    <row r="258" spans="1:20" ht="14.25" customHeight="1" x14ac:dyDescent="0.35">
      <c r="A258" s="1">
        <v>2024</v>
      </c>
      <c r="B258" s="1" t="s">
        <v>31</v>
      </c>
      <c r="C258" s="1">
        <v>12</v>
      </c>
      <c r="D258" s="12">
        <v>106.84399999999999</v>
      </c>
      <c r="E258" s="13">
        <v>91.406000000000006</v>
      </c>
      <c r="F258" s="27">
        <v>84.147999999999996</v>
      </c>
      <c r="G258" s="22">
        <v>1682.6510000000001</v>
      </c>
      <c r="H258" s="13">
        <v>6.9</v>
      </c>
      <c r="I258" s="23">
        <v>2.5999999999999999E-2</v>
      </c>
      <c r="J258" s="28">
        <v>7.4269999999999996</v>
      </c>
      <c r="K258" s="24">
        <v>28.126999999999999</v>
      </c>
      <c r="L258" s="13">
        <v>5.4640000000000004</v>
      </c>
      <c r="M258" s="29">
        <v>1.4E-2</v>
      </c>
      <c r="N258" s="22">
        <v>67.762</v>
      </c>
      <c r="O258" s="30">
        <v>5.5E-2</v>
      </c>
      <c r="P258" s="31">
        <v>0.13600000000000001</v>
      </c>
      <c r="Q258" s="93">
        <f t="shared" si="6"/>
        <v>102.26758125745121</v>
      </c>
      <c r="R258" s="93"/>
      <c r="S258" s="93">
        <f t="shared" si="5"/>
        <v>0.83801844763757294</v>
      </c>
      <c r="T258" s="93"/>
    </row>
    <row r="259" spans="1:20" ht="14.25" customHeight="1" x14ac:dyDescent="0.35">
      <c r="A259" s="1">
        <v>2024</v>
      </c>
      <c r="B259" s="1" t="s">
        <v>31</v>
      </c>
      <c r="C259" s="1">
        <v>13</v>
      </c>
      <c r="D259" s="12">
        <v>113.828</v>
      </c>
      <c r="E259" s="13">
        <v>97.188000000000002</v>
      </c>
      <c r="F259" s="27">
        <v>83.817999999999998</v>
      </c>
      <c r="G259" s="22">
        <v>1698.81</v>
      </c>
      <c r="H259" s="13">
        <v>6.9</v>
      </c>
      <c r="I259" s="23">
        <v>2.4E-2</v>
      </c>
      <c r="J259" s="28">
        <v>7.2430000000000003</v>
      </c>
      <c r="K259" s="24">
        <v>27.963000000000001</v>
      </c>
      <c r="L259" s="13">
        <v>5.4420000000000002</v>
      </c>
      <c r="M259" s="23">
        <v>1.4E-2</v>
      </c>
      <c r="N259" s="22">
        <v>71.356999999999999</v>
      </c>
      <c r="O259" s="30">
        <v>5.6000000000000001E-2</v>
      </c>
      <c r="P259" s="31">
        <v>0.34899999999999998</v>
      </c>
      <c r="Q259" s="93">
        <f t="shared" si="6"/>
        <v>108.95243756666876</v>
      </c>
      <c r="R259" s="93"/>
      <c r="S259" s="93">
        <f t="shared" si="5"/>
        <v>0.89279663675723164</v>
      </c>
      <c r="T259" s="93"/>
    </row>
    <row r="260" spans="1:20" ht="14.25" customHeight="1" x14ac:dyDescent="0.35">
      <c r="A260" s="1">
        <v>2024</v>
      </c>
      <c r="B260" s="1" t="s">
        <v>31</v>
      </c>
      <c r="C260" s="1">
        <v>14</v>
      </c>
      <c r="D260" s="12">
        <v>109.98399999999999</v>
      </c>
      <c r="E260" s="13">
        <v>93.938000000000002</v>
      </c>
      <c r="F260" s="21">
        <v>83.608000000000004</v>
      </c>
      <c r="G260" s="22">
        <v>1677.558</v>
      </c>
      <c r="H260" s="13">
        <v>6.9</v>
      </c>
      <c r="I260" s="23">
        <v>2.4E-2</v>
      </c>
      <c r="J260" s="28">
        <v>7.8789999999999996</v>
      </c>
      <c r="K260" s="33">
        <v>27.596</v>
      </c>
      <c r="L260" s="13">
        <v>5.4459999999999997</v>
      </c>
      <c r="M260" s="23">
        <v>1.4E-2</v>
      </c>
      <c r="N260" s="22">
        <v>70.442999999999998</v>
      </c>
      <c r="O260" s="30">
        <v>5.5E-2</v>
      </c>
      <c r="P260" s="31">
        <v>0.7</v>
      </c>
      <c r="Q260" s="93">
        <f t="shared" si="6"/>
        <v>105.2730865282048</v>
      </c>
      <c r="R260" s="93"/>
      <c r="S260" s="93">
        <f t="shared" si="5"/>
        <v>0.86264667126811823</v>
      </c>
      <c r="T260" s="93"/>
    </row>
    <row r="261" spans="1:20" ht="14.25" customHeight="1" x14ac:dyDescent="0.35">
      <c r="A261" s="1">
        <v>2024</v>
      </c>
      <c r="B261" s="1" t="s">
        <v>31</v>
      </c>
      <c r="C261" s="1">
        <v>15</v>
      </c>
      <c r="D261" s="12">
        <v>109.73399999999999</v>
      </c>
      <c r="E261" s="13">
        <v>93.718999999999994</v>
      </c>
      <c r="F261" s="21">
        <v>83.448999999999998</v>
      </c>
      <c r="G261" s="22">
        <v>1589.441</v>
      </c>
      <c r="H261" s="13">
        <v>6.9</v>
      </c>
      <c r="I261" s="23">
        <v>2.4E-2</v>
      </c>
      <c r="J261" s="28">
        <v>7.6269999999999998</v>
      </c>
      <c r="K261" s="24">
        <v>26.684999999999999</v>
      </c>
      <c r="L261" s="13">
        <v>5.45</v>
      </c>
      <c r="M261" s="23">
        <v>1.4E-2</v>
      </c>
      <c r="N261" s="22">
        <v>70.055999999999997</v>
      </c>
      <c r="O261" s="30">
        <v>4.5999999999999999E-2</v>
      </c>
      <c r="P261" s="31">
        <v>0.91200000000000003</v>
      </c>
      <c r="Q261" s="93">
        <f t="shared" si="6"/>
        <v>105.03379470728494</v>
      </c>
      <c r="R261" s="93"/>
      <c r="S261" s="93">
        <f t="shared" si="5"/>
        <v>0.86068582543766081</v>
      </c>
      <c r="T261" s="93"/>
    </row>
    <row r="262" spans="1:20" ht="14.25" customHeight="1" x14ac:dyDescent="0.35">
      <c r="A262" s="1">
        <v>2024</v>
      </c>
      <c r="B262" s="1" t="s">
        <v>31</v>
      </c>
      <c r="C262" s="1">
        <v>16</v>
      </c>
      <c r="D262" s="12">
        <v>113.688</v>
      </c>
      <c r="E262" s="13">
        <v>97.188000000000002</v>
      </c>
      <c r="F262" s="21">
        <v>83.32</v>
      </c>
      <c r="G262" s="22">
        <v>1563.9929999999999</v>
      </c>
      <c r="H262" s="13">
        <v>6.9</v>
      </c>
      <c r="I262" s="23">
        <v>2.4E-2</v>
      </c>
      <c r="J262" s="28">
        <v>7.97</v>
      </c>
      <c r="K262" s="24">
        <v>26.302</v>
      </c>
      <c r="L262" s="13">
        <v>5.4669999999999996</v>
      </c>
      <c r="M262" s="23">
        <v>1.4E-2</v>
      </c>
      <c r="N262" s="22">
        <v>67.634</v>
      </c>
      <c r="O262" s="30">
        <v>4.5999999999999999E-2</v>
      </c>
      <c r="P262" s="31">
        <v>0.92300000000000004</v>
      </c>
      <c r="Q262" s="93">
        <f t="shared" si="6"/>
        <v>108.81843414695363</v>
      </c>
      <c r="R262" s="93"/>
      <c r="S262" s="93">
        <f t="shared" si="5"/>
        <v>0.89169856309217554</v>
      </c>
      <c r="T262" s="93"/>
    </row>
    <row r="263" spans="1:20" ht="14.25" customHeight="1" x14ac:dyDescent="0.35">
      <c r="A263" s="1">
        <v>2024</v>
      </c>
      <c r="B263" s="1" t="s">
        <v>31</v>
      </c>
      <c r="C263" s="1">
        <v>17</v>
      </c>
      <c r="D263" s="12">
        <v>111.938</v>
      </c>
      <c r="E263" s="13">
        <v>95.781000000000006</v>
      </c>
      <c r="F263" s="21">
        <v>83.135000000000005</v>
      </c>
      <c r="G263" s="22">
        <v>1623.6590000000001</v>
      </c>
      <c r="H263" s="13">
        <v>6.9</v>
      </c>
      <c r="I263" s="23">
        <v>2.4E-2</v>
      </c>
      <c r="J263" s="13">
        <v>8.3620000000000001</v>
      </c>
      <c r="K263" s="24">
        <v>26.731000000000002</v>
      </c>
      <c r="L263" s="13">
        <v>5.4749999999999996</v>
      </c>
      <c r="M263" s="23">
        <v>1.4E-2</v>
      </c>
      <c r="N263" s="22">
        <v>66.396000000000001</v>
      </c>
      <c r="O263" s="25">
        <v>5.2999999999999999E-2</v>
      </c>
      <c r="P263" s="26">
        <v>0.751</v>
      </c>
      <c r="Q263" s="93">
        <f t="shared" si="6"/>
        <v>107.14339140051453</v>
      </c>
      <c r="R263" s="93"/>
      <c r="S263" s="93">
        <f t="shared" si="5"/>
        <v>0.87797264227897354</v>
      </c>
      <c r="T263" s="93"/>
    </row>
    <row r="264" spans="1:20" ht="14.25" customHeight="1" x14ac:dyDescent="0.35">
      <c r="A264" s="1">
        <v>2024</v>
      </c>
      <c r="B264" s="1" t="s">
        <v>31</v>
      </c>
      <c r="C264" s="1">
        <v>18</v>
      </c>
      <c r="D264" s="12">
        <v>102.922</v>
      </c>
      <c r="E264" s="13">
        <v>88.25</v>
      </c>
      <c r="F264" s="21">
        <v>83.149000000000001</v>
      </c>
      <c r="G264" s="22">
        <v>1669.1679999999999</v>
      </c>
      <c r="H264" s="13">
        <v>6.9</v>
      </c>
      <c r="I264" s="23">
        <v>2.4E-2</v>
      </c>
      <c r="J264" s="13">
        <v>8.0340000000000007</v>
      </c>
      <c r="K264" s="24">
        <v>27.215</v>
      </c>
      <c r="L264" s="13">
        <v>5.4740000000000002</v>
      </c>
      <c r="M264" s="23">
        <v>1.4E-2</v>
      </c>
      <c r="N264" s="22">
        <v>66.212000000000003</v>
      </c>
      <c r="O264" s="25">
        <v>5.0999999999999997E-2</v>
      </c>
      <c r="P264" s="26">
        <v>0.88900000000000001</v>
      </c>
      <c r="Q264" s="93">
        <f t="shared" si="6"/>
        <v>98.51357117086026</v>
      </c>
      <c r="R264" s="93"/>
      <c r="S264" s="93">
        <f t="shared" si="5"/>
        <v>0.80725669824935686</v>
      </c>
      <c r="T264" s="93"/>
    </row>
    <row r="265" spans="1:20" ht="14.25" customHeight="1" x14ac:dyDescent="0.35">
      <c r="A265" s="1">
        <v>2024</v>
      </c>
      <c r="B265" s="1" t="s">
        <v>31</v>
      </c>
      <c r="C265" s="1">
        <v>19</v>
      </c>
      <c r="D265" s="12">
        <v>107.813</v>
      </c>
      <c r="E265" s="13">
        <v>92.313000000000002</v>
      </c>
      <c r="F265" s="21">
        <v>83.174000000000007</v>
      </c>
      <c r="G265" s="22">
        <v>1699.4169999999999</v>
      </c>
      <c r="H265" s="13">
        <v>6.9</v>
      </c>
      <c r="I265" s="23">
        <v>2.3E-2</v>
      </c>
      <c r="J265" s="13">
        <v>7.8970000000000002</v>
      </c>
      <c r="K265" s="24">
        <v>26.777000000000001</v>
      </c>
      <c r="L265" s="13">
        <v>5.4550000000000001</v>
      </c>
      <c r="M265" s="23">
        <v>1.4E-2</v>
      </c>
      <c r="N265" s="22">
        <v>69.326999999999998</v>
      </c>
      <c r="O265" s="25">
        <v>5.1999999999999998E-2</v>
      </c>
      <c r="P265" s="26">
        <v>0.61199999999999999</v>
      </c>
      <c r="Q265" s="93">
        <f t="shared" si="6"/>
        <v>103.19507635533664</v>
      </c>
      <c r="R265" s="93"/>
      <c r="S265" s="93">
        <f t="shared" si="5"/>
        <v>0.84561868607642598</v>
      </c>
      <c r="T265" s="93"/>
    </row>
    <row r="266" spans="1:20" ht="14.25" customHeight="1" x14ac:dyDescent="0.35">
      <c r="A266" s="1">
        <v>2024</v>
      </c>
      <c r="B266" s="1" t="s">
        <v>31</v>
      </c>
      <c r="C266" s="1">
        <v>20</v>
      </c>
      <c r="D266" s="12">
        <v>109.46899999999999</v>
      </c>
      <c r="E266" s="13">
        <v>93.656000000000006</v>
      </c>
      <c r="F266" s="21">
        <v>83.192999999999998</v>
      </c>
      <c r="G266" s="22">
        <v>1692.5360000000001</v>
      </c>
      <c r="H266" s="13">
        <v>6.9</v>
      </c>
      <c r="I266" s="23">
        <v>2.3E-2</v>
      </c>
      <c r="J266" s="13">
        <v>8.0180000000000007</v>
      </c>
      <c r="K266" s="24">
        <v>26.751000000000001</v>
      </c>
      <c r="L266" s="13">
        <v>5.5149999999999997</v>
      </c>
      <c r="M266" s="23">
        <v>1.4E-2</v>
      </c>
      <c r="N266" s="22">
        <v>60.670999999999999</v>
      </c>
      <c r="O266" s="25">
        <v>5.3999999999999999E-2</v>
      </c>
      <c r="P266" s="26">
        <v>0.57699999999999996</v>
      </c>
      <c r="Q266" s="93">
        <f t="shared" si="6"/>
        <v>104.78014537710986</v>
      </c>
      <c r="R266" s="93"/>
      <c r="S266" s="93">
        <f t="shared" si="5"/>
        <v>0.8586073288573759</v>
      </c>
      <c r="T266" s="93"/>
    </row>
    <row r="267" spans="1:20" ht="14.25" customHeight="1" x14ac:dyDescent="0.35">
      <c r="A267" s="1">
        <v>2024</v>
      </c>
      <c r="B267" s="1" t="s">
        <v>31</v>
      </c>
      <c r="C267" s="1">
        <v>21</v>
      </c>
      <c r="D267" s="12">
        <v>107.203</v>
      </c>
      <c r="E267" s="13">
        <v>91.75</v>
      </c>
      <c r="F267" s="21">
        <v>82.881</v>
      </c>
      <c r="G267" s="22">
        <v>1672.491</v>
      </c>
      <c r="H267" s="13">
        <v>6.9</v>
      </c>
      <c r="I267" s="23">
        <v>2.3E-2</v>
      </c>
      <c r="J267" s="13">
        <v>7.444</v>
      </c>
      <c r="K267" s="24">
        <v>26.68</v>
      </c>
      <c r="L267" s="13">
        <v>5.5449999999999999</v>
      </c>
      <c r="M267" s="23">
        <v>1.4E-2</v>
      </c>
      <c r="N267" s="22">
        <v>56.262</v>
      </c>
      <c r="O267" s="25">
        <v>5.2999999999999999E-2</v>
      </c>
      <c r="P267" s="26">
        <v>0.65900000000000003</v>
      </c>
      <c r="Q267" s="93">
        <f t="shared" si="6"/>
        <v>102.61120431229214</v>
      </c>
      <c r="R267" s="93"/>
      <c r="S267" s="93">
        <f t="shared" si="5"/>
        <v>0.84083422225010984</v>
      </c>
      <c r="T267" s="93"/>
    </row>
    <row r="268" spans="1:20" ht="14.25" customHeight="1" x14ac:dyDescent="0.35">
      <c r="A268" s="1">
        <v>2024</v>
      </c>
      <c r="B268" s="1" t="s">
        <v>31</v>
      </c>
      <c r="C268" s="1">
        <v>22</v>
      </c>
      <c r="D268" s="12">
        <v>109.547</v>
      </c>
      <c r="E268" s="13">
        <v>93.563000000000002</v>
      </c>
      <c r="F268" s="21">
        <v>83.061000000000007</v>
      </c>
      <c r="G268" s="22">
        <v>1572.5609999999999</v>
      </c>
      <c r="H268" s="13">
        <v>6.9</v>
      </c>
      <c r="I268" s="23">
        <v>2.3E-2</v>
      </c>
      <c r="J268" s="13">
        <v>7.3380000000000001</v>
      </c>
      <c r="K268" s="24">
        <v>25.791</v>
      </c>
      <c r="L268" s="13">
        <v>5.5620000000000003</v>
      </c>
      <c r="M268" s="23">
        <v>0.02</v>
      </c>
      <c r="N268" s="22">
        <v>54.283000000000001</v>
      </c>
      <c r="O268" s="25">
        <v>4.9000000000000002E-2</v>
      </c>
      <c r="P268" s="26">
        <v>0.873</v>
      </c>
      <c r="Q268" s="93">
        <f t="shared" si="6"/>
        <v>104.85480442523686</v>
      </c>
      <c r="R268" s="93"/>
      <c r="S268" s="93">
        <f t="shared" si="5"/>
        <v>0.85921911275647866</v>
      </c>
      <c r="T268" s="93"/>
    </row>
    <row r="269" spans="1:20" ht="14.25" customHeight="1" x14ac:dyDescent="0.35">
      <c r="A269" s="1">
        <v>2024</v>
      </c>
      <c r="B269" s="1" t="s">
        <v>31</v>
      </c>
      <c r="C269" s="1">
        <v>23</v>
      </c>
      <c r="D269" s="12">
        <v>111.46899999999999</v>
      </c>
      <c r="E269" s="13">
        <v>95.343999999999994</v>
      </c>
      <c r="F269" s="21">
        <v>82.93</v>
      </c>
      <c r="G269" s="22">
        <v>1565.6320000000001</v>
      </c>
      <c r="H269" s="13">
        <v>6.9</v>
      </c>
      <c r="I269" s="23">
        <v>2.3E-2</v>
      </c>
      <c r="J269" s="13">
        <v>7.9269999999999996</v>
      </c>
      <c r="K269" s="24">
        <v>25.532</v>
      </c>
      <c r="L269" s="13">
        <v>5.57</v>
      </c>
      <c r="M269" s="23">
        <v>4.5999999999999999E-2</v>
      </c>
      <c r="N269" s="22">
        <v>53.328000000000003</v>
      </c>
      <c r="O269" s="25">
        <v>4.9000000000000002E-2</v>
      </c>
      <c r="P269" s="26">
        <v>0.95499999999999996</v>
      </c>
      <c r="Q269" s="93">
        <f t="shared" si="6"/>
        <v>106.69447994446884</v>
      </c>
      <c r="R269" s="93"/>
      <c r="S269" s="93">
        <f t="shared" si="5"/>
        <v>0.87429409550103532</v>
      </c>
      <c r="T269" s="93"/>
    </row>
    <row r="270" spans="1:20" ht="14.25" customHeight="1" x14ac:dyDescent="0.35">
      <c r="A270" s="1">
        <v>2024</v>
      </c>
      <c r="B270" s="1" t="s">
        <v>31</v>
      </c>
      <c r="C270" s="1">
        <v>24</v>
      </c>
      <c r="D270" s="12">
        <v>92.921999999999997</v>
      </c>
      <c r="E270" s="13">
        <v>79.593999999999994</v>
      </c>
      <c r="F270" s="21">
        <v>82.7</v>
      </c>
      <c r="G270" s="22">
        <v>1633.94</v>
      </c>
      <c r="H270" s="13">
        <v>6.89</v>
      </c>
      <c r="I270" s="23">
        <v>2.4E-2</v>
      </c>
      <c r="J270" s="13">
        <v>8.298</v>
      </c>
      <c r="K270" s="24">
        <v>28.382000000000001</v>
      </c>
      <c r="L270" s="13">
        <v>5.5620000000000003</v>
      </c>
      <c r="M270" s="23">
        <v>5.2999999999999999E-2</v>
      </c>
      <c r="N270" s="22">
        <v>54.24</v>
      </c>
      <c r="O270" s="25">
        <v>5.7000000000000002E-2</v>
      </c>
      <c r="P270" s="26">
        <v>0.77</v>
      </c>
      <c r="Q270" s="93">
        <f t="shared" si="6"/>
        <v>88.941898334065371</v>
      </c>
      <c r="R270" s="93"/>
      <c r="S270" s="93">
        <f t="shared" si="5"/>
        <v>0.72882286503105975</v>
      </c>
      <c r="T270" s="93"/>
    </row>
    <row r="271" spans="1:20" ht="14.25" customHeight="1" x14ac:dyDescent="0.35">
      <c r="A271" s="1">
        <v>2024</v>
      </c>
      <c r="B271" s="1" t="s">
        <v>31</v>
      </c>
      <c r="C271" s="1">
        <v>25</v>
      </c>
      <c r="D271" s="12">
        <v>112.953</v>
      </c>
      <c r="E271" s="13">
        <v>96.718999999999994</v>
      </c>
      <c r="F271" s="21">
        <v>82.491</v>
      </c>
      <c r="G271" s="22">
        <v>1686.933</v>
      </c>
      <c r="H271" s="13">
        <v>6.9</v>
      </c>
      <c r="I271" s="23">
        <v>2.3E-2</v>
      </c>
      <c r="J271" s="13">
        <v>7.3630000000000004</v>
      </c>
      <c r="K271" s="24">
        <v>27.297999999999998</v>
      </c>
      <c r="L271" s="13">
        <v>5.4909999999999997</v>
      </c>
      <c r="M271" s="23">
        <v>3.3000000000000002E-2</v>
      </c>
      <c r="N271" s="22">
        <v>63.697000000000003</v>
      </c>
      <c r="O271" s="25">
        <v>5.3999999999999999E-2</v>
      </c>
      <c r="P271" s="26">
        <v>0.752</v>
      </c>
      <c r="Q271" s="93">
        <f t="shared" si="6"/>
        <v>108.11491619344922</v>
      </c>
      <c r="R271" s="93"/>
      <c r="S271" s="93">
        <f t="shared" si="5"/>
        <v>0.88593367635063069</v>
      </c>
      <c r="T271" s="93"/>
    </row>
    <row r="272" spans="1:20" ht="14.25" customHeight="1" x14ac:dyDescent="0.35">
      <c r="A272" s="1">
        <v>2024</v>
      </c>
      <c r="B272" s="1" t="s">
        <v>31</v>
      </c>
      <c r="C272" s="1">
        <v>26</v>
      </c>
      <c r="D272" s="12">
        <v>105.078</v>
      </c>
      <c r="E272" s="13">
        <v>90.031000000000006</v>
      </c>
      <c r="F272" s="21">
        <v>82.551000000000002</v>
      </c>
      <c r="G272" s="22">
        <v>1714.145</v>
      </c>
      <c r="H272" s="13">
        <v>6.9</v>
      </c>
      <c r="I272" s="23">
        <v>2.3E-2</v>
      </c>
      <c r="J272" s="13">
        <v>7.633</v>
      </c>
      <c r="K272" s="24">
        <v>27.555</v>
      </c>
      <c r="L272" s="13">
        <v>5.4279999999999999</v>
      </c>
      <c r="M272" s="23">
        <v>1.9E-2</v>
      </c>
      <c r="N272" s="22">
        <v>73.506</v>
      </c>
      <c r="O272" s="25">
        <v>5.5E-2</v>
      </c>
      <c r="P272" s="26">
        <v>0.75900000000000001</v>
      </c>
      <c r="Q272" s="93">
        <f t="shared" si="6"/>
        <v>100.57722383447324</v>
      </c>
      <c r="R272" s="93"/>
      <c r="S272" s="93">
        <f t="shared" si="5"/>
        <v>0.82416703269122171</v>
      </c>
      <c r="T272" s="93"/>
    </row>
    <row r="273" spans="1:20" ht="14.25" customHeight="1" x14ac:dyDescent="0.35">
      <c r="A273" s="1">
        <v>2024</v>
      </c>
      <c r="B273" s="1" t="s">
        <v>31</v>
      </c>
      <c r="C273" s="1">
        <v>27</v>
      </c>
      <c r="D273" s="12">
        <v>109.51600000000001</v>
      </c>
      <c r="E273" s="13">
        <v>93.563000000000002</v>
      </c>
      <c r="F273" s="21">
        <v>82.364000000000004</v>
      </c>
      <c r="G273" s="22">
        <v>1674.3240000000001</v>
      </c>
      <c r="H273" s="13">
        <v>6.9</v>
      </c>
      <c r="I273" s="23">
        <v>2.1999999999999999E-2</v>
      </c>
      <c r="J273" s="13">
        <v>7.6420000000000003</v>
      </c>
      <c r="K273" s="24">
        <v>26.658000000000001</v>
      </c>
      <c r="L273" s="13">
        <v>5.3940000000000001</v>
      </c>
      <c r="M273" s="23">
        <v>1.4E-2</v>
      </c>
      <c r="N273" s="22">
        <v>79.465999999999994</v>
      </c>
      <c r="O273" s="25">
        <v>5.6000000000000001E-2</v>
      </c>
      <c r="P273" s="26">
        <v>0.34399999999999997</v>
      </c>
      <c r="Q273" s="93">
        <f t="shared" si="6"/>
        <v>104.82513223944281</v>
      </c>
      <c r="R273" s="93"/>
      <c r="S273" s="93">
        <f t="shared" si="5"/>
        <v>0.85897596787350194</v>
      </c>
      <c r="T273" s="93"/>
    </row>
    <row r="274" spans="1:20" ht="14.25" customHeight="1" x14ac:dyDescent="0.35">
      <c r="A274" s="1">
        <v>2024</v>
      </c>
      <c r="B274" s="1" t="s">
        <v>31</v>
      </c>
      <c r="C274" s="1">
        <v>28</v>
      </c>
      <c r="D274" s="12">
        <v>111.672</v>
      </c>
      <c r="E274" s="13">
        <v>95.375</v>
      </c>
      <c r="F274" s="21">
        <v>82.311999999999998</v>
      </c>
      <c r="G274" s="22">
        <v>1609.5540000000001</v>
      </c>
      <c r="H274" s="13">
        <v>6.9</v>
      </c>
      <c r="I274" s="23">
        <v>2.1000000000000001E-2</v>
      </c>
      <c r="J274" s="13">
        <v>7.7569999999999997</v>
      </c>
      <c r="K274" s="24">
        <v>25.84</v>
      </c>
      <c r="L274" s="13">
        <v>5.42</v>
      </c>
      <c r="M274" s="23">
        <v>1.4E-2</v>
      </c>
      <c r="N274" s="22">
        <v>74.86</v>
      </c>
      <c r="O274" s="25">
        <v>5.5E-2</v>
      </c>
      <c r="P274" s="26">
        <v>0.10199999999999999</v>
      </c>
      <c r="Q274" s="93">
        <f t="shared" si="6"/>
        <v>106.88878490305578</v>
      </c>
      <c r="R274" s="93"/>
      <c r="S274" s="93">
        <f t="shared" si="5"/>
        <v>0.87588630231536679</v>
      </c>
      <c r="T274" s="93"/>
    </row>
    <row r="275" spans="1:20" ht="14.25" customHeight="1" x14ac:dyDescent="0.35">
      <c r="A275" s="1">
        <v>2024</v>
      </c>
      <c r="B275" s="1" t="s">
        <v>31</v>
      </c>
      <c r="C275" s="1">
        <v>29</v>
      </c>
      <c r="D275" s="12">
        <v>109.703</v>
      </c>
      <c r="E275" s="13">
        <v>93.813000000000002</v>
      </c>
      <c r="F275" s="21">
        <v>82.228999999999999</v>
      </c>
      <c r="G275" s="22">
        <v>1577.962</v>
      </c>
      <c r="H275" s="13">
        <v>6.9</v>
      </c>
      <c r="I275" s="23">
        <v>2.1999999999999999E-2</v>
      </c>
      <c r="J275" s="13">
        <v>7.9089999999999998</v>
      </c>
      <c r="K275" s="24">
        <v>25.683</v>
      </c>
      <c r="L275" s="13">
        <v>5.4429999999999996</v>
      </c>
      <c r="M275" s="23">
        <v>1.4E-2</v>
      </c>
      <c r="N275" s="22">
        <v>71.048000000000002</v>
      </c>
      <c r="O275" s="25">
        <v>5.2999999999999999E-2</v>
      </c>
      <c r="P275" s="26">
        <v>0.1</v>
      </c>
      <c r="Q275" s="93">
        <f t="shared" si="6"/>
        <v>105.00412252149087</v>
      </c>
      <c r="R275" s="93"/>
      <c r="S275" s="93">
        <f t="shared" si="5"/>
        <v>0.86044268055468409</v>
      </c>
      <c r="T275" s="93"/>
    </row>
    <row r="276" spans="1:20" ht="14.25" customHeight="1" x14ac:dyDescent="0.35">
      <c r="A276" s="1">
        <v>2024</v>
      </c>
      <c r="B276" s="1" t="s">
        <v>31</v>
      </c>
      <c r="C276" s="1">
        <v>30</v>
      </c>
      <c r="D276" s="34">
        <v>106.78100000000001</v>
      </c>
      <c r="E276" s="35">
        <v>91.313000000000002</v>
      </c>
      <c r="F276" s="21">
        <v>82.293000000000006</v>
      </c>
      <c r="G276" s="22">
        <v>1565.0419999999999</v>
      </c>
      <c r="H276" s="13">
        <v>6.9</v>
      </c>
      <c r="I276" s="23">
        <v>2.1999999999999999E-2</v>
      </c>
      <c r="J276" s="13">
        <v>8.0559999999999992</v>
      </c>
      <c r="K276" s="24">
        <v>25.667000000000002</v>
      </c>
      <c r="L276" s="13">
        <v>5.4260000000000002</v>
      </c>
      <c r="M276" s="23">
        <v>1.4E-2</v>
      </c>
      <c r="N276" s="22">
        <v>73.915000000000006</v>
      </c>
      <c r="O276" s="25">
        <v>5.0999999999999997E-2</v>
      </c>
      <c r="P276" s="26">
        <v>0.11799999999999999</v>
      </c>
      <c r="Q276" s="93">
        <f t="shared" si="6"/>
        <v>102.20727971857941</v>
      </c>
      <c r="R276" s="93"/>
      <c r="S276" s="93">
        <f t="shared" si="5"/>
        <v>0.83752431448829778</v>
      </c>
      <c r="T276" s="93"/>
    </row>
    <row r="277" spans="1:20" ht="14.25" customHeight="1" x14ac:dyDescent="0.35">
      <c r="A277" s="1">
        <v>2024</v>
      </c>
      <c r="B277" s="1" t="s">
        <v>32</v>
      </c>
      <c r="C277" s="1">
        <v>1</v>
      </c>
      <c r="D277" s="12">
        <v>108.328</v>
      </c>
      <c r="E277" s="13">
        <v>92.625</v>
      </c>
      <c r="F277" s="14">
        <v>82.62</v>
      </c>
      <c r="G277" s="15">
        <v>1664</v>
      </c>
      <c r="H277" s="16">
        <v>6.9</v>
      </c>
      <c r="I277" s="17">
        <v>2.1999999999999999E-2</v>
      </c>
      <c r="J277" s="16">
        <v>8.0500000000000007</v>
      </c>
      <c r="K277" s="18">
        <v>27</v>
      </c>
      <c r="L277" s="16">
        <v>5.45</v>
      </c>
      <c r="M277" s="17">
        <v>0.01</v>
      </c>
      <c r="N277" s="15">
        <v>70.39</v>
      </c>
      <c r="O277" s="19">
        <v>0.05</v>
      </c>
      <c r="P277" s="20">
        <v>0.12</v>
      </c>
      <c r="Q277" s="93">
        <f t="shared" si="6"/>
        <v>103.68801750643158</v>
      </c>
      <c r="R277" s="243">
        <f>N12+O12</f>
        <v>150.33680000000001</v>
      </c>
      <c r="S277" s="93">
        <f t="shared" si="5"/>
        <v>0.84965802848716832</v>
      </c>
      <c r="T277" s="93"/>
    </row>
    <row r="278" spans="1:20" ht="14.25" customHeight="1" x14ac:dyDescent="0.35">
      <c r="A278" s="1">
        <v>2024</v>
      </c>
      <c r="B278" s="1" t="s">
        <v>32</v>
      </c>
      <c r="C278" s="1">
        <v>2</v>
      </c>
      <c r="D278" s="12">
        <v>104.35899999999999</v>
      </c>
      <c r="E278" s="13">
        <v>89.313000000000002</v>
      </c>
      <c r="F278" s="21">
        <v>82.87</v>
      </c>
      <c r="G278" s="22">
        <v>1649</v>
      </c>
      <c r="H278" s="13">
        <v>6.9</v>
      </c>
      <c r="I278" s="23">
        <v>2.1999999999999999E-2</v>
      </c>
      <c r="J278" s="13">
        <v>7.9668999999999999</v>
      </c>
      <c r="K278" s="24">
        <v>26.69</v>
      </c>
      <c r="L278" s="13">
        <v>5.4080000000000004</v>
      </c>
      <c r="M278" s="23">
        <v>1.4E-2</v>
      </c>
      <c r="N278" s="22">
        <v>77.209000000000003</v>
      </c>
      <c r="O278" s="25">
        <v>5.3999999999999999E-2</v>
      </c>
      <c r="P278" s="26">
        <v>0.09</v>
      </c>
      <c r="Q278" s="93">
        <f t="shared" si="6"/>
        <v>99.889020557507678</v>
      </c>
      <c r="R278" s="93"/>
      <c r="S278" s="93">
        <f t="shared" si="5"/>
        <v>0.81852764008282608</v>
      </c>
      <c r="T278" s="93"/>
    </row>
    <row r="279" spans="1:20" ht="14.25" customHeight="1" x14ac:dyDescent="0.35">
      <c r="A279" s="1">
        <v>2024</v>
      </c>
      <c r="B279" s="1" t="s">
        <v>32</v>
      </c>
      <c r="C279" s="1">
        <v>3</v>
      </c>
      <c r="D279" s="12">
        <v>105.15600000000001</v>
      </c>
      <c r="E279" s="13">
        <v>89.968999999999994</v>
      </c>
      <c r="F279" s="21">
        <v>82.460999999999999</v>
      </c>
      <c r="G279" s="22">
        <v>1665.876</v>
      </c>
      <c r="H279" s="13">
        <v>6.9</v>
      </c>
      <c r="I279" s="23">
        <v>2.1000000000000001E-2</v>
      </c>
      <c r="J279" s="13">
        <v>7.7249999999999996</v>
      </c>
      <c r="K279" s="24">
        <v>26.332000000000001</v>
      </c>
      <c r="L279" s="13">
        <v>5.3849999999999998</v>
      </c>
      <c r="M279" s="23">
        <v>1.4E-2</v>
      </c>
      <c r="N279" s="22">
        <v>81.066000000000003</v>
      </c>
      <c r="O279" s="25">
        <v>5.8000000000000003E-2</v>
      </c>
      <c r="P279" s="26">
        <v>7.5999999999999998E-2</v>
      </c>
      <c r="Q279" s="93">
        <f t="shared" si="6"/>
        <v>100.65188288260025</v>
      </c>
      <c r="R279" s="93"/>
      <c r="S279" s="93">
        <f t="shared" si="5"/>
        <v>0.82477881659032448</v>
      </c>
      <c r="T279" s="93"/>
    </row>
    <row r="280" spans="1:20" ht="14.25" customHeight="1" x14ac:dyDescent="0.35">
      <c r="A280" s="1">
        <v>2024</v>
      </c>
      <c r="B280" s="1" t="s">
        <v>32</v>
      </c>
      <c r="C280" s="1">
        <v>4</v>
      </c>
      <c r="D280" s="12">
        <v>108.39100000000001</v>
      </c>
      <c r="E280" s="13">
        <v>92.531000000000006</v>
      </c>
      <c r="F280" s="21">
        <v>82.566000000000003</v>
      </c>
      <c r="G280" s="22">
        <v>1650.4680000000001</v>
      </c>
      <c r="H280" s="13">
        <v>6.9</v>
      </c>
      <c r="I280" s="23">
        <v>0.02</v>
      </c>
      <c r="J280" s="13">
        <v>7.53</v>
      </c>
      <c r="K280" s="24">
        <v>25.594999999999999</v>
      </c>
      <c r="L280" s="13">
        <v>5.2149999999999999</v>
      </c>
      <c r="M280" s="23">
        <v>1.4E-2</v>
      </c>
      <c r="N280" s="22">
        <v>124.267</v>
      </c>
      <c r="O280" s="25">
        <v>6.6000000000000003E-2</v>
      </c>
      <c r="P280" s="26">
        <v>4.2000000000000003E-2</v>
      </c>
      <c r="Q280" s="93">
        <f t="shared" si="6"/>
        <v>103.74831904530339</v>
      </c>
      <c r="R280" s="93"/>
      <c r="S280" s="93">
        <f t="shared" si="5"/>
        <v>0.85015216163644358</v>
      </c>
      <c r="T280" s="93"/>
    </row>
    <row r="281" spans="1:20" ht="14.25" customHeight="1" x14ac:dyDescent="0.35">
      <c r="A281" s="1">
        <v>2024</v>
      </c>
      <c r="B281" s="1" t="s">
        <v>32</v>
      </c>
      <c r="C281" s="1">
        <v>5</v>
      </c>
      <c r="D281" s="12">
        <v>106.71899999999999</v>
      </c>
      <c r="E281" s="13">
        <v>91.25</v>
      </c>
      <c r="F281" s="21">
        <v>82.492999999999995</v>
      </c>
      <c r="G281" s="22">
        <v>1616.2950000000001</v>
      </c>
      <c r="H281" s="13">
        <v>6.9</v>
      </c>
      <c r="I281" s="23">
        <v>2.1000000000000001E-2</v>
      </c>
      <c r="J281" s="13">
        <v>7.9450000000000003</v>
      </c>
      <c r="K281" s="24">
        <v>26.048999999999999</v>
      </c>
      <c r="L281" s="13">
        <v>5.1449999999999996</v>
      </c>
      <c r="M281" s="23">
        <v>1.4E-2</v>
      </c>
      <c r="N281" s="22">
        <v>141.14400000000001</v>
      </c>
      <c r="O281" s="25">
        <v>7.3999999999999996E-2</v>
      </c>
      <c r="P281" s="26">
        <v>1.0999999999999999E-2</v>
      </c>
      <c r="Q281" s="93">
        <f t="shared" si="6"/>
        <v>102.14793534699128</v>
      </c>
      <c r="R281" s="93"/>
      <c r="S281" s="93">
        <f t="shared" si="5"/>
        <v>0.83703802472234423</v>
      </c>
      <c r="T281" s="93"/>
    </row>
    <row r="282" spans="1:20" ht="14.25" customHeight="1" x14ac:dyDescent="0.35">
      <c r="A282" s="1">
        <v>2024</v>
      </c>
      <c r="B282" s="1" t="s">
        <v>32</v>
      </c>
      <c r="C282" s="1">
        <v>6</v>
      </c>
      <c r="D282" s="12">
        <v>105.578</v>
      </c>
      <c r="E282" s="13">
        <v>90.156000000000006</v>
      </c>
      <c r="F282" s="21">
        <v>82.328999999999994</v>
      </c>
      <c r="G282" s="22">
        <v>1551.989</v>
      </c>
      <c r="H282" s="13">
        <v>6.9</v>
      </c>
      <c r="I282" s="23">
        <v>2.1999999999999999E-2</v>
      </c>
      <c r="J282" s="13">
        <v>7.8769999999999998</v>
      </c>
      <c r="K282" s="24">
        <v>25.832999999999998</v>
      </c>
      <c r="L282" s="13">
        <v>5.1719999999999997</v>
      </c>
      <c r="M282" s="23">
        <v>1.4E-2</v>
      </c>
      <c r="N282" s="22">
        <v>132.60900000000001</v>
      </c>
      <c r="O282" s="25">
        <v>5.8000000000000003E-2</v>
      </c>
      <c r="P282" s="26">
        <v>1.6E-2</v>
      </c>
      <c r="Q282" s="93">
        <f t="shared" si="6"/>
        <v>101.05580747631298</v>
      </c>
      <c r="R282" s="93"/>
      <c r="S282" s="93">
        <f t="shared" si="5"/>
        <v>0.82808872435213654</v>
      </c>
      <c r="T282" s="93"/>
    </row>
    <row r="283" spans="1:20" ht="14.25" customHeight="1" x14ac:dyDescent="0.35">
      <c r="A283" s="1">
        <v>2024</v>
      </c>
      <c r="B283" s="1" t="s">
        <v>32</v>
      </c>
      <c r="C283" s="1">
        <v>7</v>
      </c>
      <c r="D283" s="12">
        <v>99.328000000000003</v>
      </c>
      <c r="E283" s="13">
        <v>84.875</v>
      </c>
      <c r="F283" s="21">
        <v>82.454999999999998</v>
      </c>
      <c r="G283" s="22">
        <v>1542.0820000000001</v>
      </c>
      <c r="H283" s="13">
        <v>6.9</v>
      </c>
      <c r="I283" s="23">
        <v>2.1999999999999999E-2</v>
      </c>
      <c r="J283" s="13">
        <v>7.9059999999999997</v>
      </c>
      <c r="K283" s="24">
        <v>25.466000000000001</v>
      </c>
      <c r="L283" s="13">
        <v>5.1790000000000003</v>
      </c>
      <c r="M283" s="23">
        <v>1.4E-2</v>
      </c>
      <c r="N283" s="22">
        <v>130.46899999999999</v>
      </c>
      <c r="O283" s="25">
        <v>5.3999999999999999E-2</v>
      </c>
      <c r="P283" s="26">
        <v>1.7000000000000001E-2</v>
      </c>
      <c r="Q283" s="93">
        <f t="shared" si="6"/>
        <v>95.073511953316185</v>
      </c>
      <c r="R283" s="93"/>
      <c r="S283" s="93">
        <f t="shared" si="5"/>
        <v>0.77906757859070097</v>
      </c>
      <c r="T283" s="93"/>
    </row>
    <row r="284" spans="1:20" ht="14.25" customHeight="1" x14ac:dyDescent="0.35">
      <c r="A284" s="1">
        <v>2024</v>
      </c>
      <c r="B284" s="1" t="s">
        <v>32</v>
      </c>
      <c r="C284" s="1">
        <v>8</v>
      </c>
      <c r="D284" s="12">
        <v>110.03100000000001</v>
      </c>
      <c r="E284" s="13">
        <v>94.031000000000006</v>
      </c>
      <c r="F284" s="21">
        <v>82.448999999999998</v>
      </c>
      <c r="G284" s="22">
        <v>1606.6980000000001</v>
      </c>
      <c r="H284" s="13">
        <v>6.9</v>
      </c>
      <c r="I284" s="23">
        <v>2.1999999999999999E-2</v>
      </c>
      <c r="J284" s="13">
        <v>7.8029999999999999</v>
      </c>
      <c r="K284" s="24">
        <v>26.315000000000001</v>
      </c>
      <c r="L284" s="13">
        <v>5.1639999999999997</v>
      </c>
      <c r="M284" s="23">
        <v>1.4E-2</v>
      </c>
      <c r="N284" s="22">
        <v>134.774</v>
      </c>
      <c r="O284" s="25">
        <v>5.8999999999999997E-2</v>
      </c>
      <c r="P284" s="26">
        <v>0.02</v>
      </c>
      <c r="Q284" s="93">
        <f t="shared" si="6"/>
        <v>105.31807339053775</v>
      </c>
      <c r="R284" s="93"/>
      <c r="S284" s="93">
        <f t="shared" si="5"/>
        <v>0.86301531028424427</v>
      </c>
      <c r="T284" s="93"/>
    </row>
    <row r="285" spans="1:20" ht="14.25" customHeight="1" x14ac:dyDescent="0.35">
      <c r="A285" s="1">
        <v>2024</v>
      </c>
      <c r="B285" s="1" t="s">
        <v>32</v>
      </c>
      <c r="C285" s="1">
        <v>9</v>
      </c>
      <c r="D285" s="12">
        <v>109.203</v>
      </c>
      <c r="E285" s="13">
        <v>93.281000000000006</v>
      </c>
      <c r="F285" s="21">
        <v>82.265000000000001</v>
      </c>
      <c r="G285" s="22">
        <v>1623.5070000000001</v>
      </c>
      <c r="H285" s="13">
        <v>6.9</v>
      </c>
      <c r="I285" s="23">
        <v>2.1999999999999999E-2</v>
      </c>
      <c r="J285" s="13">
        <v>7.6230000000000002</v>
      </c>
      <c r="K285" s="24">
        <v>26.071999999999999</v>
      </c>
      <c r="L285" s="13">
        <v>5.1866000000000003</v>
      </c>
      <c r="M285" s="23">
        <v>1.4E-2</v>
      </c>
      <c r="N285" s="22">
        <v>128.60300000000001</v>
      </c>
      <c r="O285" s="25">
        <v>5.2999999999999999E-2</v>
      </c>
      <c r="P285" s="26">
        <v>1.7000000000000001E-2</v>
      </c>
      <c r="Q285" s="93">
        <f t="shared" si="6"/>
        <v>104.52553887965112</v>
      </c>
      <c r="R285" s="93"/>
      <c r="S285" s="93">
        <f t="shared" si="5"/>
        <v>0.85652098889376926</v>
      </c>
      <c r="T285" s="93"/>
    </row>
    <row r="286" spans="1:20" ht="14.25" customHeight="1" x14ac:dyDescent="0.35">
      <c r="A286" s="1">
        <v>2024</v>
      </c>
      <c r="B286" s="1" t="s">
        <v>32</v>
      </c>
      <c r="C286" s="1">
        <v>10</v>
      </c>
      <c r="D286" s="12">
        <v>111.10899999999999</v>
      </c>
      <c r="E286" s="13">
        <v>95</v>
      </c>
      <c r="F286" s="27">
        <v>82.27</v>
      </c>
      <c r="G286" s="22">
        <v>1664.414</v>
      </c>
      <c r="H286" s="13">
        <v>6.9</v>
      </c>
      <c r="I286" s="23">
        <v>2.1999999999999999E-2</v>
      </c>
      <c r="J286" s="28">
        <v>6.8330000000000002</v>
      </c>
      <c r="K286" s="24">
        <v>25.963999999999999</v>
      </c>
      <c r="L286" s="13">
        <v>5.2030000000000003</v>
      </c>
      <c r="M286" s="29">
        <v>1.4E-2</v>
      </c>
      <c r="N286" s="22">
        <v>123.399</v>
      </c>
      <c r="O286" s="30">
        <v>5.1999999999999998E-2</v>
      </c>
      <c r="P286" s="31">
        <v>1.7000000000000001E-2</v>
      </c>
      <c r="Q286" s="93">
        <f t="shared" si="6"/>
        <v>106.34989972234422</v>
      </c>
      <c r="R286" s="93"/>
      <c r="S286" s="93">
        <f t="shared" si="5"/>
        <v>0.87147047750517659</v>
      </c>
      <c r="T286" s="93"/>
    </row>
    <row r="287" spans="1:20" ht="14.25" customHeight="1" x14ac:dyDescent="0.35">
      <c r="A287" s="1">
        <v>2024</v>
      </c>
      <c r="B287" s="1" t="s">
        <v>32</v>
      </c>
      <c r="C287" s="1">
        <v>11</v>
      </c>
      <c r="D287" s="12">
        <v>110.563</v>
      </c>
      <c r="E287" s="13">
        <v>94.468999999999994</v>
      </c>
      <c r="F287" s="27">
        <v>82.2</v>
      </c>
      <c r="G287" s="22">
        <v>1639.702</v>
      </c>
      <c r="H287" s="13">
        <v>6.9</v>
      </c>
      <c r="I287" s="23">
        <v>2.1000000000000001E-2</v>
      </c>
      <c r="J287" s="28">
        <v>6.39</v>
      </c>
      <c r="K287" s="24">
        <v>26.006</v>
      </c>
      <c r="L287" s="13">
        <v>5.2430000000000003</v>
      </c>
      <c r="M287" s="29">
        <v>1.4E-2</v>
      </c>
      <c r="N287" s="22">
        <v>112.824</v>
      </c>
      <c r="O287" s="30">
        <v>5.5E-2</v>
      </c>
      <c r="P287" s="31">
        <v>0.16500000000000001</v>
      </c>
      <c r="Q287" s="93">
        <f t="shared" si="6"/>
        <v>105.82728638545522</v>
      </c>
      <c r="R287" s="93"/>
      <c r="S287" s="93">
        <f t="shared" si="5"/>
        <v>0.86718799021145765</v>
      </c>
      <c r="T287" s="93"/>
    </row>
    <row r="288" spans="1:20" ht="14.25" customHeight="1" x14ac:dyDescent="0.35">
      <c r="A288" s="1">
        <v>2024</v>
      </c>
      <c r="B288" s="1" t="s">
        <v>32</v>
      </c>
      <c r="C288" s="1">
        <v>12</v>
      </c>
      <c r="D288" s="12">
        <v>110.5</v>
      </c>
      <c r="E288" s="13">
        <v>94.438000000000002</v>
      </c>
      <c r="F288" s="27">
        <v>81.971000000000004</v>
      </c>
      <c r="G288" s="22">
        <v>1633.3130000000001</v>
      </c>
      <c r="H288" s="13">
        <v>6.9</v>
      </c>
      <c r="I288" s="23">
        <v>2.1000000000000001E-2</v>
      </c>
      <c r="J288" s="28">
        <v>7.0430000000000001</v>
      </c>
      <c r="K288" s="24">
        <v>26.193000000000001</v>
      </c>
      <c r="L288" s="13">
        <v>5.2690000000000001</v>
      </c>
      <c r="M288" s="29">
        <v>1.4E-2</v>
      </c>
      <c r="N288" s="22">
        <v>106.024</v>
      </c>
      <c r="O288" s="30">
        <v>5.8999999999999997E-2</v>
      </c>
      <c r="P288" s="31">
        <v>0.40400000000000003</v>
      </c>
      <c r="Q288" s="93">
        <f t="shared" si="6"/>
        <v>105.76698484658343</v>
      </c>
      <c r="R288" s="93"/>
      <c r="S288" s="93">
        <f t="shared" si="5"/>
        <v>0.86669385706218238</v>
      </c>
      <c r="T288" s="93"/>
    </row>
    <row r="289" spans="1:20" ht="14.25" customHeight="1" x14ac:dyDescent="0.35">
      <c r="A289" s="1">
        <v>2024</v>
      </c>
      <c r="B289" s="1" t="s">
        <v>32</v>
      </c>
      <c r="C289" s="1">
        <v>13</v>
      </c>
      <c r="D289" s="12">
        <v>108.85899999999999</v>
      </c>
      <c r="E289" s="13">
        <v>93</v>
      </c>
      <c r="F289" s="27">
        <v>81.938999999999993</v>
      </c>
      <c r="G289" s="22">
        <v>1557.8630000000001</v>
      </c>
      <c r="H289" s="13">
        <v>6.9</v>
      </c>
      <c r="I289" s="23">
        <v>2.1000000000000001E-2</v>
      </c>
      <c r="J289" s="28">
        <v>7.51</v>
      </c>
      <c r="K289" s="24">
        <v>25.956</v>
      </c>
      <c r="L289" s="13">
        <v>5.3049999999999997</v>
      </c>
      <c r="M289" s="23">
        <v>1.4E-2</v>
      </c>
      <c r="N289" s="22">
        <v>97.721000000000004</v>
      </c>
      <c r="O289" s="30">
        <v>4.9000000000000002E-2</v>
      </c>
      <c r="P289" s="31">
        <v>0.52</v>
      </c>
      <c r="Q289" s="93">
        <f t="shared" si="6"/>
        <v>104.19627333406537</v>
      </c>
      <c r="R289" s="93"/>
      <c r="S289" s="93">
        <f t="shared" si="5"/>
        <v>0.85382286503105975</v>
      </c>
      <c r="T289" s="93"/>
    </row>
    <row r="290" spans="1:20" ht="14.25" customHeight="1" x14ac:dyDescent="0.35">
      <c r="A290" s="1">
        <v>2024</v>
      </c>
      <c r="B290" s="1" t="s">
        <v>32</v>
      </c>
      <c r="C290" s="1">
        <v>14</v>
      </c>
      <c r="D290" s="12">
        <v>108.688</v>
      </c>
      <c r="E290" s="13">
        <v>92.813000000000002</v>
      </c>
      <c r="F290" s="21">
        <v>81.908000000000001</v>
      </c>
      <c r="G290" s="22">
        <v>1555.0429999999999</v>
      </c>
      <c r="H290" s="13">
        <v>6.9</v>
      </c>
      <c r="I290" s="23">
        <v>2.1999999999999999E-2</v>
      </c>
      <c r="J290" s="28">
        <v>7.7930000000000001</v>
      </c>
      <c r="K290" s="33">
        <v>25.87</v>
      </c>
      <c r="L290" s="13">
        <v>5.3220000000000001</v>
      </c>
      <c r="M290" s="23">
        <v>1.4E-2</v>
      </c>
      <c r="N290" s="22">
        <v>94.087000000000003</v>
      </c>
      <c r="O290" s="30">
        <v>4.8000000000000001E-2</v>
      </c>
      <c r="P290" s="31">
        <v>0.57299999999999995</v>
      </c>
      <c r="Q290" s="93">
        <f t="shared" si="6"/>
        <v>104.03259772855618</v>
      </c>
      <c r="R290" s="93"/>
      <c r="S290" s="93">
        <f t="shared" si="5"/>
        <v>0.85248164648302693</v>
      </c>
      <c r="T290" s="93"/>
    </row>
    <row r="291" spans="1:20" ht="14.25" customHeight="1" x14ac:dyDescent="0.35">
      <c r="A291" s="1">
        <v>2024</v>
      </c>
      <c r="B291" s="1" t="s">
        <v>32</v>
      </c>
      <c r="C291" s="1">
        <v>15</v>
      </c>
      <c r="D291" s="12">
        <v>104.76600000000001</v>
      </c>
      <c r="E291" s="13">
        <v>89.625</v>
      </c>
      <c r="F291" s="21">
        <v>81.694999999999993</v>
      </c>
      <c r="G291" s="22">
        <v>1623.075</v>
      </c>
      <c r="H291" s="13">
        <v>6.9</v>
      </c>
      <c r="I291" s="23">
        <v>2.3E-2</v>
      </c>
      <c r="J291" s="28">
        <v>7.9020000000000001</v>
      </c>
      <c r="K291" s="24">
        <v>26.963999999999999</v>
      </c>
      <c r="L291" s="13">
        <v>5.3369999999999997</v>
      </c>
      <c r="M291" s="23">
        <v>1.4E-2</v>
      </c>
      <c r="N291" s="22">
        <v>90.942999999999998</v>
      </c>
      <c r="O291" s="30">
        <v>0.06</v>
      </c>
      <c r="P291" s="31">
        <v>0.51</v>
      </c>
      <c r="Q291" s="93">
        <f t="shared" si="6"/>
        <v>100.27858764196525</v>
      </c>
      <c r="R291" s="93"/>
      <c r="S291" s="93">
        <f t="shared" si="5"/>
        <v>0.82171989709481086</v>
      </c>
      <c r="T291" s="93"/>
    </row>
    <row r="292" spans="1:20" ht="14.25" customHeight="1" x14ac:dyDescent="0.35">
      <c r="A292" s="1">
        <v>2024</v>
      </c>
      <c r="B292" s="1" t="s">
        <v>32</v>
      </c>
      <c r="C292" s="1">
        <v>16</v>
      </c>
      <c r="D292" s="12">
        <v>108.46899999999999</v>
      </c>
      <c r="E292" s="13">
        <v>92.656000000000006</v>
      </c>
      <c r="F292" s="21">
        <v>81.694999999999993</v>
      </c>
      <c r="G292" s="22">
        <v>1638.4179999999999</v>
      </c>
      <c r="H292" s="13">
        <v>6.9</v>
      </c>
      <c r="I292" s="23">
        <v>2.3E-2</v>
      </c>
      <c r="J292" s="28">
        <v>7.5339999999999998</v>
      </c>
      <c r="K292" s="24">
        <v>26.946999999999999</v>
      </c>
      <c r="L292" s="13">
        <v>5.3120000000000003</v>
      </c>
      <c r="M292" s="23">
        <v>1.4E-2</v>
      </c>
      <c r="N292" s="22">
        <v>90.942999999999998</v>
      </c>
      <c r="O292" s="30">
        <v>5.1999999999999998E-2</v>
      </c>
      <c r="P292" s="31">
        <v>0.45800000000000002</v>
      </c>
      <c r="Q292" s="93">
        <f t="shared" si="6"/>
        <v>103.82297809343038</v>
      </c>
      <c r="R292" s="93"/>
      <c r="S292" s="93">
        <f t="shared" si="5"/>
        <v>0.85076394553554624</v>
      </c>
      <c r="T292" s="93"/>
    </row>
    <row r="293" spans="1:20" ht="14.25" customHeight="1" x14ac:dyDescent="0.35">
      <c r="A293" s="1">
        <v>2024</v>
      </c>
      <c r="B293" s="1" t="s">
        <v>32</v>
      </c>
      <c r="C293" s="1">
        <v>17</v>
      </c>
      <c r="D293" s="12">
        <v>109.89100000000001</v>
      </c>
      <c r="E293" s="13">
        <v>94</v>
      </c>
      <c r="F293" s="21">
        <v>81.808999999999997</v>
      </c>
      <c r="G293" s="22">
        <v>1674.548</v>
      </c>
      <c r="H293" s="13">
        <v>6.9</v>
      </c>
      <c r="I293" s="23">
        <v>2.1999999999999999E-2</v>
      </c>
      <c r="J293" s="13">
        <v>7.4130000000000003</v>
      </c>
      <c r="K293" s="24">
        <v>27.245999999999999</v>
      </c>
      <c r="L293" s="13">
        <v>5.2770000000000001</v>
      </c>
      <c r="M293" s="23">
        <v>1.4E-2</v>
      </c>
      <c r="N293" s="22">
        <v>103.88</v>
      </c>
      <c r="O293" s="25">
        <v>5.1999999999999998E-2</v>
      </c>
      <c r="P293" s="26">
        <v>0.441</v>
      </c>
      <c r="Q293" s="93">
        <f t="shared" si="6"/>
        <v>105.18406997082262</v>
      </c>
      <c r="R293" s="93"/>
      <c r="S293" s="93">
        <f t="shared" si="5"/>
        <v>0.86191723661918818</v>
      </c>
      <c r="T293" s="93"/>
    </row>
    <row r="294" spans="1:20" ht="14.25" customHeight="1" x14ac:dyDescent="0.35">
      <c r="A294" s="1">
        <v>2024</v>
      </c>
      <c r="B294" s="1" t="s">
        <v>32</v>
      </c>
      <c r="C294" s="1">
        <v>18</v>
      </c>
      <c r="D294" s="12">
        <v>109.90600000000001</v>
      </c>
      <c r="E294" s="13">
        <v>93.968999999999994</v>
      </c>
      <c r="F294" s="21">
        <v>81.507000000000005</v>
      </c>
      <c r="G294" s="22">
        <v>1652.4829999999999</v>
      </c>
      <c r="H294" s="13">
        <v>6.9</v>
      </c>
      <c r="I294" s="23">
        <v>2.1999999999999999E-2</v>
      </c>
      <c r="J294" s="13">
        <v>6.7919999999999998</v>
      </c>
      <c r="K294" s="24">
        <v>27.033000000000001</v>
      </c>
      <c r="L294" s="13">
        <v>5.2320000000000002</v>
      </c>
      <c r="M294" s="23">
        <v>1.4E-2</v>
      </c>
      <c r="N294" s="22">
        <v>115.148</v>
      </c>
      <c r="O294" s="25">
        <v>5.0999999999999997E-2</v>
      </c>
      <c r="P294" s="26">
        <v>0.43099999999999999</v>
      </c>
      <c r="Q294" s="93">
        <f t="shared" si="6"/>
        <v>105.19842748007781</v>
      </c>
      <c r="R294" s="93"/>
      <c r="S294" s="93">
        <f t="shared" si="5"/>
        <v>0.86203488736901557</v>
      </c>
      <c r="T294" s="93"/>
    </row>
    <row r="295" spans="1:20" ht="14.25" customHeight="1" x14ac:dyDescent="0.35">
      <c r="A295" s="1">
        <v>2024</v>
      </c>
      <c r="B295" s="1" t="s">
        <v>32</v>
      </c>
      <c r="C295" s="1">
        <v>19</v>
      </c>
      <c r="D295" s="12">
        <v>108.547</v>
      </c>
      <c r="E295" s="13">
        <v>92.968999999999994</v>
      </c>
      <c r="F295" s="21">
        <v>81.203999999999994</v>
      </c>
      <c r="G295" s="22">
        <v>1632.308</v>
      </c>
      <c r="H295" s="13">
        <v>6.9</v>
      </c>
      <c r="I295" s="23">
        <v>2.3E-2</v>
      </c>
      <c r="J295" s="13">
        <v>6.5309999999999997</v>
      </c>
      <c r="K295" s="24">
        <v>26.802</v>
      </c>
      <c r="L295" s="13">
        <v>5.2430000000000003</v>
      </c>
      <c r="M295" s="23">
        <v>1.4E-2</v>
      </c>
      <c r="N295" s="22">
        <v>112.416</v>
      </c>
      <c r="O295" s="25">
        <v>4.7E-2</v>
      </c>
      <c r="P295" s="26">
        <v>0.45100000000000001</v>
      </c>
      <c r="Q295" s="93">
        <f t="shared" si="6"/>
        <v>103.89763714155738</v>
      </c>
      <c r="R295" s="93"/>
      <c r="S295" s="93">
        <f t="shared" si="5"/>
        <v>0.8513757294346489</v>
      </c>
      <c r="T295" s="93"/>
    </row>
    <row r="296" spans="1:20" ht="14.25" customHeight="1" x14ac:dyDescent="0.35">
      <c r="A296" s="1">
        <v>2024</v>
      </c>
      <c r="B296" s="1" t="s">
        <v>32</v>
      </c>
      <c r="C296" s="1">
        <v>20</v>
      </c>
      <c r="D296" s="12">
        <v>107.51600000000001</v>
      </c>
      <c r="E296" s="13">
        <v>92</v>
      </c>
      <c r="F296" s="21">
        <v>81.191999999999993</v>
      </c>
      <c r="G296" s="22">
        <v>1570.6780000000001</v>
      </c>
      <c r="H296" s="13">
        <v>6.9</v>
      </c>
      <c r="I296" s="23">
        <v>2.3E-2</v>
      </c>
      <c r="J296" s="13">
        <v>6.6710000000000003</v>
      </c>
      <c r="K296" s="24">
        <v>26.405999999999999</v>
      </c>
      <c r="L296" s="13">
        <v>5.2640000000000002</v>
      </c>
      <c r="M296" s="23">
        <v>1.4E-2</v>
      </c>
      <c r="N296" s="22">
        <v>107.503</v>
      </c>
      <c r="O296" s="25">
        <v>4.2999999999999997E-2</v>
      </c>
      <c r="P296" s="26">
        <v>0.41199999999999998</v>
      </c>
      <c r="Q296" s="93">
        <f t="shared" si="6"/>
        <v>102.91079767208385</v>
      </c>
      <c r="R296" s="93"/>
      <c r="S296" s="93">
        <f t="shared" si="5"/>
        <v>0.84328920122984263</v>
      </c>
      <c r="T296" s="93"/>
    </row>
    <row r="297" spans="1:20" ht="14.25" customHeight="1" x14ac:dyDescent="0.35">
      <c r="A297" s="1">
        <v>2024</v>
      </c>
      <c r="B297" s="1" t="s">
        <v>32</v>
      </c>
      <c r="C297" s="1">
        <v>21</v>
      </c>
      <c r="D297" s="12">
        <v>108.65600000000001</v>
      </c>
      <c r="E297" s="13">
        <v>92.906000000000006</v>
      </c>
      <c r="F297" s="21">
        <v>81.239999999999995</v>
      </c>
      <c r="G297" s="22">
        <v>1574.345</v>
      </c>
      <c r="H297" s="13">
        <v>6.9</v>
      </c>
      <c r="I297" s="23">
        <v>2.4E-2</v>
      </c>
      <c r="J297" s="13">
        <v>7.6710000000000003</v>
      </c>
      <c r="K297" s="24">
        <v>26.731000000000002</v>
      </c>
      <c r="L297" s="13">
        <v>5.2930000000000001</v>
      </c>
      <c r="M297" s="23">
        <v>1.4E-2</v>
      </c>
      <c r="N297" s="22">
        <v>100.797</v>
      </c>
      <c r="O297" s="25">
        <v>4.3999999999999997E-2</v>
      </c>
      <c r="P297" s="26">
        <v>0.49399999999999999</v>
      </c>
      <c r="Q297" s="93">
        <f t="shared" si="6"/>
        <v>104.00196837547846</v>
      </c>
      <c r="R297" s="93"/>
      <c r="S297" s="93">
        <f t="shared" si="5"/>
        <v>0.8522306582167285</v>
      </c>
      <c r="T297" s="93"/>
    </row>
    <row r="298" spans="1:20" ht="14.25" customHeight="1" x14ac:dyDescent="0.35">
      <c r="A298" s="1">
        <v>2024</v>
      </c>
      <c r="B298" s="1" t="s">
        <v>32</v>
      </c>
      <c r="C298" s="1">
        <v>22</v>
      </c>
      <c r="D298" s="12">
        <v>111.172</v>
      </c>
      <c r="E298" s="13">
        <v>94.938000000000002</v>
      </c>
      <c r="F298" s="21">
        <v>81.426000000000002</v>
      </c>
      <c r="G298" s="22">
        <v>1613.0429999999999</v>
      </c>
      <c r="H298" s="13">
        <v>6.9</v>
      </c>
      <c r="I298" s="23">
        <v>2.5000000000000001E-2</v>
      </c>
      <c r="J298" s="13">
        <v>8.2309999999999999</v>
      </c>
      <c r="K298" s="24">
        <v>27.393999999999998</v>
      </c>
      <c r="L298" s="13">
        <v>5.29</v>
      </c>
      <c r="M298" s="23">
        <v>1.4E-2</v>
      </c>
      <c r="N298" s="22">
        <v>101.73699999999999</v>
      </c>
      <c r="O298" s="25">
        <v>4.7E-2</v>
      </c>
      <c r="P298" s="26">
        <v>0.73</v>
      </c>
      <c r="Q298" s="93">
        <f t="shared" si="6"/>
        <v>106.41020126121605</v>
      </c>
      <c r="R298" s="93"/>
      <c r="S298" s="93">
        <f t="shared" si="5"/>
        <v>0.87196461065445197</v>
      </c>
      <c r="T298" s="93"/>
    </row>
    <row r="299" spans="1:20" ht="14.25" customHeight="1" x14ac:dyDescent="0.35">
      <c r="A299" s="1">
        <v>2024</v>
      </c>
      <c r="B299" s="1" t="s">
        <v>32</v>
      </c>
      <c r="C299" s="1">
        <v>23</v>
      </c>
      <c r="D299" s="12">
        <v>112.14100000000001</v>
      </c>
      <c r="E299" s="13">
        <v>95.781000000000006</v>
      </c>
      <c r="F299" s="21">
        <v>81.554000000000002</v>
      </c>
      <c r="G299" s="22">
        <v>1618.461</v>
      </c>
      <c r="H299" s="13">
        <v>6.9</v>
      </c>
      <c r="I299" s="23">
        <v>2.5999999999999999E-2</v>
      </c>
      <c r="J299" s="13">
        <v>7.6539999999999999</v>
      </c>
      <c r="K299" s="24">
        <v>28.152000000000001</v>
      </c>
      <c r="L299" s="13">
        <v>5.29</v>
      </c>
      <c r="M299" s="23">
        <v>1.2999999999999999E-2</v>
      </c>
      <c r="N299" s="22">
        <v>101.13</v>
      </c>
      <c r="O299" s="25">
        <v>5.1999999999999998E-2</v>
      </c>
      <c r="P299" s="26">
        <v>0.84</v>
      </c>
      <c r="Q299" s="93">
        <f t="shared" si="6"/>
        <v>107.33769635910147</v>
      </c>
      <c r="R299" s="93"/>
      <c r="S299" s="93">
        <f t="shared" si="5"/>
        <v>0.87956484909330501</v>
      </c>
      <c r="T299" s="93"/>
    </row>
    <row r="300" spans="1:20" ht="14.25" customHeight="1" x14ac:dyDescent="0.35">
      <c r="A300" s="1">
        <v>2024</v>
      </c>
      <c r="B300" s="1" t="s">
        <v>32</v>
      </c>
      <c r="C300" s="1">
        <v>24</v>
      </c>
      <c r="D300" s="12">
        <v>114.96899999999999</v>
      </c>
      <c r="E300" s="13">
        <v>98.156000000000006</v>
      </c>
      <c r="F300" s="21">
        <v>81.554000000000002</v>
      </c>
      <c r="G300" s="22">
        <v>1628.2470000000001</v>
      </c>
      <c r="H300" s="13">
        <v>6.9</v>
      </c>
      <c r="I300" s="23">
        <v>2.7E-2</v>
      </c>
      <c r="J300" s="13">
        <v>7.1849999999999996</v>
      </c>
      <c r="K300" s="24">
        <v>28.39</v>
      </c>
      <c r="L300" s="13">
        <v>5.2530000000000001</v>
      </c>
      <c r="M300" s="23">
        <v>1.2999999999999999E-2</v>
      </c>
      <c r="N300" s="22">
        <v>109.839</v>
      </c>
      <c r="O300" s="25">
        <v>4.5999999999999999E-2</v>
      </c>
      <c r="P300" s="26">
        <v>0.68200000000000005</v>
      </c>
      <c r="Q300" s="93">
        <f t="shared" si="6"/>
        <v>110.04456543734706</v>
      </c>
      <c r="R300" s="93"/>
      <c r="S300" s="93">
        <f t="shared" si="5"/>
        <v>0.90174593712743933</v>
      </c>
      <c r="T300" s="93"/>
    </row>
    <row r="301" spans="1:20" ht="14.25" customHeight="1" x14ac:dyDescent="0.35">
      <c r="A301" s="1">
        <v>2024</v>
      </c>
      <c r="B301" s="1" t="s">
        <v>32</v>
      </c>
      <c r="C301" s="1">
        <v>25</v>
      </c>
      <c r="D301" s="12">
        <v>113.51600000000001</v>
      </c>
      <c r="E301" s="13">
        <v>96.968999999999994</v>
      </c>
      <c r="F301" s="21">
        <v>81.376999999999995</v>
      </c>
      <c r="G301" s="22">
        <v>1640.01</v>
      </c>
      <c r="H301" s="13">
        <v>6.899</v>
      </c>
      <c r="I301" s="23">
        <v>2.5000000000000001E-2</v>
      </c>
      <c r="J301" s="13">
        <v>6.907</v>
      </c>
      <c r="K301" s="24">
        <v>26.396999999999998</v>
      </c>
      <c r="L301" s="13">
        <v>5.3369999999999997</v>
      </c>
      <c r="M301" s="23">
        <v>1.2E-2</v>
      </c>
      <c r="N301" s="22">
        <v>92.504000000000005</v>
      </c>
      <c r="O301" s="25">
        <v>0.05</v>
      </c>
      <c r="P301" s="26">
        <v>0.996</v>
      </c>
      <c r="Q301" s="93">
        <f t="shared" si="6"/>
        <v>108.65380137416076</v>
      </c>
      <c r="R301" s="93"/>
      <c r="S301" s="93">
        <f t="shared" si="5"/>
        <v>0.89034950116082079</v>
      </c>
      <c r="T301" s="93"/>
    </row>
    <row r="302" spans="1:20" ht="14.25" customHeight="1" x14ac:dyDescent="0.35">
      <c r="A302" s="1">
        <v>2024</v>
      </c>
      <c r="B302" s="1" t="s">
        <v>32</v>
      </c>
      <c r="C302" s="1">
        <v>26</v>
      </c>
      <c r="D302" s="12">
        <v>111.063</v>
      </c>
      <c r="E302" s="13">
        <v>94.906000000000006</v>
      </c>
      <c r="F302" s="21">
        <v>81.292000000000002</v>
      </c>
      <c r="G302" s="22">
        <v>1657.2629999999999</v>
      </c>
      <c r="H302" s="13">
        <v>6.9</v>
      </c>
      <c r="I302" s="23">
        <v>2.4E-2</v>
      </c>
      <c r="J302" s="13">
        <v>6.7169999999999996</v>
      </c>
      <c r="K302" s="24">
        <v>26.247</v>
      </c>
      <c r="L302" s="13">
        <v>5.4080000000000004</v>
      </c>
      <c r="M302" s="23">
        <v>1.2E-2</v>
      </c>
      <c r="N302" s="22">
        <v>77.251000000000005</v>
      </c>
      <c r="O302" s="25">
        <v>5.0999999999999997E-2</v>
      </c>
      <c r="P302" s="26">
        <v>1.248</v>
      </c>
      <c r="Q302" s="93">
        <f t="shared" si="6"/>
        <v>106.30587002729497</v>
      </c>
      <c r="R302" s="93"/>
      <c r="S302" s="93">
        <f t="shared" si="5"/>
        <v>0.87110968187237248</v>
      </c>
      <c r="T302" s="93"/>
    </row>
    <row r="303" spans="1:20" ht="14.25" customHeight="1" x14ac:dyDescent="0.35">
      <c r="A303" s="1">
        <v>2024</v>
      </c>
      <c r="B303" s="1" t="s">
        <v>32</v>
      </c>
      <c r="C303" s="1">
        <v>27</v>
      </c>
      <c r="D303" s="12">
        <v>107.96899999999999</v>
      </c>
      <c r="E303" s="13">
        <v>92.218999999999994</v>
      </c>
      <c r="F303" s="21">
        <v>81.289000000000001</v>
      </c>
      <c r="G303" s="22">
        <v>1596.953</v>
      </c>
      <c r="H303" s="13">
        <v>6.9</v>
      </c>
      <c r="I303" s="23">
        <v>2.4E-2</v>
      </c>
      <c r="J303" s="13">
        <v>6.7309999999999999</v>
      </c>
      <c r="K303" s="24">
        <v>26.065000000000001</v>
      </c>
      <c r="L303" s="13">
        <v>5.423</v>
      </c>
      <c r="M303" s="23">
        <v>1.2E-2</v>
      </c>
      <c r="N303" s="22">
        <v>74.366</v>
      </c>
      <c r="O303" s="25">
        <v>4.8000000000000001E-2</v>
      </c>
      <c r="P303" s="26">
        <v>1.24</v>
      </c>
      <c r="Q303" s="93">
        <f t="shared" si="6"/>
        <v>103.34439445159063</v>
      </c>
      <c r="R303" s="93"/>
      <c r="S303" s="93">
        <f t="shared" si="5"/>
        <v>0.8468422538746313</v>
      </c>
      <c r="T303" s="93"/>
    </row>
    <row r="304" spans="1:20" ht="14.25" customHeight="1" x14ac:dyDescent="0.35">
      <c r="A304" s="1">
        <v>2024</v>
      </c>
      <c r="B304" s="1" t="s">
        <v>32</v>
      </c>
      <c r="C304" s="1">
        <v>28</v>
      </c>
      <c r="D304" s="12">
        <v>110.89100000000001</v>
      </c>
      <c r="E304" s="13">
        <v>94.656000000000006</v>
      </c>
      <c r="F304" s="21">
        <v>81.114999999999995</v>
      </c>
      <c r="G304" s="22">
        <v>1583.5540000000001</v>
      </c>
      <c r="H304" s="13">
        <v>6.9009999999999998</v>
      </c>
      <c r="I304" s="23">
        <v>2.3E-2</v>
      </c>
      <c r="J304" s="13">
        <v>7.4989999999999997</v>
      </c>
      <c r="K304" s="24">
        <v>25.658999999999999</v>
      </c>
      <c r="L304" s="13">
        <v>5.3710000000000004</v>
      </c>
      <c r="M304" s="23">
        <v>1.2E-2</v>
      </c>
      <c r="N304" s="22">
        <v>83.921000000000006</v>
      </c>
      <c r="O304" s="25">
        <v>5.0999999999999997E-2</v>
      </c>
      <c r="P304" s="26">
        <v>1.288</v>
      </c>
      <c r="Q304" s="93">
        <f t="shared" si="6"/>
        <v>106.1412372545021</v>
      </c>
      <c r="R304" s="93"/>
      <c r="S304" s="93">
        <f t="shared" si="5"/>
        <v>0.86976061994101783</v>
      </c>
      <c r="T304" s="93"/>
    </row>
    <row r="305" spans="1:20" ht="14.25" customHeight="1" x14ac:dyDescent="0.35">
      <c r="A305" s="1">
        <v>2024</v>
      </c>
      <c r="B305" s="1" t="s">
        <v>32</v>
      </c>
      <c r="C305" s="1">
        <v>29</v>
      </c>
      <c r="D305" s="12">
        <v>111.438</v>
      </c>
      <c r="E305" s="13">
        <v>95.063000000000002</v>
      </c>
      <c r="F305" s="21">
        <v>80.816000000000003</v>
      </c>
      <c r="G305" s="22">
        <v>1640.979</v>
      </c>
      <c r="H305" s="13">
        <v>6.9</v>
      </c>
      <c r="I305" s="23">
        <v>2.3E-2</v>
      </c>
      <c r="J305" s="13">
        <v>8.0389999999999997</v>
      </c>
      <c r="K305" s="24">
        <v>27.399000000000001</v>
      </c>
      <c r="L305" s="13">
        <v>5.3579999999999997</v>
      </c>
      <c r="M305" s="23">
        <v>1.2E-2</v>
      </c>
      <c r="N305" s="22">
        <v>86.605000000000004</v>
      </c>
      <c r="O305" s="25">
        <v>5.6000000000000001E-2</v>
      </c>
      <c r="P305" s="26">
        <v>1.2</v>
      </c>
      <c r="Q305" s="93">
        <f t="shared" si="6"/>
        <v>106.6648077586748</v>
      </c>
      <c r="R305" s="93"/>
      <c r="S305" s="93">
        <f t="shared" si="5"/>
        <v>0.87405095061805871</v>
      </c>
      <c r="T305" s="93"/>
    </row>
    <row r="306" spans="1:20" ht="14.25" customHeight="1" x14ac:dyDescent="0.35">
      <c r="A306" s="1">
        <v>2024</v>
      </c>
      <c r="B306" s="1" t="s">
        <v>32</v>
      </c>
      <c r="C306" s="1">
        <v>30</v>
      </c>
      <c r="D306" s="12">
        <v>111.313</v>
      </c>
      <c r="E306" s="13">
        <v>94.843999999999994</v>
      </c>
      <c r="F306" s="21">
        <v>80.676000000000002</v>
      </c>
      <c r="G306" s="22">
        <v>1668.152</v>
      </c>
      <c r="H306" s="13">
        <v>6.9</v>
      </c>
      <c r="I306" s="23">
        <v>2.3E-2</v>
      </c>
      <c r="J306" s="13">
        <v>7.71</v>
      </c>
      <c r="K306" s="24">
        <v>28.690999999999999</v>
      </c>
      <c r="L306" s="13">
        <v>5.3410000000000002</v>
      </c>
      <c r="M306" s="23">
        <v>1.2E-2</v>
      </c>
      <c r="N306" s="22">
        <v>89.873999999999995</v>
      </c>
      <c r="O306" s="25">
        <v>0.05</v>
      </c>
      <c r="P306" s="26">
        <v>1.1259999999999999</v>
      </c>
      <c r="Q306" s="93">
        <f t="shared" si="6"/>
        <v>106.54516184821485</v>
      </c>
      <c r="R306" s="93"/>
      <c r="S306" s="93">
        <f t="shared" si="5"/>
        <v>0.87307052770282989</v>
      </c>
      <c r="T306" s="93"/>
    </row>
    <row r="307" spans="1:20" ht="14.25" customHeight="1" x14ac:dyDescent="0.35">
      <c r="A307" s="1">
        <v>2024</v>
      </c>
      <c r="B307" s="1" t="s">
        <v>32</v>
      </c>
      <c r="C307" s="1">
        <v>31</v>
      </c>
      <c r="D307" s="34">
        <v>108.188</v>
      </c>
      <c r="E307" s="35">
        <v>92.156000000000006</v>
      </c>
      <c r="F307" s="36">
        <v>80.441999999999993</v>
      </c>
      <c r="G307" s="37">
        <v>1688.7270000000001</v>
      </c>
      <c r="H307" s="35">
        <v>6.9</v>
      </c>
      <c r="I307" s="38">
        <v>2.3E-2</v>
      </c>
      <c r="J307" s="35">
        <v>7.7110000000000003</v>
      </c>
      <c r="K307" s="39">
        <v>29.47</v>
      </c>
      <c r="L307" s="35">
        <v>5.3570000000000002</v>
      </c>
      <c r="M307" s="38">
        <v>1.2E-2</v>
      </c>
      <c r="N307" s="37">
        <v>86.631</v>
      </c>
      <c r="O307" s="40">
        <v>6.0999999999999999E-2</v>
      </c>
      <c r="P307" s="41">
        <v>1.0740000000000001</v>
      </c>
      <c r="Q307" s="93">
        <f t="shared" si="6"/>
        <v>103.55401408671645</v>
      </c>
      <c r="R307" s="93"/>
      <c r="S307" s="93">
        <f t="shared" si="5"/>
        <v>0.84855995482211211</v>
      </c>
      <c r="T307" s="93"/>
    </row>
    <row r="308" spans="1:20" ht="14.25" customHeight="1" x14ac:dyDescent="0.35">
      <c r="A308" s="1">
        <v>2024</v>
      </c>
      <c r="B308" s="1" t="s">
        <v>33</v>
      </c>
      <c r="C308" s="1">
        <v>1</v>
      </c>
      <c r="D308" s="47">
        <v>107.313</v>
      </c>
      <c r="E308" s="16">
        <v>91.281000000000006</v>
      </c>
      <c r="F308" s="14">
        <v>80.16</v>
      </c>
      <c r="G308" s="15">
        <v>1718.74</v>
      </c>
      <c r="H308" s="16">
        <v>6.9</v>
      </c>
      <c r="I308" s="17">
        <v>0.02</v>
      </c>
      <c r="J308" s="16">
        <v>7.79</v>
      </c>
      <c r="K308" s="18">
        <v>29</v>
      </c>
      <c r="L308" s="16">
        <v>5.45</v>
      </c>
      <c r="M308" s="17">
        <v>0.01</v>
      </c>
      <c r="N308" s="15">
        <v>72.13</v>
      </c>
      <c r="O308" s="19">
        <v>0.06</v>
      </c>
      <c r="P308" s="20">
        <v>1.07</v>
      </c>
      <c r="Q308" s="93">
        <f t="shared" si="6"/>
        <v>102.7164927134969</v>
      </c>
      <c r="R308" s="243">
        <f>N13+O13</f>
        <v>150.89759999999998</v>
      </c>
      <c r="S308" s="93">
        <f t="shared" si="5"/>
        <v>0.84169699441551116</v>
      </c>
      <c r="T308" s="93"/>
    </row>
    <row r="309" spans="1:20" ht="14.25" customHeight="1" x14ac:dyDescent="0.35">
      <c r="A309" s="1">
        <v>2024</v>
      </c>
      <c r="B309" s="1" t="s">
        <v>33</v>
      </c>
      <c r="C309" s="1">
        <v>2</v>
      </c>
      <c r="D309" s="48">
        <v>115.39100000000001</v>
      </c>
      <c r="E309" s="13">
        <v>98.031000000000006</v>
      </c>
      <c r="F309" s="21">
        <v>80.245000000000005</v>
      </c>
      <c r="G309" s="22">
        <v>1657.16</v>
      </c>
      <c r="H309" s="13">
        <v>6.9</v>
      </c>
      <c r="I309" s="23">
        <v>2.3E-2</v>
      </c>
      <c r="J309" s="13">
        <v>8.1310000000000002</v>
      </c>
      <c r="K309" s="24">
        <v>29.620999999999999</v>
      </c>
      <c r="L309" s="13">
        <v>5.5110000000000001</v>
      </c>
      <c r="M309" s="23">
        <v>1.3100000000000001E-2</v>
      </c>
      <c r="N309" s="22">
        <v>60.902000000000001</v>
      </c>
      <c r="O309" s="25">
        <v>6.2E-2</v>
      </c>
      <c r="P309" s="26">
        <v>1.1499999999999999</v>
      </c>
      <c r="Q309" s="93">
        <f t="shared" si="6"/>
        <v>110.44849003105981</v>
      </c>
      <c r="R309" s="93"/>
      <c r="S309" s="93">
        <f t="shared" si="5"/>
        <v>0.9050558448892515</v>
      </c>
      <c r="T309" s="93"/>
    </row>
    <row r="310" spans="1:20" ht="14.25" customHeight="1" x14ac:dyDescent="0.35">
      <c r="A310" s="1">
        <v>2024</v>
      </c>
      <c r="B310" s="1" t="s">
        <v>33</v>
      </c>
      <c r="C310" s="1">
        <v>3</v>
      </c>
      <c r="D310" s="48">
        <v>115.797</v>
      </c>
      <c r="E310" s="13">
        <v>98.438000000000002</v>
      </c>
      <c r="F310" s="21">
        <v>80.293000000000006</v>
      </c>
      <c r="G310" s="22">
        <v>1586.095</v>
      </c>
      <c r="H310" s="13">
        <v>6.9</v>
      </c>
      <c r="I310" s="23">
        <v>2.3E-2</v>
      </c>
      <c r="J310" s="13">
        <v>8.2910000000000004</v>
      </c>
      <c r="K310" s="24">
        <v>29.134</v>
      </c>
      <c r="L310" s="13">
        <v>5.5380000000000003</v>
      </c>
      <c r="M310" s="23">
        <v>1.2999999999999999E-2</v>
      </c>
      <c r="N310" s="22">
        <v>60.902000000000001</v>
      </c>
      <c r="O310" s="25">
        <v>5.0999999999999997E-2</v>
      </c>
      <c r="P310" s="26">
        <v>1.2250000000000001</v>
      </c>
      <c r="Q310" s="93">
        <f t="shared" si="6"/>
        <v>110.83709994823367</v>
      </c>
      <c r="R310" s="93"/>
      <c r="S310" s="93">
        <f t="shared" si="5"/>
        <v>0.90824025851791435</v>
      </c>
      <c r="T310" s="93"/>
    </row>
    <row r="311" spans="1:20" ht="14.25" customHeight="1" x14ac:dyDescent="0.35">
      <c r="A311" s="1">
        <v>2024</v>
      </c>
      <c r="B311" s="1" t="s">
        <v>33</v>
      </c>
      <c r="C311" s="1">
        <v>4</v>
      </c>
      <c r="D311" s="48">
        <v>100.01600000000001</v>
      </c>
      <c r="E311" s="13">
        <v>84.906000000000006</v>
      </c>
      <c r="F311" s="21">
        <v>80.159000000000006</v>
      </c>
      <c r="G311" s="22">
        <v>1575.855</v>
      </c>
      <c r="H311" s="13">
        <v>6.9</v>
      </c>
      <c r="I311" s="23">
        <v>2.3E-2</v>
      </c>
      <c r="J311" s="13">
        <v>8.3209999999999997</v>
      </c>
      <c r="K311" s="24">
        <v>28.957000000000001</v>
      </c>
      <c r="L311" s="13">
        <v>5.5389999999999997</v>
      </c>
      <c r="M311" s="23">
        <v>1.2999999999999999E-2</v>
      </c>
      <c r="N311" s="22">
        <v>57.174999999999997</v>
      </c>
      <c r="O311" s="25">
        <v>5.5E-2</v>
      </c>
      <c r="P311" s="26">
        <v>1.28</v>
      </c>
      <c r="Q311" s="93">
        <f t="shared" si="6"/>
        <v>95.732043044487668</v>
      </c>
      <c r="R311" s="93"/>
      <c r="S311" s="93">
        <f t="shared" si="5"/>
        <v>0.78446382631611977</v>
      </c>
      <c r="T311" s="93"/>
    </row>
    <row r="312" spans="1:20" ht="14.25" customHeight="1" x14ac:dyDescent="0.35">
      <c r="A312" s="1">
        <v>2024</v>
      </c>
      <c r="B312" s="1" t="s">
        <v>33</v>
      </c>
      <c r="C312" s="1">
        <v>5</v>
      </c>
      <c r="D312" s="48">
        <v>6.375</v>
      </c>
      <c r="E312" s="13">
        <v>5.3129999999999997</v>
      </c>
      <c r="F312" s="21">
        <v>74.558999999999997</v>
      </c>
      <c r="G312" s="22">
        <v>1639.6410000000001</v>
      </c>
      <c r="H312" s="13">
        <v>6.7160000000000002</v>
      </c>
      <c r="I312" s="23">
        <v>5.8000000000000003E-2</v>
      </c>
      <c r="J312" s="13">
        <v>4.0810000000000004</v>
      </c>
      <c r="K312" s="24">
        <v>40.133000000000003</v>
      </c>
      <c r="L312" s="13">
        <v>5.8570000000000002</v>
      </c>
      <c r="M312" s="23">
        <v>1.7999999999999999E-2</v>
      </c>
      <c r="N312" s="22">
        <v>29.611999999999998</v>
      </c>
      <c r="O312" s="25">
        <v>7.1999999999999995E-2</v>
      </c>
      <c r="P312" s="26">
        <v>6.1820000000000004</v>
      </c>
      <c r="Q312" s="93">
        <f t="shared" si="6"/>
        <v>6.1019414334567355</v>
      </c>
      <c r="R312" s="93"/>
      <c r="S312" s="93">
        <f t="shared" si="5"/>
        <v>5.0001568676664367E-2</v>
      </c>
      <c r="T312" s="93"/>
    </row>
    <row r="313" spans="1:20" ht="14.25" customHeight="1" x14ac:dyDescent="0.35">
      <c r="A313" s="1">
        <v>2024</v>
      </c>
      <c r="B313" s="1" t="s">
        <v>33</v>
      </c>
      <c r="C313" s="1">
        <v>6</v>
      </c>
      <c r="D313" s="48">
        <v>10.734</v>
      </c>
      <c r="E313" s="13">
        <v>9.2810000000000006</v>
      </c>
      <c r="F313" s="21">
        <v>73.798000000000002</v>
      </c>
      <c r="G313" s="22">
        <v>1674.896</v>
      </c>
      <c r="H313" s="13">
        <v>6.7729999999999997</v>
      </c>
      <c r="I313" s="23">
        <v>0.06</v>
      </c>
      <c r="J313" s="13">
        <v>8.0109999999999992</v>
      </c>
      <c r="K313" s="24">
        <v>53.286999999999999</v>
      </c>
      <c r="L313" s="13">
        <v>5.67</v>
      </c>
      <c r="M313" s="23">
        <v>2.7E-2</v>
      </c>
      <c r="N313" s="22">
        <v>42.905000000000001</v>
      </c>
      <c r="O313" s="25">
        <v>8.3000000000000004E-2</v>
      </c>
      <c r="P313" s="26">
        <v>6.4749999999999996</v>
      </c>
      <c r="Q313" s="93">
        <f t="shared" si="6"/>
        <v>10.274233623015624</v>
      </c>
      <c r="R313" s="93"/>
      <c r="S313" s="93">
        <f t="shared" si="5"/>
        <v>8.4190876576520052E-2</v>
      </c>
      <c r="T313" s="93"/>
    </row>
    <row r="314" spans="1:20" ht="14.25" customHeight="1" x14ac:dyDescent="0.35">
      <c r="A314" s="1">
        <v>2024</v>
      </c>
      <c r="B314" s="1" t="s">
        <v>33</v>
      </c>
      <c r="C314" s="1">
        <v>7</v>
      </c>
      <c r="D314" s="48">
        <v>53.688000000000002</v>
      </c>
      <c r="E314" s="13">
        <v>45.719000000000001</v>
      </c>
      <c r="F314" s="21">
        <v>79.281000000000006</v>
      </c>
      <c r="G314" s="22">
        <v>1722.059</v>
      </c>
      <c r="H314" s="13">
        <v>6.875</v>
      </c>
      <c r="I314" s="23">
        <v>3.2000000000000001E-2</v>
      </c>
      <c r="J314" s="13">
        <v>7.3780000000000001</v>
      </c>
      <c r="K314" s="24">
        <v>39.530999999999999</v>
      </c>
      <c r="L314" s="13">
        <v>5.5789999999999997</v>
      </c>
      <c r="M314" s="23">
        <v>1.4999999999999999E-2</v>
      </c>
      <c r="N314" s="22">
        <v>53.027000000000001</v>
      </c>
      <c r="O314" s="25">
        <v>0.105</v>
      </c>
      <c r="P314" s="26">
        <v>1.0109999999999999</v>
      </c>
      <c r="Q314" s="93">
        <f t="shared" si="6"/>
        <v>51.388397126184351</v>
      </c>
      <c r="R314" s="93"/>
      <c r="S314" s="93">
        <f t="shared" si="5"/>
        <v>0.42109556378239321</v>
      </c>
      <c r="T314" s="93"/>
    </row>
    <row r="315" spans="1:20" ht="14.25" customHeight="1" x14ac:dyDescent="0.35">
      <c r="A315" s="1">
        <v>2024</v>
      </c>
      <c r="B315" s="1" t="s">
        <v>33</v>
      </c>
      <c r="C315" s="1">
        <v>8</v>
      </c>
      <c r="D315" s="48">
        <v>123.21899999999999</v>
      </c>
      <c r="E315" s="13">
        <v>104.875</v>
      </c>
      <c r="F315" s="21">
        <v>79.305999999999997</v>
      </c>
      <c r="G315" s="22">
        <v>1673.0070000000001</v>
      </c>
      <c r="H315" s="13">
        <v>6.9</v>
      </c>
      <c r="I315" s="23">
        <v>2.3E-2</v>
      </c>
      <c r="J315" s="13">
        <v>7.7720000000000002</v>
      </c>
      <c r="K315" s="24">
        <v>29.916</v>
      </c>
      <c r="L315" s="13">
        <v>5.3730000000000002</v>
      </c>
      <c r="M315" s="23">
        <v>1.2E-2</v>
      </c>
      <c r="N315" s="22">
        <v>84.608999999999995</v>
      </c>
      <c r="O315" s="25">
        <v>0.06</v>
      </c>
      <c r="P315" s="26">
        <v>0.54200000000000004</v>
      </c>
      <c r="Q315" s="93">
        <f t="shared" si="6"/>
        <v>117.94119552770282</v>
      </c>
      <c r="R315" s="93"/>
      <c r="S315" s="93">
        <f t="shared" si="5"/>
        <v>0.96645384953253433</v>
      </c>
      <c r="T315" s="93"/>
    </row>
    <row r="316" spans="1:20" ht="14.25" customHeight="1" x14ac:dyDescent="0.35">
      <c r="A316" s="1">
        <v>2024</v>
      </c>
      <c r="B316" s="1" t="s">
        <v>33</v>
      </c>
      <c r="C316" s="1">
        <v>9</v>
      </c>
      <c r="D316" s="48">
        <v>122</v>
      </c>
      <c r="E316" s="13">
        <v>103.84399999999999</v>
      </c>
      <c r="F316" s="21">
        <v>79.161000000000001</v>
      </c>
      <c r="G316" s="22">
        <v>1622.413</v>
      </c>
      <c r="H316" s="13">
        <v>6.9</v>
      </c>
      <c r="I316" s="23">
        <v>2.4E-2</v>
      </c>
      <c r="J316" s="13">
        <v>8.2089999999999996</v>
      </c>
      <c r="K316" s="24">
        <v>28.48</v>
      </c>
      <c r="L316" s="13">
        <v>5.3330000000000002</v>
      </c>
      <c r="M316" s="23">
        <v>1.2999999999999999E-2</v>
      </c>
      <c r="N316" s="22">
        <v>91.721999999999994</v>
      </c>
      <c r="O316" s="25">
        <v>5.8000000000000003E-2</v>
      </c>
      <c r="P316" s="26">
        <v>0.437</v>
      </c>
      <c r="Q316" s="93">
        <f t="shared" si="6"/>
        <v>116.77440860889753</v>
      </c>
      <c r="R316" s="93"/>
      <c r="S316" s="93">
        <f t="shared" si="5"/>
        <v>0.95689276526322398</v>
      </c>
      <c r="T316" s="93"/>
    </row>
    <row r="317" spans="1:20" ht="14.25" customHeight="1" x14ac:dyDescent="0.35">
      <c r="A317" s="1">
        <v>2024</v>
      </c>
      <c r="B317" s="1" t="s">
        <v>33</v>
      </c>
      <c r="C317" s="1">
        <v>10</v>
      </c>
      <c r="D317" s="48">
        <v>121.75</v>
      </c>
      <c r="E317" s="13">
        <v>103.625</v>
      </c>
      <c r="F317" s="27">
        <v>79.337999999999994</v>
      </c>
      <c r="G317" s="22">
        <v>1522.6969999999999</v>
      </c>
      <c r="H317" s="13">
        <v>6.9</v>
      </c>
      <c r="I317" s="23">
        <v>2.3E-2</v>
      </c>
      <c r="J317" s="28">
        <v>8.0939999999999994</v>
      </c>
      <c r="K317" s="24">
        <v>27.216000000000001</v>
      </c>
      <c r="L317" s="13">
        <v>5.3230000000000004</v>
      </c>
      <c r="M317" s="29">
        <v>1.2E-2</v>
      </c>
      <c r="N317" s="22">
        <v>93.611999999999995</v>
      </c>
      <c r="O317" s="30">
        <v>5.2999999999999999E-2</v>
      </c>
      <c r="P317" s="31">
        <v>0.42</v>
      </c>
      <c r="Q317" s="93">
        <f t="shared" si="6"/>
        <v>116.53511678797767</v>
      </c>
      <c r="R317" s="93"/>
      <c r="S317" s="93">
        <f t="shared" si="5"/>
        <v>0.95493191943276656</v>
      </c>
      <c r="T317" s="93"/>
    </row>
    <row r="318" spans="1:20" ht="14.25" customHeight="1" x14ac:dyDescent="0.35">
      <c r="A318" s="1">
        <v>2024</v>
      </c>
      <c r="B318" s="1" t="s">
        <v>33</v>
      </c>
      <c r="C318" s="1">
        <v>11</v>
      </c>
      <c r="D318" s="48">
        <v>121.5</v>
      </c>
      <c r="E318" s="13">
        <v>103.375</v>
      </c>
      <c r="F318" s="27">
        <v>79.278999999999996</v>
      </c>
      <c r="G318" s="22">
        <v>1514.415</v>
      </c>
      <c r="H318" s="13">
        <v>6.9</v>
      </c>
      <c r="I318" s="23">
        <v>2.4E-2</v>
      </c>
      <c r="J318" s="28">
        <v>8.1679999999999993</v>
      </c>
      <c r="K318" s="24">
        <v>27.943999999999999</v>
      </c>
      <c r="L318" s="13">
        <v>5.3239999999999998</v>
      </c>
      <c r="M318" s="29">
        <v>1.2999999999999999E-2</v>
      </c>
      <c r="N318" s="22">
        <v>93.475999999999999</v>
      </c>
      <c r="O318" s="30">
        <v>5.0999999999999997E-2</v>
      </c>
      <c r="P318" s="31">
        <v>0.36799999999999999</v>
      </c>
      <c r="Q318" s="93">
        <f t="shared" si="6"/>
        <v>116.2958249670578</v>
      </c>
      <c r="R318" s="93"/>
      <c r="S318" s="93">
        <f t="shared" ref="S318:S368" si="7">D318/$R$63</f>
        <v>0.95297107360230915</v>
      </c>
      <c r="T318" s="93"/>
    </row>
    <row r="319" spans="1:20" ht="14.25" customHeight="1" x14ac:dyDescent="0.35">
      <c r="A319" s="1">
        <v>2024</v>
      </c>
      <c r="B319" s="1" t="s">
        <v>33</v>
      </c>
      <c r="C319" s="1">
        <v>12</v>
      </c>
      <c r="D319" s="48">
        <v>124.813</v>
      </c>
      <c r="E319" s="13">
        <v>106.03100000000001</v>
      </c>
      <c r="F319" s="27">
        <v>79.483000000000004</v>
      </c>
      <c r="G319" s="22">
        <v>1567.115</v>
      </c>
      <c r="H319" s="13">
        <v>6.9</v>
      </c>
      <c r="I319" s="23">
        <v>2.4E-2</v>
      </c>
      <c r="J319" s="28">
        <v>8.5909999999999993</v>
      </c>
      <c r="K319" s="24">
        <v>27.524999999999999</v>
      </c>
      <c r="L319" s="13">
        <v>5.3209999999999997</v>
      </c>
      <c r="M319" s="29">
        <v>1.2E-2</v>
      </c>
      <c r="N319" s="22">
        <v>94.356999999999999</v>
      </c>
      <c r="O319" s="30">
        <v>5.3999999999999999E-2</v>
      </c>
      <c r="P319" s="31">
        <v>0.437</v>
      </c>
      <c r="Q319" s="93">
        <f t="shared" si="6"/>
        <v>119.46692017788793</v>
      </c>
      <c r="R319" s="93"/>
      <c r="S319" s="93">
        <f t="shared" si="7"/>
        <v>0.97895620254753091</v>
      </c>
      <c r="T319" s="93"/>
    </row>
    <row r="320" spans="1:20" ht="14.25" customHeight="1" x14ac:dyDescent="0.35">
      <c r="A320" s="1">
        <v>2024</v>
      </c>
      <c r="B320" s="1" t="s">
        <v>33</v>
      </c>
      <c r="C320" s="1">
        <v>13</v>
      </c>
      <c r="D320" s="48">
        <v>128.73400000000001</v>
      </c>
      <c r="E320" s="13">
        <v>109.313</v>
      </c>
      <c r="F320" s="27">
        <v>79.287999999999997</v>
      </c>
      <c r="G320" s="22">
        <v>1823.08</v>
      </c>
      <c r="H320" s="13">
        <v>6.9</v>
      </c>
      <c r="I320" s="23">
        <v>2.5000000000000001E-2</v>
      </c>
      <c r="J320" s="28">
        <v>8.2159999999999993</v>
      </c>
      <c r="K320" s="24">
        <v>31.664999999999999</v>
      </c>
      <c r="L320" s="13">
        <v>5.335</v>
      </c>
      <c r="M320" s="23">
        <v>1.2E-2</v>
      </c>
      <c r="N320" s="22">
        <v>91.406999999999996</v>
      </c>
      <c r="O320" s="30">
        <v>5.3999999999999999E-2</v>
      </c>
      <c r="P320" s="31">
        <v>0.41699999999999998</v>
      </c>
      <c r="Q320" s="93">
        <f t="shared" si="6"/>
        <v>123.21997309719522</v>
      </c>
      <c r="R320" s="93"/>
      <c r="S320" s="93">
        <f t="shared" si="7"/>
        <v>1.0097101085524254</v>
      </c>
      <c r="T320" s="93"/>
    </row>
    <row r="321" spans="1:20" ht="14.25" customHeight="1" x14ac:dyDescent="0.35">
      <c r="A321" s="1">
        <v>2024</v>
      </c>
      <c r="B321" s="1" t="s">
        <v>33</v>
      </c>
      <c r="C321" s="1">
        <v>14</v>
      </c>
      <c r="D321" s="48">
        <v>135.56299999999999</v>
      </c>
      <c r="E321" s="13">
        <v>115</v>
      </c>
      <c r="F321" s="21">
        <v>78.822999999999993</v>
      </c>
      <c r="G321" s="22">
        <v>2222.134</v>
      </c>
      <c r="H321" s="13">
        <v>6.9</v>
      </c>
      <c r="I321" s="23">
        <v>2.5000000000000001E-2</v>
      </c>
      <c r="J321" s="28">
        <v>7.2450000000000001</v>
      </c>
      <c r="K321" s="33">
        <v>37.497</v>
      </c>
      <c r="L321" s="13">
        <v>5.34</v>
      </c>
      <c r="M321" s="23">
        <v>1.2E-2</v>
      </c>
      <c r="N321" s="22">
        <v>89.772999999999996</v>
      </c>
      <c r="O321" s="30">
        <v>5.3999999999999999E-2</v>
      </c>
      <c r="P321" s="31">
        <v>0.51200000000000001</v>
      </c>
      <c r="Q321" s="93">
        <f t="shared" si="6"/>
        <v>129.75646847744241</v>
      </c>
      <c r="R321" s="93"/>
      <c r="S321" s="93">
        <f t="shared" si="7"/>
        <v>1.0632725732572001</v>
      </c>
      <c r="T321" s="93"/>
    </row>
    <row r="322" spans="1:20" ht="14.25" customHeight="1" x14ac:dyDescent="0.35">
      <c r="A322" s="1">
        <v>2024</v>
      </c>
      <c r="B322" s="1" t="s">
        <v>33</v>
      </c>
      <c r="C322" s="1">
        <v>15</v>
      </c>
      <c r="D322" s="48">
        <v>135.60900000000001</v>
      </c>
      <c r="E322" s="13">
        <v>115</v>
      </c>
      <c r="F322" s="21">
        <v>78.414000000000001</v>
      </c>
      <c r="G322" s="22">
        <v>2215.3159999999998</v>
      </c>
      <c r="H322" s="13">
        <v>6.9</v>
      </c>
      <c r="I322" s="23">
        <v>2.5000000000000001E-2</v>
      </c>
      <c r="J322" s="28">
        <v>6.6180000000000003</v>
      </c>
      <c r="K322" s="24">
        <v>36.308999999999997</v>
      </c>
      <c r="L322" s="13">
        <v>5.34</v>
      </c>
      <c r="M322" s="23">
        <v>1.2E-2</v>
      </c>
      <c r="N322" s="22">
        <v>89.918000000000006</v>
      </c>
      <c r="O322" s="30">
        <v>5.1999999999999998E-2</v>
      </c>
      <c r="P322" s="31">
        <v>1.014</v>
      </c>
      <c r="Q322" s="93">
        <f t="shared" si="6"/>
        <v>129.8004981724917</v>
      </c>
      <c r="R322" s="93"/>
      <c r="S322" s="93">
        <f t="shared" si="7"/>
        <v>1.0636333688900046</v>
      </c>
      <c r="T322" s="93"/>
    </row>
    <row r="323" spans="1:20" ht="14.25" customHeight="1" x14ac:dyDescent="0.35">
      <c r="A323" s="1">
        <v>2024</v>
      </c>
      <c r="B323" s="1" t="s">
        <v>33</v>
      </c>
      <c r="C323" s="1">
        <v>16</v>
      </c>
      <c r="D323" s="48">
        <v>135.39099999999999</v>
      </c>
      <c r="E323" s="13">
        <v>114.84399999999999</v>
      </c>
      <c r="F323" s="21">
        <v>78.210999999999999</v>
      </c>
      <c r="G323" s="22">
        <v>2167.0680000000002</v>
      </c>
      <c r="H323" s="13">
        <v>6.9</v>
      </c>
      <c r="I323" s="23">
        <v>2.5000000000000001E-2</v>
      </c>
      <c r="J323" s="28">
        <v>6.819</v>
      </c>
      <c r="K323" s="24">
        <v>36.530999999999999</v>
      </c>
      <c r="L323" s="13">
        <v>5.3419999999999996</v>
      </c>
      <c r="M323" s="23">
        <v>1.2E-2</v>
      </c>
      <c r="N323" s="22">
        <v>89.48</v>
      </c>
      <c r="O323" s="30">
        <v>4.9000000000000002E-2</v>
      </c>
      <c r="P323" s="31">
        <v>1.5920000000000001</v>
      </c>
      <c r="Q323" s="93">
        <f t="shared" si="6"/>
        <v>129.59183570464953</v>
      </c>
      <c r="R323" s="93"/>
      <c r="S323" s="93">
        <f t="shared" si="7"/>
        <v>1.0619235113258454</v>
      </c>
      <c r="T323" s="93"/>
    </row>
    <row r="324" spans="1:20" ht="14.25" customHeight="1" x14ac:dyDescent="0.35">
      <c r="A324" s="1">
        <v>2024</v>
      </c>
      <c r="B324" s="1" t="s">
        <v>33</v>
      </c>
      <c r="C324" s="1">
        <v>17</v>
      </c>
      <c r="D324" s="48">
        <v>135.46899999999999</v>
      </c>
      <c r="E324" s="13">
        <v>115.03100000000001</v>
      </c>
      <c r="F324" s="21">
        <v>78.063000000000002</v>
      </c>
      <c r="G324" s="22">
        <v>2093.2339999999999</v>
      </c>
      <c r="H324" s="13">
        <v>6.9</v>
      </c>
      <c r="I324" s="23">
        <v>2.4E-2</v>
      </c>
      <c r="J324" s="13">
        <v>7.0039999999999996</v>
      </c>
      <c r="K324" s="24">
        <v>34.951000000000001</v>
      </c>
      <c r="L324" s="13">
        <v>5.3419999999999996</v>
      </c>
      <c r="M324" s="23">
        <v>1.2E-2</v>
      </c>
      <c r="N324" s="22">
        <v>89.656999999999996</v>
      </c>
      <c r="O324" s="25">
        <v>4.5999999999999999E-2</v>
      </c>
      <c r="P324" s="26">
        <v>1.6970000000000001</v>
      </c>
      <c r="Q324" s="93">
        <f t="shared" si="6"/>
        <v>129.66649475277657</v>
      </c>
      <c r="R324" s="93"/>
      <c r="S324" s="93">
        <f t="shared" si="7"/>
        <v>1.0625352952249483</v>
      </c>
      <c r="T324" s="93"/>
    </row>
    <row r="325" spans="1:20" ht="14.25" customHeight="1" x14ac:dyDescent="0.35">
      <c r="A325" s="1">
        <v>2024</v>
      </c>
      <c r="B325" s="1" t="s">
        <v>33</v>
      </c>
      <c r="C325" s="1">
        <v>18</v>
      </c>
      <c r="D325" s="48">
        <v>135.43799999999999</v>
      </c>
      <c r="E325" s="13">
        <v>114.96899999999999</v>
      </c>
      <c r="F325" s="21">
        <v>78.022000000000006</v>
      </c>
      <c r="G325" s="22">
        <v>2066.8510000000001</v>
      </c>
      <c r="H325" s="13">
        <v>6.9</v>
      </c>
      <c r="I325" s="23">
        <v>2.4E-2</v>
      </c>
      <c r="J325" s="13">
        <v>7.6639999999999997</v>
      </c>
      <c r="K325" s="24">
        <v>34.301000000000002</v>
      </c>
      <c r="L325" s="13">
        <v>5.3520000000000003</v>
      </c>
      <c r="M325" s="23">
        <v>1.2E-2</v>
      </c>
      <c r="N325" s="22">
        <v>87.474999999999994</v>
      </c>
      <c r="O325" s="25">
        <v>4.4999999999999998E-2</v>
      </c>
      <c r="P325" s="26">
        <v>1.732</v>
      </c>
      <c r="Q325" s="93">
        <f t="shared" si="6"/>
        <v>129.63682256698249</v>
      </c>
      <c r="R325" s="93"/>
      <c r="S325" s="93">
        <f t="shared" si="7"/>
        <v>1.0622921503419716</v>
      </c>
      <c r="T325" s="93"/>
    </row>
    <row r="326" spans="1:20" ht="14.25" customHeight="1" x14ac:dyDescent="0.35">
      <c r="A326" s="1">
        <v>2024</v>
      </c>
      <c r="B326" s="1" t="s">
        <v>33</v>
      </c>
      <c r="C326" s="1">
        <v>19</v>
      </c>
      <c r="D326" s="48">
        <v>135.453</v>
      </c>
      <c r="E326" s="13">
        <v>115.03100000000001</v>
      </c>
      <c r="F326" s="21">
        <v>78.233999999999995</v>
      </c>
      <c r="G326" s="22">
        <v>2178.9079999999999</v>
      </c>
      <c r="H326" s="13">
        <v>6.9</v>
      </c>
      <c r="I326" s="23">
        <v>2.4E-2</v>
      </c>
      <c r="J326" s="13">
        <v>7.6479999999999997</v>
      </c>
      <c r="K326" s="24">
        <v>35.918999999999997</v>
      </c>
      <c r="L326" s="13">
        <v>5.3470000000000004</v>
      </c>
      <c r="M326" s="23">
        <v>1.2E-2</v>
      </c>
      <c r="N326" s="22">
        <v>88.697000000000003</v>
      </c>
      <c r="O326" s="25">
        <v>4.9000000000000002E-2</v>
      </c>
      <c r="P326" s="26">
        <v>1.7170000000000001</v>
      </c>
      <c r="Q326" s="93">
        <f t="shared" si="6"/>
        <v>129.65118007623769</v>
      </c>
      <c r="R326" s="93"/>
      <c r="S326" s="93">
        <f t="shared" si="7"/>
        <v>1.0624098010917991</v>
      </c>
      <c r="T326" s="93"/>
    </row>
    <row r="327" spans="1:20" ht="14.25" customHeight="1" x14ac:dyDescent="0.35">
      <c r="A327" s="1">
        <v>2024</v>
      </c>
      <c r="B327" s="1" t="s">
        <v>33</v>
      </c>
      <c r="C327" s="1">
        <v>20</v>
      </c>
      <c r="D327" s="48">
        <v>138.46899999999999</v>
      </c>
      <c r="E327" s="13">
        <v>117.625</v>
      </c>
      <c r="F327" s="21">
        <v>78.379000000000005</v>
      </c>
      <c r="G327" s="22">
        <v>2251.9760000000001</v>
      </c>
      <c r="H327" s="13">
        <v>6.9</v>
      </c>
      <c r="I327" s="23">
        <v>2.4E-2</v>
      </c>
      <c r="J327" s="13">
        <v>7.5259999999999998</v>
      </c>
      <c r="K327" s="24">
        <v>36.530999999999999</v>
      </c>
      <c r="L327" s="13">
        <v>5.3280000000000003</v>
      </c>
      <c r="M327" s="23">
        <v>1.2E-2</v>
      </c>
      <c r="N327" s="22">
        <v>92.644999999999996</v>
      </c>
      <c r="O327" s="25">
        <v>4.9000000000000002E-2</v>
      </c>
      <c r="P327" s="26">
        <v>1.6220000000000001</v>
      </c>
      <c r="Q327" s="93">
        <f t="shared" si="6"/>
        <v>132.537996603815</v>
      </c>
      <c r="R327" s="93"/>
      <c r="S327" s="93">
        <f t="shared" si="7"/>
        <v>1.0860654451904372</v>
      </c>
      <c r="T327" s="93"/>
    </row>
    <row r="328" spans="1:20" ht="14.25" customHeight="1" x14ac:dyDescent="0.35">
      <c r="A328" s="1">
        <v>2024</v>
      </c>
      <c r="B328" s="1" t="s">
        <v>33</v>
      </c>
      <c r="C328" s="1">
        <v>21</v>
      </c>
      <c r="D328" s="48">
        <v>141.797</v>
      </c>
      <c r="E328" s="13">
        <v>120.71899999999999</v>
      </c>
      <c r="F328" s="21">
        <v>78.097999999999999</v>
      </c>
      <c r="G328" s="22">
        <v>2190.3310000000001</v>
      </c>
      <c r="H328" s="13">
        <v>6.9</v>
      </c>
      <c r="I328" s="23">
        <v>2.4E-2</v>
      </c>
      <c r="J328" s="13">
        <v>7.7149999999999999</v>
      </c>
      <c r="K328" s="24">
        <v>35.908000000000001</v>
      </c>
      <c r="L328" s="13">
        <v>5.3529999999999998</v>
      </c>
      <c r="M328" s="23">
        <v>1.2E-2</v>
      </c>
      <c r="N328" s="22">
        <v>87.415000000000006</v>
      </c>
      <c r="O328" s="25">
        <v>5.0999999999999997E-2</v>
      </c>
      <c r="P328" s="26">
        <v>1.6819999999999999</v>
      </c>
      <c r="Q328" s="93">
        <f t="shared" si="6"/>
        <v>135.72344932390038</v>
      </c>
      <c r="R328" s="93"/>
      <c r="S328" s="93">
        <f t="shared" si="7"/>
        <v>1.1121682248854867</v>
      </c>
      <c r="T328" s="93"/>
    </row>
    <row r="329" spans="1:20" ht="14.25" customHeight="1" x14ac:dyDescent="0.35">
      <c r="A329" s="1">
        <v>2024</v>
      </c>
      <c r="B329" s="1" t="s">
        <v>33</v>
      </c>
      <c r="C329" s="1">
        <v>22</v>
      </c>
      <c r="D329" s="48">
        <v>141.125</v>
      </c>
      <c r="E329" s="13">
        <v>119.96899999999999</v>
      </c>
      <c r="F329" s="21">
        <v>77.926000000000002</v>
      </c>
      <c r="G329" s="22">
        <v>2122.5210000000002</v>
      </c>
      <c r="H329" s="13">
        <v>6.9</v>
      </c>
      <c r="I329" s="23">
        <v>2.5999999999999999E-2</v>
      </c>
      <c r="J329" s="13">
        <v>7.665</v>
      </c>
      <c r="K329" s="24">
        <v>34.655999999999999</v>
      </c>
      <c r="L329" s="13">
        <v>5.5069999999999997</v>
      </c>
      <c r="M329" s="23">
        <v>1.2E-2</v>
      </c>
      <c r="N329" s="22">
        <v>65.622</v>
      </c>
      <c r="O329" s="25">
        <v>0.05</v>
      </c>
      <c r="P329" s="26">
        <v>1.724</v>
      </c>
      <c r="Q329" s="93">
        <f t="shared" si="6"/>
        <v>135.08023290926775</v>
      </c>
      <c r="R329" s="93"/>
      <c r="S329" s="93">
        <f t="shared" si="7"/>
        <v>1.1068974712932171</v>
      </c>
      <c r="T329" s="93"/>
    </row>
    <row r="330" spans="1:20" ht="14.25" customHeight="1" x14ac:dyDescent="0.35">
      <c r="A330" s="1">
        <v>2024</v>
      </c>
      <c r="B330" s="1" t="s">
        <v>33</v>
      </c>
      <c r="C330" s="1">
        <v>23</v>
      </c>
      <c r="D330" s="48">
        <v>139.56299999999999</v>
      </c>
      <c r="E330" s="13">
        <v>118.563</v>
      </c>
      <c r="F330" s="21">
        <v>78.061999999999998</v>
      </c>
      <c r="G330" s="22">
        <v>2105.1039999999998</v>
      </c>
      <c r="H330" s="13">
        <v>6.9</v>
      </c>
      <c r="I330" s="23">
        <v>2.7E-2</v>
      </c>
      <c r="J330" s="13">
        <v>7.6769999999999996</v>
      </c>
      <c r="K330" s="24">
        <v>34.771000000000001</v>
      </c>
      <c r="L330" s="13">
        <v>5.6509999999999998</v>
      </c>
      <c r="M330" s="23">
        <v>1.2999999999999999E-2</v>
      </c>
      <c r="N330" s="22">
        <v>44.064</v>
      </c>
      <c r="O330" s="25">
        <v>4.9000000000000002E-2</v>
      </c>
      <c r="P330" s="26">
        <v>1.5509999999999999</v>
      </c>
      <c r="Q330" s="93">
        <f t="shared" si="6"/>
        <v>133.58513761216037</v>
      </c>
      <c r="R330" s="93"/>
      <c r="S330" s="93">
        <f t="shared" si="7"/>
        <v>1.094646106544519</v>
      </c>
      <c r="T330" s="93"/>
    </row>
    <row r="331" spans="1:20" ht="14.25" customHeight="1" x14ac:dyDescent="0.35">
      <c r="A331" s="1">
        <v>2024</v>
      </c>
      <c r="B331" s="1" t="s">
        <v>33</v>
      </c>
      <c r="C331" s="1">
        <v>24</v>
      </c>
      <c r="D331" s="48">
        <v>140.328</v>
      </c>
      <c r="E331" s="13">
        <v>119.34399999999999</v>
      </c>
      <c r="F331" s="21">
        <v>77.972999999999999</v>
      </c>
      <c r="G331" s="22">
        <v>2035.826</v>
      </c>
      <c r="H331" s="13">
        <v>6.9</v>
      </c>
      <c r="I331" s="23">
        <v>2.7E-2</v>
      </c>
      <c r="J331" s="13">
        <v>7.6820000000000004</v>
      </c>
      <c r="K331" s="24">
        <v>34.415999999999997</v>
      </c>
      <c r="L331" s="13">
        <v>5.6669999999999998</v>
      </c>
      <c r="M331" s="23">
        <v>1.2999999999999999E-2</v>
      </c>
      <c r="N331" s="22">
        <v>42.329000000000001</v>
      </c>
      <c r="O331" s="25">
        <v>4.5999999999999999E-2</v>
      </c>
      <c r="P331" s="26">
        <v>1.81</v>
      </c>
      <c r="Q331" s="93">
        <f t="shared" si="6"/>
        <v>134.31737058417519</v>
      </c>
      <c r="R331" s="93"/>
      <c r="S331" s="93">
        <f t="shared" si="7"/>
        <v>1.1006462947857187</v>
      </c>
      <c r="T331" s="93"/>
    </row>
    <row r="332" spans="1:20" ht="14.25" customHeight="1" x14ac:dyDescent="0.35">
      <c r="A332" s="1">
        <v>2024</v>
      </c>
      <c r="B332" s="1" t="s">
        <v>33</v>
      </c>
      <c r="C332" s="1">
        <v>25</v>
      </c>
      <c r="D332" s="48">
        <v>141.09399999999999</v>
      </c>
      <c r="E332" s="13">
        <v>119.938</v>
      </c>
      <c r="F332" s="21">
        <v>78.111999999999995</v>
      </c>
      <c r="G332" s="22">
        <v>2019.287</v>
      </c>
      <c r="H332" s="13">
        <v>6.9</v>
      </c>
      <c r="I332" s="23">
        <v>2.7E-2</v>
      </c>
      <c r="J332" s="13">
        <v>7.7389999999999999</v>
      </c>
      <c r="K332" s="24">
        <v>33.863999999999997</v>
      </c>
      <c r="L332" s="13">
        <v>5.6609999999999996</v>
      </c>
      <c r="M332" s="23">
        <v>1.2999999999999999E-2</v>
      </c>
      <c r="N332" s="22">
        <v>42.83</v>
      </c>
      <c r="O332" s="25">
        <v>4.5999999999999999E-2</v>
      </c>
      <c r="P332" s="26">
        <v>1.641</v>
      </c>
      <c r="Q332" s="93">
        <f t="shared" si="6"/>
        <v>135.05056072347369</v>
      </c>
      <c r="R332" s="93"/>
      <c r="S332" s="93">
        <f t="shared" si="7"/>
        <v>1.1066543264102404</v>
      </c>
      <c r="T332" s="93"/>
    </row>
    <row r="333" spans="1:20" ht="14.25" customHeight="1" x14ac:dyDescent="0.35">
      <c r="A333" s="1">
        <v>2024</v>
      </c>
      <c r="B333" s="1" t="s">
        <v>33</v>
      </c>
      <c r="C333" s="1">
        <v>26</v>
      </c>
      <c r="D333" s="48">
        <v>141.125</v>
      </c>
      <c r="E333" s="13">
        <v>119.96899999999999</v>
      </c>
      <c r="F333" s="21">
        <v>78.284000000000006</v>
      </c>
      <c r="G333" s="22">
        <v>2082.6170000000002</v>
      </c>
      <c r="H333" s="13">
        <v>6.9</v>
      </c>
      <c r="I333" s="23">
        <v>2.7E-2</v>
      </c>
      <c r="J333" s="13">
        <v>7.9429999999999996</v>
      </c>
      <c r="K333" s="24">
        <v>34.585000000000001</v>
      </c>
      <c r="L333" s="13">
        <v>5.6550000000000002</v>
      </c>
      <c r="M333" s="23">
        <v>1.2999999999999999E-2</v>
      </c>
      <c r="N333" s="22">
        <v>43.524999999999999</v>
      </c>
      <c r="O333" s="25">
        <v>5.1999999999999998E-2</v>
      </c>
      <c r="P333" s="26">
        <v>1.542</v>
      </c>
      <c r="Q333" s="93">
        <f t="shared" si="6"/>
        <v>135.08023290926775</v>
      </c>
      <c r="R333" s="93"/>
      <c r="S333" s="93">
        <f t="shared" si="7"/>
        <v>1.1068974712932171</v>
      </c>
      <c r="T333" s="93"/>
    </row>
    <row r="334" spans="1:20" ht="14.25" customHeight="1" x14ac:dyDescent="0.35">
      <c r="A334" s="1">
        <v>2024</v>
      </c>
      <c r="B334" s="1" t="s">
        <v>33</v>
      </c>
      <c r="C334" s="1">
        <v>27</v>
      </c>
      <c r="D334" s="48">
        <v>141.10900000000001</v>
      </c>
      <c r="E334" s="13">
        <v>120</v>
      </c>
      <c r="F334" s="21">
        <v>78.567999999999998</v>
      </c>
      <c r="G334" s="22">
        <v>2120.991</v>
      </c>
      <c r="H334" s="13">
        <v>6.9</v>
      </c>
      <c r="I334" s="23">
        <v>2.7E-2</v>
      </c>
      <c r="J334" s="13">
        <v>8.0449999999999999</v>
      </c>
      <c r="K334" s="24">
        <v>35.262999999999998</v>
      </c>
      <c r="L334" s="13">
        <v>5.3220000000000001</v>
      </c>
      <c r="M334" s="23">
        <v>1.2999999999999999E-2</v>
      </c>
      <c r="N334" s="22">
        <v>105.307</v>
      </c>
      <c r="O334" s="25">
        <v>5.3999999999999999E-2</v>
      </c>
      <c r="P334" s="26">
        <v>1.8320000000000001</v>
      </c>
      <c r="Q334" s="93">
        <f t="shared" si="6"/>
        <v>135.06491823272887</v>
      </c>
      <c r="R334" s="93"/>
      <c r="S334" s="93">
        <f t="shared" si="7"/>
        <v>1.1067719771600679</v>
      </c>
      <c r="T334" s="93"/>
    </row>
    <row r="335" spans="1:20" ht="14.25" customHeight="1" x14ac:dyDescent="0.35">
      <c r="A335" s="1">
        <v>2024</v>
      </c>
      <c r="B335" s="1" t="s">
        <v>33</v>
      </c>
      <c r="C335" s="1">
        <v>28</v>
      </c>
      <c r="D335" s="48">
        <v>139.43799999999999</v>
      </c>
      <c r="E335" s="13">
        <v>118.59399999999999</v>
      </c>
      <c r="F335" s="21">
        <v>78.748000000000005</v>
      </c>
      <c r="G335" s="22">
        <v>2105.1979999999999</v>
      </c>
      <c r="H335" s="13">
        <v>6.9</v>
      </c>
      <c r="I335" s="23">
        <v>2.7E-2</v>
      </c>
      <c r="J335" s="13">
        <v>7.7939999999999996</v>
      </c>
      <c r="K335" s="24">
        <v>34.685000000000002</v>
      </c>
      <c r="L335" s="13">
        <v>5.1479999999999997</v>
      </c>
      <c r="M335" s="23">
        <v>1.2999999999999999E-2</v>
      </c>
      <c r="N335" s="22">
        <v>140.31899999999999</v>
      </c>
      <c r="O335" s="25">
        <v>0.05</v>
      </c>
      <c r="P335" s="26">
        <v>1.7190000000000001</v>
      </c>
      <c r="Q335" s="93">
        <f t="shared" si="6"/>
        <v>133.46549170170042</v>
      </c>
      <c r="R335" s="93"/>
      <c r="S335" s="93">
        <f t="shared" si="7"/>
        <v>1.0936656836292902</v>
      </c>
      <c r="T335" s="93"/>
    </row>
    <row r="336" spans="1:20" ht="14.25" customHeight="1" x14ac:dyDescent="0.35">
      <c r="A336" s="1">
        <v>2024</v>
      </c>
      <c r="B336" s="1" t="s">
        <v>33</v>
      </c>
      <c r="C336" s="1">
        <v>29</v>
      </c>
      <c r="D336" s="48">
        <v>133.328</v>
      </c>
      <c r="E336" s="13">
        <v>113.34399999999999</v>
      </c>
      <c r="F336" s="21">
        <v>78.302000000000007</v>
      </c>
      <c r="G336" s="22">
        <v>2055.683</v>
      </c>
      <c r="H336" s="13">
        <v>6.9</v>
      </c>
      <c r="I336" s="23">
        <v>2.5999999999999999E-2</v>
      </c>
      <c r="J336" s="13">
        <v>7.3280000000000003</v>
      </c>
      <c r="K336" s="24">
        <v>34.493000000000002</v>
      </c>
      <c r="L336" s="13">
        <v>5.1539999999999999</v>
      </c>
      <c r="M336" s="23">
        <v>1.2999999999999999E-2</v>
      </c>
      <c r="N336" s="22">
        <v>138.577</v>
      </c>
      <c r="O336" s="25">
        <v>4.4999999999999998E-2</v>
      </c>
      <c r="P336" s="26">
        <v>1.87</v>
      </c>
      <c r="Q336" s="93">
        <f t="shared" si="6"/>
        <v>127.61719959841878</v>
      </c>
      <c r="R336" s="93"/>
      <c r="S336" s="93">
        <f t="shared" si="7"/>
        <v>1.0457426115329109</v>
      </c>
      <c r="T336" s="93"/>
    </row>
    <row r="337" spans="1:20" ht="14.25" customHeight="1" x14ac:dyDescent="0.35">
      <c r="A337" s="1">
        <v>2024</v>
      </c>
      <c r="B337" s="1" t="s">
        <v>33</v>
      </c>
      <c r="C337" s="1">
        <v>30</v>
      </c>
      <c r="D337" s="46">
        <v>137.51599999999999</v>
      </c>
      <c r="E337" s="35">
        <v>116.90600000000001</v>
      </c>
      <c r="F337" s="21">
        <v>77.856999999999999</v>
      </c>
      <c r="G337" s="22">
        <v>2220.384</v>
      </c>
      <c r="H337" s="13">
        <v>6.9</v>
      </c>
      <c r="I337" s="23">
        <v>2.5999999999999999E-2</v>
      </c>
      <c r="J337" s="13">
        <v>7.3070000000000004</v>
      </c>
      <c r="K337" s="24">
        <v>36.418999999999997</v>
      </c>
      <c r="L337" s="13">
        <v>5.16</v>
      </c>
      <c r="M337" s="23">
        <v>1.2999999999999999E-2</v>
      </c>
      <c r="N337" s="22">
        <v>136.34800000000001</v>
      </c>
      <c r="O337" s="25">
        <v>4.2999999999999997E-2</v>
      </c>
      <c r="P337" s="26">
        <v>1.819</v>
      </c>
      <c r="Q337" s="93">
        <f t="shared" si="6"/>
        <v>131.62581618246844</v>
      </c>
      <c r="R337" s="93"/>
      <c r="S337" s="93">
        <f t="shared" si="7"/>
        <v>1.0785907008847335</v>
      </c>
      <c r="T337" s="93"/>
    </row>
    <row r="338" spans="1:20" ht="14.25" customHeight="1" x14ac:dyDescent="0.35">
      <c r="A338" s="1">
        <v>2024</v>
      </c>
      <c r="B338" s="1" t="s">
        <v>34</v>
      </c>
      <c r="C338" s="1">
        <v>1</v>
      </c>
      <c r="D338" s="12">
        <v>137.76599999999999</v>
      </c>
      <c r="E338" s="13">
        <v>117.03100000000001</v>
      </c>
      <c r="F338" s="14">
        <v>77.878</v>
      </c>
      <c r="G338" s="15">
        <v>2166.5210000000002</v>
      </c>
      <c r="H338" s="16">
        <v>6.9</v>
      </c>
      <c r="I338" s="17">
        <v>2.5999999999999999E-2</v>
      </c>
      <c r="J338" s="16">
        <v>7.3840000000000003</v>
      </c>
      <c r="K338" s="18">
        <v>34.991999999999997</v>
      </c>
      <c r="L338" s="16">
        <v>5.149</v>
      </c>
      <c r="M338" s="17">
        <v>1.2999999999999999E-2</v>
      </c>
      <c r="N338" s="15">
        <v>139.62299999999999</v>
      </c>
      <c r="O338" s="19">
        <v>4.2999999999999997E-2</v>
      </c>
      <c r="P338" s="20">
        <v>1.8759999999999999</v>
      </c>
      <c r="Q338" s="93">
        <f t="shared" si="6"/>
        <v>131.86510800338831</v>
      </c>
      <c r="R338" s="244">
        <f>N14+O14</f>
        <v>112.3768</v>
      </c>
      <c r="S338" s="93">
        <f t="shared" si="7"/>
        <v>1.0805515467151909</v>
      </c>
      <c r="T338" s="93"/>
    </row>
    <row r="339" spans="1:20" ht="14.25" customHeight="1" x14ac:dyDescent="0.35">
      <c r="A339" s="1">
        <v>2024</v>
      </c>
      <c r="B339" s="1" t="s">
        <v>34</v>
      </c>
      <c r="C339" s="1">
        <v>2</v>
      </c>
      <c r="D339" s="12">
        <v>138.84399999999999</v>
      </c>
      <c r="E339" s="13">
        <v>118.125</v>
      </c>
      <c r="F339" s="21">
        <v>77.712000000000003</v>
      </c>
      <c r="G339" s="22">
        <v>2155.9960000000001</v>
      </c>
      <c r="H339" s="13">
        <v>6.9</v>
      </c>
      <c r="I339" s="23">
        <v>2.5999999999999999E-2</v>
      </c>
      <c r="J339" s="13">
        <v>7.4729999999999999</v>
      </c>
      <c r="K339" s="24">
        <v>34.517000000000003</v>
      </c>
      <c r="L339" s="13">
        <v>5.1440000000000001</v>
      </c>
      <c r="M339" s="23">
        <v>1.2999999999999999E-2</v>
      </c>
      <c r="N339" s="22">
        <v>141.19</v>
      </c>
      <c r="O339" s="25">
        <v>4.3999999999999997E-2</v>
      </c>
      <c r="P339" s="26">
        <v>1.7470000000000001</v>
      </c>
      <c r="Q339" s="93">
        <f t="shared" si="6"/>
        <v>132.89693433519483</v>
      </c>
      <c r="R339" s="93"/>
      <c r="S339" s="93">
        <f t="shared" si="7"/>
        <v>1.0890067139361235</v>
      </c>
      <c r="T339" s="93"/>
    </row>
    <row r="340" spans="1:20" ht="14.25" customHeight="1" x14ac:dyDescent="0.35">
      <c r="A340" s="1">
        <v>2024</v>
      </c>
      <c r="B340" s="1" t="s">
        <v>34</v>
      </c>
      <c r="C340" s="1">
        <v>3</v>
      </c>
      <c r="D340" s="12">
        <v>141.03100000000001</v>
      </c>
      <c r="E340" s="13">
        <v>119.938</v>
      </c>
      <c r="F340" s="21">
        <v>77.745999999999995</v>
      </c>
      <c r="G340" s="22">
        <v>2244.623</v>
      </c>
      <c r="H340" s="13">
        <v>6.9</v>
      </c>
      <c r="I340" s="23">
        <v>2.5999999999999999E-2</v>
      </c>
      <c r="J340" s="13">
        <v>7.49</v>
      </c>
      <c r="K340" s="24">
        <v>35.884</v>
      </c>
      <c r="L340" s="13">
        <v>5.133</v>
      </c>
      <c r="M340" s="23">
        <v>1.2999999999999999E-2</v>
      </c>
      <c r="N340" s="22">
        <v>144.679</v>
      </c>
      <c r="O340" s="25">
        <v>4.8000000000000001E-2</v>
      </c>
      <c r="P340" s="26">
        <v>1.7050000000000001</v>
      </c>
      <c r="Q340" s="93">
        <f t="shared" si="6"/>
        <v>134.99025918460185</v>
      </c>
      <c r="R340" s="93"/>
      <c r="S340" s="93">
        <f t="shared" si="7"/>
        <v>1.106160193260965</v>
      </c>
      <c r="T340" s="93"/>
    </row>
    <row r="341" spans="1:20" ht="14.25" customHeight="1" x14ac:dyDescent="0.35">
      <c r="A341" s="1">
        <v>2024</v>
      </c>
      <c r="B341" s="1" t="s">
        <v>34</v>
      </c>
      <c r="C341" s="1">
        <v>4</v>
      </c>
      <c r="D341" s="12">
        <v>137.28100000000001</v>
      </c>
      <c r="E341" s="13">
        <v>116.688</v>
      </c>
      <c r="F341" s="21">
        <v>77.72</v>
      </c>
      <c r="G341" s="22">
        <v>2242.2339999999999</v>
      </c>
      <c r="H341" s="13">
        <v>6.9</v>
      </c>
      <c r="I341" s="23">
        <v>2.5999999999999999E-2</v>
      </c>
      <c r="J341" s="13">
        <v>7.33</v>
      </c>
      <c r="K341" s="24">
        <v>36.359000000000002</v>
      </c>
      <c r="L341" s="13">
        <v>5.1230000000000002</v>
      </c>
      <c r="M341" s="23">
        <v>1.2999999999999999E-2</v>
      </c>
      <c r="N341" s="22">
        <v>148.27799999999999</v>
      </c>
      <c r="O341" s="25">
        <v>4.7E-2</v>
      </c>
      <c r="P341" s="26">
        <v>1.71</v>
      </c>
      <c r="Q341" s="93">
        <f t="shared" si="6"/>
        <v>131.4008818708038</v>
      </c>
      <c r="R341" s="93"/>
      <c r="S341" s="93">
        <f t="shared" si="7"/>
        <v>1.0767475058041038</v>
      </c>
      <c r="T341" s="93"/>
    </row>
    <row r="342" spans="1:20" ht="14.25" customHeight="1" x14ac:dyDescent="0.35">
      <c r="A342" s="1">
        <v>2024</v>
      </c>
      <c r="B342" s="1" t="s">
        <v>34</v>
      </c>
      <c r="C342" s="1">
        <v>5</v>
      </c>
      <c r="D342" s="12">
        <v>140.93799999999999</v>
      </c>
      <c r="E342" s="13">
        <v>119.96899999999999</v>
      </c>
      <c r="F342" s="21">
        <v>77.462999999999994</v>
      </c>
      <c r="G342" s="22">
        <v>2209.7710000000002</v>
      </c>
      <c r="H342" s="13">
        <v>6.9</v>
      </c>
      <c r="I342" s="23">
        <v>2.5999999999999999E-2</v>
      </c>
      <c r="J342" s="13">
        <v>6.923</v>
      </c>
      <c r="K342" s="24">
        <v>35.966999999999999</v>
      </c>
      <c r="L342" s="13">
        <v>5.1319999999999997</v>
      </c>
      <c r="M342" s="23">
        <v>1.2999999999999999E-2</v>
      </c>
      <c r="N342" s="22">
        <v>145.065</v>
      </c>
      <c r="O342" s="25">
        <v>4.9000000000000002E-2</v>
      </c>
      <c r="P342" s="26">
        <v>1.853</v>
      </c>
      <c r="Q342" s="93">
        <f t="shared" si="6"/>
        <v>134.90124262721966</v>
      </c>
      <c r="R342" s="93"/>
      <c r="S342" s="93">
        <f t="shared" si="7"/>
        <v>1.1054307586120349</v>
      </c>
      <c r="T342" s="93"/>
    </row>
    <row r="343" spans="1:20" ht="14.25" customHeight="1" x14ac:dyDescent="0.35">
      <c r="A343" s="1">
        <v>2024</v>
      </c>
      <c r="B343" s="1" t="s">
        <v>34</v>
      </c>
      <c r="C343" s="1">
        <v>6</v>
      </c>
      <c r="D343" s="12">
        <v>140.56299999999999</v>
      </c>
      <c r="E343" s="13">
        <v>119.625</v>
      </c>
      <c r="F343" s="21">
        <v>77.364999999999995</v>
      </c>
      <c r="G343" s="22">
        <v>2253.8919999999998</v>
      </c>
      <c r="H343" s="13">
        <v>6.9</v>
      </c>
      <c r="I343" s="23">
        <v>2.4E-2</v>
      </c>
      <c r="J343" s="13">
        <v>7.1349999999999998</v>
      </c>
      <c r="K343" s="24">
        <v>35.204000000000001</v>
      </c>
      <c r="L343" s="13">
        <v>5.2949999999999999</v>
      </c>
      <c r="M343" s="23">
        <v>1.2999999999999999E-2</v>
      </c>
      <c r="N343" s="22">
        <v>105.967</v>
      </c>
      <c r="O343" s="25">
        <v>0.05</v>
      </c>
      <c r="P343" s="26">
        <v>1.9159999999999999</v>
      </c>
      <c r="Q343" s="93">
        <f t="shared" si="6"/>
        <v>134.54230489583986</v>
      </c>
      <c r="R343" s="93"/>
      <c r="S343" s="93">
        <f t="shared" si="7"/>
        <v>1.1024894898663486</v>
      </c>
      <c r="T343" s="93"/>
    </row>
    <row r="344" spans="1:20" ht="14.25" customHeight="1" x14ac:dyDescent="0.35">
      <c r="A344" s="1">
        <v>2024</v>
      </c>
      <c r="B344" s="1" t="s">
        <v>34</v>
      </c>
      <c r="C344" s="1">
        <v>7</v>
      </c>
      <c r="D344" s="12">
        <v>139.01599999999999</v>
      </c>
      <c r="E344" s="13">
        <v>118.188</v>
      </c>
      <c r="F344" s="21">
        <v>77.688999999999993</v>
      </c>
      <c r="G344" s="22">
        <v>2248.17</v>
      </c>
      <c r="H344" s="13">
        <v>6.9</v>
      </c>
      <c r="I344" s="23">
        <v>2.5000000000000001E-2</v>
      </c>
      <c r="J344" s="13">
        <v>7.5030000000000001</v>
      </c>
      <c r="K344" s="24">
        <v>33.920999999999999</v>
      </c>
      <c r="L344" s="13">
        <v>5.41</v>
      </c>
      <c r="M344" s="23">
        <v>1.4E-2</v>
      </c>
      <c r="N344" s="22">
        <v>76.759</v>
      </c>
      <c r="O344" s="25">
        <v>4.9000000000000002E-2</v>
      </c>
      <c r="P344" s="26">
        <v>1.776</v>
      </c>
      <c r="Q344" s="93">
        <f t="shared" si="6"/>
        <v>133.06156710798771</v>
      </c>
      <c r="R344" s="93"/>
      <c r="S344" s="93">
        <f t="shared" si="7"/>
        <v>1.0903557758674782</v>
      </c>
      <c r="T344" s="93"/>
    </row>
    <row r="345" spans="1:20" ht="14.25" customHeight="1" x14ac:dyDescent="0.35">
      <c r="A345" s="1">
        <v>2024</v>
      </c>
      <c r="B345" s="1" t="s">
        <v>34</v>
      </c>
      <c r="C345" s="1">
        <v>8</v>
      </c>
      <c r="D345" s="12">
        <v>140.85900000000001</v>
      </c>
      <c r="E345" s="13">
        <v>119.78100000000001</v>
      </c>
      <c r="F345" s="21">
        <v>77.352999999999994</v>
      </c>
      <c r="G345" s="22">
        <v>2167.0459999999998</v>
      </c>
      <c r="H345" s="13">
        <v>6.9</v>
      </c>
      <c r="I345" s="23">
        <v>2.4E-2</v>
      </c>
      <c r="J345" s="13">
        <v>7.4939999999999998</v>
      </c>
      <c r="K345" s="24">
        <v>32.865000000000002</v>
      </c>
      <c r="L345" s="13">
        <v>5.4109999999999996</v>
      </c>
      <c r="M345" s="23">
        <v>1.4E-2</v>
      </c>
      <c r="N345" s="22">
        <v>76.619</v>
      </c>
      <c r="O345" s="25">
        <v>4.3999999999999997E-2</v>
      </c>
      <c r="P345" s="26">
        <v>2.016</v>
      </c>
      <c r="Q345" s="93">
        <f t="shared" si="6"/>
        <v>134.82562641180903</v>
      </c>
      <c r="R345" s="93"/>
      <c r="S345" s="93">
        <f t="shared" si="7"/>
        <v>1.1048111313296105</v>
      </c>
      <c r="T345" s="93"/>
    </row>
    <row r="346" spans="1:20" ht="14.25" customHeight="1" x14ac:dyDescent="0.35">
      <c r="A346" s="1">
        <v>2024</v>
      </c>
      <c r="B346" s="1" t="s">
        <v>34</v>
      </c>
      <c r="C346" s="1">
        <v>9</v>
      </c>
      <c r="D346" s="12">
        <v>141.18799999999999</v>
      </c>
      <c r="E346" s="13">
        <v>119.90600000000001</v>
      </c>
      <c r="F346" s="21">
        <v>77.343999999999994</v>
      </c>
      <c r="G346" s="22">
        <v>2140.6419999999998</v>
      </c>
      <c r="H346" s="13">
        <v>6.9</v>
      </c>
      <c r="I346" s="23">
        <v>2.4E-2</v>
      </c>
      <c r="J346" s="13">
        <v>7.532</v>
      </c>
      <c r="K346" s="24">
        <v>32.045000000000002</v>
      </c>
      <c r="L346" s="13">
        <v>5.423</v>
      </c>
      <c r="M346" s="23">
        <v>1.4E-2</v>
      </c>
      <c r="N346" s="22">
        <v>74.399000000000001</v>
      </c>
      <c r="O346" s="25">
        <v>4.2999999999999997E-2</v>
      </c>
      <c r="P346" s="26">
        <v>1.992</v>
      </c>
      <c r="Q346" s="93">
        <f t="shared" si="6"/>
        <v>135.14053444813953</v>
      </c>
      <c r="R346" s="93"/>
      <c r="S346" s="93">
        <f t="shared" si="7"/>
        <v>1.1073916044424923</v>
      </c>
      <c r="T346" s="93"/>
    </row>
    <row r="347" spans="1:20" ht="14.25" customHeight="1" x14ac:dyDescent="0.35">
      <c r="A347" s="1">
        <v>2024</v>
      </c>
      <c r="B347" s="1" t="s">
        <v>34</v>
      </c>
      <c r="C347" s="1">
        <v>10</v>
      </c>
      <c r="D347" s="12">
        <v>141.172</v>
      </c>
      <c r="E347" s="13">
        <v>119.96899999999999</v>
      </c>
      <c r="F347" s="27">
        <v>77.247</v>
      </c>
      <c r="G347" s="22">
        <v>2250.125</v>
      </c>
      <c r="H347" s="13">
        <v>6.9</v>
      </c>
      <c r="I347" s="23">
        <v>2.5000000000000001E-2</v>
      </c>
      <c r="J347" s="28">
        <v>6.8869999999999996</v>
      </c>
      <c r="K347" s="24">
        <v>33.119999999999997</v>
      </c>
      <c r="L347" s="13">
        <v>5.4279999999999999</v>
      </c>
      <c r="M347" s="29">
        <v>1.4E-2</v>
      </c>
      <c r="N347" s="22">
        <v>73.438999999999993</v>
      </c>
      <c r="O347" s="30">
        <v>4.4999999999999998E-2</v>
      </c>
      <c r="P347" s="31">
        <v>1.8759999999999999</v>
      </c>
      <c r="Q347" s="93">
        <f t="shared" si="6"/>
        <v>135.12521977160068</v>
      </c>
      <c r="R347" s="93"/>
      <c r="S347" s="93">
        <f t="shared" si="7"/>
        <v>1.1072661103093431</v>
      </c>
      <c r="T347" s="93"/>
    </row>
    <row r="348" spans="1:20" ht="14.25" customHeight="1" x14ac:dyDescent="0.35">
      <c r="A348" s="1">
        <v>2024</v>
      </c>
      <c r="B348" s="1" t="s">
        <v>34</v>
      </c>
      <c r="C348" s="1">
        <v>11</v>
      </c>
      <c r="D348" s="12">
        <v>141.203</v>
      </c>
      <c r="E348" s="13">
        <v>120</v>
      </c>
      <c r="F348" s="27">
        <v>76.834000000000003</v>
      </c>
      <c r="G348" s="22">
        <v>2273.92</v>
      </c>
      <c r="H348" s="13">
        <v>6.9</v>
      </c>
      <c r="I348" s="23">
        <v>2.5000000000000001E-2</v>
      </c>
      <c r="J348" s="28">
        <v>6.8310000000000004</v>
      </c>
      <c r="K348" s="24">
        <v>33.630000000000003</v>
      </c>
      <c r="L348" s="13">
        <v>5.4139999999999997</v>
      </c>
      <c r="M348" s="29">
        <v>1.4E-2</v>
      </c>
      <c r="N348" s="22">
        <v>75.909000000000006</v>
      </c>
      <c r="O348" s="30">
        <v>4.7E-2</v>
      </c>
      <c r="P348" s="31">
        <v>2.2429999999999999</v>
      </c>
      <c r="Q348" s="93">
        <f t="shared" si="6"/>
        <v>135.15489195739474</v>
      </c>
      <c r="R348" s="93"/>
      <c r="S348" s="93">
        <f t="shared" si="7"/>
        <v>1.1075092551923198</v>
      </c>
      <c r="T348" s="93"/>
    </row>
    <row r="349" spans="1:20" ht="14.25" customHeight="1" x14ac:dyDescent="0.35">
      <c r="A349" s="1">
        <v>2024</v>
      </c>
      <c r="B349" s="1" t="s">
        <v>34</v>
      </c>
      <c r="C349" s="1">
        <v>12</v>
      </c>
      <c r="D349" s="12">
        <v>140.39099999999999</v>
      </c>
      <c r="E349" s="13">
        <v>119.28100000000001</v>
      </c>
      <c r="F349" s="27">
        <v>76.712000000000003</v>
      </c>
      <c r="G349" s="22">
        <v>2241.9340000000002</v>
      </c>
      <c r="H349" s="13">
        <v>6.9</v>
      </c>
      <c r="I349" s="23">
        <v>2.5000000000000001E-2</v>
      </c>
      <c r="J349" s="28">
        <v>6.7919999999999998</v>
      </c>
      <c r="K349" s="24">
        <v>32.966000000000001</v>
      </c>
      <c r="L349" s="13">
        <v>5.4059999999999997</v>
      </c>
      <c r="M349" s="29">
        <v>1.4E-2</v>
      </c>
      <c r="N349" s="22">
        <v>77.424999999999997</v>
      </c>
      <c r="O349" s="30">
        <v>4.5999999999999999E-2</v>
      </c>
      <c r="P349" s="31">
        <v>2.048</v>
      </c>
      <c r="Q349" s="93">
        <f t="shared" ref="Q349:Q368" si="8">S349*$T$3</f>
        <v>134.37767212304701</v>
      </c>
      <c r="R349" s="93"/>
      <c r="S349" s="93">
        <f t="shared" si="7"/>
        <v>1.1011404279349941</v>
      </c>
      <c r="T349" s="93"/>
    </row>
    <row r="350" spans="1:20" ht="14.25" customHeight="1" x14ac:dyDescent="0.35">
      <c r="A350" s="1">
        <v>2024</v>
      </c>
      <c r="B350" s="1" t="s">
        <v>34</v>
      </c>
      <c r="C350" s="1">
        <v>13</v>
      </c>
      <c r="D350" s="12">
        <v>141.15600000000001</v>
      </c>
      <c r="E350" s="13">
        <v>120</v>
      </c>
      <c r="F350" s="27">
        <v>76.918000000000006</v>
      </c>
      <c r="G350" s="22">
        <v>2226.1849999999999</v>
      </c>
      <c r="H350" s="13">
        <v>6.9</v>
      </c>
      <c r="I350" s="23">
        <v>2.5000000000000001E-2</v>
      </c>
      <c r="J350" s="28">
        <v>6.702</v>
      </c>
      <c r="K350" s="24">
        <v>33.295000000000002</v>
      </c>
      <c r="L350" s="13">
        <v>5.4669999999999996</v>
      </c>
      <c r="M350" s="23">
        <v>1.4E-2</v>
      </c>
      <c r="N350" s="22">
        <v>67.652000000000001</v>
      </c>
      <c r="O350" s="30">
        <v>4.3999999999999997E-2</v>
      </c>
      <c r="P350" s="31">
        <v>2.6190000000000002</v>
      </c>
      <c r="Q350" s="93">
        <f t="shared" si="8"/>
        <v>135.10990509506181</v>
      </c>
      <c r="R350" s="93"/>
      <c r="S350" s="93">
        <f t="shared" si="7"/>
        <v>1.1071406161761939</v>
      </c>
      <c r="T350" s="93"/>
    </row>
    <row r="351" spans="1:20" ht="14.25" customHeight="1" x14ac:dyDescent="0.35">
      <c r="A351" s="1">
        <v>2024</v>
      </c>
      <c r="B351" s="1" t="s">
        <v>34</v>
      </c>
      <c r="C351" s="1">
        <v>14</v>
      </c>
      <c r="D351" s="12">
        <v>141.18799999999999</v>
      </c>
      <c r="E351" s="13">
        <v>120</v>
      </c>
      <c r="F351" s="21">
        <v>76.834000000000003</v>
      </c>
      <c r="G351" s="22">
        <v>2274.4389999999999</v>
      </c>
      <c r="H351" s="13">
        <v>6.9</v>
      </c>
      <c r="I351" s="23">
        <v>2.5000000000000001E-2</v>
      </c>
      <c r="J351" s="28">
        <v>6.5759999999999996</v>
      </c>
      <c r="K351" s="33">
        <v>34.404000000000003</v>
      </c>
      <c r="L351" s="13">
        <v>5.5140000000000002</v>
      </c>
      <c r="M351" s="23">
        <v>1.4E-2</v>
      </c>
      <c r="N351" s="22">
        <v>60.259</v>
      </c>
      <c r="O351" s="30">
        <v>4.2999999999999997E-2</v>
      </c>
      <c r="P351" s="31">
        <v>3.0510000000000002</v>
      </c>
      <c r="Q351" s="93">
        <f t="shared" si="8"/>
        <v>135.14053444813953</v>
      </c>
      <c r="R351" s="93"/>
      <c r="S351" s="93">
        <f t="shared" si="7"/>
        <v>1.1073916044424923</v>
      </c>
      <c r="T351" s="93"/>
    </row>
    <row r="352" spans="1:20" ht="14.25" customHeight="1" x14ac:dyDescent="0.35">
      <c r="A352" s="1">
        <v>2024</v>
      </c>
      <c r="B352" s="1" t="s">
        <v>34</v>
      </c>
      <c r="C352" s="1">
        <v>15</v>
      </c>
      <c r="D352" s="12">
        <v>141.18799999999999</v>
      </c>
      <c r="E352" s="13">
        <v>120</v>
      </c>
      <c r="F352" s="21">
        <v>76.807000000000002</v>
      </c>
      <c r="G352" s="22">
        <v>2156.4499999999998</v>
      </c>
      <c r="H352" s="13">
        <v>6.9</v>
      </c>
      <c r="I352" s="23">
        <v>2.4E-2</v>
      </c>
      <c r="J352" s="28">
        <v>6.7009999999999996</v>
      </c>
      <c r="K352" s="24">
        <v>32.783999999999999</v>
      </c>
      <c r="L352" s="13">
        <v>5.5179999999999998</v>
      </c>
      <c r="M352" s="23">
        <v>1.4E-2</v>
      </c>
      <c r="N352" s="22">
        <v>59.923000000000002</v>
      </c>
      <c r="O352" s="30">
        <v>4.1000000000000002E-2</v>
      </c>
      <c r="P352" s="31">
        <v>3.01</v>
      </c>
      <c r="Q352" s="93">
        <f t="shared" si="8"/>
        <v>135.14053444813953</v>
      </c>
      <c r="R352" s="93"/>
      <c r="S352" s="93">
        <f t="shared" si="7"/>
        <v>1.1073916044424923</v>
      </c>
      <c r="T352" s="93"/>
    </row>
    <row r="353" spans="1:20" ht="14.25" customHeight="1" x14ac:dyDescent="0.35">
      <c r="A353" s="1">
        <v>2024</v>
      </c>
      <c r="B353" s="1" t="s">
        <v>34</v>
      </c>
      <c r="C353" s="1">
        <v>16</v>
      </c>
      <c r="D353" s="12">
        <v>141.03100000000001</v>
      </c>
      <c r="E353" s="13">
        <v>119.875</v>
      </c>
      <c r="F353" s="21">
        <v>76.715000000000003</v>
      </c>
      <c r="G353" s="22">
        <v>2160.3000000000002</v>
      </c>
      <c r="H353" s="13">
        <v>6.9</v>
      </c>
      <c r="I353" s="23">
        <v>2.5000000000000001E-2</v>
      </c>
      <c r="J353" s="28">
        <v>6.742</v>
      </c>
      <c r="K353" s="24">
        <v>32.579000000000001</v>
      </c>
      <c r="L353" s="13">
        <v>5.5209999999999999</v>
      </c>
      <c r="M353" s="23">
        <v>1.4E-2</v>
      </c>
      <c r="N353" s="22">
        <v>59.357999999999997</v>
      </c>
      <c r="O353" s="30">
        <v>4.2000000000000003E-2</v>
      </c>
      <c r="P353" s="31">
        <v>3.2149999999999999</v>
      </c>
      <c r="Q353" s="93">
        <f t="shared" si="8"/>
        <v>134.99025918460185</v>
      </c>
      <c r="R353" s="93"/>
      <c r="S353" s="93">
        <f t="shared" si="7"/>
        <v>1.106160193260965</v>
      </c>
      <c r="T353" s="93"/>
    </row>
    <row r="354" spans="1:20" ht="14.25" customHeight="1" x14ac:dyDescent="0.35">
      <c r="A354" s="1">
        <v>2024</v>
      </c>
      <c r="B354" s="1" t="s">
        <v>34</v>
      </c>
      <c r="C354" s="1">
        <v>17</v>
      </c>
      <c r="D354" s="12">
        <v>141.125</v>
      </c>
      <c r="E354" s="13">
        <v>120</v>
      </c>
      <c r="F354" s="21">
        <v>76.756</v>
      </c>
      <c r="G354" s="22">
        <v>2387.5889999999999</v>
      </c>
      <c r="H354" s="13">
        <v>6.9</v>
      </c>
      <c r="I354" s="23">
        <v>2.5000000000000001E-2</v>
      </c>
      <c r="J354" s="13">
        <v>6.6130000000000004</v>
      </c>
      <c r="K354" s="24">
        <v>35.408000000000001</v>
      </c>
      <c r="L354" s="13">
        <v>5.5179999999999998</v>
      </c>
      <c r="M354" s="23">
        <v>1.4E-2</v>
      </c>
      <c r="N354" s="22">
        <v>59.607999999999997</v>
      </c>
      <c r="O354" s="25">
        <v>4.5999999999999999E-2</v>
      </c>
      <c r="P354" s="26">
        <v>2.8769999999999998</v>
      </c>
      <c r="Q354" s="93">
        <f t="shared" si="8"/>
        <v>135.08023290926775</v>
      </c>
      <c r="R354" s="93"/>
      <c r="S354" s="93">
        <f t="shared" si="7"/>
        <v>1.1068974712932171</v>
      </c>
      <c r="T354" s="93"/>
    </row>
    <row r="355" spans="1:20" ht="14.25" customHeight="1" x14ac:dyDescent="0.35">
      <c r="A355" s="1">
        <v>2024</v>
      </c>
      <c r="B355" s="1" t="s">
        <v>34</v>
      </c>
      <c r="C355" s="1">
        <v>18</v>
      </c>
      <c r="D355" s="12">
        <v>141.06299999999999</v>
      </c>
      <c r="E355" s="13">
        <v>119.90600000000001</v>
      </c>
      <c r="F355" s="21">
        <v>77.195999999999998</v>
      </c>
      <c r="G355" s="22">
        <v>2370.4749999999999</v>
      </c>
      <c r="H355" s="13">
        <v>6.9</v>
      </c>
      <c r="I355" s="23">
        <v>2.5000000000000001E-2</v>
      </c>
      <c r="J355" s="13">
        <v>6.5250000000000004</v>
      </c>
      <c r="K355" s="24">
        <v>35.345999999999997</v>
      </c>
      <c r="L355" s="13">
        <v>5.5250000000000004</v>
      </c>
      <c r="M355" s="23">
        <v>1.4E-2</v>
      </c>
      <c r="N355" s="22">
        <v>58.633000000000003</v>
      </c>
      <c r="O355" s="25">
        <v>4.4999999999999998E-2</v>
      </c>
      <c r="P355" s="26">
        <v>2.5750000000000002</v>
      </c>
      <c r="Q355" s="93">
        <f t="shared" si="8"/>
        <v>135.02088853767958</v>
      </c>
      <c r="R355" s="93"/>
      <c r="S355" s="93">
        <f t="shared" si="7"/>
        <v>1.1064111815272635</v>
      </c>
      <c r="T355" s="93"/>
    </row>
    <row r="356" spans="1:20" ht="14.25" customHeight="1" x14ac:dyDescent="0.35">
      <c r="A356" s="1">
        <v>2024</v>
      </c>
      <c r="B356" s="1" t="s">
        <v>34</v>
      </c>
      <c r="C356" s="1">
        <v>19</v>
      </c>
      <c r="D356" s="12">
        <v>136.5</v>
      </c>
      <c r="E356" s="13">
        <v>116.063</v>
      </c>
      <c r="F356" s="21">
        <v>77.244</v>
      </c>
      <c r="G356" s="22">
        <v>2144.6950000000002</v>
      </c>
      <c r="H356" s="13">
        <v>6.9</v>
      </c>
      <c r="I356" s="23">
        <v>2.5999999999999999E-2</v>
      </c>
      <c r="J356" s="13">
        <v>7.4649999999999999</v>
      </c>
      <c r="K356" s="24">
        <v>32.673000000000002</v>
      </c>
      <c r="L356" s="13">
        <v>5.5019999999999998</v>
      </c>
      <c r="M356" s="23">
        <v>1.4E-2</v>
      </c>
      <c r="N356" s="22">
        <v>61.948</v>
      </c>
      <c r="O356" s="25">
        <v>4.9000000000000002E-2</v>
      </c>
      <c r="P356" s="26">
        <v>2.855</v>
      </c>
      <c r="Q356" s="93">
        <f t="shared" si="8"/>
        <v>130.65333422225009</v>
      </c>
      <c r="R356" s="93"/>
      <c r="S356" s="93">
        <f t="shared" si="7"/>
        <v>1.0706218234297546</v>
      </c>
      <c r="T356" s="93"/>
    </row>
    <row r="357" spans="1:20" ht="14.25" customHeight="1" x14ac:dyDescent="0.35">
      <c r="A357" s="1">
        <v>2024</v>
      </c>
      <c r="B357" s="1" t="s">
        <v>34</v>
      </c>
      <c r="C357" s="1">
        <v>20</v>
      </c>
      <c r="D357" s="12">
        <v>141.10900000000001</v>
      </c>
      <c r="E357" s="13">
        <v>120</v>
      </c>
      <c r="F357" s="21">
        <v>76.923000000000002</v>
      </c>
      <c r="G357" s="22">
        <v>2280.002</v>
      </c>
      <c r="H357" s="13">
        <v>6.9</v>
      </c>
      <c r="I357" s="23">
        <v>2.5999999999999999E-2</v>
      </c>
      <c r="J357" s="13">
        <v>7.069</v>
      </c>
      <c r="K357" s="24">
        <v>34.936999999999998</v>
      </c>
      <c r="L357" s="13">
        <v>5.6440000000000001</v>
      </c>
      <c r="M357" s="23">
        <v>1.4E-2</v>
      </c>
      <c r="N357" s="22">
        <v>46.183</v>
      </c>
      <c r="O357" s="25">
        <v>5.0999999999999997E-2</v>
      </c>
      <c r="P357" s="26">
        <v>1.4359999999999999</v>
      </c>
      <c r="Q357" s="93">
        <f t="shared" si="8"/>
        <v>135.06491823272887</v>
      </c>
      <c r="R357" s="93"/>
      <c r="S357" s="93">
        <f t="shared" si="7"/>
        <v>1.1067719771600679</v>
      </c>
      <c r="T357" s="93"/>
    </row>
    <row r="358" spans="1:20" ht="14.25" customHeight="1" x14ac:dyDescent="0.35">
      <c r="A358" s="1">
        <v>2024</v>
      </c>
      <c r="B358" s="1" t="s">
        <v>34</v>
      </c>
      <c r="C358" s="1">
        <v>21</v>
      </c>
      <c r="D358" s="12">
        <v>136.5</v>
      </c>
      <c r="E358" s="13">
        <v>116.063</v>
      </c>
      <c r="F358" s="21">
        <v>76.688000000000002</v>
      </c>
      <c r="G358" s="22">
        <v>2236.4639999999999</v>
      </c>
      <c r="H358" s="13">
        <v>6.9</v>
      </c>
      <c r="I358" s="23">
        <v>2.7E-2</v>
      </c>
      <c r="J358" s="13">
        <v>6.8319999999999999</v>
      </c>
      <c r="K358" s="24">
        <v>34.148000000000003</v>
      </c>
      <c r="L358" s="13">
        <v>5.7140000000000004</v>
      </c>
      <c r="M358" s="23">
        <v>1.4E-2</v>
      </c>
      <c r="N358" s="22">
        <v>38.064</v>
      </c>
      <c r="O358" s="25">
        <v>4.5999999999999999E-2</v>
      </c>
      <c r="P358" s="26">
        <v>0.14000000000000001</v>
      </c>
      <c r="Q358" s="93">
        <f t="shared" si="8"/>
        <v>130.65333422225009</v>
      </c>
      <c r="R358" s="93"/>
      <c r="S358" s="93">
        <f t="shared" si="7"/>
        <v>1.0706218234297546</v>
      </c>
      <c r="T358" s="93"/>
    </row>
    <row r="359" spans="1:20" ht="14.25" customHeight="1" x14ac:dyDescent="0.35">
      <c r="A359" s="1">
        <v>2024</v>
      </c>
      <c r="B359" s="1" t="s">
        <v>34</v>
      </c>
      <c r="C359" s="1">
        <v>22</v>
      </c>
      <c r="D359" s="12">
        <v>138.89099999999999</v>
      </c>
      <c r="E359" s="13">
        <v>118.063</v>
      </c>
      <c r="F359" s="21">
        <v>76.456999999999994</v>
      </c>
      <c r="G359" s="22">
        <v>2148.0039999999999</v>
      </c>
      <c r="H359" s="13">
        <v>6.9</v>
      </c>
      <c r="I359" s="23">
        <v>2.7E-2</v>
      </c>
      <c r="J359" s="13">
        <v>6.7960000000000003</v>
      </c>
      <c r="K359" s="24">
        <v>32.841000000000001</v>
      </c>
      <c r="L359" s="13">
        <v>5.7229999999999999</v>
      </c>
      <c r="M359" s="23">
        <v>1.4E-2</v>
      </c>
      <c r="N359" s="22">
        <v>37.325000000000003</v>
      </c>
      <c r="O359" s="25">
        <v>4.2999999999999997E-2</v>
      </c>
      <c r="P359" s="26">
        <v>0.14699999999999999</v>
      </c>
      <c r="Q359" s="93">
        <f t="shared" si="8"/>
        <v>132.94192119752776</v>
      </c>
      <c r="R359" s="93"/>
      <c r="S359" s="93">
        <f t="shared" si="7"/>
        <v>1.0893753529522494</v>
      </c>
      <c r="T359" s="93"/>
    </row>
    <row r="360" spans="1:20" ht="14.25" customHeight="1" x14ac:dyDescent="0.35">
      <c r="A360" s="1">
        <v>2024</v>
      </c>
      <c r="B360" s="1" t="s">
        <v>34</v>
      </c>
      <c r="C360" s="1">
        <v>23</v>
      </c>
      <c r="D360" s="12">
        <v>137.09399999999999</v>
      </c>
      <c r="E360" s="13">
        <v>116.563</v>
      </c>
      <c r="F360" s="21">
        <v>76.882000000000005</v>
      </c>
      <c r="G360" s="22">
        <v>2220.7869999999998</v>
      </c>
      <c r="H360" s="13">
        <v>6.9</v>
      </c>
      <c r="I360" s="23">
        <v>2.7E-2</v>
      </c>
      <c r="J360" s="13">
        <v>6.7839999999999998</v>
      </c>
      <c r="K360" s="24">
        <v>34.241</v>
      </c>
      <c r="L360" s="13">
        <v>5.7290000000000001</v>
      </c>
      <c r="M360" s="23">
        <v>1.4E-2</v>
      </c>
      <c r="N360" s="22">
        <v>36.780999999999999</v>
      </c>
      <c r="O360" s="25">
        <v>4.2999999999999997E-2</v>
      </c>
      <c r="P360" s="26">
        <v>0.14099999999999999</v>
      </c>
      <c r="Q360" s="93">
        <f t="shared" si="8"/>
        <v>131.22189158875574</v>
      </c>
      <c r="R360" s="93"/>
      <c r="S360" s="93">
        <f t="shared" si="7"/>
        <v>1.0752807931229216</v>
      </c>
      <c r="T360" s="93"/>
    </row>
    <row r="361" spans="1:20" ht="14.25" customHeight="1" x14ac:dyDescent="0.35">
      <c r="A361" s="1">
        <v>2024</v>
      </c>
      <c r="B361" s="1" t="s">
        <v>34</v>
      </c>
      <c r="C361" s="1">
        <v>24</v>
      </c>
      <c r="D361" s="12">
        <v>134.328</v>
      </c>
      <c r="E361" s="13">
        <v>114.188</v>
      </c>
      <c r="F361" s="21">
        <v>76.393000000000001</v>
      </c>
      <c r="G361" s="22">
        <v>2195.895</v>
      </c>
      <c r="H361" s="13">
        <v>6.9</v>
      </c>
      <c r="I361" s="23">
        <v>2.7E-2</v>
      </c>
      <c r="J361" s="13">
        <v>6.8410000000000002</v>
      </c>
      <c r="K361" s="24">
        <v>33.880000000000003</v>
      </c>
      <c r="L361" s="13">
        <v>5.7229999999999999</v>
      </c>
      <c r="M361" s="23">
        <v>1.4E-2</v>
      </c>
      <c r="N361" s="22">
        <v>37.201000000000001</v>
      </c>
      <c r="O361" s="25">
        <v>4.3999999999999997E-2</v>
      </c>
      <c r="P361" s="26">
        <v>0.14599999999999999</v>
      </c>
      <c r="Q361" s="93">
        <f t="shared" si="8"/>
        <v>128.57436688209827</v>
      </c>
      <c r="R361" s="93"/>
      <c r="S361" s="93">
        <f t="shared" si="7"/>
        <v>1.0535859948547406</v>
      </c>
      <c r="T361" s="93"/>
    </row>
    <row r="362" spans="1:20" ht="14.25" customHeight="1" x14ac:dyDescent="0.35">
      <c r="A362" s="1">
        <v>2024</v>
      </c>
      <c r="B362" s="1" t="s">
        <v>34</v>
      </c>
      <c r="C362" s="1">
        <v>25</v>
      </c>
      <c r="D362" s="12">
        <v>134.18799999999999</v>
      </c>
      <c r="E362" s="13">
        <v>114.063</v>
      </c>
      <c r="F362" s="21">
        <v>76.44</v>
      </c>
      <c r="G362" s="22">
        <v>2115.41</v>
      </c>
      <c r="H362" s="13">
        <v>6.9</v>
      </c>
      <c r="I362" s="23">
        <v>2.5999999999999999E-2</v>
      </c>
      <c r="J362" s="13">
        <v>6.54</v>
      </c>
      <c r="K362" s="24">
        <v>32.720999999999997</v>
      </c>
      <c r="L362" s="13">
        <v>5.7249999999999996</v>
      </c>
      <c r="M362" s="23">
        <v>1.4E-2</v>
      </c>
      <c r="N362" s="22">
        <v>37.106000000000002</v>
      </c>
      <c r="O362" s="25">
        <v>4.2000000000000003E-2</v>
      </c>
      <c r="P362" s="26">
        <v>0.14299999999999999</v>
      </c>
      <c r="Q362" s="93">
        <f t="shared" si="8"/>
        <v>128.44036346238312</v>
      </c>
      <c r="R362" s="93"/>
      <c r="S362" s="93">
        <f t="shared" si="7"/>
        <v>1.0524879211896843</v>
      </c>
      <c r="T362" s="93"/>
    </row>
    <row r="363" spans="1:20" ht="14.25" customHeight="1" x14ac:dyDescent="0.35">
      <c r="A363" s="1">
        <v>2024</v>
      </c>
      <c r="B363" s="1" t="s">
        <v>34</v>
      </c>
      <c r="C363" s="1">
        <v>26</v>
      </c>
      <c r="D363" s="12">
        <v>133.047</v>
      </c>
      <c r="E363" s="13">
        <v>113.188</v>
      </c>
      <c r="F363" s="21">
        <v>76.155000000000001</v>
      </c>
      <c r="G363" s="22">
        <v>2216.5970000000002</v>
      </c>
      <c r="H363" s="13">
        <v>6.9</v>
      </c>
      <c r="I363" s="23">
        <v>2.7E-2</v>
      </c>
      <c r="J363" s="13">
        <v>6.6369999999999996</v>
      </c>
      <c r="K363" s="24">
        <v>34.889000000000003</v>
      </c>
      <c r="L363" s="13">
        <v>5.7439999999999998</v>
      </c>
      <c r="M363" s="23">
        <v>1.4E-2</v>
      </c>
      <c r="N363" s="22">
        <v>35.526000000000003</v>
      </c>
      <c r="O363" s="25">
        <v>4.1000000000000002E-2</v>
      </c>
      <c r="P363" s="26">
        <v>0.15</v>
      </c>
      <c r="Q363" s="93">
        <f t="shared" si="8"/>
        <v>127.34823559170485</v>
      </c>
      <c r="R363" s="93"/>
      <c r="S363" s="93">
        <f t="shared" si="7"/>
        <v>1.0435386208194768</v>
      </c>
      <c r="T363" s="93"/>
    </row>
    <row r="364" spans="1:20" ht="14.25" customHeight="1" x14ac:dyDescent="0.35">
      <c r="A364" s="1">
        <v>2024</v>
      </c>
      <c r="B364" s="1" t="s">
        <v>34</v>
      </c>
      <c r="C364" s="1">
        <v>27</v>
      </c>
      <c r="D364" s="12">
        <v>135.18799999999999</v>
      </c>
      <c r="E364" s="13">
        <v>114.96899999999999</v>
      </c>
      <c r="F364" s="21">
        <v>76.341999999999999</v>
      </c>
      <c r="G364" s="22">
        <v>2194.826</v>
      </c>
      <c r="H364" s="13">
        <v>6.9</v>
      </c>
      <c r="I364" s="23">
        <v>2.7E-2</v>
      </c>
      <c r="J364" s="13">
        <v>7.141</v>
      </c>
      <c r="K364" s="24">
        <v>33.438000000000002</v>
      </c>
      <c r="L364" s="13">
        <v>5.45</v>
      </c>
      <c r="M364" s="23">
        <v>1.4E-2</v>
      </c>
      <c r="N364" s="22">
        <v>80.691999999999993</v>
      </c>
      <c r="O364" s="25">
        <v>4.8000000000000001E-2</v>
      </c>
      <c r="P364" s="26">
        <v>2.9249999999999998</v>
      </c>
      <c r="Q364" s="93">
        <f t="shared" si="8"/>
        <v>129.39753074606261</v>
      </c>
      <c r="R364" s="93"/>
      <c r="S364" s="93">
        <f t="shared" si="7"/>
        <v>1.0603313045115141</v>
      </c>
      <c r="T364" s="93"/>
    </row>
    <row r="365" spans="1:20" ht="14.25" customHeight="1" x14ac:dyDescent="0.35">
      <c r="A365" s="1">
        <v>2024</v>
      </c>
      <c r="B365" s="1" t="s">
        <v>34</v>
      </c>
      <c r="C365" s="1">
        <v>28</v>
      </c>
      <c r="D365" s="12">
        <v>135.09399999999999</v>
      </c>
      <c r="E365" s="13">
        <v>114.90600000000001</v>
      </c>
      <c r="F365" s="21">
        <v>76.385999999999996</v>
      </c>
      <c r="G365" s="22">
        <v>2208.569</v>
      </c>
      <c r="H365" s="13">
        <v>6.9</v>
      </c>
      <c r="I365" s="23">
        <v>2.7E-2</v>
      </c>
      <c r="J365" s="13">
        <v>7.7409999999999997</v>
      </c>
      <c r="K365" s="24">
        <v>33.710999999999999</v>
      </c>
      <c r="L365" s="13">
        <v>5.2610000000000001</v>
      </c>
      <c r="M365" s="23">
        <v>1.4E-2</v>
      </c>
      <c r="N365" s="22">
        <v>108.127</v>
      </c>
      <c r="O365" s="25">
        <v>4.1000000000000002E-2</v>
      </c>
      <c r="P365" s="26">
        <v>5.59</v>
      </c>
      <c r="Q365" s="93">
        <f t="shared" si="8"/>
        <v>129.30755702139675</v>
      </c>
      <c r="R365" s="93"/>
      <c r="S365" s="93">
        <f t="shared" si="7"/>
        <v>1.059594026479262</v>
      </c>
      <c r="T365" s="93"/>
    </row>
    <row r="366" spans="1:20" ht="14.25" customHeight="1" x14ac:dyDescent="0.35">
      <c r="A366" s="1">
        <v>2024</v>
      </c>
      <c r="B366" s="1" t="s">
        <v>34</v>
      </c>
      <c r="C366" s="1">
        <v>29</v>
      </c>
      <c r="D366" s="12">
        <v>134.922</v>
      </c>
      <c r="E366" s="13">
        <v>114.90600000000001</v>
      </c>
      <c r="F366" s="21">
        <v>76.22</v>
      </c>
      <c r="G366" s="22">
        <v>2180.2570000000001</v>
      </c>
      <c r="H366" s="13">
        <v>6.9</v>
      </c>
      <c r="I366" s="23">
        <v>2.7E-2</v>
      </c>
      <c r="J366" s="13">
        <v>7.2089999999999996</v>
      </c>
      <c r="K366" s="24">
        <v>33.383000000000003</v>
      </c>
      <c r="L366" s="13">
        <v>5.2539999999999996</v>
      </c>
      <c r="M366" s="23">
        <v>1.4E-2</v>
      </c>
      <c r="N366" s="22">
        <v>109.47499999999999</v>
      </c>
      <c r="O366" s="25">
        <v>3.4000000000000002E-2</v>
      </c>
      <c r="P366" s="26">
        <v>4.6130000000000004</v>
      </c>
      <c r="Q366" s="93">
        <f t="shared" si="8"/>
        <v>129.14292424860389</v>
      </c>
      <c r="R366" s="93"/>
      <c r="S366" s="93">
        <f t="shared" si="7"/>
        <v>1.0582449645479075</v>
      </c>
      <c r="T366" s="93"/>
    </row>
    <row r="367" spans="1:20" ht="14.25" customHeight="1" x14ac:dyDescent="0.35">
      <c r="A367" s="1">
        <v>2024</v>
      </c>
      <c r="B367" s="1" t="s">
        <v>34</v>
      </c>
      <c r="C367" s="1">
        <v>30</v>
      </c>
      <c r="D367" s="12">
        <v>135.25</v>
      </c>
      <c r="E367" s="13">
        <v>115.03100000000001</v>
      </c>
      <c r="F367" s="21">
        <v>76.019000000000005</v>
      </c>
      <c r="G367" s="22">
        <v>2261.5079999999998</v>
      </c>
      <c r="H367" s="13">
        <v>6.9</v>
      </c>
      <c r="I367" s="23">
        <v>2.7E-2</v>
      </c>
      <c r="J367" s="13">
        <v>7.327</v>
      </c>
      <c r="K367" s="24">
        <v>34.167999999999999</v>
      </c>
      <c r="L367" s="13">
        <v>5.2670000000000003</v>
      </c>
      <c r="M367" s="23">
        <v>1.4E-2</v>
      </c>
      <c r="N367" s="22">
        <v>106.458</v>
      </c>
      <c r="O367" s="25">
        <v>3.3000000000000002E-2</v>
      </c>
      <c r="P367" s="26">
        <v>3.87</v>
      </c>
      <c r="Q367" s="93">
        <f t="shared" si="8"/>
        <v>129.45687511765075</v>
      </c>
      <c r="R367" s="93"/>
      <c r="S367" s="93">
        <f t="shared" si="7"/>
        <v>1.0608175942774676</v>
      </c>
      <c r="T367" s="93"/>
    </row>
    <row r="368" spans="1:20" ht="14.25" customHeight="1" x14ac:dyDescent="0.35">
      <c r="A368" s="1">
        <v>2024</v>
      </c>
      <c r="B368" s="1" t="s">
        <v>34</v>
      </c>
      <c r="C368" s="1">
        <v>31</v>
      </c>
      <c r="D368" s="42">
        <v>130.172</v>
      </c>
      <c r="E368" s="43">
        <v>110.71899999999999</v>
      </c>
      <c r="F368" s="36">
        <v>75.721000000000004</v>
      </c>
      <c r="G368" s="37">
        <v>2246.7950000000001</v>
      </c>
      <c r="H368" s="35">
        <v>6.9</v>
      </c>
      <c r="I368" s="38">
        <v>2.7E-2</v>
      </c>
      <c r="J368" s="35">
        <v>7.202</v>
      </c>
      <c r="K368" s="39">
        <v>35.085000000000001</v>
      </c>
      <c r="L368" s="35">
        <v>5.2510000000000003</v>
      </c>
      <c r="M368" s="38">
        <v>1.4E-2</v>
      </c>
      <c r="N368" s="37">
        <v>110.55</v>
      </c>
      <c r="O368" s="40">
        <v>3.4000000000000002E-2</v>
      </c>
      <c r="P368" s="41">
        <v>4.0460000000000003</v>
      </c>
      <c r="Q368" s="93">
        <f t="shared" si="8"/>
        <v>124.5963796511263</v>
      </c>
      <c r="R368" s="93"/>
      <c r="S368" s="93">
        <f t="shared" si="7"/>
        <v>1.0209888937692162</v>
      </c>
      <c r="T368" s="93"/>
    </row>
    <row r="369" spans="1:20" ht="14.25" customHeight="1" x14ac:dyDescent="0.35">
      <c r="A369" s="1">
        <v>2023</v>
      </c>
      <c r="B369" s="1" t="s">
        <v>22</v>
      </c>
      <c r="C369" s="1">
        <v>1</v>
      </c>
      <c r="D369" s="49">
        <v>130.34399999999999</v>
      </c>
      <c r="E369" s="50">
        <v>110</v>
      </c>
      <c r="F369" s="51">
        <v>74.070999999999998</v>
      </c>
      <c r="G369" s="52">
        <v>2098.4989999999998</v>
      </c>
      <c r="H369" s="53">
        <v>6.9</v>
      </c>
      <c r="I369" s="54">
        <v>3.2000000000000001E-2</v>
      </c>
      <c r="J369" s="55">
        <v>6.907</v>
      </c>
      <c r="K369" s="52">
        <v>40.975000000000001</v>
      </c>
      <c r="L369" s="55">
        <v>5.1630000000000003</v>
      </c>
      <c r="M369" s="56">
        <v>1.4999999999999999E-2</v>
      </c>
      <c r="N369" s="57">
        <v>136.48099999999999</v>
      </c>
      <c r="O369" s="58">
        <v>2.9000000000000001E-2</v>
      </c>
      <c r="P369" s="59">
        <v>5.6749999999999998</v>
      </c>
      <c r="Q369" s="93"/>
      <c r="R369" s="93"/>
      <c r="S369" s="93"/>
      <c r="T369" s="93"/>
    </row>
    <row r="370" spans="1:20" ht="14.25" customHeight="1" x14ac:dyDescent="0.35">
      <c r="A370" s="1">
        <v>2023</v>
      </c>
      <c r="B370" s="1" t="s">
        <v>22</v>
      </c>
      <c r="C370" s="1">
        <v>2</v>
      </c>
      <c r="D370" s="49">
        <v>130.34399999999999</v>
      </c>
      <c r="E370" s="50">
        <v>110</v>
      </c>
      <c r="F370" s="60">
        <v>74.022000000000006</v>
      </c>
      <c r="G370" s="61">
        <v>2396.895</v>
      </c>
      <c r="H370" s="62">
        <v>6.9</v>
      </c>
      <c r="I370" s="63">
        <v>3.3000000000000002E-2</v>
      </c>
      <c r="J370" s="64">
        <v>6.78</v>
      </c>
      <c r="K370" s="65">
        <v>51.299399999999999</v>
      </c>
      <c r="L370" s="50">
        <v>5.2085999999999997</v>
      </c>
      <c r="M370" s="66">
        <v>1.46E-2</v>
      </c>
      <c r="N370" s="57">
        <v>121.86799999999999</v>
      </c>
      <c r="O370" s="67">
        <v>3.0099999999999998E-2</v>
      </c>
      <c r="P370" s="68">
        <v>6.9409999999999998</v>
      </c>
      <c r="Q370" s="93"/>
      <c r="R370" s="93"/>
      <c r="S370" s="93"/>
      <c r="T370" s="93"/>
    </row>
    <row r="371" spans="1:20" ht="14.25" customHeight="1" x14ac:dyDescent="0.35">
      <c r="A371" s="1">
        <v>2023</v>
      </c>
      <c r="B371" s="1" t="s">
        <v>22</v>
      </c>
      <c r="C371" s="1">
        <v>3</v>
      </c>
      <c r="D371" s="49">
        <v>130.35900000000001</v>
      </c>
      <c r="E371" s="50">
        <v>110.03100000000001</v>
      </c>
      <c r="F371" s="60">
        <v>74.537000000000006</v>
      </c>
      <c r="G371" s="61">
        <v>2398.8180000000002</v>
      </c>
      <c r="H371" s="62">
        <v>6.9</v>
      </c>
      <c r="I371" s="63">
        <v>3.4000000000000002E-2</v>
      </c>
      <c r="J371" s="64">
        <v>7.1429999999999998</v>
      </c>
      <c r="K371" s="65">
        <v>51.526000000000003</v>
      </c>
      <c r="L371" s="50">
        <v>5.2130000000000001</v>
      </c>
      <c r="M371" s="66">
        <v>1.4999999999999999E-2</v>
      </c>
      <c r="N371" s="57">
        <v>120.669</v>
      </c>
      <c r="O371" s="67">
        <v>4.1000000000000002E-2</v>
      </c>
      <c r="P371" s="68">
        <v>9.9</v>
      </c>
      <c r="Q371" s="93"/>
      <c r="R371" s="93"/>
      <c r="S371" s="93"/>
      <c r="T371" s="93"/>
    </row>
    <row r="372" spans="1:20" ht="14.25" customHeight="1" x14ac:dyDescent="0.35">
      <c r="A372" s="1">
        <v>2023</v>
      </c>
      <c r="B372" s="1" t="s">
        <v>22</v>
      </c>
      <c r="C372" s="1">
        <v>4</v>
      </c>
      <c r="D372" s="49">
        <v>130.328</v>
      </c>
      <c r="E372" s="50">
        <v>109.96899999999999</v>
      </c>
      <c r="F372" s="60">
        <v>74.888999999999996</v>
      </c>
      <c r="G372" s="61">
        <v>2406.366</v>
      </c>
      <c r="H372" s="62">
        <v>6.9</v>
      </c>
      <c r="I372" s="63">
        <v>3.5000000000000003E-2</v>
      </c>
      <c r="J372" s="64">
        <v>7.2640000000000002</v>
      </c>
      <c r="K372" s="65">
        <v>49.478000000000002</v>
      </c>
      <c r="L372" s="50">
        <v>5.2089999999999996</v>
      </c>
      <c r="M372" s="66">
        <v>1.4999999999999999E-2</v>
      </c>
      <c r="N372" s="57">
        <v>121.93</v>
      </c>
      <c r="O372" s="67">
        <v>4.8000000000000001E-2</v>
      </c>
      <c r="P372" s="68">
        <v>10.442</v>
      </c>
      <c r="Q372" s="93"/>
      <c r="R372" s="93"/>
      <c r="S372" s="93"/>
      <c r="T372" s="93"/>
    </row>
    <row r="373" spans="1:20" ht="14.25" customHeight="1" x14ac:dyDescent="0.35">
      <c r="A373" s="1">
        <v>2023</v>
      </c>
      <c r="B373" s="1" t="s">
        <v>22</v>
      </c>
      <c r="C373" s="1">
        <v>5</v>
      </c>
      <c r="D373" s="49">
        <v>129.922</v>
      </c>
      <c r="E373" s="50">
        <v>109.78100000000001</v>
      </c>
      <c r="F373" s="60">
        <v>73.984999999999999</v>
      </c>
      <c r="G373" s="61">
        <v>2330.701</v>
      </c>
      <c r="H373" s="62">
        <v>6.8929999999999998</v>
      </c>
      <c r="I373" s="63">
        <v>3.5000000000000003E-2</v>
      </c>
      <c r="J373" s="64">
        <v>7.3310000000000004</v>
      </c>
      <c r="K373" s="65">
        <v>47.076000000000001</v>
      </c>
      <c r="L373" s="50">
        <v>5.141</v>
      </c>
      <c r="M373" s="66">
        <v>1.4999999999999999E-2</v>
      </c>
      <c r="N373" s="57">
        <v>143.357</v>
      </c>
      <c r="O373" s="67">
        <v>5.1999999999999998E-2</v>
      </c>
      <c r="P373" s="68">
        <v>9.58</v>
      </c>
      <c r="Q373" s="93"/>
      <c r="R373" s="93"/>
      <c r="S373" s="93"/>
      <c r="T373" s="93"/>
    </row>
    <row r="374" spans="1:20" ht="14.25" customHeight="1" x14ac:dyDescent="0.35">
      <c r="A374" s="1">
        <v>2023</v>
      </c>
      <c r="B374" s="1" t="s">
        <v>22</v>
      </c>
      <c r="C374" s="1">
        <v>6</v>
      </c>
      <c r="D374" s="49">
        <v>129.26599999999999</v>
      </c>
      <c r="E374" s="50">
        <v>109.25</v>
      </c>
      <c r="F374" s="60">
        <v>74.3</v>
      </c>
      <c r="G374" s="61">
        <v>2318.5230000000001</v>
      </c>
      <c r="H374" s="62">
        <v>6.8920000000000003</v>
      </c>
      <c r="I374" s="63">
        <v>3.3000000000000002E-2</v>
      </c>
      <c r="J374" s="64">
        <v>6.8579999999999997</v>
      </c>
      <c r="K374" s="65">
        <v>50.061</v>
      </c>
      <c r="L374" s="50">
        <v>5.1070000000000002</v>
      </c>
      <c r="M374" s="66">
        <v>1.4999999999999999E-2</v>
      </c>
      <c r="N374" s="57">
        <v>155</v>
      </c>
      <c r="O374" s="67">
        <v>5.0999999999999997E-2</v>
      </c>
      <c r="P374" s="68">
        <v>6.7149999999999999</v>
      </c>
      <c r="Q374" s="93"/>
      <c r="R374" s="93"/>
      <c r="S374" s="93"/>
      <c r="T374" s="93"/>
    </row>
    <row r="375" spans="1:20" ht="14.25" customHeight="1" x14ac:dyDescent="0.35">
      <c r="A375" s="1">
        <v>2023</v>
      </c>
      <c r="B375" s="1" t="s">
        <v>22</v>
      </c>
      <c r="C375" s="1">
        <v>7</v>
      </c>
      <c r="D375" s="49">
        <v>130.10900000000001</v>
      </c>
      <c r="E375" s="50">
        <v>110</v>
      </c>
      <c r="F375" s="60">
        <v>74.542000000000002</v>
      </c>
      <c r="G375" s="61">
        <v>2619.913</v>
      </c>
      <c r="H375" s="62">
        <v>6.9</v>
      </c>
      <c r="I375" s="63">
        <v>3.2000000000000001E-2</v>
      </c>
      <c r="J375" s="64">
        <v>6.6909999999999998</v>
      </c>
      <c r="K375" s="65">
        <v>58.534999999999997</v>
      </c>
      <c r="L375" s="50">
        <v>5.109</v>
      </c>
      <c r="M375" s="66">
        <v>1.4999999999999999E-2</v>
      </c>
      <c r="N375" s="57">
        <v>153.38399999999999</v>
      </c>
      <c r="O375" s="67">
        <v>5.3999999999999999E-2</v>
      </c>
      <c r="P375" s="68">
        <v>5.9160000000000004</v>
      </c>
      <c r="Q375" s="93"/>
      <c r="R375" s="93"/>
      <c r="S375" s="93"/>
      <c r="T375" s="93"/>
    </row>
    <row r="376" spans="1:20" ht="14.25" customHeight="1" x14ac:dyDescent="0.35">
      <c r="A376" s="1">
        <v>2023</v>
      </c>
      <c r="B376" s="1" t="s">
        <v>22</v>
      </c>
      <c r="C376" s="1">
        <v>8</v>
      </c>
      <c r="D376" s="49">
        <v>129.953</v>
      </c>
      <c r="E376" s="50">
        <v>109.84399999999999</v>
      </c>
      <c r="F376" s="60">
        <v>74.852000000000004</v>
      </c>
      <c r="G376" s="69">
        <v>2630.5949999999998</v>
      </c>
      <c r="H376" s="62">
        <v>6.9</v>
      </c>
      <c r="I376" s="63">
        <v>3.2000000000000001E-2</v>
      </c>
      <c r="J376" s="50">
        <v>6.6360000000000001</v>
      </c>
      <c r="K376" s="65">
        <v>59.262999999999998</v>
      </c>
      <c r="L376" s="50">
        <v>5.109</v>
      </c>
      <c r="M376" s="66">
        <v>1.4999999999999999E-2</v>
      </c>
      <c r="N376" s="57">
        <v>154.16200000000001</v>
      </c>
      <c r="O376" s="70">
        <v>4.9000000000000002E-2</v>
      </c>
      <c r="P376" s="71">
        <v>5.6</v>
      </c>
      <c r="Q376" s="93"/>
      <c r="R376" s="93"/>
      <c r="S376" s="93"/>
      <c r="T376" s="93"/>
    </row>
    <row r="377" spans="1:20" ht="14.25" customHeight="1" x14ac:dyDescent="0.35">
      <c r="A377" s="1">
        <v>2023</v>
      </c>
      <c r="B377" s="1" t="s">
        <v>22</v>
      </c>
      <c r="C377" s="1">
        <v>9</v>
      </c>
      <c r="D377" s="49">
        <v>128.64099999999999</v>
      </c>
      <c r="E377" s="50">
        <v>108.71899999999999</v>
      </c>
      <c r="F377" s="60">
        <v>74.352999999999994</v>
      </c>
      <c r="G377" s="61">
        <v>2520.0549999999998</v>
      </c>
      <c r="H377" s="62">
        <v>6.9</v>
      </c>
      <c r="I377" s="63">
        <v>3.4000000000000002E-2</v>
      </c>
      <c r="J377" s="64">
        <v>7.125</v>
      </c>
      <c r="K377" s="65">
        <v>55.511299999999999</v>
      </c>
      <c r="L377" s="50">
        <v>5.1509999999999998</v>
      </c>
      <c r="M377" s="66">
        <v>1.4500000000000001E-2</v>
      </c>
      <c r="N377" s="57">
        <v>139.51599999999999</v>
      </c>
      <c r="O377" s="67">
        <v>3.8600000000000002E-2</v>
      </c>
      <c r="P377" s="68">
        <v>5.907</v>
      </c>
      <c r="Q377" s="93"/>
      <c r="R377" s="93"/>
      <c r="S377" s="93"/>
      <c r="T377" s="93"/>
    </row>
    <row r="378" spans="1:20" ht="14.25" customHeight="1" x14ac:dyDescent="0.35">
      <c r="A378" s="1">
        <v>2023</v>
      </c>
      <c r="B378" s="1" t="s">
        <v>22</v>
      </c>
      <c r="C378" s="1">
        <v>10</v>
      </c>
      <c r="D378" s="49">
        <v>130.06299999999999</v>
      </c>
      <c r="E378" s="50">
        <v>110</v>
      </c>
      <c r="F378" s="72">
        <v>73.55</v>
      </c>
      <c r="G378" s="61">
        <v>2327.6979999999999</v>
      </c>
      <c r="H378" s="62">
        <v>6.9</v>
      </c>
      <c r="I378" s="63">
        <v>3.4000000000000002E-2</v>
      </c>
      <c r="J378" s="73">
        <v>7.2450000000000001</v>
      </c>
      <c r="K378" s="65">
        <v>48.985999999999997</v>
      </c>
      <c r="L378" s="50">
        <v>5.1479999999999997</v>
      </c>
      <c r="M378" s="74">
        <v>1.4999999999999999E-2</v>
      </c>
      <c r="N378" s="57">
        <v>139.73599999999999</v>
      </c>
      <c r="O378" s="75">
        <v>3.7999999999999999E-2</v>
      </c>
      <c r="P378" s="76">
        <v>5.2709999999999999</v>
      </c>
      <c r="Q378" s="93"/>
      <c r="R378" s="93"/>
      <c r="S378" s="93"/>
      <c r="T378" s="93"/>
    </row>
    <row r="379" spans="1:20" ht="14.25" customHeight="1" x14ac:dyDescent="0.35">
      <c r="A379" s="1">
        <v>2023</v>
      </c>
      <c r="B379" s="1" t="s">
        <v>22</v>
      </c>
      <c r="C379" s="1">
        <v>11</v>
      </c>
      <c r="D379" s="49">
        <v>130.21899999999999</v>
      </c>
      <c r="E379" s="50">
        <v>109.96899999999999</v>
      </c>
      <c r="F379" s="72">
        <v>73.682000000000002</v>
      </c>
      <c r="G379" s="61">
        <v>2213.2060000000001</v>
      </c>
      <c r="H379" s="62">
        <v>6.9</v>
      </c>
      <c r="I379" s="63">
        <v>3.5999999999999997E-2</v>
      </c>
      <c r="J379" s="77">
        <v>7.3819999999999997</v>
      </c>
      <c r="K379" s="65">
        <v>44.209000000000003</v>
      </c>
      <c r="L379" s="50">
        <v>5.1260000000000003</v>
      </c>
      <c r="M379" s="74">
        <v>1.4999999999999999E-2</v>
      </c>
      <c r="N379" s="57">
        <v>146.64099999999999</v>
      </c>
      <c r="O379" s="75">
        <v>3.9E-2</v>
      </c>
      <c r="P379" s="76">
        <v>5.2169999999999996</v>
      </c>
      <c r="Q379" s="93"/>
      <c r="R379" s="93"/>
      <c r="S379" s="93"/>
      <c r="T379" s="93"/>
    </row>
    <row r="380" spans="1:20" ht="14.25" customHeight="1" x14ac:dyDescent="0.35">
      <c r="A380" s="1">
        <v>2023</v>
      </c>
      <c r="B380" s="1" t="s">
        <v>22</v>
      </c>
      <c r="C380" s="1">
        <v>12</v>
      </c>
      <c r="D380" s="49">
        <v>130.31299999999999</v>
      </c>
      <c r="E380" s="50">
        <v>110.03100000000001</v>
      </c>
      <c r="F380" s="72">
        <v>74.522999999999996</v>
      </c>
      <c r="G380" s="61">
        <v>2382.2539999999999</v>
      </c>
      <c r="H380" s="62">
        <v>6.9</v>
      </c>
      <c r="I380" s="63">
        <v>3.4000000000000002E-2</v>
      </c>
      <c r="J380" s="73">
        <v>7.3739999999999997</v>
      </c>
      <c r="K380" s="65">
        <v>49.366</v>
      </c>
      <c r="L380" s="50">
        <v>5.1310000000000002</v>
      </c>
      <c r="M380" s="74">
        <v>1.4999999999999999E-2</v>
      </c>
      <c r="N380" s="57">
        <v>145.97</v>
      </c>
      <c r="O380" s="75">
        <v>0.04</v>
      </c>
      <c r="P380" s="76">
        <v>6.8789999999999996</v>
      </c>
      <c r="Q380" s="93"/>
      <c r="R380" s="93"/>
      <c r="S380" s="93"/>
      <c r="T380" s="93"/>
    </row>
    <row r="381" spans="1:20" ht="14.25" customHeight="1" x14ac:dyDescent="0.35">
      <c r="A381" s="1">
        <v>2023</v>
      </c>
      <c r="B381" s="1" t="s">
        <v>22</v>
      </c>
      <c r="C381" s="1">
        <v>13</v>
      </c>
      <c r="D381" s="49">
        <v>128.672</v>
      </c>
      <c r="E381" s="50">
        <v>108.59399999999999</v>
      </c>
      <c r="F381" s="78">
        <v>74.552999999999997</v>
      </c>
      <c r="G381" s="61">
        <v>2453.7689999999998</v>
      </c>
      <c r="H381" s="62">
        <v>6.9</v>
      </c>
      <c r="I381" s="63">
        <v>3.5000000000000003E-2</v>
      </c>
      <c r="J381" s="79">
        <v>7.6079999999999997</v>
      </c>
      <c r="K381" s="65">
        <v>50.094000000000001</v>
      </c>
      <c r="L381" s="50">
        <v>5.04</v>
      </c>
      <c r="M381" s="66">
        <v>1.4999999999999999E-2</v>
      </c>
      <c r="N381" s="57">
        <v>180.18199999999999</v>
      </c>
      <c r="O381" s="80">
        <v>4.3999999999999997E-2</v>
      </c>
      <c r="P381" s="81">
        <v>8.09</v>
      </c>
      <c r="Q381" s="93"/>
      <c r="R381" s="93"/>
      <c r="S381" s="93"/>
      <c r="T381" s="93"/>
    </row>
    <row r="382" spans="1:20" ht="14.25" customHeight="1" x14ac:dyDescent="0.35">
      <c r="A382" s="1">
        <v>2023</v>
      </c>
      <c r="B382" s="1" t="s">
        <v>22</v>
      </c>
      <c r="C382" s="1">
        <v>14</v>
      </c>
      <c r="D382" s="49">
        <v>130.328</v>
      </c>
      <c r="E382" s="50">
        <v>110</v>
      </c>
      <c r="F382" s="60">
        <v>73.748999999999995</v>
      </c>
      <c r="G382" s="61">
        <v>2430.7150000000001</v>
      </c>
      <c r="H382" s="62">
        <v>6.9</v>
      </c>
      <c r="I382" s="63">
        <v>3.9E-2</v>
      </c>
      <c r="J382" s="79">
        <v>7.53</v>
      </c>
      <c r="K382" s="82">
        <v>47.865000000000002</v>
      </c>
      <c r="L382" s="50">
        <v>5.0140000000000002</v>
      </c>
      <c r="M382" s="66">
        <v>1.4999999999999999E-2</v>
      </c>
      <c r="N382" s="57">
        <v>190.96199999999999</v>
      </c>
      <c r="O382" s="80">
        <v>4.1000000000000002E-2</v>
      </c>
      <c r="P382" s="81">
        <v>8.3770000000000007</v>
      </c>
      <c r="Q382" s="93"/>
      <c r="R382" s="93"/>
      <c r="S382" s="93"/>
      <c r="T382" s="93"/>
    </row>
    <row r="383" spans="1:20" ht="14.25" customHeight="1" x14ac:dyDescent="0.35">
      <c r="A383" s="1">
        <v>2023</v>
      </c>
      <c r="B383" s="1" t="s">
        <v>22</v>
      </c>
      <c r="C383" s="1">
        <v>15</v>
      </c>
      <c r="D383" s="49">
        <v>130.31299999999999</v>
      </c>
      <c r="E383" s="50">
        <v>110</v>
      </c>
      <c r="F383" s="60">
        <v>72.834999999999994</v>
      </c>
      <c r="G383" s="61">
        <v>2023.9880000000001</v>
      </c>
      <c r="H383" s="62">
        <v>6.9</v>
      </c>
      <c r="I383" s="63">
        <v>0.04</v>
      </c>
      <c r="J383" s="73">
        <v>7.6909999999999998</v>
      </c>
      <c r="K383" s="65">
        <v>35.694000000000003</v>
      </c>
      <c r="L383" s="50">
        <v>4.9859999999999998</v>
      </c>
      <c r="M383" s="66">
        <v>1.4999999999999999E-2</v>
      </c>
      <c r="N383" s="57">
        <v>205.59399999999999</v>
      </c>
      <c r="O383" s="75">
        <v>3.4000000000000002E-2</v>
      </c>
      <c r="P383" s="76">
        <v>6.5259999999999998</v>
      </c>
      <c r="Q383" s="93"/>
      <c r="R383" s="93"/>
      <c r="S383" s="93"/>
      <c r="T383" s="93"/>
    </row>
    <row r="384" spans="1:20" ht="14.25" customHeight="1" x14ac:dyDescent="0.35">
      <c r="A384" s="1">
        <v>2023</v>
      </c>
      <c r="B384" s="1" t="s">
        <v>22</v>
      </c>
      <c r="C384" s="1">
        <v>16</v>
      </c>
      <c r="D384" s="49">
        <v>130.25</v>
      </c>
      <c r="E384" s="50">
        <v>109.96899999999999</v>
      </c>
      <c r="F384" s="60">
        <v>72.569999999999993</v>
      </c>
      <c r="G384" s="61">
        <v>2163.317</v>
      </c>
      <c r="H384" s="62">
        <v>6.9</v>
      </c>
      <c r="I384" s="63">
        <v>4.1000000000000002E-2</v>
      </c>
      <c r="J384" s="79">
        <v>7.7069999999999999</v>
      </c>
      <c r="K384" s="61">
        <v>36.999000000000002</v>
      </c>
      <c r="L384" s="62">
        <v>4.9630000000000001</v>
      </c>
      <c r="M384" s="66">
        <v>1.4999999999999999E-2</v>
      </c>
      <c r="N384" s="57">
        <v>216.738</v>
      </c>
      <c r="O384" s="80">
        <v>3.2000000000000001E-2</v>
      </c>
      <c r="P384" s="81">
        <v>6.6749999999999998</v>
      </c>
      <c r="Q384" s="93"/>
      <c r="R384" s="93"/>
      <c r="S384" s="93"/>
      <c r="T384" s="93"/>
    </row>
    <row r="385" spans="1:20" ht="14.25" customHeight="1" x14ac:dyDescent="0.35">
      <c r="A385" s="1">
        <v>2023</v>
      </c>
      <c r="B385" s="1" t="s">
        <v>22</v>
      </c>
      <c r="C385" s="1">
        <v>17</v>
      </c>
      <c r="D385" s="49">
        <v>131.96899999999999</v>
      </c>
      <c r="E385" s="50">
        <v>111.34399999999999</v>
      </c>
      <c r="F385" s="60">
        <v>72.986999999999995</v>
      </c>
      <c r="G385" s="61">
        <v>2362.723</v>
      </c>
      <c r="H385" s="62">
        <v>6.9</v>
      </c>
      <c r="I385" s="63">
        <v>3.4000000000000002E-2</v>
      </c>
      <c r="J385" s="64">
        <v>7.9560000000000004</v>
      </c>
      <c r="K385" s="65">
        <v>40.96</v>
      </c>
      <c r="L385" s="50">
        <v>4.9429999999999996</v>
      </c>
      <c r="M385" s="66">
        <v>1.4E-2</v>
      </c>
      <c r="N385" s="57">
        <v>226.773</v>
      </c>
      <c r="O385" s="67">
        <v>3.9E-2</v>
      </c>
      <c r="P385" s="68">
        <v>6.7889999999999997</v>
      </c>
      <c r="Q385" s="93"/>
      <c r="R385" s="93"/>
      <c r="S385" s="93"/>
      <c r="T385" s="93"/>
    </row>
    <row r="386" spans="1:20" ht="14.25" customHeight="1" x14ac:dyDescent="0.35">
      <c r="A386" s="1">
        <v>2023</v>
      </c>
      <c r="B386" s="1" t="s">
        <v>22</v>
      </c>
      <c r="C386" s="1">
        <v>18</v>
      </c>
      <c r="D386" s="49">
        <v>127.328</v>
      </c>
      <c r="E386" s="50">
        <v>107.46899999999999</v>
      </c>
      <c r="F386" s="60">
        <v>73.56</v>
      </c>
      <c r="G386" s="61">
        <v>2647.93</v>
      </c>
      <c r="H386" s="62">
        <v>6.9</v>
      </c>
      <c r="I386" s="63">
        <v>3.3000000000000002E-2</v>
      </c>
      <c r="J386" s="64">
        <v>7.3710000000000004</v>
      </c>
      <c r="K386" s="61">
        <v>47.631</v>
      </c>
      <c r="L386" s="62">
        <v>4.9390000000000001</v>
      </c>
      <c r="M386" s="66">
        <v>1.4E-2</v>
      </c>
      <c r="N386" s="57">
        <v>227.31399999999999</v>
      </c>
      <c r="O386" s="67">
        <v>3.6999999999999998E-2</v>
      </c>
      <c r="P386" s="68">
        <v>10.064</v>
      </c>
      <c r="Q386" s="93"/>
      <c r="R386" s="93"/>
      <c r="S386" s="93"/>
      <c r="T386" s="93"/>
    </row>
    <row r="387" spans="1:20" ht="14.25" customHeight="1" x14ac:dyDescent="0.35">
      <c r="A387" s="1">
        <v>2023</v>
      </c>
      <c r="B387" s="1" t="s">
        <v>22</v>
      </c>
      <c r="C387" s="1">
        <v>19</v>
      </c>
      <c r="D387" s="49">
        <v>126.063</v>
      </c>
      <c r="E387" s="50">
        <v>106.59399999999999</v>
      </c>
      <c r="F387" s="60">
        <v>73.620999999999995</v>
      </c>
      <c r="G387" s="61">
        <v>2541.377</v>
      </c>
      <c r="H387" s="62">
        <v>6.9</v>
      </c>
      <c r="I387" s="63">
        <v>3.5999999999999997E-2</v>
      </c>
      <c r="J387" s="64">
        <v>7.7060000000000004</v>
      </c>
      <c r="K387" s="65">
        <v>46.902000000000001</v>
      </c>
      <c r="L387" s="50">
        <v>4.9649999999999999</v>
      </c>
      <c r="M387" s="66">
        <v>1.4E-2</v>
      </c>
      <c r="N387" s="57">
        <v>214.46199999999999</v>
      </c>
      <c r="O387" s="67">
        <v>3.7999999999999999E-2</v>
      </c>
      <c r="P387" s="68">
        <v>13.448</v>
      </c>
      <c r="Q387" s="93"/>
      <c r="R387" s="93"/>
      <c r="S387" s="93"/>
      <c r="T387" s="93"/>
    </row>
    <row r="388" spans="1:20" ht="14.25" customHeight="1" x14ac:dyDescent="0.35">
      <c r="A388" s="1">
        <v>2023</v>
      </c>
      <c r="B388" s="1" t="s">
        <v>22</v>
      </c>
      <c r="C388" s="1">
        <v>20</v>
      </c>
      <c r="D388" s="49">
        <v>126.21899999999999</v>
      </c>
      <c r="E388" s="50">
        <v>106.78100000000001</v>
      </c>
      <c r="F388" s="60">
        <v>73.775999999999996</v>
      </c>
      <c r="G388" s="61">
        <v>2370.152</v>
      </c>
      <c r="H388" s="62">
        <v>6.9</v>
      </c>
      <c r="I388" s="63">
        <v>3.3000000000000002E-2</v>
      </c>
      <c r="J388" s="64">
        <v>7.7949999999999999</v>
      </c>
      <c r="K388" s="61">
        <v>46.27</v>
      </c>
      <c r="L388" s="62">
        <v>4.9720000000000004</v>
      </c>
      <c r="M388" s="66">
        <v>1.4999999999999999E-2</v>
      </c>
      <c r="N388" s="57">
        <v>210.565</v>
      </c>
      <c r="O388" s="67">
        <v>4.1000000000000002E-2</v>
      </c>
      <c r="P388" s="68">
        <v>14.77</v>
      </c>
      <c r="Q388" s="93"/>
      <c r="R388" s="93"/>
      <c r="S388" s="93"/>
      <c r="T388" s="93"/>
    </row>
    <row r="389" spans="1:20" ht="14.25" customHeight="1" x14ac:dyDescent="0.35">
      <c r="A389" s="1">
        <v>2023</v>
      </c>
      <c r="B389" s="1" t="s">
        <v>22</v>
      </c>
      <c r="C389" s="1">
        <v>21</v>
      </c>
      <c r="D389" s="49">
        <v>126.64100000000001</v>
      </c>
      <c r="E389" s="50">
        <v>107.03100000000001</v>
      </c>
      <c r="F389" s="60">
        <v>73.668999999999997</v>
      </c>
      <c r="G389" s="61">
        <v>2409.7339999999999</v>
      </c>
      <c r="H389" s="62">
        <v>6.9</v>
      </c>
      <c r="I389" s="63">
        <v>3.3000000000000002E-2</v>
      </c>
      <c r="J389" s="64">
        <v>7.7889999999999997</v>
      </c>
      <c r="K389" s="65">
        <v>48.369</v>
      </c>
      <c r="L389" s="50">
        <v>4.944</v>
      </c>
      <c r="M389" s="66">
        <v>1.4999999999999999E-2</v>
      </c>
      <c r="N389" s="57">
        <v>227.31399999999999</v>
      </c>
      <c r="O389" s="67">
        <v>3.7999999999999999E-2</v>
      </c>
      <c r="P389" s="68">
        <v>16.454999999999998</v>
      </c>
      <c r="Q389" s="93"/>
      <c r="R389" s="93"/>
      <c r="S389" s="93"/>
      <c r="T389" s="93"/>
    </row>
    <row r="390" spans="1:20" ht="14.25" customHeight="1" x14ac:dyDescent="0.35">
      <c r="A390" s="1">
        <v>2023</v>
      </c>
      <c r="B390" s="1" t="s">
        <v>22</v>
      </c>
      <c r="C390" s="1">
        <v>22</v>
      </c>
      <c r="D390" s="49">
        <v>131.10900000000001</v>
      </c>
      <c r="E390" s="50">
        <v>110.813</v>
      </c>
      <c r="F390" s="60">
        <v>73.552000000000007</v>
      </c>
      <c r="G390" s="61">
        <v>2315.4949999999999</v>
      </c>
      <c r="H390" s="62">
        <v>6.9</v>
      </c>
      <c r="I390" s="63">
        <v>3.3000000000000002E-2</v>
      </c>
      <c r="J390" s="64">
        <v>7.6079999999999997</v>
      </c>
      <c r="K390" s="61">
        <v>45.792999999999999</v>
      </c>
      <c r="L390" s="62">
        <v>4.9640000000000004</v>
      </c>
      <c r="M390" s="66">
        <v>1.4999999999999999E-2</v>
      </c>
      <c r="N390" s="57">
        <v>217.05099999999999</v>
      </c>
      <c r="O390" s="67">
        <v>3.3000000000000002E-2</v>
      </c>
      <c r="P390" s="68">
        <v>16.286999999999999</v>
      </c>
      <c r="Q390" s="93"/>
      <c r="R390" s="93"/>
      <c r="S390" s="93"/>
      <c r="T390" s="93"/>
    </row>
    <row r="391" spans="1:20" ht="14.25" customHeight="1" x14ac:dyDescent="0.35">
      <c r="A391" s="1">
        <v>2023</v>
      </c>
      <c r="B391" s="1" t="s">
        <v>22</v>
      </c>
      <c r="C391" s="1">
        <v>23</v>
      </c>
      <c r="D391" s="49">
        <v>129.81299999999999</v>
      </c>
      <c r="E391" s="50">
        <v>109.75</v>
      </c>
      <c r="F391" s="60">
        <v>73.423000000000002</v>
      </c>
      <c r="G391" s="61">
        <v>2300.7600000000002</v>
      </c>
      <c r="H391" s="62">
        <v>6.9</v>
      </c>
      <c r="I391" s="63">
        <v>3.3000000000000002E-2</v>
      </c>
      <c r="J391" s="64">
        <v>7.5449999999999999</v>
      </c>
      <c r="K391" s="65">
        <v>44.893000000000001</v>
      </c>
      <c r="L391" s="50">
        <v>4.9870000000000001</v>
      </c>
      <c r="M391" s="66">
        <v>1.4999999999999999E-2</v>
      </c>
      <c r="N391" s="57">
        <v>204.34800000000001</v>
      </c>
      <c r="O391" s="67">
        <v>3.2000000000000001E-2</v>
      </c>
      <c r="P391" s="68">
        <v>15.66</v>
      </c>
      <c r="Q391" s="93"/>
      <c r="R391" s="93"/>
      <c r="S391" s="93"/>
      <c r="T391" s="93"/>
    </row>
    <row r="392" spans="1:20" ht="14.25" customHeight="1" x14ac:dyDescent="0.35">
      <c r="A392" s="1">
        <v>2023</v>
      </c>
      <c r="B392" s="1" t="s">
        <v>22</v>
      </c>
      <c r="C392" s="1">
        <v>24</v>
      </c>
      <c r="D392" s="49">
        <v>128.453</v>
      </c>
      <c r="E392" s="50">
        <v>108.53100000000001</v>
      </c>
      <c r="F392" s="60">
        <v>73.641000000000005</v>
      </c>
      <c r="G392" s="61">
        <v>2417.1030000000001</v>
      </c>
      <c r="H392" s="62">
        <v>6.9</v>
      </c>
      <c r="I392" s="63">
        <v>3.2000000000000001E-2</v>
      </c>
      <c r="J392" s="64">
        <v>7.2380000000000004</v>
      </c>
      <c r="K392" s="61">
        <v>47.55</v>
      </c>
      <c r="L392" s="62">
        <v>4.95</v>
      </c>
      <c r="M392" s="66">
        <v>1.4999999999999999E-2</v>
      </c>
      <c r="N392" s="57">
        <v>223.80099999999999</v>
      </c>
      <c r="O392" s="67">
        <v>3.5999999999999997E-2</v>
      </c>
      <c r="P392" s="68">
        <v>15.39</v>
      </c>
      <c r="Q392" s="93"/>
      <c r="R392" s="93"/>
      <c r="S392" s="93"/>
      <c r="T392" s="93"/>
    </row>
    <row r="393" spans="1:20" ht="14.25" customHeight="1" x14ac:dyDescent="0.35">
      <c r="A393" s="1">
        <v>2023</v>
      </c>
      <c r="B393" s="1" t="s">
        <v>22</v>
      </c>
      <c r="C393" s="1">
        <v>25</v>
      </c>
      <c r="D393" s="49">
        <v>126.59399999999999</v>
      </c>
      <c r="E393" s="50">
        <v>106.813</v>
      </c>
      <c r="F393" s="60">
        <v>73.986999999999995</v>
      </c>
      <c r="G393" s="61">
        <v>2451.866</v>
      </c>
      <c r="H393" s="62">
        <v>6.9</v>
      </c>
      <c r="I393" s="63">
        <v>3.3000000000000002E-2</v>
      </c>
      <c r="J393" s="64">
        <v>7.3789999999999996</v>
      </c>
      <c r="K393" s="65">
        <v>49.351999999999997</v>
      </c>
      <c r="L393" s="50">
        <v>4.9930000000000003</v>
      </c>
      <c r="M393" s="66">
        <v>1.4999999999999999E-2</v>
      </c>
      <c r="N393" s="57">
        <v>203.404</v>
      </c>
      <c r="O393" s="67">
        <v>0.04</v>
      </c>
      <c r="P393" s="68">
        <v>15.757</v>
      </c>
      <c r="Q393" s="93"/>
      <c r="R393" s="93"/>
      <c r="S393" s="93"/>
      <c r="T393" s="93"/>
    </row>
    <row r="394" spans="1:20" ht="14.25" customHeight="1" x14ac:dyDescent="0.35">
      <c r="A394" s="1">
        <v>2023</v>
      </c>
      <c r="B394" s="1" t="s">
        <v>22</v>
      </c>
      <c r="C394" s="1">
        <v>26</v>
      </c>
      <c r="D394" s="49">
        <v>129.25</v>
      </c>
      <c r="E394" s="50">
        <v>109.03100000000001</v>
      </c>
      <c r="F394" s="60">
        <v>73.552000000000007</v>
      </c>
      <c r="G394" s="61">
        <v>2518.152</v>
      </c>
      <c r="H394" s="62">
        <v>6.9</v>
      </c>
      <c r="I394" s="63">
        <v>3.3000000000000002E-2</v>
      </c>
      <c r="J394" s="64">
        <v>7.4649999999999999</v>
      </c>
      <c r="K394" s="61">
        <v>50.417999999999999</v>
      </c>
      <c r="L394" s="62">
        <v>5.0039999999999996</v>
      </c>
      <c r="M394" s="66">
        <v>1.4999999999999999E-2</v>
      </c>
      <c r="N394" s="57">
        <v>195.88800000000001</v>
      </c>
      <c r="O394" s="67">
        <v>3.9E-2</v>
      </c>
      <c r="P394" s="68">
        <v>14.795</v>
      </c>
      <c r="Q394" s="93"/>
      <c r="R394" s="93"/>
      <c r="S394" s="93"/>
      <c r="T394" s="93"/>
    </row>
    <row r="395" spans="1:20" ht="14.25" customHeight="1" x14ac:dyDescent="0.35">
      <c r="A395" s="1">
        <v>2023</v>
      </c>
      <c r="B395" s="1" t="s">
        <v>22</v>
      </c>
      <c r="C395" s="1">
        <v>27</v>
      </c>
      <c r="D395" s="12">
        <v>129.60900000000001</v>
      </c>
      <c r="E395" s="13">
        <v>110</v>
      </c>
      <c r="F395" s="60">
        <v>73.927000000000007</v>
      </c>
      <c r="G395" s="61">
        <v>2532.8020000000001</v>
      </c>
      <c r="H395" s="62">
        <v>6.9</v>
      </c>
      <c r="I395" s="63">
        <v>3.2000000000000001E-2</v>
      </c>
      <c r="J395" s="64">
        <v>7.5090000000000003</v>
      </c>
      <c r="K395" s="65">
        <v>48.372999999999998</v>
      </c>
      <c r="L395" s="50">
        <v>5.085</v>
      </c>
      <c r="M395" s="66">
        <v>1.4999999999999999E-2</v>
      </c>
      <c r="N395" s="57">
        <v>168.44</v>
      </c>
      <c r="O395" s="67">
        <v>3.9E-2</v>
      </c>
      <c r="P395" s="68">
        <v>14.948</v>
      </c>
      <c r="Q395" s="93"/>
      <c r="R395" s="93"/>
      <c r="S395" s="93"/>
      <c r="T395" s="93"/>
    </row>
    <row r="396" spans="1:20" ht="14.25" customHeight="1" x14ac:dyDescent="0.35">
      <c r="A396" s="1">
        <v>2023</v>
      </c>
      <c r="B396" s="1" t="s">
        <v>22</v>
      </c>
      <c r="C396" s="1">
        <v>28</v>
      </c>
      <c r="D396" s="12">
        <v>129.625</v>
      </c>
      <c r="E396" s="13">
        <v>110</v>
      </c>
      <c r="F396" s="60">
        <v>73.796999999999997</v>
      </c>
      <c r="G396" s="61">
        <v>2475.0419999999999</v>
      </c>
      <c r="H396" s="62">
        <v>6.9</v>
      </c>
      <c r="I396" s="63">
        <v>3.3000000000000002E-2</v>
      </c>
      <c r="J396" s="64">
        <v>7.5170000000000003</v>
      </c>
      <c r="K396" s="61">
        <v>46.024000000000001</v>
      </c>
      <c r="L396" s="62">
        <v>5.1920000000000002</v>
      </c>
      <c r="M396" s="66">
        <v>1.4999999999999999E-2</v>
      </c>
      <c r="N396" s="57">
        <v>126.89100000000001</v>
      </c>
      <c r="O396" s="67">
        <v>3.6999999999999998E-2</v>
      </c>
      <c r="P396" s="68">
        <v>15.565</v>
      </c>
      <c r="Q396" s="93"/>
      <c r="R396" s="93"/>
      <c r="S396" s="93"/>
      <c r="T396" s="93"/>
    </row>
    <row r="397" spans="1:20" ht="14.25" customHeight="1" x14ac:dyDescent="0.35">
      <c r="A397" s="1">
        <v>2023</v>
      </c>
      <c r="B397" s="1" t="s">
        <v>22</v>
      </c>
      <c r="C397" s="1">
        <v>29</v>
      </c>
      <c r="D397" s="12">
        <v>129.60900000000001</v>
      </c>
      <c r="E397" s="13">
        <v>109.938</v>
      </c>
      <c r="F397" s="83">
        <v>73.510000000000005</v>
      </c>
      <c r="G397" s="69">
        <v>2389.6959999999999</v>
      </c>
      <c r="H397" s="50">
        <v>6.9</v>
      </c>
      <c r="I397" s="66">
        <v>3.3000000000000002E-2</v>
      </c>
      <c r="J397" s="50">
        <v>7.5650000000000004</v>
      </c>
      <c r="K397" s="61">
        <v>44.225000000000001</v>
      </c>
      <c r="L397" s="62">
        <v>5.2069999999999999</v>
      </c>
      <c r="M397" s="66">
        <v>1.4999999999999999E-2</v>
      </c>
      <c r="N397" s="57">
        <v>122.238</v>
      </c>
      <c r="O397" s="84">
        <v>3.5000000000000003E-2</v>
      </c>
      <c r="P397" s="71">
        <v>15.082000000000001</v>
      </c>
      <c r="Q397" s="93"/>
      <c r="R397" s="93"/>
      <c r="S397" s="93"/>
      <c r="T397" s="93"/>
    </row>
    <row r="398" spans="1:20" ht="14.25" customHeight="1" x14ac:dyDescent="0.35">
      <c r="A398" s="1">
        <v>2023</v>
      </c>
      <c r="B398" s="1" t="s">
        <v>22</v>
      </c>
      <c r="C398" s="1">
        <v>30</v>
      </c>
      <c r="D398" s="12">
        <v>129.60900000000001</v>
      </c>
      <c r="E398" s="13">
        <v>109.96899999999999</v>
      </c>
      <c r="F398" s="83">
        <v>73.754999999999995</v>
      </c>
      <c r="G398" s="69">
        <v>2316.2150000000001</v>
      </c>
      <c r="H398" s="50">
        <v>6.9</v>
      </c>
      <c r="I398" s="66">
        <v>3.3000000000000002E-2</v>
      </c>
      <c r="J398" s="50">
        <v>7.7889999999999997</v>
      </c>
      <c r="K398" s="61">
        <v>42.734000000000002</v>
      </c>
      <c r="L398" s="62">
        <v>5.2</v>
      </c>
      <c r="M398" s="66">
        <v>1.4999999999999999E-2</v>
      </c>
      <c r="N398" s="57">
        <v>124.06</v>
      </c>
      <c r="O398" s="84">
        <v>3.4000000000000002E-2</v>
      </c>
      <c r="P398" s="71">
        <v>15.175000000000001</v>
      </c>
      <c r="Q398" s="93"/>
      <c r="R398" s="93"/>
      <c r="S398" s="93"/>
      <c r="T398" s="93"/>
    </row>
    <row r="399" spans="1:20" ht="14.25" customHeight="1" x14ac:dyDescent="0.35">
      <c r="A399" s="1">
        <v>2023</v>
      </c>
      <c r="B399" s="1" t="s">
        <v>22</v>
      </c>
      <c r="C399" s="1">
        <v>31</v>
      </c>
      <c r="D399" s="85">
        <v>129.59399999999999</v>
      </c>
      <c r="E399" s="86">
        <v>109.938</v>
      </c>
      <c r="F399" s="87">
        <v>73.650999999999996</v>
      </c>
      <c r="G399" s="88">
        <v>2371.5279999999998</v>
      </c>
      <c r="H399" s="89">
        <v>6.9</v>
      </c>
      <c r="I399" s="90">
        <v>3.4000000000000002E-2</v>
      </c>
      <c r="J399" s="89">
        <v>7.9669999999999996</v>
      </c>
      <c r="K399" s="61">
        <v>43.548999999999999</v>
      </c>
      <c r="L399" s="64">
        <v>5.1639999999999997</v>
      </c>
      <c r="M399" s="66">
        <v>1.4999999999999999E-2</v>
      </c>
      <c r="N399" s="57">
        <v>136.09</v>
      </c>
      <c r="O399" s="66">
        <v>3.9E-2</v>
      </c>
      <c r="P399" s="91">
        <v>13.814</v>
      </c>
      <c r="Q399" s="93"/>
      <c r="R399" s="93"/>
      <c r="S399" s="93"/>
      <c r="T399" s="93"/>
    </row>
    <row r="400" spans="1:20" ht="14.25" customHeight="1" x14ac:dyDescent="0.35">
      <c r="A400" s="1">
        <v>2023</v>
      </c>
      <c r="B400" s="1" t="s">
        <v>23</v>
      </c>
      <c r="C400" s="1">
        <v>1</v>
      </c>
      <c r="D400" s="49">
        <v>129.65600000000001</v>
      </c>
      <c r="E400" s="50">
        <v>110</v>
      </c>
      <c r="F400" s="51">
        <v>73.748999999999995</v>
      </c>
      <c r="G400" s="52">
        <v>2393.4760000000001</v>
      </c>
      <c r="H400" s="53">
        <v>6.9</v>
      </c>
      <c r="I400" s="54">
        <v>3.3000000000000002E-2</v>
      </c>
      <c r="J400" s="55">
        <v>7.9089999999999998</v>
      </c>
      <c r="K400" s="52">
        <v>44.697000000000003</v>
      </c>
      <c r="L400" s="55">
        <v>5.1550000000000002</v>
      </c>
      <c r="M400" s="56">
        <v>1.4999999999999999E-2</v>
      </c>
      <c r="N400" s="57">
        <v>138.309</v>
      </c>
      <c r="O400" s="58">
        <v>3.9E-2</v>
      </c>
      <c r="P400" s="59">
        <v>13.201000000000001</v>
      </c>
      <c r="Q400" s="93"/>
      <c r="R400" s="93"/>
      <c r="S400" s="93"/>
      <c r="T400" s="93"/>
    </row>
    <row r="401" spans="1:20" ht="14.25" customHeight="1" x14ac:dyDescent="0.35">
      <c r="A401" s="1">
        <v>2023</v>
      </c>
      <c r="B401" s="1" t="s">
        <v>24</v>
      </c>
      <c r="C401" s="1">
        <v>2</v>
      </c>
      <c r="D401" s="49">
        <v>129.96899999999999</v>
      </c>
      <c r="E401" s="50">
        <v>110</v>
      </c>
      <c r="F401" s="60">
        <v>73.953999999999994</v>
      </c>
      <c r="G401" s="61">
        <v>2357.9140000000002</v>
      </c>
      <c r="H401" s="62">
        <v>6.9</v>
      </c>
      <c r="I401" s="63">
        <v>3.3000000000000002E-2</v>
      </c>
      <c r="J401" s="64">
        <v>7.7430000000000003</v>
      </c>
      <c r="K401" s="65">
        <v>44.075000000000003</v>
      </c>
      <c r="L401" s="50">
        <v>5.17</v>
      </c>
      <c r="M401" s="66">
        <v>1.4999999999999999E-2</v>
      </c>
      <c r="N401" s="57">
        <v>134.089</v>
      </c>
      <c r="O401" s="67">
        <v>4.1000000000000002E-2</v>
      </c>
      <c r="P401" s="68">
        <v>13.526</v>
      </c>
      <c r="Q401" s="93"/>
      <c r="R401" s="93"/>
      <c r="S401" s="93"/>
      <c r="T401" s="93"/>
    </row>
    <row r="402" spans="1:20" ht="14.25" customHeight="1" x14ac:dyDescent="0.35">
      <c r="A402" s="1">
        <v>2023</v>
      </c>
      <c r="B402" s="1" t="s">
        <v>23</v>
      </c>
      <c r="C402" s="1">
        <v>3</v>
      </c>
      <c r="D402" s="49">
        <v>129.922</v>
      </c>
      <c r="E402" s="50">
        <v>110</v>
      </c>
      <c r="F402" s="60">
        <v>74.022000000000006</v>
      </c>
      <c r="G402" s="61">
        <v>2418.1959999999999</v>
      </c>
      <c r="H402" s="62">
        <v>6.9</v>
      </c>
      <c r="I402" s="63">
        <v>3.4000000000000002E-2</v>
      </c>
      <c r="J402" s="64">
        <v>7.5209999999999999</v>
      </c>
      <c r="K402" s="65">
        <v>45.932000000000002</v>
      </c>
      <c r="L402" s="50">
        <v>5.1580000000000004</v>
      </c>
      <c r="M402" s="66">
        <v>1.4999999999999999E-2</v>
      </c>
      <c r="N402" s="57">
        <v>137.29900000000001</v>
      </c>
      <c r="O402" s="67">
        <v>3.9E-2</v>
      </c>
      <c r="P402" s="68">
        <v>12.611000000000001</v>
      </c>
      <c r="Q402" s="93"/>
      <c r="R402" s="93"/>
      <c r="S402" s="93"/>
      <c r="T402" s="93"/>
    </row>
    <row r="403" spans="1:20" ht="14.25" customHeight="1" x14ac:dyDescent="0.35">
      <c r="A403" s="1">
        <v>2023</v>
      </c>
      <c r="B403" s="1" t="s">
        <v>23</v>
      </c>
      <c r="C403" s="1">
        <v>4</v>
      </c>
      <c r="D403" s="49">
        <v>129.93799999999999</v>
      </c>
      <c r="E403" s="50">
        <v>110</v>
      </c>
      <c r="F403" s="60">
        <v>74.022000000000006</v>
      </c>
      <c r="G403" s="61">
        <v>2413.2579999999998</v>
      </c>
      <c r="H403" s="62">
        <v>6.9</v>
      </c>
      <c r="I403" s="63">
        <v>3.3000000000000002E-2</v>
      </c>
      <c r="J403" s="64">
        <v>7.5590000000000002</v>
      </c>
      <c r="K403" s="65">
        <v>47.29</v>
      </c>
      <c r="L403" s="50">
        <v>5.1459999999999999</v>
      </c>
      <c r="M403" s="66">
        <v>1.4999999999999999E-2</v>
      </c>
      <c r="N403" s="57">
        <v>141.66</v>
      </c>
      <c r="O403" s="67">
        <v>3.7999999999999999E-2</v>
      </c>
      <c r="P403" s="68">
        <v>11.282999999999999</v>
      </c>
      <c r="Q403" s="93"/>
      <c r="R403" s="93"/>
      <c r="S403" s="93"/>
      <c r="T403" s="93"/>
    </row>
    <row r="404" spans="1:20" ht="14.25" customHeight="1" x14ac:dyDescent="0.35">
      <c r="A404" s="1">
        <v>2023</v>
      </c>
      <c r="B404" s="1" t="s">
        <v>23</v>
      </c>
      <c r="C404" s="1">
        <v>5</v>
      </c>
      <c r="D404" s="49">
        <v>130.09399999999999</v>
      </c>
      <c r="E404" s="50">
        <v>110</v>
      </c>
      <c r="F404" s="60">
        <v>74.045000000000002</v>
      </c>
      <c r="G404" s="61">
        <v>2321.1260000000002</v>
      </c>
      <c r="H404" s="62">
        <v>6.9</v>
      </c>
      <c r="I404" s="63">
        <v>3.3000000000000002E-2</v>
      </c>
      <c r="J404" s="64">
        <v>7.6130000000000004</v>
      </c>
      <c r="K404" s="65">
        <v>45.356999999999999</v>
      </c>
      <c r="L404" s="50">
        <v>5.1719999999999997</v>
      </c>
      <c r="M404" s="66">
        <v>1.4999999999999999E-2</v>
      </c>
      <c r="N404" s="57">
        <v>132.67400000000001</v>
      </c>
      <c r="O404" s="67">
        <v>3.5000000000000003E-2</v>
      </c>
      <c r="P404" s="68">
        <v>11.013999999999999</v>
      </c>
      <c r="Q404" s="93"/>
      <c r="R404" s="93"/>
      <c r="S404" s="93"/>
      <c r="T404" s="93"/>
    </row>
    <row r="405" spans="1:20" ht="14.25" customHeight="1" x14ac:dyDescent="0.35">
      <c r="A405" s="1">
        <v>2023</v>
      </c>
      <c r="B405" s="1" t="s">
        <v>23</v>
      </c>
      <c r="C405" s="1">
        <v>6</v>
      </c>
      <c r="D405" s="49">
        <v>130.06299999999999</v>
      </c>
      <c r="E405" s="50">
        <v>109.90600000000001</v>
      </c>
      <c r="F405" s="60">
        <v>74.052999999999997</v>
      </c>
      <c r="G405" s="61">
        <v>2298.5219999999999</v>
      </c>
      <c r="H405" s="62">
        <v>6.9</v>
      </c>
      <c r="I405" s="63">
        <v>3.3000000000000002E-2</v>
      </c>
      <c r="J405" s="64">
        <v>7.7590000000000003</v>
      </c>
      <c r="K405" s="65">
        <v>46.276000000000003</v>
      </c>
      <c r="L405" s="50">
        <v>5.1520000000000001</v>
      </c>
      <c r="M405" s="66">
        <v>1.4999999999999999E-2</v>
      </c>
      <c r="N405" s="57">
        <v>139.68100000000001</v>
      </c>
      <c r="O405" s="67">
        <v>3.6999999999999998E-2</v>
      </c>
      <c r="P405" s="68">
        <v>10.788</v>
      </c>
      <c r="Q405" s="93"/>
      <c r="R405" s="93"/>
      <c r="S405" s="93"/>
      <c r="T405" s="93"/>
    </row>
    <row r="406" spans="1:20" ht="14.25" customHeight="1" x14ac:dyDescent="0.35">
      <c r="A406" s="1">
        <v>2023</v>
      </c>
      <c r="B406" s="1" t="s">
        <v>23</v>
      </c>
      <c r="C406" s="1">
        <v>7</v>
      </c>
      <c r="D406" s="49">
        <v>130.10900000000001</v>
      </c>
      <c r="E406" s="50">
        <v>110</v>
      </c>
      <c r="F406" s="60">
        <v>74.244</v>
      </c>
      <c r="G406" s="61">
        <v>2354.9879999999998</v>
      </c>
      <c r="H406" s="62">
        <v>6.9</v>
      </c>
      <c r="I406" s="63">
        <v>3.4000000000000002E-2</v>
      </c>
      <c r="J406" s="64">
        <v>7.9050000000000002</v>
      </c>
      <c r="K406" s="65">
        <v>47.893999999999998</v>
      </c>
      <c r="L406" s="50">
        <v>5.1449999999999996</v>
      </c>
      <c r="M406" s="66">
        <v>1.4999999999999999E-2</v>
      </c>
      <c r="N406" s="57">
        <v>144.52600000000001</v>
      </c>
      <c r="O406" s="67">
        <v>4.2000000000000003E-2</v>
      </c>
      <c r="P406" s="68">
        <v>8.0939999999999994</v>
      </c>
      <c r="Q406" s="93"/>
      <c r="R406" s="93"/>
      <c r="S406" s="93"/>
      <c r="T406" s="93"/>
    </row>
    <row r="407" spans="1:20" ht="14.25" customHeight="1" x14ac:dyDescent="0.35">
      <c r="A407" s="1">
        <v>2023</v>
      </c>
      <c r="B407" s="1" t="s">
        <v>23</v>
      </c>
      <c r="C407" s="1">
        <v>8</v>
      </c>
      <c r="D407" s="49">
        <v>130.125</v>
      </c>
      <c r="E407" s="50">
        <v>110</v>
      </c>
      <c r="F407" s="60">
        <v>74.465000000000003</v>
      </c>
      <c r="G407" s="69">
        <v>2377.8440000000001</v>
      </c>
      <c r="H407" s="62">
        <v>6.9009999999999998</v>
      </c>
      <c r="I407" s="63">
        <v>3.4000000000000002E-2</v>
      </c>
      <c r="J407" s="50">
        <v>7.9269999999999996</v>
      </c>
      <c r="K407" s="65">
        <v>48.698999999999998</v>
      </c>
      <c r="L407" s="50">
        <v>5.1539999999999999</v>
      </c>
      <c r="M407" s="66">
        <v>1.4999999999999999E-2</v>
      </c>
      <c r="N407" s="57">
        <v>138.88399999999999</v>
      </c>
      <c r="O407" s="70">
        <v>4.2000000000000003E-2</v>
      </c>
      <c r="P407" s="71">
        <v>13.138</v>
      </c>
      <c r="Q407" s="93"/>
      <c r="R407" s="93"/>
      <c r="S407" s="93"/>
      <c r="T407" s="93"/>
    </row>
    <row r="408" spans="1:20" ht="14.25" customHeight="1" x14ac:dyDescent="0.35">
      <c r="A408" s="1">
        <v>2023</v>
      </c>
      <c r="B408" s="1" t="s">
        <v>23</v>
      </c>
      <c r="C408" s="1">
        <v>9</v>
      </c>
      <c r="D408" s="49">
        <v>130.03100000000001</v>
      </c>
      <c r="E408" s="50">
        <v>110</v>
      </c>
      <c r="F408" s="60">
        <v>74.634</v>
      </c>
      <c r="G408" s="61">
        <v>2472.2280000000001</v>
      </c>
      <c r="H408" s="62">
        <v>6.9</v>
      </c>
      <c r="I408" s="63">
        <v>3.4000000000000002E-2</v>
      </c>
      <c r="J408" s="64">
        <v>8.2469999999999999</v>
      </c>
      <c r="K408" s="65">
        <v>51.036999999999999</v>
      </c>
      <c r="L408" s="50">
        <v>5.1749999999999998</v>
      </c>
      <c r="M408" s="66">
        <v>1.4999999999999999E-2</v>
      </c>
      <c r="N408" s="57">
        <v>132.32400000000001</v>
      </c>
      <c r="O408" s="67">
        <v>4.7E-2</v>
      </c>
      <c r="P408" s="68">
        <v>17.847999999999999</v>
      </c>
      <c r="Q408" s="93"/>
      <c r="R408" s="93"/>
      <c r="S408" s="93"/>
      <c r="T408" s="93"/>
    </row>
    <row r="409" spans="1:20" ht="14.25" customHeight="1" x14ac:dyDescent="0.35">
      <c r="A409" s="1">
        <v>2023</v>
      </c>
      <c r="B409" s="1" t="s">
        <v>23</v>
      </c>
      <c r="C409" s="1">
        <v>10</v>
      </c>
      <c r="D409" s="49">
        <v>129.98400000000001</v>
      </c>
      <c r="E409" s="50">
        <v>109.90600000000001</v>
      </c>
      <c r="F409" s="72">
        <v>74.715999999999994</v>
      </c>
      <c r="G409" s="61">
        <v>2487</v>
      </c>
      <c r="H409" s="62">
        <v>6.9</v>
      </c>
      <c r="I409" s="63">
        <v>3.5000000000000003E-2</v>
      </c>
      <c r="J409" s="73">
        <v>7.91</v>
      </c>
      <c r="K409" s="65">
        <v>51.036999999999999</v>
      </c>
      <c r="L409" s="50">
        <v>5.1749999999999998</v>
      </c>
      <c r="M409" s="74">
        <v>1.4999999999999999E-2</v>
      </c>
      <c r="N409" s="57">
        <v>132.721</v>
      </c>
      <c r="O409" s="75">
        <v>4.2999999999999997E-2</v>
      </c>
      <c r="P409" s="76">
        <v>19.986999999999998</v>
      </c>
      <c r="Q409" s="93"/>
      <c r="R409" s="93"/>
      <c r="S409" s="93"/>
      <c r="T409" s="93"/>
    </row>
    <row r="410" spans="1:20" ht="14.25" customHeight="1" x14ac:dyDescent="0.35">
      <c r="A410" s="1">
        <v>2023</v>
      </c>
      <c r="B410" s="1" t="s">
        <v>23</v>
      </c>
      <c r="C410" s="1">
        <v>11</v>
      </c>
      <c r="D410" s="49">
        <v>130.06299999999999</v>
      </c>
      <c r="E410" s="50">
        <v>109.96899999999999</v>
      </c>
      <c r="F410" s="72">
        <v>74.149000000000001</v>
      </c>
      <c r="G410" s="61">
        <v>2471.7759999999998</v>
      </c>
      <c r="H410" s="62">
        <v>6.9</v>
      </c>
      <c r="I410" s="63">
        <v>3.5000000000000003E-2</v>
      </c>
      <c r="J410" s="77">
        <v>7.8890000000000002</v>
      </c>
      <c r="K410" s="65">
        <v>50.082000000000001</v>
      </c>
      <c r="L410" s="50">
        <v>5.1980000000000004</v>
      </c>
      <c r="M410" s="74">
        <v>1.4999999999999999E-2</v>
      </c>
      <c r="N410" s="57">
        <v>125.31100000000001</v>
      </c>
      <c r="O410" s="75">
        <v>4.2000000000000003E-2</v>
      </c>
      <c r="P410" s="76">
        <v>19.989999999999998</v>
      </c>
      <c r="Q410" s="93"/>
      <c r="R410" s="93"/>
      <c r="S410" s="93"/>
      <c r="T410" s="93"/>
    </row>
    <row r="411" spans="1:20" ht="14.25" customHeight="1" x14ac:dyDescent="0.35">
      <c r="A411" s="1">
        <v>2023</v>
      </c>
      <c r="B411" s="1" t="s">
        <v>23</v>
      </c>
      <c r="C411" s="1">
        <v>12</v>
      </c>
      <c r="D411" s="49">
        <v>129.922</v>
      </c>
      <c r="E411" s="50">
        <v>110</v>
      </c>
      <c r="F411" s="72">
        <v>73.841999999999999</v>
      </c>
      <c r="G411" s="61">
        <v>2353.8870000000002</v>
      </c>
      <c r="H411" s="62">
        <v>6.9</v>
      </c>
      <c r="I411" s="63">
        <v>3.4000000000000002E-2</v>
      </c>
      <c r="J411" s="73">
        <v>7.9749999999999996</v>
      </c>
      <c r="K411" s="65">
        <v>44.231000000000002</v>
      </c>
      <c r="L411" s="50">
        <v>5.1970000000000001</v>
      </c>
      <c r="M411" s="74">
        <v>1.4999999999999999E-2</v>
      </c>
      <c r="N411" s="57">
        <v>125.123</v>
      </c>
      <c r="O411" s="75">
        <v>3.5999999999999997E-2</v>
      </c>
      <c r="P411" s="76">
        <v>19.829999999999998</v>
      </c>
      <c r="Q411" s="93"/>
      <c r="R411" s="93"/>
      <c r="S411" s="93"/>
      <c r="T411" s="93"/>
    </row>
    <row r="412" spans="1:20" ht="14.25" customHeight="1" x14ac:dyDescent="0.35">
      <c r="A412" s="1">
        <v>2023</v>
      </c>
      <c r="B412" s="1" t="s">
        <v>23</v>
      </c>
      <c r="C412" s="1">
        <v>13</v>
      </c>
      <c r="D412" s="49">
        <v>127.98399999999999</v>
      </c>
      <c r="E412" s="50">
        <v>108.375</v>
      </c>
      <c r="F412" s="78">
        <v>73.950999999999993</v>
      </c>
      <c r="G412" s="61">
        <v>2308.4630000000002</v>
      </c>
      <c r="H412" s="62">
        <v>6.9</v>
      </c>
      <c r="I412" s="63">
        <v>3.4000000000000002E-2</v>
      </c>
      <c r="J412" s="79">
        <v>7.9829999999999997</v>
      </c>
      <c r="K412" s="65">
        <v>44.283999999999999</v>
      </c>
      <c r="L412" s="50">
        <v>5.218</v>
      </c>
      <c r="M412" s="66">
        <v>1.4999999999999999E-2</v>
      </c>
      <c r="N412" s="57">
        <v>119.17400000000001</v>
      </c>
      <c r="O412" s="80">
        <v>3.5000000000000003E-2</v>
      </c>
      <c r="P412" s="81">
        <v>19.472000000000001</v>
      </c>
      <c r="Q412" s="93"/>
      <c r="R412" s="93"/>
      <c r="S412" s="93"/>
      <c r="T412" s="93"/>
    </row>
    <row r="413" spans="1:20" ht="14.25" customHeight="1" x14ac:dyDescent="0.35">
      <c r="A413" s="1">
        <v>2023</v>
      </c>
      <c r="B413" s="1" t="s">
        <v>23</v>
      </c>
      <c r="C413" s="1">
        <v>14</v>
      </c>
      <c r="D413" s="49">
        <v>129.578</v>
      </c>
      <c r="E413" s="50">
        <v>109.90600000000001</v>
      </c>
      <c r="F413" s="60">
        <v>73.448999999999998</v>
      </c>
      <c r="G413" s="61">
        <v>2375.6770000000001</v>
      </c>
      <c r="H413" s="62">
        <v>6.9</v>
      </c>
      <c r="I413" s="63">
        <v>3.5000000000000003E-2</v>
      </c>
      <c r="J413" s="79">
        <v>7.8579999999999997</v>
      </c>
      <c r="K413" s="82">
        <v>44.872</v>
      </c>
      <c r="L413" s="50">
        <v>5.2140000000000004</v>
      </c>
      <c r="M413" s="66">
        <v>1.4999999999999999E-2</v>
      </c>
      <c r="N413" s="57">
        <v>120.36799999999999</v>
      </c>
      <c r="O413" s="80">
        <v>3.7999999999999999E-2</v>
      </c>
      <c r="P413" s="81">
        <v>16.021999999999998</v>
      </c>
      <c r="Q413" s="93"/>
      <c r="R413" s="93"/>
      <c r="S413" s="93"/>
      <c r="T413" s="93"/>
    </row>
    <row r="414" spans="1:20" ht="14.25" customHeight="1" x14ac:dyDescent="0.35">
      <c r="A414" s="1">
        <v>2023</v>
      </c>
      <c r="B414" s="1" t="s">
        <v>23</v>
      </c>
      <c r="C414" s="1">
        <v>15</v>
      </c>
      <c r="D414" s="49">
        <v>129.422</v>
      </c>
      <c r="E414" s="50">
        <v>110</v>
      </c>
      <c r="F414" s="60">
        <v>73.194999999999993</v>
      </c>
      <c r="G414" s="61">
        <v>2461.652</v>
      </c>
      <c r="H414" s="62">
        <v>6.9</v>
      </c>
      <c r="I414" s="63">
        <v>3.5000000000000003E-2</v>
      </c>
      <c r="J414" s="73">
        <v>7.44</v>
      </c>
      <c r="K414" s="65">
        <v>47.802999999999997</v>
      </c>
      <c r="L414" s="50">
        <v>5.1680000000000001</v>
      </c>
      <c r="M414" s="66">
        <v>1.4999999999999999E-2</v>
      </c>
      <c r="N414" s="57">
        <v>134.273</v>
      </c>
      <c r="O414" s="75">
        <v>3.5999999999999997E-2</v>
      </c>
      <c r="P414" s="76">
        <v>14.281000000000001</v>
      </c>
      <c r="Q414" s="93"/>
      <c r="R414" s="93"/>
      <c r="S414" s="93"/>
      <c r="T414" s="93"/>
    </row>
    <row r="415" spans="1:20" ht="14.25" customHeight="1" x14ac:dyDescent="0.35">
      <c r="A415" s="1">
        <v>2023</v>
      </c>
      <c r="B415" s="1" t="s">
        <v>23</v>
      </c>
      <c r="C415" s="1">
        <v>16</v>
      </c>
      <c r="D415" s="49">
        <v>128.15600000000001</v>
      </c>
      <c r="E415" s="50">
        <v>108.34399999999999</v>
      </c>
      <c r="F415" s="60">
        <v>73.331999999999994</v>
      </c>
      <c r="G415" s="61">
        <v>2474.319</v>
      </c>
      <c r="H415" s="62">
        <v>6.9</v>
      </c>
      <c r="I415" s="63">
        <v>3.5999999999999997E-2</v>
      </c>
      <c r="J415" s="79">
        <v>7.8239999999999998</v>
      </c>
      <c r="K415" s="61">
        <v>47.695999999999998</v>
      </c>
      <c r="L415" s="62">
        <v>5.165</v>
      </c>
      <c r="M415" s="66">
        <v>1.4999999999999999E-2</v>
      </c>
      <c r="N415" s="57">
        <v>134.90299999999999</v>
      </c>
      <c r="O415" s="80">
        <v>3.6999999999999998E-2</v>
      </c>
      <c r="P415" s="81">
        <v>13.045</v>
      </c>
      <c r="Q415" s="93"/>
      <c r="R415" s="93"/>
      <c r="S415" s="93"/>
      <c r="T415" s="93"/>
    </row>
    <row r="416" spans="1:20" ht="14.25" customHeight="1" x14ac:dyDescent="0.35">
      <c r="A416" s="1">
        <v>2023</v>
      </c>
      <c r="B416" s="1" t="s">
        <v>23</v>
      </c>
      <c r="C416" s="1">
        <v>17</v>
      </c>
      <c r="D416" s="49">
        <v>130.56299999999999</v>
      </c>
      <c r="E416" s="50">
        <v>110</v>
      </c>
      <c r="F416" s="60">
        <v>73.590999999999994</v>
      </c>
      <c r="G416" s="61">
        <v>2536.5700000000002</v>
      </c>
      <c r="H416" s="62">
        <v>6.9</v>
      </c>
      <c r="I416" s="63">
        <v>4.1000000000000002E-2</v>
      </c>
      <c r="J416" s="64">
        <v>8.0350000000000001</v>
      </c>
      <c r="K416" s="65">
        <v>46.853999999999999</v>
      </c>
      <c r="L416" s="50">
        <v>5.1360000000000001</v>
      </c>
      <c r="M416" s="66">
        <v>1.4999999999999999E-2</v>
      </c>
      <c r="N416" s="57">
        <v>144.33699999999999</v>
      </c>
      <c r="O416" s="67">
        <v>4.1000000000000002E-2</v>
      </c>
      <c r="P416" s="68">
        <v>12.829000000000001</v>
      </c>
      <c r="Q416" s="93"/>
      <c r="R416" s="93"/>
      <c r="S416" s="93"/>
      <c r="T416" s="93"/>
    </row>
    <row r="417" spans="1:20" ht="14.25" customHeight="1" x14ac:dyDescent="0.35">
      <c r="A417" s="1">
        <v>2023</v>
      </c>
      <c r="B417" s="1" t="s">
        <v>23</v>
      </c>
      <c r="C417" s="1">
        <v>18</v>
      </c>
      <c r="D417" s="49">
        <v>128.78100000000001</v>
      </c>
      <c r="E417" s="50">
        <v>108.5</v>
      </c>
      <c r="F417" s="60">
        <v>73.757999999999996</v>
      </c>
      <c r="G417" s="61">
        <v>2551.7930000000001</v>
      </c>
      <c r="H417" s="62">
        <v>6.9</v>
      </c>
      <c r="I417" s="63">
        <v>3.9E-2</v>
      </c>
      <c r="J417" s="64">
        <v>7.7889999999999997</v>
      </c>
      <c r="K417" s="61">
        <v>47.677999999999997</v>
      </c>
      <c r="L417" s="62">
        <v>5.1319999999999997</v>
      </c>
      <c r="M417" s="66">
        <v>1.4999999999999999E-2</v>
      </c>
      <c r="N417" s="57">
        <v>145.48599999999999</v>
      </c>
      <c r="O417" s="67">
        <v>3.6999999999999998E-2</v>
      </c>
      <c r="P417" s="68">
        <v>10.795999999999999</v>
      </c>
      <c r="Q417" s="93"/>
      <c r="R417" s="93"/>
      <c r="S417" s="93"/>
      <c r="T417" s="93"/>
    </row>
    <row r="418" spans="1:20" ht="14.25" customHeight="1" x14ac:dyDescent="0.35">
      <c r="A418" s="1">
        <v>2023</v>
      </c>
      <c r="B418" s="1" t="s">
        <v>23</v>
      </c>
      <c r="C418" s="1">
        <v>19</v>
      </c>
      <c r="D418" s="49">
        <v>128.90600000000001</v>
      </c>
      <c r="E418" s="50">
        <v>108.84399999999999</v>
      </c>
      <c r="F418" s="60">
        <v>73.790000000000006</v>
      </c>
      <c r="G418" s="61">
        <v>2471.2559999999999</v>
      </c>
      <c r="H418" s="62">
        <v>6.9</v>
      </c>
      <c r="I418" s="63">
        <v>3.5000000000000003E-2</v>
      </c>
      <c r="J418" s="64">
        <v>7.6870000000000003</v>
      </c>
      <c r="K418" s="65">
        <v>47.012</v>
      </c>
      <c r="L418" s="50">
        <v>5.1349999999999998</v>
      </c>
      <c r="M418" s="66">
        <v>1.4999999999999999E-2</v>
      </c>
      <c r="N418" s="57">
        <v>144.94300000000001</v>
      </c>
      <c r="O418" s="67">
        <v>3.2000000000000001E-2</v>
      </c>
      <c r="P418" s="68">
        <v>10.561999999999999</v>
      </c>
      <c r="Q418" s="93"/>
      <c r="R418" s="93"/>
      <c r="S418" s="93"/>
      <c r="T418" s="93"/>
    </row>
    <row r="419" spans="1:20" ht="14.25" customHeight="1" x14ac:dyDescent="0.35">
      <c r="A419" s="1">
        <v>2023</v>
      </c>
      <c r="B419" s="1" t="s">
        <v>23</v>
      </c>
      <c r="C419" s="1">
        <v>20</v>
      </c>
      <c r="D419" s="49">
        <v>129.81299999999999</v>
      </c>
      <c r="E419" s="50">
        <v>110</v>
      </c>
      <c r="F419" s="60">
        <v>74.143000000000001</v>
      </c>
      <c r="G419" s="61">
        <v>2433.777</v>
      </c>
      <c r="H419" s="62">
        <v>6.9</v>
      </c>
      <c r="I419" s="63">
        <v>3.6999999999999998E-2</v>
      </c>
      <c r="J419" s="64">
        <v>7.8159999999999998</v>
      </c>
      <c r="K419" s="61">
        <v>47.537999999999997</v>
      </c>
      <c r="L419" s="62">
        <v>5.1390000000000002</v>
      </c>
      <c r="M419" s="66">
        <v>1.4999999999999999E-2</v>
      </c>
      <c r="N419" s="57">
        <v>144.215</v>
      </c>
      <c r="O419" s="67">
        <v>3.4000000000000002E-2</v>
      </c>
      <c r="P419" s="68">
        <v>9.7379999999999995</v>
      </c>
      <c r="Q419" s="93"/>
      <c r="R419" s="93"/>
      <c r="S419" s="93"/>
      <c r="T419" s="93"/>
    </row>
    <row r="420" spans="1:20" ht="14.25" customHeight="1" x14ac:dyDescent="0.35">
      <c r="A420" s="1">
        <v>2023</v>
      </c>
      <c r="B420" s="1" t="s">
        <v>23</v>
      </c>
      <c r="C420" s="1">
        <v>21</v>
      </c>
      <c r="D420" s="49">
        <v>129.81299999999999</v>
      </c>
      <c r="E420" s="50">
        <v>110</v>
      </c>
      <c r="F420" s="60">
        <v>73.930999999999997</v>
      </c>
      <c r="G420" s="61">
        <v>2382.6129999999998</v>
      </c>
      <c r="H420" s="62">
        <v>6.9</v>
      </c>
      <c r="I420" s="63">
        <v>3.6999999999999998E-2</v>
      </c>
      <c r="J420" s="64">
        <v>7.93</v>
      </c>
      <c r="K420" s="65">
        <v>45.776000000000003</v>
      </c>
      <c r="L420" s="50">
        <v>5.1120000000000001</v>
      </c>
      <c r="M420" s="66">
        <v>1.4999999999999999E-2</v>
      </c>
      <c r="N420" s="57">
        <v>152.86000000000001</v>
      </c>
      <c r="O420" s="67">
        <v>3.6999999999999998E-2</v>
      </c>
      <c r="P420" s="68">
        <v>8.0980000000000008</v>
      </c>
      <c r="Q420" s="93"/>
      <c r="R420" s="93"/>
      <c r="S420" s="93"/>
      <c r="T420" s="93"/>
    </row>
    <row r="421" spans="1:20" ht="14.25" customHeight="1" x14ac:dyDescent="0.35">
      <c r="A421" s="1">
        <v>2023</v>
      </c>
      <c r="B421" s="1" t="s">
        <v>23</v>
      </c>
      <c r="C421" s="1">
        <v>22</v>
      </c>
      <c r="D421" s="49">
        <v>75.858999999999995</v>
      </c>
      <c r="E421" s="50">
        <v>64.156000000000006</v>
      </c>
      <c r="F421" s="60">
        <v>73.010999999999996</v>
      </c>
      <c r="G421" s="61">
        <v>1992.6379999999999</v>
      </c>
      <c r="H421" s="62">
        <v>6.9</v>
      </c>
      <c r="I421" s="63">
        <v>3.3000000000000002E-2</v>
      </c>
      <c r="J421" s="64">
        <v>8.5440000000000005</v>
      </c>
      <c r="K421" s="61">
        <v>36.259</v>
      </c>
      <c r="L421" s="62">
        <v>5.0640000000000001</v>
      </c>
      <c r="M421" s="66">
        <v>1.4999999999999999E-2</v>
      </c>
      <c r="N421" s="57">
        <v>171.16</v>
      </c>
      <c r="O421" s="67">
        <v>4.4999999999999998E-2</v>
      </c>
      <c r="P421" s="68">
        <v>7.0030000000000001</v>
      </c>
      <c r="Q421" s="93"/>
      <c r="R421" s="93"/>
      <c r="S421" s="93"/>
      <c r="T421" s="93"/>
    </row>
    <row r="422" spans="1:20" ht="14.25" customHeight="1" x14ac:dyDescent="0.35">
      <c r="A422" s="1">
        <v>2023</v>
      </c>
      <c r="B422" s="1" t="s">
        <v>23</v>
      </c>
      <c r="C422" s="1">
        <v>23</v>
      </c>
      <c r="D422" s="49">
        <v>94.343999999999994</v>
      </c>
      <c r="E422" s="50">
        <v>80</v>
      </c>
      <c r="F422" s="60">
        <v>73.082999999999998</v>
      </c>
      <c r="G422" s="61">
        <v>1794.8040000000001</v>
      </c>
      <c r="H422" s="62">
        <v>6.9</v>
      </c>
      <c r="I422" s="63">
        <v>3.3000000000000002E-2</v>
      </c>
      <c r="J422" s="64">
        <v>8.673</v>
      </c>
      <c r="K422" s="65">
        <v>34.113</v>
      </c>
      <c r="L422" s="50">
        <v>4.8689999999999998</v>
      </c>
      <c r="M422" s="66">
        <v>1.4999999999999999E-2</v>
      </c>
      <c r="N422" s="57">
        <v>293.483</v>
      </c>
      <c r="O422" s="67">
        <v>3.7999999999999999E-2</v>
      </c>
      <c r="P422" s="68">
        <v>6.7140000000000004</v>
      </c>
      <c r="Q422" s="93"/>
      <c r="R422" s="93"/>
      <c r="S422" s="93"/>
      <c r="T422" s="93"/>
    </row>
    <row r="423" spans="1:20" ht="14.25" customHeight="1" x14ac:dyDescent="0.35">
      <c r="A423" s="1">
        <v>2023</v>
      </c>
      <c r="B423" s="1" t="s">
        <v>23</v>
      </c>
      <c r="C423" s="1">
        <v>24</v>
      </c>
      <c r="D423" s="49">
        <v>94.328000000000003</v>
      </c>
      <c r="E423" s="50">
        <v>80</v>
      </c>
      <c r="F423" s="60">
        <v>72.644999999999996</v>
      </c>
      <c r="G423" s="61">
        <v>1722.21</v>
      </c>
      <c r="H423" s="62">
        <v>6.9</v>
      </c>
      <c r="I423" s="63">
        <v>3.2000000000000001E-2</v>
      </c>
      <c r="J423" s="64">
        <v>8.782</v>
      </c>
      <c r="K423" s="61">
        <v>33.186999999999998</v>
      </c>
      <c r="L423" s="62">
        <v>4.9729999999999999</v>
      </c>
      <c r="M423" s="66">
        <v>1.4999999999999999E-2</v>
      </c>
      <c r="N423" s="57">
        <v>233.126</v>
      </c>
      <c r="O423" s="67">
        <v>3.5999999999999997E-2</v>
      </c>
      <c r="P423" s="68">
        <v>6.4260000000000002</v>
      </c>
      <c r="Q423" s="93"/>
      <c r="R423" s="93"/>
      <c r="S423" s="93"/>
      <c r="T423" s="93"/>
    </row>
    <row r="424" spans="1:20" ht="14.25" customHeight="1" x14ac:dyDescent="0.35">
      <c r="A424" s="1">
        <v>2023</v>
      </c>
      <c r="B424" s="1" t="s">
        <v>23</v>
      </c>
      <c r="C424" s="1">
        <v>25</v>
      </c>
      <c r="D424" s="49">
        <v>97.921999999999997</v>
      </c>
      <c r="E424" s="50">
        <v>83.093999999999994</v>
      </c>
      <c r="F424" s="60">
        <v>70.385999999999996</v>
      </c>
      <c r="G424" s="61">
        <v>1471.5940000000001</v>
      </c>
      <c r="H424" s="62">
        <v>6.9</v>
      </c>
      <c r="I424" s="63">
        <v>3.1E-2</v>
      </c>
      <c r="J424" s="64">
        <v>8.0909999999999993</v>
      </c>
      <c r="K424" s="65">
        <v>25.87</v>
      </c>
      <c r="L424" s="50">
        <v>5.0220000000000002</v>
      </c>
      <c r="M424" s="66">
        <v>1.4999999999999999E-2</v>
      </c>
      <c r="N424" s="57">
        <v>194.255</v>
      </c>
      <c r="O424" s="67">
        <v>0.03</v>
      </c>
      <c r="P424" s="68">
        <v>4.5999999999999996</v>
      </c>
      <c r="Q424" s="93"/>
      <c r="R424" s="93"/>
      <c r="S424" s="93"/>
      <c r="T424" s="93"/>
    </row>
    <row r="425" spans="1:20" ht="14.25" customHeight="1" x14ac:dyDescent="0.35">
      <c r="A425" s="1">
        <v>2023</v>
      </c>
      <c r="B425" s="1" t="s">
        <v>23</v>
      </c>
      <c r="C425" s="1">
        <v>26</v>
      </c>
      <c r="D425" s="49">
        <v>104.23399999999999</v>
      </c>
      <c r="E425" s="50">
        <v>88.218999999999994</v>
      </c>
      <c r="F425" s="60">
        <v>71.049000000000007</v>
      </c>
      <c r="G425" s="61">
        <v>1574.116</v>
      </c>
      <c r="H425" s="62">
        <v>6.9</v>
      </c>
      <c r="I425" s="63">
        <v>3.1E-2</v>
      </c>
      <c r="J425" s="64">
        <v>8.2959999999999994</v>
      </c>
      <c r="K425" s="61">
        <v>27.82</v>
      </c>
      <c r="L425" s="62">
        <v>5.1070000000000002</v>
      </c>
      <c r="M425" s="66">
        <v>1.4999999999999999E-2</v>
      </c>
      <c r="N425" s="57">
        <v>153.38</v>
      </c>
      <c r="O425" s="67">
        <v>3.3000000000000002E-2</v>
      </c>
      <c r="P425" s="68">
        <v>3.617</v>
      </c>
      <c r="Q425" s="93"/>
      <c r="R425" s="93"/>
      <c r="S425" s="93"/>
      <c r="T425" s="93"/>
    </row>
    <row r="426" spans="1:20" ht="14.25" customHeight="1" x14ac:dyDescent="0.35">
      <c r="A426" s="1">
        <v>2023</v>
      </c>
      <c r="B426" s="1" t="s">
        <v>23</v>
      </c>
      <c r="C426" s="1">
        <v>27</v>
      </c>
      <c r="D426" s="12">
        <v>106.23399999999999</v>
      </c>
      <c r="E426" s="13">
        <v>90</v>
      </c>
      <c r="F426" s="60">
        <v>72.388000000000005</v>
      </c>
      <c r="G426" s="61">
        <v>1833.0989999999999</v>
      </c>
      <c r="H426" s="62">
        <v>6.9</v>
      </c>
      <c r="I426" s="63">
        <v>0.03</v>
      </c>
      <c r="J426" s="64">
        <v>8.5310000000000006</v>
      </c>
      <c r="K426" s="65">
        <v>34.906999999999996</v>
      </c>
      <c r="L426" s="50">
        <v>5.1260000000000003</v>
      </c>
      <c r="M426" s="66">
        <v>1.4999999999999999E-2</v>
      </c>
      <c r="N426" s="57">
        <v>147.38800000000001</v>
      </c>
      <c r="O426" s="67">
        <v>3.5999999999999997E-2</v>
      </c>
      <c r="P426" s="68">
        <v>5.4880000000000004</v>
      </c>
      <c r="Q426" s="93"/>
      <c r="R426" s="93"/>
      <c r="S426" s="93"/>
      <c r="T426" s="93"/>
    </row>
    <row r="427" spans="1:20" ht="14.25" customHeight="1" x14ac:dyDescent="0.35">
      <c r="A427" s="1">
        <v>2023</v>
      </c>
      <c r="B427" s="1" t="s">
        <v>23</v>
      </c>
      <c r="C427" s="1">
        <v>28</v>
      </c>
      <c r="D427" s="12">
        <v>106.313</v>
      </c>
      <c r="E427" s="13">
        <v>90</v>
      </c>
      <c r="F427" s="60">
        <v>72.784000000000006</v>
      </c>
      <c r="G427" s="61">
        <v>1837.021</v>
      </c>
      <c r="H427" s="62">
        <v>6.9</v>
      </c>
      <c r="I427" s="63">
        <v>3.1E-2</v>
      </c>
      <c r="J427" s="64">
        <v>8.5760000000000005</v>
      </c>
      <c r="K427" s="61">
        <v>36.000999999999998</v>
      </c>
      <c r="L427" s="62">
        <v>5.077</v>
      </c>
      <c r="M427" s="66">
        <v>1.4999999999999999E-2</v>
      </c>
      <c r="N427" s="57">
        <v>167.453</v>
      </c>
      <c r="O427" s="67">
        <v>3.7999999999999999E-2</v>
      </c>
      <c r="P427" s="68">
        <v>6.0640000000000001</v>
      </c>
      <c r="Q427" s="93"/>
      <c r="R427" s="93"/>
      <c r="S427" s="93"/>
      <c r="T427" s="93"/>
    </row>
    <row r="428" spans="1:20" ht="14.25" customHeight="1" x14ac:dyDescent="0.35">
      <c r="A428" s="1">
        <v>2023</v>
      </c>
      <c r="B428" s="1" t="s">
        <v>25</v>
      </c>
      <c r="C428" s="1">
        <v>1</v>
      </c>
      <c r="D428" s="49">
        <v>105.96899999999999</v>
      </c>
      <c r="E428" s="50">
        <v>90</v>
      </c>
      <c r="F428" s="51">
        <v>71.843000000000004</v>
      </c>
      <c r="G428" s="52">
        <v>1711.289</v>
      </c>
      <c r="H428" s="53">
        <v>6.9</v>
      </c>
      <c r="I428" s="54">
        <v>3.2000000000000001E-2</v>
      </c>
      <c r="J428" s="55">
        <v>8.4879999999999995</v>
      </c>
      <c r="K428" s="52">
        <v>31.736999999999998</v>
      </c>
      <c r="L428" s="55">
        <v>5.0759999999999996</v>
      </c>
      <c r="M428" s="56">
        <v>1.4999999999999999E-2</v>
      </c>
      <c r="N428" s="57">
        <v>165.81899999999999</v>
      </c>
      <c r="O428" s="58">
        <v>3.5999999999999997E-2</v>
      </c>
      <c r="P428" s="59">
        <v>5.242</v>
      </c>
      <c r="Q428" s="93"/>
      <c r="R428" s="93"/>
      <c r="S428" s="93"/>
      <c r="T428" s="93"/>
    </row>
    <row r="429" spans="1:20" ht="14.25" customHeight="1" x14ac:dyDescent="0.35">
      <c r="A429" s="1">
        <v>2023</v>
      </c>
      <c r="B429" s="1" t="s">
        <v>25</v>
      </c>
      <c r="C429" s="1">
        <v>2</v>
      </c>
      <c r="D429" s="49">
        <v>105.65600000000001</v>
      </c>
      <c r="E429" s="50">
        <v>89.813000000000002</v>
      </c>
      <c r="F429" s="60">
        <v>72.373000000000005</v>
      </c>
      <c r="G429" s="61">
        <v>1720.59</v>
      </c>
      <c r="H429" s="62">
        <v>6.9</v>
      </c>
      <c r="I429" s="63">
        <v>3.2000000000000001E-2</v>
      </c>
      <c r="J429" s="64">
        <v>8.4280000000000008</v>
      </c>
      <c r="K429" s="65">
        <v>31.096</v>
      </c>
      <c r="L429" s="50">
        <v>5.09</v>
      </c>
      <c r="M429" s="66">
        <v>1.4999999999999999E-2</v>
      </c>
      <c r="N429" s="57">
        <v>160.43700000000001</v>
      </c>
      <c r="O429" s="67">
        <v>3.5999999999999997E-2</v>
      </c>
      <c r="P429" s="68">
        <v>4.7069999999999999</v>
      </c>
      <c r="Q429" s="93"/>
      <c r="R429" s="93"/>
      <c r="S429" s="93"/>
      <c r="T429" s="93"/>
    </row>
    <row r="430" spans="1:20" ht="14.25" customHeight="1" x14ac:dyDescent="0.35">
      <c r="A430" s="1">
        <v>2023</v>
      </c>
      <c r="B430" s="1" t="s">
        <v>25</v>
      </c>
      <c r="C430" s="1">
        <v>3</v>
      </c>
      <c r="D430" s="49">
        <v>79.608999999999995</v>
      </c>
      <c r="E430" s="50">
        <v>67.813000000000002</v>
      </c>
      <c r="F430" s="60">
        <v>73.069000000000003</v>
      </c>
      <c r="G430" s="61">
        <v>1738.164</v>
      </c>
      <c r="H430" s="62">
        <v>6.9</v>
      </c>
      <c r="I430" s="63">
        <v>3.2000000000000001E-2</v>
      </c>
      <c r="J430" s="64">
        <v>8.7750000000000004</v>
      </c>
      <c r="K430" s="65">
        <v>32.308999999999997</v>
      </c>
      <c r="L430" s="50">
        <v>5.431</v>
      </c>
      <c r="M430" s="66">
        <v>1.4999999999999999E-2</v>
      </c>
      <c r="N430" s="57">
        <v>88.816999999999993</v>
      </c>
      <c r="O430" s="67">
        <v>0.04</v>
      </c>
      <c r="P430" s="68">
        <v>5.601</v>
      </c>
      <c r="Q430" s="93"/>
      <c r="R430" s="93"/>
      <c r="S430" s="93"/>
      <c r="T430" s="93"/>
    </row>
    <row r="431" spans="1:20" ht="14.25" customHeight="1" x14ac:dyDescent="0.35">
      <c r="A431" s="1">
        <v>2023</v>
      </c>
      <c r="B431" s="1" t="s">
        <v>25</v>
      </c>
      <c r="C431" s="1">
        <v>4</v>
      </c>
      <c r="D431" s="49">
        <v>64.483999999999995</v>
      </c>
      <c r="E431" s="50">
        <v>55</v>
      </c>
      <c r="F431" s="60">
        <v>72.94</v>
      </c>
      <c r="G431" s="61">
        <v>1708.163</v>
      </c>
      <c r="H431" s="62">
        <v>6.9</v>
      </c>
      <c r="I431" s="63">
        <v>3.2000000000000001E-2</v>
      </c>
      <c r="J431" s="64">
        <v>8.7569999999999997</v>
      </c>
      <c r="K431" s="65">
        <v>31.544</v>
      </c>
      <c r="L431" s="50">
        <v>5.633</v>
      </c>
      <c r="M431" s="66">
        <v>1.4999999999999999E-2</v>
      </c>
      <c r="N431" s="57">
        <v>46</v>
      </c>
      <c r="O431" s="67">
        <v>3.9E-2</v>
      </c>
      <c r="P431" s="68">
        <v>5.9429999999999996</v>
      </c>
      <c r="Q431" s="93"/>
      <c r="R431" s="93"/>
      <c r="S431" s="93"/>
      <c r="T431" s="93"/>
    </row>
    <row r="432" spans="1:20" ht="14.25" customHeight="1" x14ac:dyDescent="0.35">
      <c r="A432" s="1">
        <v>2023</v>
      </c>
      <c r="B432" s="1" t="s">
        <v>25</v>
      </c>
      <c r="C432" s="1">
        <v>5</v>
      </c>
      <c r="D432" s="49">
        <v>64.483999999999995</v>
      </c>
      <c r="E432" s="50">
        <v>54.969000000000001</v>
      </c>
      <c r="F432" s="60">
        <v>72.930999999999997</v>
      </c>
      <c r="G432" s="61">
        <v>1638.2750000000001</v>
      </c>
      <c r="H432" s="62">
        <v>6.9</v>
      </c>
      <c r="I432" s="63">
        <v>3.2000000000000001E-2</v>
      </c>
      <c r="J432" s="64">
        <v>8.68</v>
      </c>
      <c r="K432" s="65">
        <v>30.135999999999999</v>
      </c>
      <c r="L432" s="50">
        <v>5.6310000000000002</v>
      </c>
      <c r="M432" s="66">
        <v>1.4999999999999999E-2</v>
      </c>
      <c r="N432" s="57">
        <v>46.155000000000001</v>
      </c>
      <c r="O432" s="67">
        <v>3.5000000000000003E-2</v>
      </c>
      <c r="P432" s="68">
        <v>5.2240000000000002</v>
      </c>
      <c r="Q432" s="93"/>
      <c r="R432" s="93"/>
      <c r="S432" s="93"/>
      <c r="T432" s="93"/>
    </row>
    <row r="433" spans="1:20" ht="14.25" customHeight="1" x14ac:dyDescent="0.35">
      <c r="A433" s="1">
        <v>2023</v>
      </c>
      <c r="B433" s="1" t="s">
        <v>25</v>
      </c>
      <c r="C433" s="1">
        <v>6</v>
      </c>
      <c r="D433" s="49">
        <v>64.5</v>
      </c>
      <c r="E433" s="50">
        <v>55.030999999999999</v>
      </c>
      <c r="F433" s="60">
        <v>73.177999999999997</v>
      </c>
      <c r="G433" s="61">
        <v>1641.652</v>
      </c>
      <c r="H433" s="62">
        <v>6.9</v>
      </c>
      <c r="I433" s="63">
        <v>3.2000000000000001E-2</v>
      </c>
      <c r="J433" s="64">
        <v>9.0739999999999998</v>
      </c>
      <c r="K433" s="65">
        <v>30.701000000000001</v>
      </c>
      <c r="L433" s="50">
        <v>5.6319999999999997</v>
      </c>
      <c r="M433" s="66">
        <v>1.4999999999999999E-2</v>
      </c>
      <c r="N433" s="57">
        <v>46.05</v>
      </c>
      <c r="O433" s="67">
        <v>3.7999999999999999E-2</v>
      </c>
      <c r="P433" s="68">
        <v>5.56</v>
      </c>
      <c r="Q433" s="93"/>
      <c r="R433" s="93"/>
      <c r="S433" s="93"/>
      <c r="T433" s="93"/>
    </row>
    <row r="434" spans="1:20" ht="14.25" customHeight="1" x14ac:dyDescent="0.35">
      <c r="A434" s="1">
        <v>2023</v>
      </c>
      <c r="B434" s="1" t="s">
        <v>25</v>
      </c>
      <c r="C434" s="1">
        <v>7</v>
      </c>
      <c r="D434" s="49">
        <v>64.406000000000006</v>
      </c>
      <c r="E434" s="50">
        <v>54.969000000000001</v>
      </c>
      <c r="F434" s="60">
        <v>73.356999999999999</v>
      </c>
      <c r="G434" s="61">
        <v>1657.521</v>
      </c>
      <c r="H434" s="62">
        <v>6.9</v>
      </c>
      <c r="I434" s="63">
        <v>3.3000000000000002E-2</v>
      </c>
      <c r="J434" s="64">
        <v>9.2829999999999995</v>
      </c>
      <c r="K434" s="65">
        <v>31.925999999999998</v>
      </c>
      <c r="L434" s="50">
        <v>5.6269999999999998</v>
      </c>
      <c r="M434" s="66">
        <v>1.4999999999999999E-2</v>
      </c>
      <c r="N434" s="57">
        <v>46.616</v>
      </c>
      <c r="O434" s="67">
        <v>4.3999999999999997E-2</v>
      </c>
      <c r="P434" s="68">
        <v>5.6689999999999996</v>
      </c>
      <c r="Q434" s="93"/>
      <c r="R434" s="93"/>
      <c r="S434" s="93"/>
      <c r="T434" s="93"/>
    </row>
    <row r="435" spans="1:20" ht="14.25" customHeight="1" x14ac:dyDescent="0.35">
      <c r="A435" s="1">
        <v>2023</v>
      </c>
      <c r="B435" s="1" t="s">
        <v>25</v>
      </c>
      <c r="C435" s="1">
        <v>8</v>
      </c>
      <c r="D435" s="49">
        <v>64.608999999999995</v>
      </c>
      <c r="E435" s="50">
        <v>54.969000000000001</v>
      </c>
      <c r="F435" s="60">
        <v>73.23</v>
      </c>
      <c r="G435" s="69">
        <v>1692.8579999999999</v>
      </c>
      <c r="H435" s="62">
        <v>6.9</v>
      </c>
      <c r="I435" s="63">
        <v>3.4000000000000002E-2</v>
      </c>
      <c r="J435" s="50">
        <v>8.91</v>
      </c>
      <c r="K435" s="65">
        <v>33.575000000000003</v>
      </c>
      <c r="L435" s="50">
        <v>5.6269999999999998</v>
      </c>
      <c r="M435" s="66">
        <v>1.4999999999999999E-2</v>
      </c>
      <c r="N435" s="57">
        <v>46.604999999999997</v>
      </c>
      <c r="O435" s="70">
        <v>4.2000000000000003E-2</v>
      </c>
      <c r="P435" s="71">
        <v>6.55</v>
      </c>
      <c r="Q435" s="93"/>
      <c r="R435" s="93"/>
      <c r="S435" s="93"/>
      <c r="T435" s="93"/>
    </row>
    <row r="436" spans="1:20" ht="14.25" customHeight="1" x14ac:dyDescent="0.35">
      <c r="A436" s="1">
        <v>2023</v>
      </c>
      <c r="B436" s="1" t="s">
        <v>25</v>
      </c>
      <c r="C436" s="1">
        <v>9</v>
      </c>
      <c r="D436" s="49">
        <v>65.093999999999994</v>
      </c>
      <c r="E436" s="50">
        <v>55</v>
      </c>
      <c r="F436" s="60">
        <v>73.602000000000004</v>
      </c>
      <c r="G436" s="61">
        <v>1708.768</v>
      </c>
      <c r="H436" s="62">
        <v>6.9</v>
      </c>
      <c r="I436" s="63">
        <v>3.4000000000000002E-2</v>
      </c>
      <c r="J436" s="64">
        <v>8.9109999999999996</v>
      </c>
      <c r="K436" s="65">
        <v>31.765999999999998</v>
      </c>
      <c r="L436" s="50">
        <v>5.609</v>
      </c>
      <c r="M436" s="66">
        <v>1.4999999999999999E-2</v>
      </c>
      <c r="N436" s="57">
        <v>48.866999999999997</v>
      </c>
      <c r="O436" s="67">
        <v>4.2999999999999997E-2</v>
      </c>
      <c r="P436" s="68">
        <v>6.6319999999999997</v>
      </c>
      <c r="Q436" s="93"/>
      <c r="R436" s="93"/>
      <c r="S436" s="93"/>
      <c r="T436" s="93"/>
    </row>
    <row r="437" spans="1:20" ht="14.25" customHeight="1" x14ac:dyDescent="0.35">
      <c r="A437" s="1">
        <v>2023</v>
      </c>
      <c r="B437" s="1" t="s">
        <v>25</v>
      </c>
      <c r="C437" s="1">
        <v>10</v>
      </c>
      <c r="D437" s="49">
        <v>65.218999999999994</v>
      </c>
      <c r="E437" s="50">
        <v>55</v>
      </c>
      <c r="F437" s="72">
        <v>73.218999999999994</v>
      </c>
      <c r="G437" s="61">
        <v>1643.7449999999999</v>
      </c>
      <c r="H437" s="62">
        <v>6.9</v>
      </c>
      <c r="I437" s="63">
        <v>3.5000000000000003E-2</v>
      </c>
      <c r="J437" s="73">
        <v>9.0069999999999997</v>
      </c>
      <c r="K437" s="65">
        <v>28.654</v>
      </c>
      <c r="L437" s="50">
        <v>5.1920000000000002</v>
      </c>
      <c r="M437" s="74">
        <v>1.4999999999999999E-2</v>
      </c>
      <c r="N437" s="57">
        <v>155.39500000000001</v>
      </c>
      <c r="O437" s="75">
        <v>0.04</v>
      </c>
      <c r="P437" s="76">
        <v>6.1509999999999998</v>
      </c>
      <c r="Q437" s="93"/>
      <c r="R437" s="93"/>
      <c r="S437" s="93"/>
      <c r="T437" s="93"/>
    </row>
    <row r="438" spans="1:20" ht="14.25" customHeight="1" x14ac:dyDescent="0.35">
      <c r="A438" s="1">
        <v>2023</v>
      </c>
      <c r="B438" s="1" t="s">
        <v>25</v>
      </c>
      <c r="C438" s="1">
        <v>11</v>
      </c>
      <c r="D438" s="49">
        <v>65.203000000000003</v>
      </c>
      <c r="E438" s="50">
        <v>54.969000000000001</v>
      </c>
      <c r="F438" s="72">
        <v>73.38</v>
      </c>
      <c r="G438" s="61">
        <v>1530.57</v>
      </c>
      <c r="H438" s="62">
        <v>6.9</v>
      </c>
      <c r="I438" s="63">
        <v>3.5000000000000003E-2</v>
      </c>
      <c r="J438" s="77">
        <v>8.8789999999999996</v>
      </c>
      <c r="K438" s="65">
        <v>23.588000000000001</v>
      </c>
      <c r="L438" s="50">
        <v>4.9660000000000002</v>
      </c>
      <c r="M438" s="74">
        <v>1.4999999999999999E-2</v>
      </c>
      <c r="N438" s="57">
        <v>212.762</v>
      </c>
      <c r="O438" s="75">
        <v>3.5000000000000003E-2</v>
      </c>
      <c r="P438" s="76">
        <v>5.1310000000000002</v>
      </c>
      <c r="Q438" s="93"/>
      <c r="R438" s="93"/>
      <c r="S438" s="93"/>
      <c r="T438" s="93"/>
    </row>
    <row r="439" spans="1:20" ht="14.25" customHeight="1" x14ac:dyDescent="0.35">
      <c r="A439" s="1">
        <v>2023</v>
      </c>
      <c r="B439" s="1" t="s">
        <v>25</v>
      </c>
      <c r="C439" s="1">
        <v>12</v>
      </c>
      <c r="D439" s="49">
        <v>62.438000000000002</v>
      </c>
      <c r="E439" s="50">
        <v>52.75</v>
      </c>
      <c r="F439" s="72">
        <v>73.997</v>
      </c>
      <c r="G439" s="61">
        <v>1579.4059999999999</v>
      </c>
      <c r="H439" s="62">
        <v>6.9</v>
      </c>
      <c r="I439" s="63">
        <v>3.4000000000000002E-2</v>
      </c>
      <c r="J439" s="73">
        <v>9.2260000000000009</v>
      </c>
      <c r="K439" s="65">
        <v>24.581</v>
      </c>
      <c r="L439" s="50">
        <v>4.95</v>
      </c>
      <c r="M439" s="74">
        <v>1.4999999999999999E-2</v>
      </c>
      <c r="N439" s="57">
        <v>221.637</v>
      </c>
      <c r="O439" s="75">
        <v>4.1000000000000002E-2</v>
      </c>
      <c r="P439" s="76">
        <v>4.6970000000000001</v>
      </c>
      <c r="Q439" s="93"/>
      <c r="R439" s="93"/>
      <c r="S439" s="93"/>
      <c r="T439" s="93"/>
    </row>
    <row r="440" spans="1:20" ht="14.25" customHeight="1" x14ac:dyDescent="0.35">
      <c r="A440" s="1">
        <v>2023</v>
      </c>
      <c r="B440" s="1" t="s">
        <v>25</v>
      </c>
      <c r="C440" s="1">
        <v>13</v>
      </c>
      <c r="D440" s="49">
        <v>67.766000000000005</v>
      </c>
      <c r="E440" s="50">
        <v>57.469000000000001</v>
      </c>
      <c r="F440" s="78">
        <v>74.174000000000007</v>
      </c>
      <c r="G440" s="61">
        <v>1594.3630000000001</v>
      </c>
      <c r="H440" s="62">
        <v>6.8979999999999997</v>
      </c>
      <c r="I440" s="63">
        <v>3.4000000000000002E-2</v>
      </c>
      <c r="J440" s="79">
        <v>9.641</v>
      </c>
      <c r="K440" s="65">
        <v>27.369</v>
      </c>
      <c r="L440" s="50">
        <v>4.9720000000000004</v>
      </c>
      <c r="M440" s="66">
        <v>1.4999999999999999E-2</v>
      </c>
      <c r="N440" s="57">
        <v>209.762</v>
      </c>
      <c r="O440" s="80">
        <v>4.3999999999999997E-2</v>
      </c>
      <c r="P440" s="81">
        <v>4.7770000000000001</v>
      </c>
      <c r="Q440" s="93"/>
      <c r="R440" s="93"/>
      <c r="S440" s="93"/>
      <c r="T440" s="93"/>
    </row>
    <row r="441" spans="1:20" ht="14.25" customHeight="1" x14ac:dyDescent="0.35">
      <c r="A441" s="1">
        <v>2023</v>
      </c>
      <c r="B441" s="1" t="s">
        <v>25</v>
      </c>
      <c r="C441" s="1">
        <v>14</v>
      </c>
      <c r="D441" s="49">
        <v>70.593999999999994</v>
      </c>
      <c r="E441" s="50">
        <v>60</v>
      </c>
      <c r="F441" s="60">
        <v>73.879000000000005</v>
      </c>
      <c r="G441" s="61">
        <v>1745.7919999999999</v>
      </c>
      <c r="H441" s="62">
        <v>6.9</v>
      </c>
      <c r="I441" s="63">
        <v>3.4000000000000002E-2</v>
      </c>
      <c r="J441" s="79">
        <v>9.2330000000000005</v>
      </c>
      <c r="K441" s="82">
        <v>30.931000000000001</v>
      </c>
      <c r="L441" s="50">
        <v>4.9640000000000004</v>
      </c>
      <c r="M441" s="66">
        <v>1.4999999999999999E-2</v>
      </c>
      <c r="N441" s="57">
        <v>213.45500000000001</v>
      </c>
      <c r="O441" s="80">
        <v>4.3999999999999997E-2</v>
      </c>
      <c r="P441" s="81">
        <v>5.734</v>
      </c>
      <c r="Q441" s="93"/>
      <c r="R441" s="93"/>
      <c r="S441" s="93"/>
      <c r="T441" s="93"/>
    </row>
    <row r="442" spans="1:20" ht="14.25" customHeight="1" x14ac:dyDescent="0.35">
      <c r="A442" s="1">
        <v>2023</v>
      </c>
      <c r="B442" s="1" t="s">
        <v>25</v>
      </c>
      <c r="C442" s="1">
        <v>15</v>
      </c>
      <c r="D442" s="49">
        <v>70.671999999999997</v>
      </c>
      <c r="E442" s="50">
        <v>59.969000000000001</v>
      </c>
      <c r="F442" s="60">
        <v>72.033000000000001</v>
      </c>
      <c r="G442" s="61">
        <v>1716.037</v>
      </c>
      <c r="H442" s="62">
        <v>6.9</v>
      </c>
      <c r="I442" s="63">
        <v>3.3000000000000002E-2</v>
      </c>
      <c r="J442" s="73">
        <v>8.3309999999999995</v>
      </c>
      <c r="K442" s="65">
        <v>29.355</v>
      </c>
      <c r="L442" s="50">
        <v>4.9370000000000003</v>
      </c>
      <c r="M442" s="66">
        <v>1.4999999999999999E-2</v>
      </c>
      <c r="N442" s="57">
        <v>228.28299999999999</v>
      </c>
      <c r="O442" s="75">
        <v>3.9E-2</v>
      </c>
      <c r="P442" s="76">
        <v>5.5170000000000003</v>
      </c>
      <c r="Q442" s="93"/>
      <c r="R442" s="93"/>
      <c r="S442" s="93"/>
      <c r="T442" s="93"/>
    </row>
    <row r="443" spans="1:20" ht="14.25" customHeight="1" x14ac:dyDescent="0.35">
      <c r="A443" s="1">
        <v>2023</v>
      </c>
      <c r="B443" s="1" t="s">
        <v>25</v>
      </c>
      <c r="C443" s="1">
        <v>16</v>
      </c>
      <c r="D443" s="49">
        <v>70.516000000000005</v>
      </c>
      <c r="E443" s="50">
        <v>60</v>
      </c>
      <c r="F443" s="60">
        <v>72.492000000000004</v>
      </c>
      <c r="G443" s="61">
        <v>1893.1210000000001</v>
      </c>
      <c r="H443" s="62">
        <v>6.9</v>
      </c>
      <c r="I443" s="63">
        <v>3.4000000000000002E-2</v>
      </c>
      <c r="J443" s="79">
        <v>8.7569999999999997</v>
      </c>
      <c r="K443" s="61">
        <v>35.683999999999997</v>
      </c>
      <c r="L443" s="62">
        <v>4.9989999999999997</v>
      </c>
      <c r="M443" s="66">
        <v>1.4999999999999999E-2</v>
      </c>
      <c r="N443" s="57">
        <v>197.399</v>
      </c>
      <c r="O443" s="80">
        <v>4.5999999999999999E-2</v>
      </c>
      <c r="P443" s="81">
        <v>5.1310000000000002</v>
      </c>
      <c r="Q443" s="93"/>
      <c r="R443" s="93"/>
      <c r="S443" s="93"/>
      <c r="T443" s="93"/>
    </row>
    <row r="444" spans="1:20" ht="14.25" customHeight="1" x14ac:dyDescent="0.35">
      <c r="A444" s="1">
        <v>2023</v>
      </c>
      <c r="B444" s="1" t="s">
        <v>25</v>
      </c>
      <c r="C444" s="1">
        <v>17</v>
      </c>
      <c r="D444" s="49">
        <v>70.671999999999997</v>
      </c>
      <c r="E444" s="50">
        <v>59.938000000000002</v>
      </c>
      <c r="F444" s="60">
        <v>73.453999999999994</v>
      </c>
      <c r="G444" s="61">
        <v>2043.527</v>
      </c>
      <c r="H444" s="62">
        <v>6.9</v>
      </c>
      <c r="I444" s="63">
        <v>3.3000000000000002E-2</v>
      </c>
      <c r="J444" s="64">
        <v>8.4489999999999998</v>
      </c>
      <c r="K444" s="65">
        <v>32.274000000000001</v>
      </c>
      <c r="L444" s="50">
        <v>4.8780000000000001</v>
      </c>
      <c r="M444" s="66">
        <v>1.4999999999999999E-2</v>
      </c>
      <c r="N444" s="57">
        <v>262.911</v>
      </c>
      <c r="O444" s="67">
        <v>4.8000000000000001E-2</v>
      </c>
      <c r="P444" s="68">
        <v>5.12</v>
      </c>
      <c r="Q444" s="93"/>
      <c r="R444" s="93"/>
      <c r="S444" s="93"/>
      <c r="T444" s="93"/>
    </row>
    <row r="445" spans="1:20" ht="14.25" customHeight="1" x14ac:dyDescent="0.35">
      <c r="A445" s="1">
        <v>2023</v>
      </c>
      <c r="B445" s="1" t="s">
        <v>25</v>
      </c>
      <c r="C445" s="1">
        <v>18</v>
      </c>
      <c r="D445" s="49">
        <v>70.516000000000005</v>
      </c>
      <c r="E445" s="50">
        <v>60</v>
      </c>
      <c r="F445" s="60">
        <v>74.096000000000004</v>
      </c>
      <c r="G445" s="61">
        <v>2056.0639999999999</v>
      </c>
      <c r="H445" s="62">
        <v>6.9</v>
      </c>
      <c r="I445" s="63">
        <v>3.4000000000000002E-2</v>
      </c>
      <c r="J445" s="64">
        <v>8.3689999999999998</v>
      </c>
      <c r="K445" s="61">
        <v>31.448</v>
      </c>
      <c r="L445" s="62">
        <v>4.7880000000000003</v>
      </c>
      <c r="M445" s="66">
        <v>1.4999999999999999E-2</v>
      </c>
      <c r="N445" s="57">
        <v>322.84699999999998</v>
      </c>
      <c r="O445" s="67">
        <v>6.0999999999999999E-2</v>
      </c>
      <c r="P445" s="68">
        <v>3.4089999999999998</v>
      </c>
      <c r="Q445" s="93"/>
      <c r="R445" s="93"/>
      <c r="S445" s="93"/>
      <c r="T445" s="93"/>
    </row>
    <row r="446" spans="1:20" ht="14.25" customHeight="1" x14ac:dyDescent="0.35">
      <c r="A446" s="1">
        <v>2023</v>
      </c>
      <c r="B446" s="1" t="s">
        <v>25</v>
      </c>
      <c r="C446" s="1">
        <v>19</v>
      </c>
      <c r="D446" s="49">
        <v>70.531000000000006</v>
      </c>
      <c r="E446" s="50">
        <v>60</v>
      </c>
      <c r="F446" s="60">
        <v>73.844999999999999</v>
      </c>
      <c r="G446" s="61">
        <v>2013.329</v>
      </c>
      <c r="H446" s="62">
        <v>6.9</v>
      </c>
      <c r="I446" s="63">
        <v>3.5000000000000003E-2</v>
      </c>
      <c r="J446" s="64">
        <v>8.3030000000000008</v>
      </c>
      <c r="K446" s="65">
        <v>31.494</v>
      </c>
      <c r="L446" s="50">
        <v>4.8140000000000001</v>
      </c>
      <c r="M446" s="66">
        <v>1.4999999999999999E-2</v>
      </c>
      <c r="N446" s="57">
        <v>304.14999999999998</v>
      </c>
      <c r="O446" s="67">
        <v>5.2999999999999999E-2</v>
      </c>
      <c r="P446" s="68">
        <v>3.919</v>
      </c>
      <c r="Q446" s="93"/>
      <c r="R446" s="93"/>
      <c r="S446" s="93"/>
      <c r="T446" s="93"/>
    </row>
    <row r="447" spans="1:20" ht="14.25" customHeight="1" x14ac:dyDescent="0.35">
      <c r="A447" s="1">
        <v>2023</v>
      </c>
      <c r="B447" s="1" t="s">
        <v>25</v>
      </c>
      <c r="C447" s="1">
        <v>20</v>
      </c>
      <c r="D447" s="49">
        <v>73.828000000000003</v>
      </c>
      <c r="E447" s="50">
        <v>62.530999999999999</v>
      </c>
      <c r="F447" s="60">
        <v>73.802999999999997</v>
      </c>
      <c r="G447" s="61">
        <v>2000.4870000000001</v>
      </c>
      <c r="H447" s="62">
        <v>6.9</v>
      </c>
      <c r="I447" s="63">
        <v>3.5000000000000003E-2</v>
      </c>
      <c r="J447" s="64">
        <v>8.4209999999999994</v>
      </c>
      <c r="K447" s="61">
        <v>37.645000000000003</v>
      </c>
      <c r="L447" s="62">
        <v>4.875</v>
      </c>
      <c r="M447" s="66">
        <v>1.4999999999999999E-2</v>
      </c>
      <c r="N447" s="57">
        <v>263.18200000000002</v>
      </c>
      <c r="O447" s="67">
        <v>5.8000000000000003E-2</v>
      </c>
      <c r="P447" s="68">
        <v>5.3220000000000001</v>
      </c>
      <c r="Q447" s="93"/>
      <c r="R447" s="93"/>
      <c r="S447" s="93"/>
      <c r="T447" s="93"/>
    </row>
    <row r="448" spans="1:20" ht="14.25" customHeight="1" x14ac:dyDescent="0.35">
      <c r="A448" s="1">
        <v>2023</v>
      </c>
      <c r="B448" s="1" t="s">
        <v>25</v>
      </c>
      <c r="C448" s="1">
        <v>21</v>
      </c>
      <c r="D448" s="49">
        <v>76.733999999999995</v>
      </c>
      <c r="E448" s="50">
        <v>65</v>
      </c>
      <c r="F448" s="60">
        <v>72.69</v>
      </c>
      <c r="G448" s="61">
        <v>1988.4469999999999</v>
      </c>
      <c r="H448" s="62">
        <v>6.9</v>
      </c>
      <c r="I448" s="63">
        <v>3.4000000000000002E-2</v>
      </c>
      <c r="J448" s="64">
        <v>8.0809999999999995</v>
      </c>
      <c r="K448" s="65">
        <v>37.994</v>
      </c>
      <c r="L448" s="50">
        <v>4.7839999999999998</v>
      </c>
      <c r="M448" s="66">
        <v>1.4999999999999999E-2</v>
      </c>
      <c r="N448" s="57">
        <v>335.99200000000002</v>
      </c>
      <c r="O448" s="67">
        <v>5.8000000000000003E-2</v>
      </c>
      <c r="P448" s="68">
        <v>7.2089999999999996</v>
      </c>
      <c r="Q448" s="93"/>
      <c r="R448" s="93"/>
      <c r="S448" s="93"/>
      <c r="T448" s="93"/>
    </row>
    <row r="449" spans="1:20" ht="14.25" customHeight="1" x14ac:dyDescent="0.35">
      <c r="A449" s="1">
        <v>2023</v>
      </c>
      <c r="B449" s="1" t="s">
        <v>25</v>
      </c>
      <c r="C449" s="1">
        <v>22</v>
      </c>
      <c r="D449" s="49">
        <v>76.733999999999995</v>
      </c>
      <c r="E449" s="50">
        <v>65</v>
      </c>
      <c r="F449" s="60">
        <v>72.128</v>
      </c>
      <c r="G449" s="61">
        <v>1869.0540000000001</v>
      </c>
      <c r="H449" s="62">
        <v>6.9009999999999998</v>
      </c>
      <c r="I449" s="63">
        <v>3.4000000000000002E-2</v>
      </c>
      <c r="J449" s="64">
        <v>7.8239999999999998</v>
      </c>
      <c r="K449" s="61">
        <v>31.952000000000002</v>
      </c>
      <c r="L449" s="62">
        <v>4.7939999999999996</v>
      </c>
      <c r="M449" s="66">
        <v>1.4999999999999999E-2</v>
      </c>
      <c r="N449" s="57">
        <v>318.75900000000001</v>
      </c>
      <c r="O449" s="67">
        <v>3.7999999999999999E-2</v>
      </c>
      <c r="P449" s="68">
        <v>5.8029999999999999</v>
      </c>
      <c r="Q449" s="93"/>
      <c r="R449" s="93"/>
      <c r="S449" s="93"/>
      <c r="T449" s="93"/>
    </row>
    <row r="450" spans="1:20" ht="14.25" customHeight="1" x14ac:dyDescent="0.35">
      <c r="A450" s="1">
        <v>2023</v>
      </c>
      <c r="B450" s="1" t="s">
        <v>25</v>
      </c>
      <c r="C450" s="1">
        <v>23</v>
      </c>
      <c r="D450" s="49">
        <v>76.796999999999997</v>
      </c>
      <c r="E450" s="50">
        <v>64.968999999999994</v>
      </c>
      <c r="F450" s="60">
        <v>72.772999999999996</v>
      </c>
      <c r="G450" s="61">
        <v>2038.297</v>
      </c>
      <c r="H450" s="62">
        <v>6.9</v>
      </c>
      <c r="I450" s="63">
        <v>3.4000000000000002E-2</v>
      </c>
      <c r="J450" s="64">
        <v>7.8220000000000001</v>
      </c>
      <c r="K450" s="65">
        <v>36.384999999999998</v>
      </c>
      <c r="L450" s="50">
        <v>4.8079999999999998</v>
      </c>
      <c r="M450" s="66">
        <v>1.4999999999999999E-2</v>
      </c>
      <c r="N450" s="57">
        <v>305.80399999999997</v>
      </c>
      <c r="O450" s="67">
        <v>3.9E-2</v>
      </c>
      <c r="P450" s="68">
        <v>4.8470000000000004</v>
      </c>
      <c r="Q450" s="93"/>
      <c r="R450" s="93"/>
      <c r="S450" s="93"/>
      <c r="T450" s="93"/>
    </row>
    <row r="451" spans="1:20" ht="14.25" customHeight="1" x14ac:dyDescent="0.35">
      <c r="A451" s="1">
        <v>2023</v>
      </c>
      <c r="B451" s="1" t="s">
        <v>25</v>
      </c>
      <c r="C451" s="1">
        <v>24</v>
      </c>
      <c r="D451" s="49">
        <v>76.781000000000006</v>
      </c>
      <c r="E451" s="50">
        <v>65</v>
      </c>
      <c r="F451" s="60">
        <v>73.218999999999994</v>
      </c>
      <c r="G451" s="61">
        <v>2103.5349999999999</v>
      </c>
      <c r="H451" s="62">
        <v>6.9</v>
      </c>
      <c r="I451" s="63">
        <v>3.4000000000000002E-2</v>
      </c>
      <c r="J451" s="64">
        <v>7.8789999999999996</v>
      </c>
      <c r="K451" s="61">
        <v>40.993000000000002</v>
      </c>
      <c r="L451" s="62">
        <v>5.35</v>
      </c>
      <c r="M451" s="66">
        <v>1.4999999999999999E-2</v>
      </c>
      <c r="N451" s="57">
        <v>138.392</v>
      </c>
      <c r="O451" s="67">
        <v>4.2000000000000003E-2</v>
      </c>
      <c r="P451" s="68">
        <v>3.4929999999999999</v>
      </c>
      <c r="Q451" s="93"/>
      <c r="R451" s="93"/>
      <c r="S451" s="93"/>
      <c r="T451" s="93"/>
    </row>
    <row r="452" spans="1:20" ht="14.25" customHeight="1" x14ac:dyDescent="0.35">
      <c r="A452" s="1">
        <v>2023</v>
      </c>
      <c r="B452" s="1" t="s">
        <v>25</v>
      </c>
      <c r="C452" s="1">
        <v>25</v>
      </c>
      <c r="D452" s="49">
        <v>76.75</v>
      </c>
      <c r="E452" s="50">
        <v>65</v>
      </c>
      <c r="F452" s="60">
        <v>73.459999999999994</v>
      </c>
      <c r="G452" s="61">
        <v>2092.942</v>
      </c>
      <c r="H452" s="62">
        <v>6.9</v>
      </c>
      <c r="I452" s="63">
        <v>3.4000000000000002E-2</v>
      </c>
      <c r="J452" s="64">
        <v>7.7590000000000003</v>
      </c>
      <c r="K452" s="65">
        <v>40.380000000000003</v>
      </c>
      <c r="L452" s="50">
        <v>5.6369999999999996</v>
      </c>
      <c r="M452" s="66">
        <v>1.4999999999999999E-2</v>
      </c>
      <c r="N452" s="57">
        <v>45.356999999999999</v>
      </c>
      <c r="O452" s="67">
        <v>0.04</v>
      </c>
      <c r="P452" s="68">
        <v>3.0840000000000001</v>
      </c>
      <c r="Q452" s="93"/>
      <c r="R452" s="93"/>
      <c r="S452" s="93"/>
      <c r="T452" s="93"/>
    </row>
    <row r="453" spans="1:20" ht="14.25" customHeight="1" x14ac:dyDescent="0.35">
      <c r="A453" s="1">
        <v>2023</v>
      </c>
      <c r="B453" s="1" t="s">
        <v>25</v>
      </c>
      <c r="C453" s="1">
        <v>26</v>
      </c>
      <c r="D453" s="49">
        <v>76.546999999999997</v>
      </c>
      <c r="E453" s="50">
        <v>65</v>
      </c>
      <c r="F453" s="60">
        <v>73.347999999999999</v>
      </c>
      <c r="G453" s="61">
        <v>2015.818</v>
      </c>
      <c r="H453" s="62">
        <v>6.9</v>
      </c>
      <c r="I453" s="63">
        <v>3.5000000000000003E-2</v>
      </c>
      <c r="J453" s="64">
        <v>7.7649999999999997</v>
      </c>
      <c r="K453" s="61">
        <v>38.262</v>
      </c>
      <c r="L453" s="62">
        <v>5.6390000000000002</v>
      </c>
      <c r="M453" s="66">
        <v>1.4999999999999999E-2</v>
      </c>
      <c r="N453" s="57">
        <v>45.243000000000002</v>
      </c>
      <c r="O453" s="67">
        <v>3.6999999999999998E-2</v>
      </c>
      <c r="P453" s="68">
        <v>2.488</v>
      </c>
      <c r="Q453" s="93"/>
      <c r="R453" s="93"/>
      <c r="S453" s="93"/>
      <c r="T453" s="93"/>
    </row>
    <row r="454" spans="1:20" ht="14.25" customHeight="1" x14ac:dyDescent="0.35">
      <c r="A454" s="1">
        <v>2023</v>
      </c>
      <c r="B454" s="1" t="s">
        <v>25</v>
      </c>
      <c r="C454" s="1">
        <v>27</v>
      </c>
      <c r="D454" s="12">
        <v>76.578000000000003</v>
      </c>
      <c r="E454" s="13">
        <v>64.938000000000002</v>
      </c>
      <c r="F454" s="60">
        <v>73.777000000000001</v>
      </c>
      <c r="G454" s="61">
        <v>1968.386</v>
      </c>
      <c r="H454" s="62">
        <v>6.9</v>
      </c>
      <c r="I454" s="63">
        <v>3.5000000000000003E-2</v>
      </c>
      <c r="J454" s="64">
        <v>7.9550000000000001</v>
      </c>
      <c r="K454" s="65">
        <v>37.838000000000001</v>
      </c>
      <c r="L454" s="50">
        <v>5.6479999999999997</v>
      </c>
      <c r="M454" s="66">
        <v>1.4999999999999999E-2</v>
      </c>
      <c r="N454" s="57">
        <v>44.298000000000002</v>
      </c>
      <c r="O454" s="67">
        <v>3.6999999999999998E-2</v>
      </c>
      <c r="P454" s="68">
        <v>2.6320000000000001</v>
      </c>
      <c r="Q454" s="93"/>
      <c r="R454" s="93"/>
      <c r="S454" s="93"/>
      <c r="T454" s="93"/>
    </row>
    <row r="455" spans="1:20" ht="14.25" customHeight="1" x14ac:dyDescent="0.35">
      <c r="A455" s="1">
        <v>2023</v>
      </c>
      <c r="B455" s="1" t="s">
        <v>25</v>
      </c>
      <c r="C455" s="1">
        <v>28</v>
      </c>
      <c r="D455" s="12">
        <v>76.531000000000006</v>
      </c>
      <c r="E455" s="13">
        <v>65</v>
      </c>
      <c r="F455" s="60">
        <v>74.019000000000005</v>
      </c>
      <c r="G455" s="61">
        <v>2004.5609999999999</v>
      </c>
      <c r="H455" s="62">
        <v>6.9</v>
      </c>
      <c r="I455" s="63">
        <v>3.5000000000000003E-2</v>
      </c>
      <c r="J455" s="64">
        <v>7.9029999999999996</v>
      </c>
      <c r="K455" s="61">
        <v>38.473999999999997</v>
      </c>
      <c r="L455" s="62">
        <v>5.6340000000000003</v>
      </c>
      <c r="M455" s="66">
        <v>1.4999999999999999E-2</v>
      </c>
      <c r="N455" s="57">
        <v>45.868000000000002</v>
      </c>
      <c r="O455" s="67">
        <v>4.4999999999999998E-2</v>
      </c>
      <c r="P455" s="68">
        <v>2.157</v>
      </c>
      <c r="Q455" s="93"/>
      <c r="R455" s="93"/>
      <c r="S455" s="93"/>
      <c r="T455" s="93"/>
    </row>
    <row r="456" spans="1:20" ht="14.25" customHeight="1" x14ac:dyDescent="0.35">
      <c r="A456" s="1">
        <v>2023</v>
      </c>
      <c r="B456" s="1" t="s">
        <v>25</v>
      </c>
      <c r="C456" s="1">
        <v>29</v>
      </c>
      <c r="D456" s="12">
        <v>76.546999999999997</v>
      </c>
      <c r="E456" s="13">
        <v>65</v>
      </c>
      <c r="F456" s="83">
        <v>73.534999999999997</v>
      </c>
      <c r="G456" s="69">
        <v>1918.4690000000001</v>
      </c>
      <c r="H456" s="50">
        <v>6.9</v>
      </c>
      <c r="I456" s="66">
        <v>3.4000000000000002E-2</v>
      </c>
      <c r="J456" s="50">
        <v>7.907</v>
      </c>
      <c r="K456" s="61">
        <v>36.491999999999997</v>
      </c>
      <c r="L456" s="62">
        <v>5.6189999999999998</v>
      </c>
      <c r="M456" s="66">
        <v>1.4999999999999999E-2</v>
      </c>
      <c r="N456" s="57">
        <v>47.887999999999998</v>
      </c>
      <c r="O456" s="84">
        <v>4.4999999999999998E-2</v>
      </c>
      <c r="P456" s="71">
        <v>2.6579999999999999</v>
      </c>
      <c r="Q456" s="93"/>
      <c r="R456" s="93"/>
      <c r="S456" s="93"/>
      <c r="T456" s="93"/>
    </row>
    <row r="457" spans="1:20" ht="14.25" customHeight="1" x14ac:dyDescent="0.35">
      <c r="A457" s="1">
        <v>2023</v>
      </c>
      <c r="B457" s="1" t="s">
        <v>25</v>
      </c>
      <c r="C457" s="1">
        <v>30</v>
      </c>
      <c r="D457" s="12">
        <v>76.656000000000006</v>
      </c>
      <c r="E457" s="13">
        <v>64.968999999999994</v>
      </c>
      <c r="F457" s="83">
        <v>72.915999999999997</v>
      </c>
      <c r="G457" s="69">
        <v>1957.5060000000001</v>
      </c>
      <c r="H457" s="50">
        <v>6.9</v>
      </c>
      <c r="I457" s="66">
        <v>3.5000000000000003E-2</v>
      </c>
      <c r="J457" s="50">
        <v>7.7759999999999998</v>
      </c>
      <c r="K457" s="61">
        <v>35.646999999999998</v>
      </c>
      <c r="L457" s="62">
        <v>5.6260000000000003</v>
      </c>
      <c r="M457" s="66">
        <v>1.4999999999999999E-2</v>
      </c>
      <c r="N457" s="57">
        <v>47.045000000000002</v>
      </c>
      <c r="O457" s="84">
        <v>5.2600000000000001E-2</v>
      </c>
      <c r="P457" s="71">
        <v>2.976</v>
      </c>
      <c r="Q457" s="93"/>
      <c r="R457" s="93"/>
      <c r="S457" s="93"/>
      <c r="T457" s="93"/>
    </row>
    <row r="458" spans="1:20" ht="14.25" customHeight="1" x14ac:dyDescent="0.35">
      <c r="A458" s="1">
        <v>2023</v>
      </c>
      <c r="B458" s="1" t="s">
        <v>25</v>
      </c>
      <c r="C458" s="1">
        <v>31</v>
      </c>
      <c r="D458" s="85">
        <v>73.406000000000006</v>
      </c>
      <c r="E458" s="86">
        <v>61.688000000000002</v>
      </c>
      <c r="F458" s="87">
        <v>73.292000000000002</v>
      </c>
      <c r="G458" s="88">
        <v>2009.288</v>
      </c>
      <c r="H458" s="89">
        <v>6.9</v>
      </c>
      <c r="I458" s="90">
        <v>3.4000000000000002E-2</v>
      </c>
      <c r="J458" s="89">
        <v>7.6589999999999998</v>
      </c>
      <c r="K458" s="61">
        <v>36.401000000000003</v>
      </c>
      <c r="L458" s="64">
        <v>5.2469999999999999</v>
      </c>
      <c r="M458" s="66">
        <v>1.4999999999999999E-2</v>
      </c>
      <c r="N458" s="57">
        <v>134.85499999999999</v>
      </c>
      <c r="O458" s="66">
        <v>5.3999999999999999E-2</v>
      </c>
      <c r="P458" s="91">
        <v>1.915</v>
      </c>
      <c r="Q458" s="93"/>
      <c r="R458" s="93"/>
      <c r="S458" s="93"/>
      <c r="T458" s="93"/>
    </row>
    <row r="459" spans="1:20" ht="14.25" customHeight="1" x14ac:dyDescent="0.35">
      <c r="A459" s="1">
        <v>2023</v>
      </c>
      <c r="B459" s="1" t="s">
        <v>26</v>
      </c>
      <c r="C459" s="1">
        <v>1</v>
      </c>
      <c r="D459" s="49">
        <v>71.421999999999997</v>
      </c>
      <c r="E459" s="50">
        <v>60</v>
      </c>
      <c r="F459" s="51">
        <v>73.792000000000002</v>
      </c>
      <c r="G459" s="52">
        <v>2016.652</v>
      </c>
      <c r="H459" s="53">
        <v>6.9</v>
      </c>
      <c r="I459" s="54">
        <v>3.4000000000000002E-2</v>
      </c>
      <c r="J459" s="55">
        <v>7.6440000000000001</v>
      </c>
      <c r="K459" s="52">
        <v>34.363</v>
      </c>
      <c r="L459" s="55">
        <v>4.9539999999999997</v>
      </c>
      <c r="M459" s="56">
        <v>1.4999999999999999E-2</v>
      </c>
      <c r="N459" s="57">
        <v>219.89599999999999</v>
      </c>
      <c r="O459" s="58">
        <v>5.1999999999999998E-2</v>
      </c>
      <c r="P459" s="59">
        <v>1.571</v>
      </c>
      <c r="Q459" s="93"/>
      <c r="R459" s="93"/>
      <c r="S459" s="93"/>
      <c r="T459" s="93"/>
    </row>
    <row r="460" spans="1:20" ht="14.25" customHeight="1" x14ac:dyDescent="0.35">
      <c r="A460" s="1">
        <v>2023</v>
      </c>
      <c r="B460" s="1" t="s">
        <v>26</v>
      </c>
      <c r="C460" s="1">
        <v>2</v>
      </c>
      <c r="D460" s="49">
        <v>64.813000000000002</v>
      </c>
      <c r="E460" s="50">
        <v>54.563000000000002</v>
      </c>
      <c r="F460" s="60">
        <v>74.043000000000006</v>
      </c>
      <c r="G460" s="61">
        <v>1926.2280000000001</v>
      </c>
      <c r="H460" s="62">
        <v>6.9</v>
      </c>
      <c r="I460" s="63">
        <v>3.3000000000000002E-2</v>
      </c>
      <c r="J460" s="64">
        <v>7.6619999999999999</v>
      </c>
      <c r="K460" s="65">
        <v>28.978000000000002</v>
      </c>
      <c r="L460" s="50">
        <v>4.9489999999999998</v>
      </c>
      <c r="M460" s="66">
        <v>1.4999999999999999E-2</v>
      </c>
      <c r="N460" s="57">
        <v>222.036</v>
      </c>
      <c r="O460" s="67">
        <v>4.8000000000000001E-2</v>
      </c>
      <c r="P460" s="68">
        <v>1.4710000000000001</v>
      </c>
      <c r="Q460" s="93"/>
      <c r="R460" s="93"/>
      <c r="S460" s="93"/>
      <c r="T460" s="93"/>
    </row>
    <row r="461" spans="1:20" ht="14.25" customHeight="1" x14ac:dyDescent="0.35">
      <c r="A461" s="1">
        <v>2023</v>
      </c>
      <c r="B461" s="1" t="s">
        <v>26</v>
      </c>
      <c r="C461" s="1">
        <v>3</v>
      </c>
      <c r="D461" s="49">
        <v>53.328000000000003</v>
      </c>
      <c r="E461" s="50">
        <v>44.905999999999999</v>
      </c>
      <c r="F461" s="60">
        <v>73.844999999999999</v>
      </c>
      <c r="G461" s="61">
        <v>1936.5260000000001</v>
      </c>
      <c r="H461" s="62">
        <v>6.9</v>
      </c>
      <c r="I461" s="63">
        <v>3.3000000000000002E-2</v>
      </c>
      <c r="J461" s="64">
        <v>7.5750000000000002</v>
      </c>
      <c r="K461" s="65">
        <v>26.716999999999999</v>
      </c>
      <c r="L461" s="50">
        <v>4.9530000000000003</v>
      </c>
      <c r="M461" s="66">
        <v>1.4999999999999999E-2</v>
      </c>
      <c r="N461" s="57">
        <v>219.73400000000001</v>
      </c>
      <c r="O461" s="67">
        <v>4.9000000000000002E-2</v>
      </c>
      <c r="P461" s="68">
        <v>1.403</v>
      </c>
      <c r="Q461" s="93"/>
      <c r="R461" s="93"/>
      <c r="S461" s="93"/>
      <c r="T461" s="93"/>
    </row>
    <row r="462" spans="1:20" ht="14.25" customHeight="1" x14ac:dyDescent="0.35">
      <c r="A462" s="1">
        <v>2023</v>
      </c>
      <c r="B462" s="1" t="s">
        <v>26</v>
      </c>
      <c r="C462" s="1">
        <v>4</v>
      </c>
      <c r="D462" s="49">
        <v>53.188000000000002</v>
      </c>
      <c r="E462" s="50">
        <v>44.938000000000002</v>
      </c>
      <c r="F462" s="60">
        <v>73.084999999999994</v>
      </c>
      <c r="G462" s="61">
        <v>1985.57</v>
      </c>
      <c r="H462" s="62">
        <v>6.9</v>
      </c>
      <c r="I462" s="63">
        <v>3.4000000000000002E-2</v>
      </c>
      <c r="J462" s="64">
        <v>7.6639999999999997</v>
      </c>
      <c r="K462" s="65">
        <v>26.988</v>
      </c>
      <c r="L462" s="50">
        <v>4.8979999999999997</v>
      </c>
      <c r="M462" s="66">
        <v>1.4999999999999999E-2</v>
      </c>
      <c r="N462" s="57">
        <v>249.62799999999999</v>
      </c>
      <c r="O462" s="67">
        <v>5.1999999999999998E-2</v>
      </c>
      <c r="P462" s="68">
        <v>1.714</v>
      </c>
      <c r="Q462" s="93"/>
      <c r="R462" s="93"/>
      <c r="S462" s="93"/>
      <c r="T462" s="93"/>
    </row>
    <row r="463" spans="1:20" ht="14.25" customHeight="1" x14ac:dyDescent="0.35">
      <c r="A463" s="1">
        <v>2023</v>
      </c>
      <c r="B463" s="1" t="s">
        <v>26</v>
      </c>
      <c r="C463" s="1">
        <v>5</v>
      </c>
      <c r="D463" s="49">
        <v>53.280999999999999</v>
      </c>
      <c r="E463" s="50">
        <v>45</v>
      </c>
      <c r="F463" s="60">
        <v>73.887</v>
      </c>
      <c r="G463" s="61">
        <v>1994.9390000000001</v>
      </c>
      <c r="H463" s="62">
        <v>6.9</v>
      </c>
      <c r="I463" s="63">
        <v>3.5000000000000003E-2</v>
      </c>
      <c r="J463" s="64">
        <v>7.5919999999999996</v>
      </c>
      <c r="K463" s="65">
        <v>27.670999999999999</v>
      </c>
      <c r="L463" s="50">
        <v>4.93</v>
      </c>
      <c r="M463" s="66">
        <v>1.4999999999999999E-2</v>
      </c>
      <c r="N463" s="57">
        <v>231.72200000000001</v>
      </c>
      <c r="O463" s="67">
        <v>4.9000000000000002E-2</v>
      </c>
      <c r="P463" s="68">
        <v>1.6579999999999999</v>
      </c>
      <c r="Q463" s="93"/>
      <c r="R463" s="93"/>
      <c r="S463" s="93"/>
      <c r="T463" s="93"/>
    </row>
    <row r="464" spans="1:20" ht="14.25" customHeight="1" x14ac:dyDescent="0.35">
      <c r="A464" s="1">
        <v>2023</v>
      </c>
      <c r="B464" s="1" t="s">
        <v>26</v>
      </c>
      <c r="C464" s="1">
        <v>6</v>
      </c>
      <c r="D464" s="49">
        <v>35.703000000000003</v>
      </c>
      <c r="E464" s="50">
        <v>30.062999999999999</v>
      </c>
      <c r="F464" s="60">
        <v>73.926000000000002</v>
      </c>
      <c r="G464" s="61">
        <v>2097.7739999999999</v>
      </c>
      <c r="H464" s="62">
        <v>6.8639999999999999</v>
      </c>
      <c r="I464" s="63">
        <v>0.05</v>
      </c>
      <c r="J464" s="64">
        <v>7.91</v>
      </c>
      <c r="K464" s="65">
        <v>62.191000000000003</v>
      </c>
      <c r="L464" s="50">
        <v>4.9249999999999998</v>
      </c>
      <c r="M464" s="66">
        <v>1.6E-2</v>
      </c>
      <c r="N464" s="57">
        <v>9893.0390000000007</v>
      </c>
      <c r="O464" s="67">
        <v>3.1E-2</v>
      </c>
      <c r="P464" s="68">
        <v>1.514</v>
      </c>
      <c r="Q464" s="93"/>
      <c r="R464" s="93"/>
      <c r="S464" s="93"/>
      <c r="T464" s="93"/>
    </row>
    <row r="465" spans="1:20" ht="14.25" customHeight="1" x14ac:dyDescent="0.35">
      <c r="A465" s="1">
        <v>2023</v>
      </c>
      <c r="B465" s="1" t="s">
        <v>26</v>
      </c>
      <c r="C465" s="1">
        <v>7</v>
      </c>
      <c r="D465" s="49">
        <v>53.030999999999999</v>
      </c>
      <c r="E465" s="50">
        <v>44.969000000000001</v>
      </c>
      <c r="F465" s="60">
        <v>74.727000000000004</v>
      </c>
      <c r="G465" s="61">
        <v>1682.5260000000001</v>
      </c>
      <c r="H465" s="62">
        <v>6.8959999999999999</v>
      </c>
      <c r="I465" s="63">
        <v>3.2000000000000001E-2</v>
      </c>
      <c r="J465" s="64">
        <v>7.8609999999999998</v>
      </c>
      <c r="K465" s="65">
        <v>46.564</v>
      </c>
      <c r="L465" s="50">
        <v>5.141</v>
      </c>
      <c r="M465" s="66">
        <v>1.4999999999999999E-2</v>
      </c>
      <c r="N465" s="57">
        <v>151.66499999999999</v>
      </c>
      <c r="O465" s="67">
        <v>5.0999999999999997E-2</v>
      </c>
      <c r="P465" s="68">
        <v>0.92</v>
      </c>
      <c r="Q465" s="93"/>
      <c r="R465" s="93"/>
      <c r="S465" s="93"/>
      <c r="T465" s="93"/>
    </row>
    <row r="466" spans="1:20" ht="14.25" customHeight="1" x14ac:dyDescent="0.35">
      <c r="A466" s="1">
        <v>2023</v>
      </c>
      <c r="B466" s="1" t="s">
        <v>26</v>
      </c>
      <c r="C466" s="1">
        <v>8</v>
      </c>
      <c r="D466" s="49">
        <v>53.046999999999997</v>
      </c>
      <c r="E466" s="50">
        <v>45.030999999999999</v>
      </c>
      <c r="F466" s="60">
        <v>74.677999999999997</v>
      </c>
      <c r="G466" s="69">
        <v>1792.15</v>
      </c>
      <c r="H466" s="62">
        <v>6.8760000000000003</v>
      </c>
      <c r="I466" s="63">
        <v>3.1E-2</v>
      </c>
      <c r="J466" s="50">
        <v>7.7439999999999998</v>
      </c>
      <c r="K466" s="65">
        <v>51.222000000000001</v>
      </c>
      <c r="L466" s="50">
        <v>5.2839999999999998</v>
      </c>
      <c r="M466" s="66">
        <v>1.4999999999999999E-2</v>
      </c>
      <c r="N466" s="57">
        <v>102.42100000000001</v>
      </c>
      <c r="O466" s="70">
        <v>5.0999999999999997E-2</v>
      </c>
      <c r="P466" s="71">
        <v>0.34200000000000003</v>
      </c>
      <c r="Q466" s="93"/>
      <c r="R466" s="93"/>
      <c r="S466" s="93"/>
      <c r="T466" s="93"/>
    </row>
    <row r="467" spans="1:20" ht="14.25" customHeight="1" x14ac:dyDescent="0.35">
      <c r="A467" s="1">
        <v>2023</v>
      </c>
      <c r="B467" s="1" t="s">
        <v>26</v>
      </c>
      <c r="C467" s="1">
        <v>9</v>
      </c>
      <c r="D467" s="49">
        <v>52.953000000000003</v>
      </c>
      <c r="E467" s="50">
        <v>44.969000000000001</v>
      </c>
      <c r="F467" s="60">
        <v>74.959999999999994</v>
      </c>
      <c r="G467" s="61">
        <v>1883.856</v>
      </c>
      <c r="H467" s="62">
        <v>6.8959999999999999</v>
      </c>
      <c r="I467" s="63">
        <v>0.03</v>
      </c>
      <c r="J467" s="64">
        <v>7.4989999999999997</v>
      </c>
      <c r="K467" s="65">
        <v>51.203000000000003</v>
      </c>
      <c r="L467" s="50">
        <v>5.2190000000000003</v>
      </c>
      <c r="M467" s="66">
        <v>1.4999999999999999E-2</v>
      </c>
      <c r="N467" s="57">
        <v>120.65900000000001</v>
      </c>
      <c r="O467" s="67">
        <v>0.04</v>
      </c>
      <c r="P467" s="68">
        <v>0.39800000000000002</v>
      </c>
      <c r="Q467" s="93"/>
      <c r="R467" s="93"/>
      <c r="S467" s="93"/>
      <c r="T467" s="93"/>
    </row>
    <row r="468" spans="1:20" ht="14.25" customHeight="1" x14ac:dyDescent="0.35">
      <c r="A468" s="1">
        <v>2023</v>
      </c>
      <c r="B468" s="1" t="s">
        <v>26</v>
      </c>
      <c r="C468" s="1">
        <v>10</v>
      </c>
      <c r="D468" s="49">
        <v>61.265999999999998</v>
      </c>
      <c r="E468" s="50">
        <v>51.875</v>
      </c>
      <c r="F468" s="72">
        <v>74.92</v>
      </c>
      <c r="G468" s="61">
        <v>1926.537</v>
      </c>
      <c r="H468" s="62">
        <v>6.8959999999999999</v>
      </c>
      <c r="I468" s="63">
        <v>3.2000000000000001E-2</v>
      </c>
      <c r="J468" s="73">
        <v>7.694</v>
      </c>
      <c r="K468" s="65">
        <v>50.984999999999999</v>
      </c>
      <c r="L468" s="50">
        <v>5.2569999999999997</v>
      </c>
      <c r="M468" s="74">
        <v>1.4999999999999999E-2</v>
      </c>
      <c r="N468" s="57">
        <v>109.08499999999999</v>
      </c>
      <c r="O468" s="75">
        <v>4.7E-2</v>
      </c>
      <c r="P468" s="76">
        <v>0.44400000000000001</v>
      </c>
      <c r="Q468" s="93"/>
      <c r="R468" s="93"/>
      <c r="S468" s="93"/>
      <c r="T468" s="93"/>
    </row>
    <row r="469" spans="1:20" ht="14.25" customHeight="1" x14ac:dyDescent="0.35">
      <c r="A469" s="1">
        <v>2023</v>
      </c>
      <c r="B469" s="1" t="s">
        <v>26</v>
      </c>
      <c r="C469" s="1">
        <v>11</v>
      </c>
      <c r="D469" s="49">
        <v>76.781000000000006</v>
      </c>
      <c r="E469" s="50">
        <v>65</v>
      </c>
      <c r="F469" s="72">
        <v>74.935000000000002</v>
      </c>
      <c r="G469" s="61">
        <v>1959.7750000000001</v>
      </c>
      <c r="H469" s="62">
        <v>6.8959999999999999</v>
      </c>
      <c r="I469" s="63">
        <v>3.2000000000000001E-2</v>
      </c>
      <c r="J469" s="77">
        <v>8.1329999999999991</v>
      </c>
      <c r="K469" s="65">
        <v>49.359000000000002</v>
      </c>
      <c r="L469" s="50">
        <v>5.2770000000000001</v>
      </c>
      <c r="M469" s="74">
        <v>1.4999999999999999E-2</v>
      </c>
      <c r="N469" s="57">
        <v>103.98</v>
      </c>
      <c r="O469" s="75">
        <v>4.7E-2</v>
      </c>
      <c r="P469" s="76">
        <v>0.44700000000000001</v>
      </c>
      <c r="Q469" s="93"/>
      <c r="R469" s="93"/>
      <c r="S469" s="93"/>
      <c r="T469" s="93"/>
    </row>
    <row r="470" spans="1:20" ht="14.25" customHeight="1" x14ac:dyDescent="0.35">
      <c r="A470" s="1">
        <v>2023</v>
      </c>
      <c r="B470" s="1" t="s">
        <v>26</v>
      </c>
      <c r="C470" s="1">
        <v>12</v>
      </c>
      <c r="D470" s="49">
        <v>76.593999999999994</v>
      </c>
      <c r="E470" s="50">
        <v>65</v>
      </c>
      <c r="F470" s="72">
        <v>75.040000000000006</v>
      </c>
      <c r="G470" s="61">
        <v>2008.5119999999999</v>
      </c>
      <c r="H470" s="62">
        <v>6.8959999999999999</v>
      </c>
      <c r="I470" s="63">
        <v>3.1E-2</v>
      </c>
      <c r="J470" s="73">
        <v>7.9450000000000003</v>
      </c>
      <c r="K470" s="65">
        <v>45.597000000000001</v>
      </c>
      <c r="L470" s="50">
        <v>5.2430000000000003</v>
      </c>
      <c r="M470" s="74">
        <v>1.4999999999999999E-2</v>
      </c>
      <c r="N470" s="57">
        <v>112.35599999999999</v>
      </c>
      <c r="O470" s="75">
        <v>4.2000000000000003E-2</v>
      </c>
      <c r="P470" s="76">
        <v>0.42299999999999999</v>
      </c>
      <c r="Q470" s="93"/>
      <c r="R470" s="93"/>
      <c r="S470" s="93"/>
      <c r="T470" s="93"/>
    </row>
    <row r="471" spans="1:20" ht="14.25" customHeight="1" x14ac:dyDescent="0.35">
      <c r="A471" s="1">
        <v>2023</v>
      </c>
      <c r="B471" s="1" t="s">
        <v>26</v>
      </c>
      <c r="C471" s="1">
        <v>13</v>
      </c>
      <c r="D471" s="49">
        <v>76.578000000000003</v>
      </c>
      <c r="E471" s="50">
        <v>64.968999999999994</v>
      </c>
      <c r="F471" s="78">
        <v>74.840999999999994</v>
      </c>
      <c r="G471" s="61">
        <v>1902.329</v>
      </c>
      <c r="H471" s="62">
        <v>6.8959999999999999</v>
      </c>
      <c r="I471" s="63">
        <v>0.03</v>
      </c>
      <c r="J471" s="79">
        <v>8.0169999999999995</v>
      </c>
      <c r="K471" s="65">
        <v>43.78</v>
      </c>
      <c r="L471" s="50">
        <v>5.63</v>
      </c>
      <c r="M471" s="66">
        <v>1.4999999999999999E-2</v>
      </c>
      <c r="N471" s="57">
        <v>55.917000000000002</v>
      </c>
      <c r="O471" s="80">
        <v>4.1000000000000002E-2</v>
      </c>
      <c r="P471" s="81">
        <v>0.26200000000000001</v>
      </c>
      <c r="Q471" s="93"/>
      <c r="R471" s="93"/>
      <c r="S471" s="93"/>
      <c r="T471" s="93"/>
    </row>
    <row r="472" spans="1:20" ht="14.25" customHeight="1" x14ac:dyDescent="0.35">
      <c r="A472" s="1">
        <v>2023</v>
      </c>
      <c r="B472" s="1" t="s">
        <v>26</v>
      </c>
      <c r="C472" s="1">
        <v>14</v>
      </c>
      <c r="D472" s="49">
        <v>94.813000000000002</v>
      </c>
      <c r="E472" s="50">
        <v>80.313000000000002</v>
      </c>
      <c r="F472" s="60">
        <v>75.244</v>
      </c>
      <c r="G472" s="61">
        <v>1739.479</v>
      </c>
      <c r="H472" s="62">
        <v>6.8959999999999999</v>
      </c>
      <c r="I472" s="63">
        <v>3.1E-2</v>
      </c>
      <c r="J472" s="79">
        <v>8.1869999999999994</v>
      </c>
      <c r="K472" s="82">
        <v>34.290999999999997</v>
      </c>
      <c r="L472" s="50">
        <v>5.8220000000000001</v>
      </c>
      <c r="M472" s="66">
        <v>1.4999999999999999E-2</v>
      </c>
      <c r="N472" s="57">
        <v>29.681000000000001</v>
      </c>
      <c r="O472" s="80">
        <v>4.2999999999999997E-2</v>
      </c>
      <c r="P472" s="81">
        <v>0.222</v>
      </c>
      <c r="Q472" s="93"/>
      <c r="R472" s="93"/>
      <c r="S472" s="93"/>
      <c r="T472" s="93"/>
    </row>
    <row r="473" spans="1:20" ht="14.25" customHeight="1" x14ac:dyDescent="0.35">
      <c r="A473" s="1">
        <v>2023</v>
      </c>
      <c r="B473" s="1" t="s">
        <v>26</v>
      </c>
      <c r="C473" s="1">
        <v>15</v>
      </c>
      <c r="D473" s="49">
        <v>76.75</v>
      </c>
      <c r="E473" s="50">
        <v>65</v>
      </c>
      <c r="F473" s="60">
        <v>75.497</v>
      </c>
      <c r="G473" s="61">
        <v>1697.569</v>
      </c>
      <c r="H473" s="62">
        <v>6.8959999999999999</v>
      </c>
      <c r="I473" s="63">
        <v>2.9000000000000001E-2</v>
      </c>
      <c r="J473" s="73">
        <v>8.173</v>
      </c>
      <c r="K473" s="65">
        <v>26.521000000000001</v>
      </c>
      <c r="L473" s="50">
        <v>5.7640000000000002</v>
      </c>
      <c r="M473" s="66">
        <v>1.4999999999999999E-2</v>
      </c>
      <c r="N473" s="57">
        <v>33.905999999999999</v>
      </c>
      <c r="O473" s="75">
        <v>3.7999999999999999E-2</v>
      </c>
      <c r="P473" s="76">
        <v>0.14199999999999999</v>
      </c>
      <c r="Q473" s="93"/>
      <c r="R473" s="93"/>
      <c r="S473" s="93"/>
      <c r="T473" s="93"/>
    </row>
    <row r="474" spans="1:20" ht="14.25" customHeight="1" x14ac:dyDescent="0.35">
      <c r="A474" s="1">
        <v>2023</v>
      </c>
      <c r="B474" s="1" t="s">
        <v>26</v>
      </c>
      <c r="C474" s="1">
        <v>16</v>
      </c>
      <c r="D474" s="49">
        <v>76.796999999999997</v>
      </c>
      <c r="E474" s="50">
        <v>64.968999999999994</v>
      </c>
      <c r="F474" s="60">
        <v>75.486999999999995</v>
      </c>
      <c r="G474" s="61">
        <v>1624.4839999999999</v>
      </c>
      <c r="H474" s="62">
        <v>6.8959999999999999</v>
      </c>
      <c r="I474" s="63">
        <v>2.8000000000000001E-2</v>
      </c>
      <c r="J474" s="79">
        <v>8.0890000000000004</v>
      </c>
      <c r="K474" s="61">
        <v>25.637</v>
      </c>
      <c r="L474" s="62">
        <v>5.7539999999999996</v>
      </c>
      <c r="M474" s="66">
        <v>1.4999999999999999E-2</v>
      </c>
      <c r="N474" s="57">
        <v>34.716000000000001</v>
      </c>
      <c r="O474" s="80">
        <v>3.5999999999999997E-2</v>
      </c>
      <c r="P474" s="81">
        <v>0.14899999999999999</v>
      </c>
      <c r="Q474" s="93"/>
      <c r="R474" s="93"/>
      <c r="S474" s="93"/>
      <c r="T474" s="93"/>
    </row>
    <row r="475" spans="1:20" ht="14.25" customHeight="1" x14ac:dyDescent="0.35">
      <c r="A475" s="1">
        <v>2023</v>
      </c>
      <c r="B475" s="1" t="s">
        <v>26</v>
      </c>
      <c r="C475" s="1">
        <v>17</v>
      </c>
      <c r="D475" s="49">
        <v>48.421999999999997</v>
      </c>
      <c r="E475" s="50">
        <v>40.719000000000001</v>
      </c>
      <c r="F475" s="60">
        <v>74.549000000000007</v>
      </c>
      <c r="G475" s="61">
        <v>1578.4490000000001</v>
      </c>
      <c r="H475" s="62">
        <v>6.875</v>
      </c>
      <c r="I475" s="63">
        <v>3.4000000000000002E-2</v>
      </c>
      <c r="J475" s="64">
        <v>8.5820000000000007</v>
      </c>
      <c r="K475" s="65">
        <v>43.829000000000001</v>
      </c>
      <c r="L475" s="50">
        <v>5.8609999999999998</v>
      </c>
      <c r="M475" s="66">
        <v>1.6E-2</v>
      </c>
      <c r="N475" s="57">
        <v>28.071999999999999</v>
      </c>
      <c r="O475" s="67">
        <v>4.2999999999999997E-2</v>
      </c>
      <c r="P475" s="68">
        <v>0.20300000000000001</v>
      </c>
      <c r="Q475" s="93"/>
      <c r="R475" s="93"/>
      <c r="S475" s="93"/>
      <c r="T475" s="93"/>
    </row>
    <row r="476" spans="1:20" ht="14.25" customHeight="1" x14ac:dyDescent="0.35">
      <c r="A476" s="1">
        <v>2023</v>
      </c>
      <c r="B476" s="1" t="s">
        <v>26</v>
      </c>
      <c r="C476" s="1">
        <v>18</v>
      </c>
      <c r="D476" s="49">
        <v>40.125</v>
      </c>
      <c r="E476" s="50">
        <v>32.780999999999999</v>
      </c>
      <c r="F476" s="60">
        <v>74.209000000000003</v>
      </c>
      <c r="G476" s="61">
        <v>2603.56</v>
      </c>
      <c r="H476" s="62">
        <v>6.8520000000000003</v>
      </c>
      <c r="I476" s="63">
        <v>4.2000000000000003E-2</v>
      </c>
      <c r="J476" s="64">
        <v>8.5190000000000001</v>
      </c>
      <c r="K476" s="61">
        <v>77.271000000000001</v>
      </c>
      <c r="L476" s="62">
        <v>5.8360000000000003</v>
      </c>
      <c r="M476" s="66">
        <v>1.7000000000000001E-2</v>
      </c>
      <c r="N476" s="57">
        <v>381.13299999999998</v>
      </c>
      <c r="O476" s="67">
        <v>6.8000000000000005E-2</v>
      </c>
      <c r="P476" s="68">
        <v>0.23599999999999999</v>
      </c>
      <c r="Q476" s="93"/>
      <c r="R476" s="93"/>
      <c r="S476" s="93"/>
      <c r="T476" s="93"/>
    </row>
    <row r="477" spans="1:20" ht="14.25" customHeight="1" x14ac:dyDescent="0.35">
      <c r="A477" s="1">
        <v>2023</v>
      </c>
      <c r="B477" s="1" t="s">
        <v>26</v>
      </c>
      <c r="C477" s="1">
        <v>19</v>
      </c>
      <c r="D477" s="49">
        <v>118.203</v>
      </c>
      <c r="E477" s="50">
        <v>100</v>
      </c>
      <c r="F477" s="60">
        <v>75.879000000000005</v>
      </c>
      <c r="G477" s="61">
        <v>1709.7929999999999</v>
      </c>
      <c r="H477" s="62">
        <v>6.9</v>
      </c>
      <c r="I477" s="63">
        <v>0.03</v>
      </c>
      <c r="J477" s="64">
        <v>8.282</v>
      </c>
      <c r="K477" s="65">
        <v>36.822000000000003</v>
      </c>
      <c r="L477" s="50">
        <v>5.8319999999999999</v>
      </c>
      <c r="M477" s="66">
        <v>1.4999999999999999E-2</v>
      </c>
      <c r="N477" s="57">
        <v>29.004000000000001</v>
      </c>
      <c r="O477" s="67">
        <v>4.2999999999999997E-2</v>
      </c>
      <c r="P477" s="68">
        <v>0.188</v>
      </c>
      <c r="Q477" s="93"/>
      <c r="R477" s="93"/>
      <c r="S477" s="93"/>
      <c r="T477" s="93"/>
    </row>
    <row r="478" spans="1:20" ht="14.25" customHeight="1" x14ac:dyDescent="0.35">
      <c r="A478" s="1">
        <v>2023</v>
      </c>
      <c r="B478" s="1" t="s">
        <v>26</v>
      </c>
      <c r="C478" s="1">
        <v>20</v>
      </c>
      <c r="D478" s="49">
        <v>118.203</v>
      </c>
      <c r="E478" s="50">
        <v>99.968999999999994</v>
      </c>
      <c r="F478" s="60">
        <v>76.05</v>
      </c>
      <c r="G478" s="61">
        <v>1969.9549999999999</v>
      </c>
      <c r="H478" s="62">
        <v>6.9</v>
      </c>
      <c r="I478" s="63">
        <v>0.03</v>
      </c>
      <c r="J478" s="64">
        <v>8.0839999999999996</v>
      </c>
      <c r="K478" s="61">
        <v>43.959000000000003</v>
      </c>
      <c r="L478" s="62">
        <v>5.8579999999999997</v>
      </c>
      <c r="M478" s="66">
        <v>1.4999999999999999E-2</v>
      </c>
      <c r="N478" s="57">
        <v>27.449000000000002</v>
      </c>
      <c r="O478" s="67">
        <v>4.9000000000000002E-2</v>
      </c>
      <c r="P478" s="68">
        <v>0.13600000000000001</v>
      </c>
      <c r="Q478" s="93"/>
      <c r="R478" s="93"/>
      <c r="S478" s="93"/>
      <c r="T478" s="93"/>
    </row>
    <row r="479" spans="1:20" ht="14.25" customHeight="1" x14ac:dyDescent="0.35">
      <c r="A479" s="1">
        <v>2023</v>
      </c>
      <c r="B479" s="1" t="s">
        <v>26</v>
      </c>
      <c r="C479" s="1">
        <v>21</v>
      </c>
      <c r="D479" s="49">
        <v>118.438</v>
      </c>
      <c r="E479" s="50">
        <v>99.968999999999994</v>
      </c>
      <c r="F479" s="60">
        <v>76.658000000000001</v>
      </c>
      <c r="G479" s="61">
        <v>2169.0630000000001</v>
      </c>
      <c r="H479" s="62">
        <v>6.9</v>
      </c>
      <c r="I479" s="63">
        <v>3.1E-2</v>
      </c>
      <c r="J479" s="64">
        <v>7.85</v>
      </c>
      <c r="K479" s="65">
        <v>47.997999999999998</v>
      </c>
      <c r="L479" s="50">
        <v>5.3090000000000002</v>
      </c>
      <c r="M479" s="66">
        <v>1.4999999999999999E-2</v>
      </c>
      <c r="N479" s="57">
        <v>129.50700000000001</v>
      </c>
      <c r="O479" s="67">
        <v>5.6000000000000001E-2</v>
      </c>
      <c r="P479" s="68">
        <v>1.4430000000000001</v>
      </c>
      <c r="Q479" s="93"/>
      <c r="R479" s="93"/>
      <c r="S479" s="93"/>
      <c r="T479" s="93"/>
    </row>
    <row r="480" spans="1:20" ht="14.25" customHeight="1" x14ac:dyDescent="0.35">
      <c r="A480" s="1">
        <v>2023</v>
      </c>
      <c r="B480" s="1" t="s">
        <v>26</v>
      </c>
      <c r="C480" s="1">
        <v>22</v>
      </c>
      <c r="D480" s="49">
        <v>118.547</v>
      </c>
      <c r="E480" s="50">
        <v>100.03100000000001</v>
      </c>
      <c r="F480" s="60">
        <v>76.653000000000006</v>
      </c>
      <c r="G480" s="61">
        <v>2236.3969999999999</v>
      </c>
      <c r="H480" s="62">
        <v>6.9</v>
      </c>
      <c r="I480" s="63">
        <v>0.03</v>
      </c>
      <c r="J480" s="64">
        <v>7.6970000000000001</v>
      </c>
      <c r="K480" s="61">
        <v>48.25</v>
      </c>
      <c r="L480" s="62">
        <v>4.9800000000000004</v>
      </c>
      <c r="M480" s="66">
        <v>1.4999999999999999E-2</v>
      </c>
      <c r="N480" s="57">
        <v>218.84700000000001</v>
      </c>
      <c r="O480" s="67">
        <v>5.0999999999999997E-2</v>
      </c>
      <c r="P480" s="68">
        <v>3.1429999999999998</v>
      </c>
      <c r="Q480" s="93"/>
      <c r="R480" s="93"/>
      <c r="S480" s="93"/>
      <c r="T480" s="93"/>
    </row>
    <row r="481" spans="1:20" ht="14.25" customHeight="1" x14ac:dyDescent="0.35">
      <c r="A481" s="1">
        <v>2023</v>
      </c>
      <c r="B481" s="1" t="s">
        <v>26</v>
      </c>
      <c r="C481" s="1">
        <v>23</v>
      </c>
      <c r="D481" s="49">
        <v>118.53100000000001</v>
      </c>
      <c r="E481" s="50">
        <v>99.968999999999994</v>
      </c>
      <c r="F481" s="60">
        <v>76.486000000000004</v>
      </c>
      <c r="G481" s="61">
        <v>2148.864</v>
      </c>
      <c r="H481" s="62">
        <v>6.9</v>
      </c>
      <c r="I481" s="63">
        <v>0.03</v>
      </c>
      <c r="J481" s="64">
        <v>7.702</v>
      </c>
      <c r="K481" s="65">
        <v>46.12</v>
      </c>
      <c r="L481" s="50">
        <v>4.9950000000000001</v>
      </c>
      <c r="M481" s="66">
        <v>1.4999999999999999E-2</v>
      </c>
      <c r="N481" s="57">
        <v>206.46100000000001</v>
      </c>
      <c r="O481" s="67">
        <v>3.9E-2</v>
      </c>
      <c r="P481" s="68">
        <v>4.2539999999999996</v>
      </c>
      <c r="Q481" s="93"/>
      <c r="R481" s="93"/>
      <c r="S481" s="93"/>
      <c r="T481" s="93"/>
    </row>
    <row r="482" spans="1:20" ht="14.25" customHeight="1" x14ac:dyDescent="0.35">
      <c r="A482" s="1">
        <v>2023</v>
      </c>
      <c r="B482" s="1" t="s">
        <v>26</v>
      </c>
      <c r="C482" s="1">
        <v>24</v>
      </c>
      <c r="D482" s="49">
        <v>123.203</v>
      </c>
      <c r="E482" s="50">
        <v>103.938</v>
      </c>
      <c r="F482" s="60">
        <v>76.322999999999993</v>
      </c>
      <c r="G482" s="61">
        <v>2164.7719999999999</v>
      </c>
      <c r="H482" s="62">
        <v>6.9</v>
      </c>
      <c r="I482" s="63">
        <v>3.1E-2</v>
      </c>
      <c r="J482" s="64">
        <v>7.7290000000000001</v>
      </c>
      <c r="K482" s="61">
        <v>47.517000000000003</v>
      </c>
      <c r="L482" s="62">
        <v>5.1139999999999999</v>
      </c>
      <c r="M482" s="66">
        <v>1.4999999999999999E-2</v>
      </c>
      <c r="N482" s="57">
        <v>151.32400000000001</v>
      </c>
      <c r="O482" s="67">
        <v>3.9E-2</v>
      </c>
      <c r="P482" s="68">
        <v>5.4329999999999998</v>
      </c>
      <c r="Q482" s="93"/>
      <c r="R482" s="93"/>
      <c r="S482" s="93"/>
      <c r="T482" s="93"/>
    </row>
    <row r="483" spans="1:20" ht="14.25" customHeight="1" x14ac:dyDescent="0.35">
      <c r="A483" s="1">
        <v>2023</v>
      </c>
      <c r="B483" s="1" t="s">
        <v>26</v>
      </c>
      <c r="C483" s="1">
        <v>25</v>
      </c>
      <c r="D483" s="49">
        <v>130.328</v>
      </c>
      <c r="E483" s="50">
        <v>110</v>
      </c>
      <c r="F483" s="60">
        <v>76.671000000000006</v>
      </c>
      <c r="G483" s="61">
        <v>2217.078</v>
      </c>
      <c r="H483" s="62">
        <v>6.9</v>
      </c>
      <c r="I483" s="63">
        <v>3.1E-2</v>
      </c>
      <c r="J483" s="64">
        <v>7.5919999999999996</v>
      </c>
      <c r="K483" s="65">
        <v>50.232999999999997</v>
      </c>
      <c r="L483" s="50">
        <v>5.1269999999999998</v>
      </c>
      <c r="M483" s="66">
        <v>1.4999999999999999E-2</v>
      </c>
      <c r="N483" s="57">
        <v>146.99</v>
      </c>
      <c r="O483" s="67">
        <v>4.4999999999999998E-2</v>
      </c>
      <c r="P483" s="68">
        <v>5.8159999999999998</v>
      </c>
      <c r="Q483" s="93"/>
      <c r="R483" s="93"/>
      <c r="S483" s="93"/>
      <c r="T483" s="93"/>
    </row>
    <row r="484" spans="1:20" ht="14.25" customHeight="1" x14ac:dyDescent="0.35">
      <c r="A484" s="1">
        <v>2023</v>
      </c>
      <c r="B484" s="1" t="s">
        <v>26</v>
      </c>
      <c r="C484" s="1">
        <v>26</v>
      </c>
      <c r="D484" s="49">
        <v>122.547</v>
      </c>
      <c r="E484" s="50">
        <v>103.40600000000001</v>
      </c>
      <c r="F484" s="60">
        <v>76.784000000000006</v>
      </c>
      <c r="G484" s="61">
        <v>2208.8440000000001</v>
      </c>
      <c r="H484" s="62">
        <v>6.9</v>
      </c>
      <c r="I484" s="63">
        <v>3.1E-2</v>
      </c>
      <c r="J484" s="64">
        <v>7.7</v>
      </c>
      <c r="K484" s="61">
        <v>52.874000000000002</v>
      </c>
      <c r="L484" s="62">
        <v>5.13</v>
      </c>
      <c r="M484" s="66">
        <v>1.4999999999999999E-2</v>
      </c>
      <c r="N484" s="57">
        <v>146.46199999999999</v>
      </c>
      <c r="O484" s="67">
        <v>4.8000000000000001E-2</v>
      </c>
      <c r="P484" s="68">
        <v>5.4560000000000004</v>
      </c>
      <c r="Q484" s="93"/>
      <c r="R484" s="93"/>
      <c r="S484" s="93"/>
      <c r="T484" s="93"/>
    </row>
    <row r="485" spans="1:20" ht="14.25" customHeight="1" x14ac:dyDescent="0.35">
      <c r="A485" s="1">
        <v>2023</v>
      </c>
      <c r="B485" s="1" t="s">
        <v>26</v>
      </c>
      <c r="C485" s="1">
        <v>27</v>
      </c>
      <c r="D485" s="12">
        <v>122.547</v>
      </c>
      <c r="E485" s="13">
        <v>103.313</v>
      </c>
      <c r="F485" s="60">
        <v>76.603999999999999</v>
      </c>
      <c r="G485" s="61">
        <v>2205.797</v>
      </c>
      <c r="H485" s="62">
        <v>6.9</v>
      </c>
      <c r="I485" s="63">
        <v>3.2000000000000001E-2</v>
      </c>
      <c r="J485" s="64">
        <v>7.69</v>
      </c>
      <c r="K485" s="65">
        <v>50.564999999999998</v>
      </c>
      <c r="L485" s="50">
        <v>5.0919999999999996</v>
      </c>
      <c r="M485" s="66">
        <v>1.4999999999999999E-2</v>
      </c>
      <c r="N485" s="57">
        <v>159.33799999999999</v>
      </c>
      <c r="O485" s="67">
        <v>4.4999999999999998E-2</v>
      </c>
      <c r="P485" s="68">
        <v>6.532</v>
      </c>
      <c r="Q485" s="93"/>
      <c r="R485" s="93"/>
      <c r="S485" s="93"/>
      <c r="T485" s="93"/>
    </row>
    <row r="486" spans="1:20" ht="14.25" customHeight="1" x14ac:dyDescent="0.35">
      <c r="A486" s="1">
        <v>2023</v>
      </c>
      <c r="B486" s="1" t="s">
        <v>26</v>
      </c>
      <c r="C486" s="1">
        <v>28</v>
      </c>
      <c r="D486" s="12">
        <v>130.375</v>
      </c>
      <c r="E486" s="13">
        <v>109.96899999999999</v>
      </c>
      <c r="F486" s="60">
        <v>76.731999999999999</v>
      </c>
      <c r="G486" s="61">
        <v>2256.451</v>
      </c>
      <c r="H486" s="62">
        <v>6.9</v>
      </c>
      <c r="I486" s="63">
        <v>3.1E-2</v>
      </c>
      <c r="J486" s="64">
        <v>7.7389999999999999</v>
      </c>
      <c r="K486" s="61">
        <v>50.893000000000001</v>
      </c>
      <c r="L486" s="62">
        <v>5.1669999999999998</v>
      </c>
      <c r="M486" s="66">
        <v>1.4999999999999999E-2</v>
      </c>
      <c r="N486" s="57">
        <v>135.126</v>
      </c>
      <c r="O486" s="67">
        <v>4.5999999999999999E-2</v>
      </c>
      <c r="P486" s="68">
        <v>7.1740000000000004</v>
      </c>
      <c r="Q486" s="93"/>
      <c r="R486" s="93"/>
      <c r="S486" s="93"/>
      <c r="T486" s="93"/>
    </row>
    <row r="487" spans="1:20" ht="14.25" customHeight="1" x14ac:dyDescent="0.35">
      <c r="A487" s="1">
        <v>2023</v>
      </c>
      <c r="B487" s="1" t="s">
        <v>26</v>
      </c>
      <c r="C487" s="1">
        <v>29</v>
      </c>
      <c r="D487" s="12">
        <v>130.48400000000001</v>
      </c>
      <c r="E487" s="13">
        <v>110</v>
      </c>
      <c r="F487" s="83">
        <v>76.831999999999994</v>
      </c>
      <c r="G487" s="69">
        <v>2277.748</v>
      </c>
      <c r="H487" s="50">
        <v>6.9</v>
      </c>
      <c r="I487" s="66">
        <v>3.1E-2</v>
      </c>
      <c r="J487" s="50">
        <v>7.5629999999999997</v>
      </c>
      <c r="K487" s="61">
        <v>51.213000000000001</v>
      </c>
      <c r="L487" s="62">
        <v>5.2110000000000003</v>
      </c>
      <c r="M487" s="66">
        <v>1.4999999999999999E-2</v>
      </c>
      <c r="N487" s="57">
        <v>121.14700000000001</v>
      </c>
      <c r="O487" s="84">
        <v>4.4999999999999998E-2</v>
      </c>
      <c r="P487" s="71">
        <v>7.2779999999999996</v>
      </c>
      <c r="Q487" s="93"/>
      <c r="R487" s="93"/>
      <c r="S487" s="93"/>
      <c r="T487" s="93"/>
    </row>
    <row r="488" spans="1:20" ht="14.25" customHeight="1" x14ac:dyDescent="0.35">
      <c r="A488" s="1">
        <v>2023</v>
      </c>
      <c r="B488" s="1" t="s">
        <v>26</v>
      </c>
      <c r="C488" s="1">
        <v>30</v>
      </c>
      <c r="D488" s="85">
        <v>130.297</v>
      </c>
      <c r="E488" s="86">
        <v>109.90600000000001</v>
      </c>
      <c r="F488" s="83">
        <v>76.716999999999999</v>
      </c>
      <c r="G488" s="69">
        <v>2220.366</v>
      </c>
      <c r="H488" s="50">
        <v>6.9</v>
      </c>
      <c r="I488" s="66">
        <v>0.03</v>
      </c>
      <c r="J488" s="50">
        <v>7.5090000000000003</v>
      </c>
      <c r="K488" s="61">
        <v>49.79</v>
      </c>
      <c r="L488" s="62">
        <v>5.2</v>
      </c>
      <c r="M488" s="66">
        <v>1.4999999999999999E-2</v>
      </c>
      <c r="N488" s="57">
        <v>124.16</v>
      </c>
      <c r="O488" s="84">
        <v>4.2000000000000003E-2</v>
      </c>
      <c r="P488" s="71">
        <v>7.5679999999999996</v>
      </c>
      <c r="Q488" s="93"/>
      <c r="R488" s="93"/>
      <c r="S488" s="93"/>
      <c r="T488" s="93"/>
    </row>
    <row r="489" spans="1:20" ht="14.25" customHeight="1" x14ac:dyDescent="0.35">
      <c r="A489" s="1">
        <v>2023</v>
      </c>
      <c r="B489" s="1" t="s">
        <v>27</v>
      </c>
      <c r="C489" s="1">
        <v>1</v>
      </c>
      <c r="D489" s="49">
        <v>116.28100000000001</v>
      </c>
      <c r="E489" s="50">
        <v>98.093999999999994</v>
      </c>
      <c r="F489" s="51">
        <v>76.546000000000006</v>
      </c>
      <c r="G489" s="52">
        <v>2380.6869999999999</v>
      </c>
      <c r="H489" s="53">
        <v>6.9</v>
      </c>
      <c r="I489" s="54">
        <v>0.03</v>
      </c>
      <c r="J489" s="55">
        <v>7.2039999999999997</v>
      </c>
      <c r="K489" s="52">
        <v>54.767000000000003</v>
      </c>
      <c r="L489" s="55">
        <v>5.2320000000000002</v>
      </c>
      <c r="M489" s="56">
        <v>1.4999999999999999E-2</v>
      </c>
      <c r="N489" s="57">
        <v>115.34699999999999</v>
      </c>
      <c r="O489" s="58">
        <v>4.1000000000000002E-2</v>
      </c>
      <c r="P489" s="59">
        <v>8.17</v>
      </c>
      <c r="Q489" s="93"/>
      <c r="R489" s="93"/>
      <c r="S489" s="93"/>
      <c r="T489" s="93"/>
    </row>
    <row r="490" spans="1:20" ht="14.25" customHeight="1" x14ac:dyDescent="0.35">
      <c r="A490" s="1">
        <v>2023</v>
      </c>
      <c r="B490" s="1" t="s">
        <v>27</v>
      </c>
      <c r="C490" s="1">
        <v>2</v>
      </c>
      <c r="D490" s="49">
        <v>97.438000000000002</v>
      </c>
      <c r="E490" s="50">
        <v>81.813000000000002</v>
      </c>
      <c r="F490" s="60">
        <v>76.704999999999998</v>
      </c>
      <c r="G490" s="61">
        <v>2328.1759999999999</v>
      </c>
      <c r="H490" s="62">
        <v>6.9</v>
      </c>
      <c r="I490" s="63">
        <v>0.03</v>
      </c>
      <c r="J490" s="64">
        <v>7.8689999999999998</v>
      </c>
      <c r="K490" s="65">
        <v>54.320999999999998</v>
      </c>
      <c r="L490" s="50">
        <v>5.258</v>
      </c>
      <c r="M490" s="66">
        <v>1.4999999999999999E-2</v>
      </c>
      <c r="N490" s="57">
        <v>108.613</v>
      </c>
      <c r="O490" s="67">
        <v>5.2999999999999999E-2</v>
      </c>
      <c r="P490" s="68">
        <v>9.5579999999999998</v>
      </c>
      <c r="Q490" s="93"/>
      <c r="R490" s="93"/>
      <c r="S490" s="93"/>
      <c r="T490" s="93"/>
    </row>
    <row r="491" spans="1:20" ht="14.25" customHeight="1" x14ac:dyDescent="0.35">
      <c r="A491" s="1">
        <v>2023</v>
      </c>
      <c r="B491" s="1" t="s">
        <v>27</v>
      </c>
      <c r="C491" s="1">
        <v>3</v>
      </c>
      <c r="D491" s="49">
        <v>113.01600000000001</v>
      </c>
      <c r="E491" s="50">
        <v>95.218999999999994</v>
      </c>
      <c r="F491" s="60">
        <v>76.700999999999993</v>
      </c>
      <c r="G491" s="61">
        <v>2152.4270000000001</v>
      </c>
      <c r="H491" s="62">
        <v>6.9</v>
      </c>
      <c r="I491" s="63">
        <v>3.1E-2</v>
      </c>
      <c r="J491" s="64">
        <v>8.27</v>
      </c>
      <c r="K491" s="65">
        <v>48.555999999999997</v>
      </c>
      <c r="L491" s="50">
        <v>5.2290000000000001</v>
      </c>
      <c r="M491" s="66">
        <v>1.4999999999999999E-2</v>
      </c>
      <c r="N491" s="57">
        <v>116.25</v>
      </c>
      <c r="O491" s="67">
        <v>5.0999999999999997E-2</v>
      </c>
      <c r="P491" s="68">
        <v>8.5779999999999994</v>
      </c>
      <c r="Q491" s="93"/>
      <c r="R491" s="93"/>
      <c r="S491" s="93"/>
      <c r="T491" s="93"/>
    </row>
    <row r="492" spans="1:20" ht="14.25" customHeight="1" x14ac:dyDescent="0.35">
      <c r="A492" s="1">
        <v>2023</v>
      </c>
      <c r="B492" s="1" t="s">
        <v>27</v>
      </c>
      <c r="C492" s="1">
        <v>4</v>
      </c>
      <c r="D492" s="49">
        <v>120.14100000000001</v>
      </c>
      <c r="E492" s="50">
        <v>101.28100000000001</v>
      </c>
      <c r="F492" s="60">
        <v>76.134</v>
      </c>
      <c r="G492" s="61">
        <v>2096.6260000000002</v>
      </c>
      <c r="H492" s="62">
        <v>6.9</v>
      </c>
      <c r="I492" s="63">
        <v>3.1E-2</v>
      </c>
      <c r="J492" s="64">
        <v>8.4740000000000002</v>
      </c>
      <c r="K492" s="65">
        <v>44.198</v>
      </c>
      <c r="L492" s="50">
        <v>5.1909999999999998</v>
      </c>
      <c r="M492" s="66">
        <v>1.4999999999999999E-2</v>
      </c>
      <c r="N492" s="57">
        <v>127.36199999999999</v>
      </c>
      <c r="O492" s="67">
        <v>0.05</v>
      </c>
      <c r="P492" s="68">
        <v>8.6850000000000005</v>
      </c>
      <c r="Q492" s="93"/>
      <c r="R492" s="93"/>
      <c r="S492" s="93"/>
      <c r="T492" s="93"/>
    </row>
    <row r="493" spans="1:20" ht="14.25" customHeight="1" x14ac:dyDescent="0.35">
      <c r="A493" s="1">
        <v>2023</v>
      </c>
      <c r="B493" s="1" t="s">
        <v>27</v>
      </c>
      <c r="C493" s="1">
        <v>5</v>
      </c>
      <c r="D493" s="49">
        <v>128.26599999999999</v>
      </c>
      <c r="E493" s="50">
        <v>108.59399999999999</v>
      </c>
      <c r="F493" s="60">
        <v>76.349000000000004</v>
      </c>
      <c r="G493" s="61">
        <v>2159.7910000000002</v>
      </c>
      <c r="H493" s="62">
        <v>6.9</v>
      </c>
      <c r="I493" s="63">
        <v>0.03</v>
      </c>
      <c r="J493" s="64">
        <v>7.6840000000000002</v>
      </c>
      <c r="K493" s="65">
        <v>43.145000000000003</v>
      </c>
      <c r="L493" s="50">
        <v>5.2149999999999999</v>
      </c>
      <c r="M493" s="66">
        <v>1.4999999999999999E-2</v>
      </c>
      <c r="N493" s="57">
        <v>119.73</v>
      </c>
      <c r="O493" s="67">
        <v>4.3999999999999997E-2</v>
      </c>
      <c r="P493" s="68">
        <v>6.5890000000000004</v>
      </c>
      <c r="Q493" s="93"/>
      <c r="R493" s="93"/>
      <c r="S493" s="93"/>
      <c r="T493" s="93"/>
    </row>
    <row r="494" spans="1:20" ht="14.25" customHeight="1" x14ac:dyDescent="0.35">
      <c r="A494" s="1">
        <v>2023</v>
      </c>
      <c r="B494" s="1" t="s">
        <v>27</v>
      </c>
      <c r="C494" s="1">
        <v>6</v>
      </c>
      <c r="D494" s="49">
        <v>129.73400000000001</v>
      </c>
      <c r="E494" s="50">
        <v>110</v>
      </c>
      <c r="F494" s="60">
        <v>76.614999999999995</v>
      </c>
      <c r="G494" s="61">
        <v>2239.3000000000002</v>
      </c>
      <c r="H494" s="62">
        <v>6.9</v>
      </c>
      <c r="I494" s="63">
        <v>0.03</v>
      </c>
      <c r="J494" s="64">
        <v>7.3460000000000001</v>
      </c>
      <c r="K494" s="65">
        <v>44.341999999999999</v>
      </c>
      <c r="L494" s="50">
        <v>5.21</v>
      </c>
      <c r="M494" s="66">
        <v>1.4999999999999999E-2</v>
      </c>
      <c r="N494" s="57">
        <v>121.27500000000001</v>
      </c>
      <c r="O494" s="67">
        <v>4.1000000000000002E-2</v>
      </c>
      <c r="P494" s="68">
        <v>6.1559999999999997</v>
      </c>
      <c r="Q494" s="93"/>
      <c r="R494" s="93"/>
      <c r="S494" s="93"/>
      <c r="T494" s="93"/>
    </row>
    <row r="495" spans="1:20" ht="14.25" customHeight="1" x14ac:dyDescent="0.35">
      <c r="A495" s="1">
        <v>2023</v>
      </c>
      <c r="B495" s="1" t="s">
        <v>27</v>
      </c>
      <c r="C495" s="1">
        <v>7</v>
      </c>
      <c r="D495" s="49">
        <v>129.703</v>
      </c>
      <c r="E495" s="50">
        <v>109.96899999999999</v>
      </c>
      <c r="F495" s="60">
        <v>76.730999999999995</v>
      </c>
      <c r="G495" s="61">
        <v>2190.8229999999999</v>
      </c>
      <c r="H495" s="62">
        <v>6.9</v>
      </c>
      <c r="I495" s="63">
        <v>0.03</v>
      </c>
      <c r="J495" s="64">
        <v>7.3470000000000004</v>
      </c>
      <c r="K495" s="65">
        <v>43.616999999999997</v>
      </c>
      <c r="L495" s="50">
        <v>5.2169999999999996</v>
      </c>
      <c r="M495" s="66">
        <v>1.4999999999999999E-2</v>
      </c>
      <c r="N495" s="57">
        <v>119.19799999999999</v>
      </c>
      <c r="O495" s="67">
        <v>0.04</v>
      </c>
      <c r="P495" s="68">
        <v>5.52</v>
      </c>
      <c r="Q495" s="93"/>
      <c r="R495" s="93"/>
      <c r="S495" s="93"/>
      <c r="T495" s="93"/>
    </row>
    <row r="496" spans="1:20" ht="14.25" customHeight="1" x14ac:dyDescent="0.35">
      <c r="A496" s="1">
        <v>2023</v>
      </c>
      <c r="B496" s="1" t="s">
        <v>27</v>
      </c>
      <c r="C496" s="1">
        <v>8</v>
      </c>
      <c r="D496" s="49">
        <v>129.89099999999999</v>
      </c>
      <c r="E496" s="50">
        <v>109.938</v>
      </c>
      <c r="F496" s="60">
        <v>77.138999999999996</v>
      </c>
      <c r="G496" s="69">
        <v>2173.3879999999999</v>
      </c>
      <c r="H496" s="62">
        <v>6.9</v>
      </c>
      <c r="I496" s="63">
        <v>0.03</v>
      </c>
      <c r="J496" s="50">
        <v>7.4480000000000004</v>
      </c>
      <c r="K496" s="65">
        <v>45.938000000000002</v>
      </c>
      <c r="L496" s="50">
        <v>5.2149999999999999</v>
      </c>
      <c r="M496" s="66">
        <v>1.4999999999999999E-2</v>
      </c>
      <c r="N496" s="57">
        <v>119.68300000000001</v>
      </c>
      <c r="O496" s="70">
        <v>4.2000000000000003E-2</v>
      </c>
      <c r="P496" s="71">
        <v>4.8109999999999999</v>
      </c>
      <c r="Q496" s="93"/>
      <c r="R496" s="93"/>
      <c r="S496" s="93"/>
      <c r="T496" s="93"/>
    </row>
    <row r="497" spans="1:20" ht="14.25" customHeight="1" x14ac:dyDescent="0.35">
      <c r="A497" s="1">
        <v>2023</v>
      </c>
      <c r="B497" s="1" t="s">
        <v>27</v>
      </c>
      <c r="C497" s="1">
        <v>9</v>
      </c>
      <c r="D497" s="49">
        <v>133.71899999999999</v>
      </c>
      <c r="E497" s="50">
        <v>113.15600000000001</v>
      </c>
      <c r="F497" s="60">
        <v>77.200999999999993</v>
      </c>
      <c r="G497" s="61">
        <v>2255.9369999999999</v>
      </c>
      <c r="H497" s="62">
        <v>6.9</v>
      </c>
      <c r="I497" s="63">
        <v>0.03</v>
      </c>
      <c r="J497" s="64">
        <v>7.3479999999999999</v>
      </c>
      <c r="K497" s="65">
        <v>50.131999999999998</v>
      </c>
      <c r="L497" s="50">
        <v>5.2210000000000001</v>
      </c>
      <c r="M497" s="66">
        <v>1.4999999999999999E-2</v>
      </c>
      <c r="N497" s="57">
        <v>118.468</v>
      </c>
      <c r="O497" s="67">
        <v>4.5999999999999999E-2</v>
      </c>
      <c r="P497" s="68">
        <v>5.0309999999999997</v>
      </c>
      <c r="Q497" s="93"/>
      <c r="R497" s="93"/>
      <c r="S497" s="93"/>
      <c r="T497" s="93"/>
    </row>
    <row r="498" spans="1:20" ht="14.25" customHeight="1" x14ac:dyDescent="0.35">
      <c r="A498" s="1">
        <v>2023</v>
      </c>
      <c r="B498" s="1" t="s">
        <v>27</v>
      </c>
      <c r="C498" s="1">
        <v>10</v>
      </c>
      <c r="D498" s="49">
        <v>135.56299999999999</v>
      </c>
      <c r="E498" s="50">
        <v>115</v>
      </c>
      <c r="F498" s="72">
        <v>76.932000000000002</v>
      </c>
      <c r="G498" s="61">
        <v>2323.5940000000001</v>
      </c>
      <c r="H498" s="62">
        <v>6.9</v>
      </c>
      <c r="I498" s="63">
        <v>0.03</v>
      </c>
      <c r="J498" s="73">
        <v>7.1639999999999997</v>
      </c>
      <c r="K498" s="65">
        <v>52.47</v>
      </c>
      <c r="L498" s="50">
        <v>5.2160000000000002</v>
      </c>
      <c r="M498" s="74">
        <v>1.4999999999999999E-2</v>
      </c>
      <c r="N498" s="57">
        <v>119.398</v>
      </c>
      <c r="O498" s="75">
        <v>4.5999999999999999E-2</v>
      </c>
      <c r="P498" s="76">
        <v>4.1609999999999996</v>
      </c>
      <c r="Q498" s="93"/>
      <c r="R498" s="93"/>
      <c r="S498" s="93"/>
      <c r="T498" s="93"/>
    </row>
    <row r="499" spans="1:20" ht="14.25" customHeight="1" x14ac:dyDescent="0.35">
      <c r="A499" s="1">
        <v>2023</v>
      </c>
      <c r="B499" s="1" t="s">
        <v>27</v>
      </c>
      <c r="C499" s="1">
        <v>11</v>
      </c>
      <c r="D499" s="49">
        <v>135.81299999999999</v>
      </c>
      <c r="E499" s="50">
        <v>114.96899999999999</v>
      </c>
      <c r="F499" s="72">
        <v>77.269000000000005</v>
      </c>
      <c r="G499" s="61">
        <v>2359.6039999999998</v>
      </c>
      <c r="H499" s="62">
        <v>6.9</v>
      </c>
      <c r="I499" s="63">
        <v>0.03</v>
      </c>
      <c r="J499" s="77">
        <v>7.0629999999999997</v>
      </c>
      <c r="K499" s="65">
        <v>52.622999999999998</v>
      </c>
      <c r="L499" s="50">
        <v>5.2229999999999999</v>
      </c>
      <c r="M499" s="74">
        <v>1.4999999999999999E-2</v>
      </c>
      <c r="N499" s="57">
        <v>117.4</v>
      </c>
      <c r="O499" s="75">
        <v>4.7E-2</v>
      </c>
      <c r="P499" s="76">
        <v>4.8029999999999999</v>
      </c>
      <c r="Q499" s="93"/>
      <c r="R499" s="93"/>
      <c r="S499" s="93"/>
      <c r="T499" s="93"/>
    </row>
    <row r="500" spans="1:20" ht="14.25" customHeight="1" x14ac:dyDescent="0.35">
      <c r="A500" s="1">
        <v>2023</v>
      </c>
      <c r="B500" s="1" t="s">
        <v>27</v>
      </c>
      <c r="C500" s="1">
        <v>12</v>
      </c>
      <c r="D500" s="49">
        <v>135.672</v>
      </c>
      <c r="E500" s="50">
        <v>115.03100000000001</v>
      </c>
      <c r="F500" s="72">
        <v>77.308000000000007</v>
      </c>
      <c r="G500" s="61">
        <v>2326.3989999999999</v>
      </c>
      <c r="H500" s="62">
        <v>6.9</v>
      </c>
      <c r="I500" s="63">
        <v>0.03</v>
      </c>
      <c r="J500" s="73">
        <v>7.0679999999999996</v>
      </c>
      <c r="K500" s="65">
        <v>52.015999999999998</v>
      </c>
      <c r="L500" s="50">
        <v>5.2140000000000004</v>
      </c>
      <c r="M500" s="74">
        <v>1.4999999999999999E-2</v>
      </c>
      <c r="N500" s="57">
        <v>119.998</v>
      </c>
      <c r="O500" s="75">
        <v>4.7E-2</v>
      </c>
      <c r="P500" s="76">
        <v>5.9660000000000002</v>
      </c>
      <c r="Q500" s="93"/>
      <c r="R500" s="93"/>
      <c r="S500" s="93"/>
      <c r="T500" s="93"/>
    </row>
    <row r="501" spans="1:20" ht="14.25" customHeight="1" x14ac:dyDescent="0.35">
      <c r="A501" s="1">
        <v>2023</v>
      </c>
      <c r="B501" s="1" t="s">
        <v>27</v>
      </c>
      <c r="C501" s="1">
        <v>13</v>
      </c>
      <c r="D501" s="49">
        <v>135.5</v>
      </c>
      <c r="E501" s="50">
        <v>114.96899999999999</v>
      </c>
      <c r="F501" s="78">
        <v>77.575000000000003</v>
      </c>
      <c r="G501" s="61">
        <v>2352.2350000000001</v>
      </c>
      <c r="H501" s="62">
        <v>6.9</v>
      </c>
      <c r="I501" s="63">
        <v>0.03</v>
      </c>
      <c r="J501" s="79">
        <v>7.0590000000000002</v>
      </c>
      <c r="K501" s="65">
        <v>53.773000000000003</v>
      </c>
      <c r="L501" s="50">
        <v>5.218</v>
      </c>
      <c r="M501" s="66">
        <v>1.4999999999999999E-2</v>
      </c>
      <c r="N501" s="57">
        <v>118.934</v>
      </c>
      <c r="O501" s="80">
        <v>4.4999999999999998E-2</v>
      </c>
      <c r="P501" s="81">
        <v>6.1379999999999999</v>
      </c>
      <c r="Q501" s="93"/>
      <c r="R501" s="93"/>
      <c r="S501" s="93"/>
      <c r="T501" s="93"/>
    </row>
    <row r="502" spans="1:20" ht="14.25" customHeight="1" x14ac:dyDescent="0.35">
      <c r="A502" s="1">
        <v>2023</v>
      </c>
      <c r="B502" s="1" t="s">
        <v>27</v>
      </c>
      <c r="C502" s="1">
        <v>14</v>
      </c>
      <c r="D502" s="49">
        <v>135.375</v>
      </c>
      <c r="E502" s="50">
        <v>115</v>
      </c>
      <c r="F502" s="60">
        <v>77.584999999999994</v>
      </c>
      <c r="G502" s="61">
        <v>2234.3580000000002</v>
      </c>
      <c r="H502" s="62">
        <v>6.9</v>
      </c>
      <c r="I502" s="63">
        <v>0.03</v>
      </c>
      <c r="J502" s="79">
        <v>7.1529999999999996</v>
      </c>
      <c r="K502" s="82">
        <v>52.302</v>
      </c>
      <c r="L502" s="50">
        <v>5.2270000000000003</v>
      </c>
      <c r="M502" s="66">
        <v>1.4999999999999999E-2</v>
      </c>
      <c r="N502" s="57">
        <v>116.642</v>
      </c>
      <c r="O502" s="80">
        <v>4.2000000000000003E-2</v>
      </c>
      <c r="P502" s="81">
        <v>6.1109999999999998</v>
      </c>
      <c r="Q502" s="93"/>
      <c r="R502" s="93"/>
      <c r="S502" s="93"/>
      <c r="T502" s="93"/>
    </row>
    <row r="503" spans="1:20" ht="14.25" customHeight="1" x14ac:dyDescent="0.35">
      <c r="A503" s="1">
        <v>2023</v>
      </c>
      <c r="B503" s="1" t="s">
        <v>27</v>
      </c>
      <c r="C503" s="1">
        <v>15</v>
      </c>
      <c r="D503" s="49">
        <v>133.59399999999999</v>
      </c>
      <c r="E503" s="50">
        <v>113.53100000000001</v>
      </c>
      <c r="F503" s="60">
        <v>77.707999999999998</v>
      </c>
      <c r="G503" s="61">
        <v>2258.1849999999999</v>
      </c>
      <c r="H503" s="62">
        <v>6.9</v>
      </c>
      <c r="I503" s="63">
        <v>3.1E-2</v>
      </c>
      <c r="J503" s="73">
        <v>8.1460000000000008</v>
      </c>
      <c r="K503" s="65">
        <v>52.481000000000002</v>
      </c>
      <c r="L503" s="50">
        <v>5.2480000000000002</v>
      </c>
      <c r="M503" s="66">
        <v>1.4999999999999999E-2</v>
      </c>
      <c r="N503" s="57">
        <v>111.096</v>
      </c>
      <c r="O503" s="75">
        <v>8.6999999999999994E-2</v>
      </c>
      <c r="P503" s="76">
        <v>7.0419999999999998</v>
      </c>
      <c r="Q503" s="93"/>
      <c r="R503" s="93"/>
      <c r="S503" s="93"/>
      <c r="T503" s="93"/>
    </row>
    <row r="504" spans="1:20" ht="14.25" customHeight="1" x14ac:dyDescent="0.35">
      <c r="A504" s="1">
        <v>2023</v>
      </c>
      <c r="B504" s="1" t="s">
        <v>27</v>
      </c>
      <c r="C504" s="1">
        <v>16</v>
      </c>
      <c r="D504" s="49">
        <v>133.578</v>
      </c>
      <c r="E504" s="50">
        <v>113.59399999999999</v>
      </c>
      <c r="F504" s="60">
        <v>77.995000000000005</v>
      </c>
      <c r="G504" s="61">
        <v>2253.5219999999999</v>
      </c>
      <c r="H504" s="62">
        <v>6.9</v>
      </c>
      <c r="I504" s="63">
        <v>3.1E-2</v>
      </c>
      <c r="J504" s="79">
        <v>7.6470000000000002</v>
      </c>
      <c r="K504" s="61">
        <v>50.424999999999997</v>
      </c>
      <c r="L504" s="62">
        <v>5.226</v>
      </c>
      <c r="M504" s="66">
        <v>1.4999999999999999E-2</v>
      </c>
      <c r="N504" s="57">
        <v>116.786</v>
      </c>
      <c r="O504" s="80">
        <v>5.0999999999999997E-2</v>
      </c>
      <c r="P504" s="81">
        <v>6.1859999999999999</v>
      </c>
      <c r="Q504" s="93"/>
      <c r="R504" s="93"/>
      <c r="S504" s="93"/>
      <c r="T504" s="93"/>
    </row>
    <row r="505" spans="1:20" ht="14.25" customHeight="1" x14ac:dyDescent="0.35">
      <c r="A505" s="1">
        <v>2023</v>
      </c>
      <c r="B505" s="1" t="s">
        <v>27</v>
      </c>
      <c r="C505" s="1">
        <v>17</v>
      </c>
      <c r="D505" s="49">
        <v>134.547</v>
      </c>
      <c r="E505" s="50">
        <v>114.188</v>
      </c>
      <c r="F505" s="60">
        <v>77.917000000000002</v>
      </c>
      <c r="G505" s="61">
        <v>2297.2429999999999</v>
      </c>
      <c r="H505" s="62">
        <v>6.9</v>
      </c>
      <c r="I505" s="63">
        <v>3.1E-2</v>
      </c>
      <c r="J505" s="64">
        <v>7.2290000000000001</v>
      </c>
      <c r="K505" s="65">
        <v>50.706000000000003</v>
      </c>
      <c r="L505" s="50">
        <v>5.218</v>
      </c>
      <c r="M505" s="66">
        <v>1.4999999999999999E-2</v>
      </c>
      <c r="N505" s="57">
        <v>119.212</v>
      </c>
      <c r="O505" s="67">
        <v>4.8000000000000001E-2</v>
      </c>
      <c r="P505" s="68">
        <v>6.0209999999999999</v>
      </c>
      <c r="Q505" s="93"/>
      <c r="R505" s="93"/>
      <c r="S505" s="93"/>
      <c r="T505" s="93"/>
    </row>
    <row r="506" spans="1:20" ht="14.25" customHeight="1" x14ac:dyDescent="0.35">
      <c r="A506" s="1">
        <v>2023</v>
      </c>
      <c r="B506" s="1" t="s">
        <v>27</v>
      </c>
      <c r="C506" s="1">
        <v>18</v>
      </c>
      <c r="D506" s="49">
        <v>127.422</v>
      </c>
      <c r="E506" s="50">
        <v>107.96899999999999</v>
      </c>
      <c r="F506" s="60">
        <v>77.914000000000001</v>
      </c>
      <c r="G506" s="61">
        <v>2092.2080000000001</v>
      </c>
      <c r="H506" s="62">
        <v>6.9</v>
      </c>
      <c r="I506" s="63">
        <v>3.1E-2</v>
      </c>
      <c r="J506" s="64">
        <v>7.4960000000000004</v>
      </c>
      <c r="K506" s="61">
        <v>44.805</v>
      </c>
      <c r="L506" s="62">
        <v>5.2009999999999996</v>
      </c>
      <c r="M506" s="66">
        <v>1.4999999999999999E-2</v>
      </c>
      <c r="N506" s="57">
        <v>123.697</v>
      </c>
      <c r="O506" s="67">
        <v>4.8000000000000001E-2</v>
      </c>
      <c r="P506" s="68">
        <v>4.4260000000000002</v>
      </c>
      <c r="Q506" s="93"/>
      <c r="R506" s="93"/>
      <c r="S506" s="93"/>
      <c r="T506" s="93"/>
    </row>
    <row r="507" spans="1:20" ht="14.25" customHeight="1" x14ac:dyDescent="0.35">
      <c r="A507" s="1">
        <v>2023</v>
      </c>
      <c r="B507" s="1" t="s">
        <v>27</v>
      </c>
      <c r="C507" s="1">
        <v>19</v>
      </c>
      <c r="D507" s="49">
        <v>129.922</v>
      </c>
      <c r="E507" s="50">
        <v>110</v>
      </c>
      <c r="F507" s="60">
        <v>77.754999999999995</v>
      </c>
      <c r="G507" s="61">
        <v>2306.6489999999999</v>
      </c>
      <c r="H507" s="62">
        <v>6.9</v>
      </c>
      <c r="I507" s="63">
        <v>3.2000000000000001E-2</v>
      </c>
      <c r="J507" s="64">
        <v>7.1420000000000003</v>
      </c>
      <c r="K507" s="65">
        <v>51.878999999999998</v>
      </c>
      <c r="L507" s="50">
        <v>5.2389999999999999</v>
      </c>
      <c r="M507" s="66">
        <v>1.4E-2</v>
      </c>
      <c r="N507" s="57">
        <v>113.798</v>
      </c>
      <c r="O507" s="67">
        <v>4.4999999999999998E-2</v>
      </c>
      <c r="P507" s="68">
        <v>4.6680000000000001</v>
      </c>
      <c r="Q507" s="93"/>
      <c r="R507" s="93"/>
      <c r="S507" s="93"/>
      <c r="T507" s="93"/>
    </row>
    <row r="508" spans="1:20" ht="14.25" customHeight="1" x14ac:dyDescent="0.35">
      <c r="A508" s="1">
        <v>2023</v>
      </c>
      <c r="B508" s="1" t="s">
        <v>27</v>
      </c>
      <c r="C508" s="1">
        <v>20</v>
      </c>
      <c r="D508" s="49">
        <v>129.922</v>
      </c>
      <c r="E508" s="50">
        <v>110</v>
      </c>
      <c r="F508" s="60">
        <v>77.912000000000006</v>
      </c>
      <c r="G508" s="61">
        <v>2309.924</v>
      </c>
      <c r="H508" s="62">
        <v>6.9</v>
      </c>
      <c r="I508" s="63">
        <v>3.2000000000000001E-2</v>
      </c>
      <c r="J508" s="64">
        <v>7.1269999999999998</v>
      </c>
      <c r="K508" s="61">
        <v>53.143999999999998</v>
      </c>
      <c r="L508" s="62">
        <v>5.2329999999999997</v>
      </c>
      <c r="M508" s="66">
        <v>1.4999999999999999E-2</v>
      </c>
      <c r="N508" s="57">
        <v>115.188</v>
      </c>
      <c r="O508" s="67">
        <v>4.3999999999999997E-2</v>
      </c>
      <c r="P508" s="68">
        <v>4.2240000000000002</v>
      </c>
      <c r="Q508" s="93"/>
      <c r="R508" s="93"/>
      <c r="S508" s="93"/>
      <c r="T508" s="93"/>
    </row>
    <row r="509" spans="1:20" ht="14.25" customHeight="1" x14ac:dyDescent="0.35">
      <c r="A509" s="1">
        <v>2023</v>
      </c>
      <c r="B509" s="1" t="s">
        <v>27</v>
      </c>
      <c r="C509" s="1">
        <v>21</v>
      </c>
      <c r="D509" s="49">
        <v>129.89099999999999</v>
      </c>
      <c r="E509" s="50">
        <v>109.96899999999999</v>
      </c>
      <c r="F509" s="60">
        <v>77.962999999999994</v>
      </c>
      <c r="G509" s="61">
        <v>2173.3310000000001</v>
      </c>
      <c r="H509" s="62">
        <v>6.9</v>
      </c>
      <c r="I509" s="63">
        <v>3.2000000000000001E-2</v>
      </c>
      <c r="J509" s="64">
        <v>7.1139999999999999</v>
      </c>
      <c r="K509" s="65">
        <v>50.302</v>
      </c>
      <c r="L509" s="50">
        <v>5.2409999999999997</v>
      </c>
      <c r="M509" s="66">
        <v>1.4999999999999999E-2</v>
      </c>
      <c r="N509" s="57">
        <v>112.879</v>
      </c>
      <c r="O509" s="67">
        <v>4.1000000000000002E-2</v>
      </c>
      <c r="P509" s="68">
        <v>4.1790000000000003</v>
      </c>
      <c r="Q509" s="93"/>
      <c r="R509" s="93"/>
      <c r="S509" s="93"/>
      <c r="T509" s="93"/>
    </row>
    <row r="510" spans="1:20" ht="14.25" customHeight="1" x14ac:dyDescent="0.35">
      <c r="A510" s="1">
        <v>2023</v>
      </c>
      <c r="B510" s="1" t="s">
        <v>27</v>
      </c>
      <c r="C510" s="1">
        <v>22</v>
      </c>
      <c r="D510" s="49">
        <v>129.93799999999999</v>
      </c>
      <c r="E510" s="50">
        <v>110</v>
      </c>
      <c r="F510" s="60">
        <v>78.200999999999993</v>
      </c>
      <c r="G510" s="61">
        <v>2207.7240000000002</v>
      </c>
      <c r="H510" s="62">
        <v>6.9</v>
      </c>
      <c r="I510" s="63">
        <v>0.03</v>
      </c>
      <c r="J510" s="64">
        <v>7.1289999999999996</v>
      </c>
      <c r="K510" s="61">
        <v>50.463000000000001</v>
      </c>
      <c r="L510" s="62">
        <v>5.2370000000000001</v>
      </c>
      <c r="M510" s="66">
        <v>1.4999999999999999E-2</v>
      </c>
      <c r="N510" s="57">
        <v>113.71599999999999</v>
      </c>
      <c r="O510" s="67">
        <v>0.04</v>
      </c>
      <c r="P510" s="68">
        <v>4.0970000000000004</v>
      </c>
      <c r="Q510" s="93"/>
      <c r="R510" s="93"/>
      <c r="S510" s="93"/>
      <c r="T510" s="93"/>
    </row>
    <row r="511" spans="1:20" ht="14.25" customHeight="1" x14ac:dyDescent="0.35">
      <c r="A511" s="1">
        <v>2023</v>
      </c>
      <c r="B511" s="1" t="s">
        <v>27</v>
      </c>
      <c r="C511" s="1">
        <v>23</v>
      </c>
      <c r="D511" s="49">
        <v>129.828</v>
      </c>
      <c r="E511" s="50">
        <v>110</v>
      </c>
      <c r="F511" s="60">
        <v>77.884</v>
      </c>
      <c r="G511" s="61">
        <v>2258.1320000000001</v>
      </c>
      <c r="H511" s="62">
        <v>6.9</v>
      </c>
      <c r="I511" s="63">
        <v>3.1E-2</v>
      </c>
      <c r="J511" s="64">
        <v>7.3440000000000003</v>
      </c>
      <c r="K511" s="65">
        <v>50.966999999999999</v>
      </c>
      <c r="L511" s="50">
        <v>5.242</v>
      </c>
      <c r="M511" s="66">
        <v>1.4999999999999999E-2</v>
      </c>
      <c r="N511" s="57">
        <v>112.505</v>
      </c>
      <c r="O511" s="67">
        <v>0.106</v>
      </c>
      <c r="P511" s="68">
        <v>3.8660000000000001</v>
      </c>
      <c r="Q511" s="93"/>
      <c r="R511" s="93"/>
      <c r="S511" s="93"/>
      <c r="T511" s="93"/>
    </row>
    <row r="512" spans="1:20" ht="14.25" customHeight="1" x14ac:dyDescent="0.35">
      <c r="A512" s="1">
        <v>2023</v>
      </c>
      <c r="B512" s="1" t="s">
        <v>27</v>
      </c>
      <c r="C512" s="1">
        <v>24</v>
      </c>
      <c r="D512" s="49">
        <v>129.875</v>
      </c>
      <c r="E512" s="50">
        <v>110</v>
      </c>
      <c r="F512" s="60">
        <v>77.679000000000002</v>
      </c>
      <c r="G512" s="61">
        <v>2297.3829999999998</v>
      </c>
      <c r="H512" s="62">
        <v>6.9</v>
      </c>
      <c r="I512" s="63">
        <v>3.2000000000000001E-2</v>
      </c>
      <c r="J512" s="64">
        <v>7.4889999999999999</v>
      </c>
      <c r="K512" s="61">
        <v>51.582000000000001</v>
      </c>
      <c r="L512" s="62">
        <v>5.2549999999999999</v>
      </c>
      <c r="M512" s="66">
        <v>1.4999999999999999E-2</v>
      </c>
      <c r="N512" s="57">
        <v>109.095</v>
      </c>
      <c r="O512" s="67">
        <v>5.3999999999999999E-2</v>
      </c>
      <c r="P512" s="68">
        <v>3.863</v>
      </c>
      <c r="Q512" s="93"/>
      <c r="R512" s="93"/>
      <c r="S512" s="93"/>
      <c r="T512" s="93"/>
    </row>
    <row r="513" spans="1:20" ht="14.25" customHeight="1" x14ac:dyDescent="0.35">
      <c r="A513" s="1">
        <v>2023</v>
      </c>
      <c r="B513" s="1" t="s">
        <v>27</v>
      </c>
      <c r="C513" s="1">
        <v>25</v>
      </c>
      <c r="D513" s="49">
        <v>129.828</v>
      </c>
      <c r="E513" s="50">
        <v>110</v>
      </c>
      <c r="F513" s="60">
        <v>77.644999999999996</v>
      </c>
      <c r="G513" s="61">
        <v>2331.5149999999999</v>
      </c>
      <c r="H513" s="62">
        <v>6.9</v>
      </c>
      <c r="I513" s="63">
        <v>0.03</v>
      </c>
      <c r="J513" s="64">
        <v>7.5110000000000001</v>
      </c>
      <c r="K513" s="65">
        <v>52.057000000000002</v>
      </c>
      <c r="L513" s="50">
        <v>5.2510000000000003</v>
      </c>
      <c r="M513" s="66">
        <v>1.4999999999999999E-2</v>
      </c>
      <c r="N513" s="57">
        <v>110.693</v>
      </c>
      <c r="O513" s="67">
        <v>4.2999999999999997E-2</v>
      </c>
      <c r="P513" s="68">
        <v>3.5739999999999998</v>
      </c>
      <c r="Q513" s="93"/>
      <c r="R513" s="93"/>
      <c r="S513" s="93"/>
      <c r="T513" s="93"/>
    </row>
    <row r="514" spans="1:20" ht="14.25" customHeight="1" x14ac:dyDescent="0.35">
      <c r="A514" s="1">
        <v>2023</v>
      </c>
      <c r="B514" s="1" t="s">
        <v>27</v>
      </c>
      <c r="C514" s="1">
        <v>26</v>
      </c>
      <c r="D514" s="49">
        <v>129.85900000000001</v>
      </c>
      <c r="E514" s="50">
        <v>109.96899999999999</v>
      </c>
      <c r="F514" s="60">
        <v>77.593000000000004</v>
      </c>
      <c r="G514" s="61">
        <v>2342.4659999999999</v>
      </c>
      <c r="H514" s="62">
        <v>6.9</v>
      </c>
      <c r="I514" s="63">
        <v>3.4000000000000002E-2</v>
      </c>
      <c r="J514" s="64">
        <v>7.5090000000000003</v>
      </c>
      <c r="K514" s="61">
        <v>52.264000000000003</v>
      </c>
      <c r="L514" s="62">
        <v>5.1639999999999997</v>
      </c>
      <c r="M514" s="66">
        <v>1.4E-2</v>
      </c>
      <c r="N514" s="57">
        <v>135.88</v>
      </c>
      <c r="O514" s="67">
        <v>4.2999999999999997E-2</v>
      </c>
      <c r="P514" s="68">
        <v>3.63</v>
      </c>
      <c r="Q514" s="93"/>
      <c r="R514" s="93"/>
      <c r="S514" s="93"/>
      <c r="T514" s="93"/>
    </row>
    <row r="515" spans="1:20" ht="14.25" customHeight="1" x14ac:dyDescent="0.35">
      <c r="A515" s="1">
        <v>2023</v>
      </c>
      <c r="B515" s="1" t="s">
        <v>27</v>
      </c>
      <c r="C515" s="1">
        <v>27</v>
      </c>
      <c r="D515" s="12">
        <v>129.90600000000001</v>
      </c>
      <c r="E515" s="13">
        <v>110</v>
      </c>
      <c r="F515" s="60">
        <v>77.989999999999995</v>
      </c>
      <c r="G515" s="61">
        <v>2351.538</v>
      </c>
      <c r="H515" s="62">
        <v>6.9</v>
      </c>
      <c r="I515" s="63">
        <v>0.03</v>
      </c>
      <c r="J515" s="64">
        <v>7.452</v>
      </c>
      <c r="K515" s="65">
        <v>52.551000000000002</v>
      </c>
      <c r="L515" s="50">
        <v>5.1280000000000001</v>
      </c>
      <c r="M515" s="66">
        <v>1.4999999999999999E-2</v>
      </c>
      <c r="N515" s="57">
        <v>146.65600000000001</v>
      </c>
      <c r="O515" s="67">
        <v>4.2999999999999997E-2</v>
      </c>
      <c r="P515" s="68">
        <v>4.6909999999999998</v>
      </c>
      <c r="Q515" s="93"/>
      <c r="R515" s="93"/>
      <c r="S515" s="93"/>
      <c r="T515" s="93"/>
    </row>
    <row r="516" spans="1:20" ht="14.25" customHeight="1" x14ac:dyDescent="0.35">
      <c r="A516" s="1">
        <v>2023</v>
      </c>
      <c r="B516" s="1" t="s">
        <v>27</v>
      </c>
      <c r="C516" s="1">
        <v>28</v>
      </c>
      <c r="D516" s="12">
        <v>129.672</v>
      </c>
      <c r="E516" s="13">
        <v>109.96899999999999</v>
      </c>
      <c r="F516" s="60">
        <v>77.756</v>
      </c>
      <c r="G516" s="61">
        <v>2256.6149999999998</v>
      </c>
      <c r="H516" s="62">
        <v>6.899</v>
      </c>
      <c r="I516" s="63">
        <v>0.03</v>
      </c>
      <c r="J516" s="64">
        <v>7.5730000000000004</v>
      </c>
      <c r="K516" s="61">
        <v>51.140999999999998</v>
      </c>
      <c r="L516" s="62">
        <v>5.1429999999999998</v>
      </c>
      <c r="M516" s="66">
        <v>1.4999999999999999E-2</v>
      </c>
      <c r="N516" s="57">
        <v>141.28</v>
      </c>
      <c r="O516" s="67">
        <v>0.04</v>
      </c>
      <c r="P516" s="68">
        <v>5.7</v>
      </c>
      <c r="Q516" s="93"/>
      <c r="R516" s="93"/>
      <c r="S516" s="93"/>
      <c r="T516" s="93"/>
    </row>
    <row r="517" spans="1:20" ht="14.25" customHeight="1" x14ac:dyDescent="0.35">
      <c r="A517" s="1">
        <v>2023</v>
      </c>
      <c r="B517" s="1" t="s">
        <v>27</v>
      </c>
      <c r="C517" s="1">
        <v>29</v>
      </c>
      <c r="D517" s="12">
        <v>129.578</v>
      </c>
      <c r="E517" s="13">
        <v>109.90600000000001</v>
      </c>
      <c r="F517" s="83">
        <v>77.688999999999993</v>
      </c>
      <c r="G517" s="69">
        <v>2331.67</v>
      </c>
      <c r="H517" s="50">
        <v>6.9</v>
      </c>
      <c r="I517" s="66">
        <v>0.03</v>
      </c>
      <c r="J517" s="50">
        <v>7.25</v>
      </c>
      <c r="K517" s="61">
        <v>54.932000000000002</v>
      </c>
      <c r="L517" s="62">
        <v>5.1539999999999999</v>
      </c>
      <c r="M517" s="66">
        <v>1.4999999999999999E-2</v>
      </c>
      <c r="N517" s="57">
        <v>137.67500000000001</v>
      </c>
      <c r="O517" s="84">
        <v>3.6999999999999998E-2</v>
      </c>
      <c r="P517" s="71">
        <v>5.3109999999999999</v>
      </c>
      <c r="Q517" s="93"/>
      <c r="R517" s="93"/>
      <c r="S517" s="93"/>
      <c r="T517" s="93"/>
    </row>
    <row r="518" spans="1:20" ht="14.25" customHeight="1" x14ac:dyDescent="0.35">
      <c r="A518" s="1">
        <v>2023</v>
      </c>
      <c r="B518" s="1" t="s">
        <v>27</v>
      </c>
      <c r="C518" s="1">
        <v>30</v>
      </c>
      <c r="D518" s="12">
        <v>115.90600000000001</v>
      </c>
      <c r="E518" s="13">
        <v>98.156000000000006</v>
      </c>
      <c r="F518" s="83">
        <v>77.721000000000004</v>
      </c>
      <c r="G518" s="69">
        <v>2137.71</v>
      </c>
      <c r="H518" s="50">
        <v>6.9</v>
      </c>
      <c r="I518" s="66">
        <v>0.03</v>
      </c>
      <c r="J518" s="50">
        <v>7.8449999999999998</v>
      </c>
      <c r="K518" s="61">
        <v>47.84</v>
      </c>
      <c r="L518" s="62">
        <v>5.1749999999999998</v>
      </c>
      <c r="M518" s="66">
        <v>1.4999999999999999E-2</v>
      </c>
      <c r="N518" s="57">
        <v>131.078</v>
      </c>
      <c r="O518" s="84">
        <v>3.9E-2</v>
      </c>
      <c r="P518" s="71">
        <v>4.7530000000000001</v>
      </c>
      <c r="Q518" s="93"/>
      <c r="R518" s="93"/>
      <c r="S518" s="93"/>
      <c r="T518" s="93"/>
    </row>
    <row r="519" spans="1:20" ht="14.25" customHeight="1" x14ac:dyDescent="0.35">
      <c r="A519" s="1">
        <v>2023</v>
      </c>
      <c r="B519" s="1" t="s">
        <v>27</v>
      </c>
      <c r="C519" s="1">
        <v>31</v>
      </c>
      <c r="D519" s="85">
        <v>28.812999999999999</v>
      </c>
      <c r="E519" s="86">
        <v>24.25</v>
      </c>
      <c r="F519" s="87">
        <v>73.569999999999993</v>
      </c>
      <c r="G519" s="88">
        <v>2147.0340000000001</v>
      </c>
      <c r="H519" s="89">
        <v>6.8639999999999999</v>
      </c>
      <c r="I519" s="90">
        <v>4.1000000000000002E-2</v>
      </c>
      <c r="J519" s="89">
        <v>7.798</v>
      </c>
      <c r="K519" s="61">
        <v>52.829000000000001</v>
      </c>
      <c r="L519" s="64">
        <v>5.22</v>
      </c>
      <c r="M519" s="66">
        <v>1.4999999999999999E-2</v>
      </c>
      <c r="N519" s="57">
        <v>123.024</v>
      </c>
      <c r="O519" s="66">
        <v>5.3999999999999999E-2</v>
      </c>
      <c r="P519" s="91">
        <v>6.1749999999999998</v>
      </c>
      <c r="Q519" s="93"/>
      <c r="R519" s="93"/>
      <c r="S519" s="93"/>
      <c r="T519" s="93"/>
    </row>
    <row r="520" spans="1:20" ht="14.25" customHeight="1" x14ac:dyDescent="0.35">
      <c r="A520" s="1">
        <v>2023</v>
      </c>
      <c r="B520" s="1" t="s">
        <v>28</v>
      </c>
      <c r="C520" s="1">
        <v>1</v>
      </c>
      <c r="D520" s="49">
        <v>125.453</v>
      </c>
      <c r="E520" s="50">
        <v>106.438</v>
      </c>
      <c r="F520" s="51">
        <v>77.924999999999997</v>
      </c>
      <c r="G520" s="52">
        <v>2301.549</v>
      </c>
      <c r="H520" s="53">
        <v>6.9</v>
      </c>
      <c r="I520" s="54">
        <v>3.1E-2</v>
      </c>
      <c r="J520" s="55">
        <v>7.4829999999999997</v>
      </c>
      <c r="K520" s="52">
        <v>50.960999999999999</v>
      </c>
      <c r="L520" s="55">
        <v>5.1260000000000003</v>
      </c>
      <c r="M520" s="56">
        <v>1.4999999999999999E-2</v>
      </c>
      <c r="N520" s="57">
        <v>147.09</v>
      </c>
      <c r="O520" s="58">
        <v>4.4999999999999998E-2</v>
      </c>
      <c r="P520" s="59">
        <v>4.7809999999999997</v>
      </c>
      <c r="Q520" s="93"/>
      <c r="R520" s="93"/>
      <c r="S520" s="93"/>
      <c r="T520" s="93"/>
    </row>
    <row r="521" spans="1:20" ht="14.25" customHeight="1" x14ac:dyDescent="0.35">
      <c r="A521" s="1">
        <v>2023</v>
      </c>
      <c r="B521" s="1" t="s">
        <v>28</v>
      </c>
      <c r="C521" s="1">
        <v>2</v>
      </c>
      <c r="D521" s="49">
        <v>135.547</v>
      </c>
      <c r="E521" s="50">
        <v>115</v>
      </c>
      <c r="F521" s="60">
        <v>78.117999999999995</v>
      </c>
      <c r="G521" s="61">
        <v>2366.0650000000001</v>
      </c>
      <c r="H521" s="62">
        <v>6.9</v>
      </c>
      <c r="I521" s="63">
        <v>0.03</v>
      </c>
      <c r="J521" s="64">
        <v>7.1970000000000001</v>
      </c>
      <c r="K521" s="65">
        <v>55.466999999999999</v>
      </c>
      <c r="L521" s="50">
        <v>5.1719999999999997</v>
      </c>
      <c r="M521" s="66">
        <v>1.4999999999999999E-2</v>
      </c>
      <c r="N521" s="57">
        <v>132.458</v>
      </c>
      <c r="O521" s="67">
        <v>4.5999999999999999E-2</v>
      </c>
      <c r="P521" s="68">
        <v>3.6259999999999999</v>
      </c>
      <c r="Q521" s="93"/>
      <c r="R521" s="93"/>
      <c r="S521" s="93"/>
      <c r="T521" s="93"/>
    </row>
    <row r="522" spans="1:20" ht="14.25" customHeight="1" x14ac:dyDescent="0.35">
      <c r="A522" s="1">
        <v>2023</v>
      </c>
      <c r="B522" s="1" t="s">
        <v>28</v>
      </c>
      <c r="C522" s="1">
        <v>3</v>
      </c>
      <c r="D522" s="49">
        <v>135.578</v>
      </c>
      <c r="E522" s="50">
        <v>115</v>
      </c>
      <c r="F522" s="60">
        <v>78.259</v>
      </c>
      <c r="G522" s="61">
        <v>2310.1460000000002</v>
      </c>
      <c r="H522" s="62">
        <v>6.9</v>
      </c>
      <c r="I522" s="63">
        <v>0.03</v>
      </c>
      <c r="J522" s="64">
        <v>7.3159999999999998</v>
      </c>
      <c r="K522" s="65">
        <v>54.485999999999997</v>
      </c>
      <c r="L522" s="50">
        <v>5.1760000000000002</v>
      </c>
      <c r="M522" s="66">
        <v>1.4999999999999999E-2</v>
      </c>
      <c r="N522" s="57">
        <v>131.256</v>
      </c>
      <c r="O522" s="67">
        <v>4.5999999999999999E-2</v>
      </c>
      <c r="P522" s="68">
        <v>0.64</v>
      </c>
      <c r="Q522" s="93"/>
      <c r="R522" s="93"/>
      <c r="S522" s="93"/>
      <c r="T522" s="93"/>
    </row>
    <row r="523" spans="1:20" ht="14.25" customHeight="1" x14ac:dyDescent="0.35">
      <c r="A523" s="1">
        <v>2023</v>
      </c>
      <c r="B523" s="1" t="s">
        <v>28</v>
      </c>
      <c r="C523" s="1">
        <v>4</v>
      </c>
      <c r="D523" s="49">
        <v>135.59399999999999</v>
      </c>
      <c r="E523" s="50">
        <v>115</v>
      </c>
      <c r="F523" s="60">
        <v>78.143000000000001</v>
      </c>
      <c r="G523" s="61">
        <v>2221.3009999999999</v>
      </c>
      <c r="H523" s="62">
        <v>6.9</v>
      </c>
      <c r="I523" s="63">
        <v>0.03</v>
      </c>
      <c r="J523" s="64">
        <v>7.319</v>
      </c>
      <c r="K523" s="65">
        <v>52.136000000000003</v>
      </c>
      <c r="L523" s="50">
        <v>5.1790000000000003</v>
      </c>
      <c r="M523" s="66">
        <v>1.4999999999999999E-2</v>
      </c>
      <c r="N523" s="57">
        <v>130.27799999999999</v>
      </c>
      <c r="O523" s="67">
        <v>4.1000000000000002E-2</v>
      </c>
      <c r="P523" s="68">
        <v>0.84199999999999997</v>
      </c>
      <c r="Q523" s="93"/>
      <c r="R523" s="93"/>
      <c r="S523" s="93"/>
      <c r="T523" s="93"/>
    </row>
    <row r="524" spans="1:20" ht="14.25" customHeight="1" x14ac:dyDescent="0.35">
      <c r="A524" s="1">
        <v>2023</v>
      </c>
      <c r="B524" s="1" t="s">
        <v>28</v>
      </c>
      <c r="C524" s="1">
        <v>5</v>
      </c>
      <c r="D524" s="49">
        <v>135.547</v>
      </c>
      <c r="E524" s="50">
        <v>115</v>
      </c>
      <c r="F524" s="60">
        <v>77.905000000000001</v>
      </c>
      <c r="G524" s="61">
        <v>2238.84</v>
      </c>
      <c r="H524" s="62">
        <v>6.9</v>
      </c>
      <c r="I524" s="63">
        <v>0.03</v>
      </c>
      <c r="J524" s="64">
        <v>7.3140000000000001</v>
      </c>
      <c r="K524" s="65">
        <v>52.347999999999999</v>
      </c>
      <c r="L524" s="50">
        <v>5.1619999999999999</v>
      </c>
      <c r="M524" s="66">
        <v>1.4999999999999999E-2</v>
      </c>
      <c r="N524" s="57">
        <v>135.27099999999999</v>
      </c>
      <c r="O524" s="67">
        <v>0.04</v>
      </c>
      <c r="P524" s="68">
        <v>0.55500000000000005</v>
      </c>
      <c r="Q524" s="93"/>
      <c r="R524" s="93"/>
      <c r="S524" s="93"/>
      <c r="T524" s="93"/>
    </row>
    <row r="525" spans="1:20" ht="14.25" customHeight="1" x14ac:dyDescent="0.35">
      <c r="A525" s="1">
        <v>2023</v>
      </c>
      <c r="B525" s="1" t="s">
        <v>28</v>
      </c>
      <c r="C525" s="1">
        <v>6</v>
      </c>
      <c r="D525" s="49">
        <v>135.59399999999999</v>
      </c>
      <c r="E525" s="50">
        <v>114.96899999999999</v>
      </c>
      <c r="F525" s="60">
        <v>77.884</v>
      </c>
      <c r="G525" s="61">
        <v>2312.585</v>
      </c>
      <c r="H525" s="62">
        <v>6.9</v>
      </c>
      <c r="I525" s="63">
        <v>0.03</v>
      </c>
      <c r="J525" s="64">
        <v>7.35</v>
      </c>
      <c r="K525" s="65">
        <v>53.457000000000001</v>
      </c>
      <c r="L525" s="50">
        <v>5.16</v>
      </c>
      <c r="M525" s="66">
        <v>1.4999999999999999E-2</v>
      </c>
      <c r="N525" s="57">
        <v>136.18100000000001</v>
      </c>
      <c r="O525" s="67">
        <v>4.4999999999999998E-2</v>
      </c>
      <c r="P525" s="68">
        <v>0.53600000000000003</v>
      </c>
      <c r="Q525" s="93"/>
      <c r="R525" s="93"/>
      <c r="S525" s="93"/>
      <c r="T525" s="93"/>
    </row>
    <row r="526" spans="1:20" ht="14.25" customHeight="1" x14ac:dyDescent="0.35">
      <c r="A526" s="1">
        <v>2023</v>
      </c>
      <c r="B526" s="1" t="s">
        <v>28</v>
      </c>
      <c r="C526" s="1">
        <v>7</v>
      </c>
      <c r="D526" s="49">
        <v>133.35900000000001</v>
      </c>
      <c r="E526" s="50">
        <v>112.90600000000001</v>
      </c>
      <c r="F526" s="60">
        <v>78.322999999999993</v>
      </c>
      <c r="G526" s="61">
        <v>2348.991</v>
      </c>
      <c r="H526" s="62">
        <v>6.9</v>
      </c>
      <c r="I526" s="63">
        <v>0.03</v>
      </c>
      <c r="J526" s="64">
        <v>7.18</v>
      </c>
      <c r="K526" s="65">
        <v>54.634</v>
      </c>
      <c r="L526" s="50">
        <v>5.1459999999999999</v>
      </c>
      <c r="M526" s="66">
        <v>1.4999999999999999E-2</v>
      </c>
      <c r="N526" s="57">
        <v>140.678</v>
      </c>
      <c r="O526" s="67">
        <v>4.3999999999999997E-2</v>
      </c>
      <c r="P526" s="68">
        <v>0.54500000000000004</v>
      </c>
      <c r="Q526" s="93"/>
      <c r="R526" s="93"/>
      <c r="S526" s="93"/>
      <c r="T526" s="93"/>
    </row>
    <row r="527" spans="1:20" ht="14.25" customHeight="1" x14ac:dyDescent="0.35">
      <c r="A527" s="1">
        <v>2023</v>
      </c>
      <c r="B527" s="1" t="s">
        <v>28</v>
      </c>
      <c r="C527" s="1">
        <v>8</v>
      </c>
      <c r="D527" s="49">
        <v>130.625</v>
      </c>
      <c r="E527" s="50">
        <v>110.78100000000001</v>
      </c>
      <c r="F527" s="60">
        <v>78.400999999999996</v>
      </c>
      <c r="G527" s="69">
        <v>2327.835</v>
      </c>
      <c r="H527" s="62">
        <v>6.9</v>
      </c>
      <c r="I527" s="63">
        <v>0.03</v>
      </c>
      <c r="J527" s="50">
        <v>7.5030000000000001</v>
      </c>
      <c r="K527" s="65">
        <v>56.762</v>
      </c>
      <c r="L527" s="50">
        <v>5.1609999999999996</v>
      </c>
      <c r="M527" s="66">
        <v>1.4999999999999999E-2</v>
      </c>
      <c r="N527" s="57">
        <v>135.96700000000001</v>
      </c>
      <c r="O527" s="70">
        <v>4.8000000000000001E-2</v>
      </c>
      <c r="P527" s="71">
        <v>0.52800000000000002</v>
      </c>
      <c r="Q527" s="93"/>
      <c r="R527" s="93"/>
      <c r="S527" s="93"/>
      <c r="T527" s="93"/>
    </row>
    <row r="528" spans="1:20" ht="14.25" customHeight="1" x14ac:dyDescent="0.35">
      <c r="A528" s="1">
        <v>2023</v>
      </c>
      <c r="B528" s="1" t="s">
        <v>28</v>
      </c>
      <c r="C528" s="1">
        <v>9</v>
      </c>
      <c r="D528" s="49">
        <v>129.18799999999999</v>
      </c>
      <c r="E528" s="50">
        <v>109.65600000000001</v>
      </c>
      <c r="F528" s="60">
        <v>78.233999999999995</v>
      </c>
      <c r="G528" s="61">
        <v>2254.0459999999998</v>
      </c>
      <c r="H528" s="62">
        <v>6.9</v>
      </c>
      <c r="I528" s="63">
        <v>3.1E-2</v>
      </c>
      <c r="J528" s="64">
        <v>7.2960000000000003</v>
      </c>
      <c r="K528" s="65">
        <v>55.463000000000001</v>
      </c>
      <c r="L528" s="50">
        <v>5.125</v>
      </c>
      <c r="M528" s="66">
        <v>1.4999999999999999E-2</v>
      </c>
      <c r="N528" s="57">
        <v>147.46299999999999</v>
      </c>
      <c r="O528" s="67">
        <v>4.9000000000000002E-2</v>
      </c>
      <c r="P528" s="68">
        <v>0.54400000000000004</v>
      </c>
      <c r="Q528" s="93"/>
      <c r="R528" s="93"/>
      <c r="S528" s="93"/>
      <c r="T528" s="93"/>
    </row>
    <row r="529" spans="1:20" ht="14.25" customHeight="1" x14ac:dyDescent="0.35">
      <c r="A529" s="1">
        <v>2023</v>
      </c>
      <c r="B529" s="1" t="s">
        <v>28</v>
      </c>
      <c r="C529" s="1">
        <v>10</v>
      </c>
      <c r="D529" s="49">
        <v>127.60899999999999</v>
      </c>
      <c r="E529" s="50">
        <v>108.375</v>
      </c>
      <c r="F529" s="72">
        <v>78.262</v>
      </c>
      <c r="G529" s="61">
        <v>2210.105</v>
      </c>
      <c r="H529" s="62">
        <v>6.9</v>
      </c>
      <c r="I529" s="63">
        <v>3.1E-2</v>
      </c>
      <c r="J529" s="73">
        <v>7.16</v>
      </c>
      <c r="K529" s="65">
        <v>53.802</v>
      </c>
      <c r="L529" s="50">
        <v>5.085</v>
      </c>
      <c r="M529" s="74">
        <v>1.4999999999999999E-2</v>
      </c>
      <c r="N529" s="57">
        <v>161.35599999999999</v>
      </c>
      <c r="O529" s="75">
        <v>4.7E-2</v>
      </c>
      <c r="P529" s="76">
        <v>0.55500000000000005</v>
      </c>
      <c r="Q529" s="93"/>
      <c r="R529" s="93"/>
      <c r="S529" s="93"/>
      <c r="T529" s="93"/>
    </row>
    <row r="530" spans="1:20" ht="14.25" customHeight="1" x14ac:dyDescent="0.35">
      <c r="A530" s="1">
        <v>2023</v>
      </c>
      <c r="B530" s="1" t="s">
        <v>28</v>
      </c>
      <c r="C530" s="1">
        <v>11</v>
      </c>
      <c r="D530" s="49">
        <v>129.60900000000001</v>
      </c>
      <c r="E530" s="50">
        <v>110</v>
      </c>
      <c r="F530" s="72">
        <v>78.558999999999997</v>
      </c>
      <c r="G530" s="61">
        <v>2134.8420000000001</v>
      </c>
      <c r="H530" s="62">
        <v>6.9</v>
      </c>
      <c r="I530" s="63">
        <v>0.03</v>
      </c>
      <c r="J530" s="77">
        <v>7.0960000000000001</v>
      </c>
      <c r="K530" s="65">
        <v>52.887999999999998</v>
      </c>
      <c r="L530" s="50">
        <v>5.0949999999999998</v>
      </c>
      <c r="M530" s="74">
        <v>1.4999999999999999E-2</v>
      </c>
      <c r="N530" s="57">
        <v>158.226</v>
      </c>
      <c r="O530" s="75">
        <v>4.3999999999999997E-2</v>
      </c>
      <c r="P530" s="76">
        <v>0.55400000000000005</v>
      </c>
      <c r="Q530" s="93"/>
      <c r="R530" s="93"/>
      <c r="S530" s="93"/>
      <c r="T530" s="93"/>
    </row>
    <row r="531" spans="1:20" ht="14.25" customHeight="1" x14ac:dyDescent="0.35">
      <c r="A531" s="1">
        <v>2023</v>
      </c>
      <c r="B531" s="1" t="s">
        <v>28</v>
      </c>
      <c r="C531" s="1">
        <v>12</v>
      </c>
      <c r="D531" s="49">
        <v>106.85899999999999</v>
      </c>
      <c r="E531" s="50">
        <v>90.625</v>
      </c>
      <c r="F531" s="72">
        <v>78.23</v>
      </c>
      <c r="G531" s="61">
        <v>2170.076</v>
      </c>
      <c r="H531" s="62">
        <v>6.8689999999999998</v>
      </c>
      <c r="I531" s="63">
        <v>3.3000000000000002E-2</v>
      </c>
      <c r="J531" s="73">
        <v>7.1449999999999996</v>
      </c>
      <c r="K531" s="65">
        <v>64.385999999999996</v>
      </c>
      <c r="L531" s="50">
        <v>5.0549999999999997</v>
      </c>
      <c r="M531" s="74">
        <v>1.4999999999999999E-2</v>
      </c>
      <c r="N531" s="57">
        <v>1640.8610000000001</v>
      </c>
      <c r="O531" s="75">
        <v>4.7E-2</v>
      </c>
      <c r="P531" s="76">
        <v>0.55500000000000005</v>
      </c>
      <c r="Q531" s="93"/>
      <c r="R531" s="93"/>
      <c r="S531" s="93"/>
      <c r="T531" s="93"/>
    </row>
    <row r="532" spans="1:20" ht="14.25" customHeight="1" x14ac:dyDescent="0.35">
      <c r="A532" s="1">
        <v>2023</v>
      </c>
      <c r="B532" s="1" t="s">
        <v>28</v>
      </c>
      <c r="C532" s="1">
        <v>13</v>
      </c>
      <c r="D532" s="49">
        <v>126.125</v>
      </c>
      <c r="E532" s="50">
        <v>107.09399999999999</v>
      </c>
      <c r="F532" s="78">
        <v>78.66</v>
      </c>
      <c r="G532" s="61">
        <v>2159.643</v>
      </c>
      <c r="H532" s="62">
        <v>6.9</v>
      </c>
      <c r="I532" s="63">
        <v>2.9000000000000001E-2</v>
      </c>
      <c r="J532" s="79">
        <v>7.2460000000000004</v>
      </c>
      <c r="K532" s="65">
        <v>54.395000000000003</v>
      </c>
      <c r="L532" s="50">
        <v>5.0830000000000002</v>
      </c>
      <c r="M532" s="66">
        <v>1.4999999999999999E-2</v>
      </c>
      <c r="N532" s="57">
        <v>162.548</v>
      </c>
      <c r="O532" s="80">
        <v>4.9000000000000002E-2</v>
      </c>
      <c r="P532" s="81">
        <v>0.56000000000000005</v>
      </c>
      <c r="Q532" s="93"/>
      <c r="R532" s="93"/>
      <c r="S532" s="93"/>
      <c r="T532" s="93"/>
    </row>
    <row r="533" spans="1:20" ht="14.25" customHeight="1" x14ac:dyDescent="0.35">
      <c r="A533" s="1">
        <v>2023</v>
      </c>
      <c r="B533" s="1" t="s">
        <v>28</v>
      </c>
      <c r="C533" s="1">
        <v>14</v>
      </c>
      <c r="D533" s="49">
        <v>127.26600000000001</v>
      </c>
      <c r="E533" s="50">
        <v>108.03100000000001</v>
      </c>
      <c r="F533" s="60">
        <v>78.471999999999994</v>
      </c>
      <c r="G533" s="61">
        <v>2142.9569999999999</v>
      </c>
      <c r="H533" s="62">
        <v>6.9</v>
      </c>
      <c r="I533" s="63">
        <v>2.9000000000000001E-2</v>
      </c>
      <c r="J533" s="79">
        <v>7.0250000000000004</v>
      </c>
      <c r="K533" s="82">
        <v>53.136000000000003</v>
      </c>
      <c r="L533" s="50">
        <v>5.08</v>
      </c>
      <c r="M533" s="66">
        <v>1.4999999999999999E-2</v>
      </c>
      <c r="N533" s="57">
        <v>163.47</v>
      </c>
      <c r="O533" s="80">
        <v>4.7E-2</v>
      </c>
      <c r="P533" s="81">
        <v>0.56799999999999995</v>
      </c>
      <c r="Q533" s="93"/>
      <c r="R533" s="93"/>
      <c r="S533" s="93"/>
      <c r="T533" s="93"/>
    </row>
    <row r="534" spans="1:20" ht="14.25" customHeight="1" x14ac:dyDescent="0.35">
      <c r="A534" s="1">
        <v>2023</v>
      </c>
      <c r="B534" s="1" t="s">
        <v>28</v>
      </c>
      <c r="C534" s="1">
        <v>15</v>
      </c>
      <c r="D534" s="49">
        <v>129.93799999999999</v>
      </c>
      <c r="E534" s="50">
        <v>110.313</v>
      </c>
      <c r="F534" s="60">
        <v>78.494</v>
      </c>
      <c r="G534" s="61">
        <v>2248.6840000000002</v>
      </c>
      <c r="H534" s="62">
        <v>6.9</v>
      </c>
      <c r="I534" s="63">
        <v>0.03</v>
      </c>
      <c r="J534" s="73">
        <v>6.9089999999999998</v>
      </c>
      <c r="K534" s="65">
        <v>56.036999999999999</v>
      </c>
      <c r="L534" s="50">
        <v>5.0880000000000001</v>
      </c>
      <c r="M534" s="66">
        <v>1.4999999999999999E-2</v>
      </c>
      <c r="N534" s="57">
        <v>160.654</v>
      </c>
      <c r="O534" s="75">
        <v>4.5999999999999999E-2</v>
      </c>
      <c r="P534" s="76">
        <v>2.117</v>
      </c>
      <c r="Q534" s="93"/>
      <c r="R534" s="93"/>
      <c r="S534" s="93"/>
      <c r="T534" s="93"/>
    </row>
    <row r="535" spans="1:20" ht="14.25" customHeight="1" x14ac:dyDescent="0.35">
      <c r="A535" s="1">
        <v>2023</v>
      </c>
      <c r="B535" s="1" t="s">
        <v>28</v>
      </c>
      <c r="C535" s="1">
        <v>16</v>
      </c>
      <c r="D535" s="49">
        <v>133.297</v>
      </c>
      <c r="E535" s="50">
        <v>113.21899999999999</v>
      </c>
      <c r="F535" s="60">
        <v>78.942999999999998</v>
      </c>
      <c r="G535" s="61">
        <v>2303.201</v>
      </c>
      <c r="H535" s="62">
        <v>6.9</v>
      </c>
      <c r="I535" s="63">
        <v>0.03</v>
      </c>
      <c r="J535" s="79">
        <v>6.8979999999999997</v>
      </c>
      <c r="K535" s="61">
        <v>58.231999999999999</v>
      </c>
      <c r="L535" s="62">
        <v>5.0720000000000001</v>
      </c>
      <c r="M535" s="66">
        <v>1.4E-2</v>
      </c>
      <c r="N535" s="57">
        <v>166.47300000000001</v>
      </c>
      <c r="O535" s="80">
        <v>4.5999999999999999E-2</v>
      </c>
      <c r="P535" s="81">
        <v>2.9889999999999999</v>
      </c>
      <c r="Q535" s="93"/>
      <c r="R535" s="93"/>
      <c r="S535" s="93"/>
      <c r="T535" s="93"/>
    </row>
    <row r="536" spans="1:20" ht="14.25" customHeight="1" x14ac:dyDescent="0.35">
      <c r="A536" s="1">
        <v>2023</v>
      </c>
      <c r="B536" s="1" t="s">
        <v>28</v>
      </c>
      <c r="C536" s="1">
        <v>17</v>
      </c>
      <c r="D536" s="49">
        <v>133.15600000000001</v>
      </c>
      <c r="E536" s="50">
        <v>113.125</v>
      </c>
      <c r="F536" s="60">
        <v>79.135000000000005</v>
      </c>
      <c r="G536" s="61">
        <v>2236.5189999999998</v>
      </c>
      <c r="H536" s="62">
        <v>6.9</v>
      </c>
      <c r="I536" s="63">
        <v>2.9000000000000001E-2</v>
      </c>
      <c r="J536" s="64">
        <v>7.0739999999999998</v>
      </c>
      <c r="K536" s="65">
        <v>55.722999999999999</v>
      </c>
      <c r="L536" s="50">
        <v>5.0309999999999997</v>
      </c>
      <c r="M536" s="66">
        <v>1.4999999999999999E-2</v>
      </c>
      <c r="N536" s="57">
        <v>184.04400000000001</v>
      </c>
      <c r="O536" s="67">
        <v>4.7E-2</v>
      </c>
      <c r="P536" s="68">
        <v>3.0640000000000001</v>
      </c>
      <c r="Q536" s="93"/>
      <c r="R536" s="93"/>
      <c r="S536" s="93"/>
      <c r="T536" s="93"/>
    </row>
    <row r="537" spans="1:20" ht="14.25" customHeight="1" x14ac:dyDescent="0.35">
      <c r="A537" s="1">
        <v>2023</v>
      </c>
      <c r="B537" s="1" t="s">
        <v>28</v>
      </c>
      <c r="C537" s="1">
        <v>18</v>
      </c>
      <c r="D537" s="49">
        <v>135.35900000000001</v>
      </c>
      <c r="E537" s="50">
        <v>114.96899999999999</v>
      </c>
      <c r="F537" s="60">
        <v>78.790999999999997</v>
      </c>
      <c r="G537" s="61">
        <v>2212.114</v>
      </c>
      <c r="H537" s="62">
        <v>6.9</v>
      </c>
      <c r="I537" s="63">
        <v>2.9000000000000001E-2</v>
      </c>
      <c r="J537" s="64">
        <v>6.8840000000000003</v>
      </c>
      <c r="K537" s="61">
        <v>55.045000000000002</v>
      </c>
      <c r="L537" s="62">
        <v>5.0380000000000003</v>
      </c>
      <c r="M537" s="66">
        <v>1.4999999999999999E-2</v>
      </c>
      <c r="N537" s="57">
        <v>181.02199999999999</v>
      </c>
      <c r="O537" s="67">
        <v>4.2999999999999997E-2</v>
      </c>
      <c r="P537" s="68">
        <v>3.0379999999999998</v>
      </c>
      <c r="Q537" s="93"/>
      <c r="R537" s="93"/>
      <c r="S537" s="93"/>
      <c r="T537" s="93"/>
    </row>
    <row r="538" spans="1:20" ht="14.25" customHeight="1" x14ac:dyDescent="0.35">
      <c r="A538" s="1">
        <v>2023</v>
      </c>
      <c r="B538" s="1" t="s">
        <v>28</v>
      </c>
      <c r="C538" s="1">
        <v>19</v>
      </c>
      <c r="D538" s="49">
        <v>133.453</v>
      </c>
      <c r="E538" s="50">
        <v>113.34399999999999</v>
      </c>
      <c r="F538" s="60">
        <v>79.138999999999996</v>
      </c>
      <c r="G538" s="61">
        <v>2315.5210000000002</v>
      </c>
      <c r="H538" s="62">
        <v>6.9</v>
      </c>
      <c r="I538" s="63">
        <v>0.03</v>
      </c>
      <c r="J538" s="64">
        <v>6.8129999999999997</v>
      </c>
      <c r="K538" s="65">
        <v>57.747999999999998</v>
      </c>
      <c r="L538" s="50">
        <v>5.0720000000000001</v>
      </c>
      <c r="M538" s="66">
        <v>1.4999999999999999E-2</v>
      </c>
      <c r="N538" s="57">
        <v>166.488</v>
      </c>
      <c r="O538" s="67">
        <v>4.2000000000000003E-2</v>
      </c>
      <c r="P538" s="68">
        <v>2.9590000000000001</v>
      </c>
      <c r="Q538" s="93"/>
      <c r="R538" s="93"/>
      <c r="S538" s="93"/>
      <c r="T538" s="93"/>
    </row>
    <row r="539" spans="1:20" ht="14.25" customHeight="1" x14ac:dyDescent="0.35">
      <c r="A539" s="1">
        <v>2023</v>
      </c>
      <c r="B539" s="1" t="s">
        <v>28</v>
      </c>
      <c r="C539" s="1">
        <v>20</v>
      </c>
      <c r="D539" s="49">
        <v>131.328</v>
      </c>
      <c r="E539" s="50">
        <v>111.46899999999999</v>
      </c>
      <c r="F539" s="60">
        <v>79.093999999999994</v>
      </c>
      <c r="G539" s="61">
        <v>2270.2199999999998</v>
      </c>
      <c r="H539" s="62">
        <v>6.899</v>
      </c>
      <c r="I539" s="63">
        <v>0.03</v>
      </c>
      <c r="J539" s="64">
        <v>7.1159999999999997</v>
      </c>
      <c r="K539" s="61">
        <v>55.875999999999998</v>
      </c>
      <c r="L539" s="62">
        <v>5.0970000000000004</v>
      </c>
      <c r="M539" s="66">
        <v>1.4999999999999999E-2</v>
      </c>
      <c r="N539" s="57">
        <v>157.69</v>
      </c>
      <c r="O539" s="67">
        <v>4.7E-2</v>
      </c>
      <c r="P539" s="68">
        <v>2.9319999999999999</v>
      </c>
      <c r="Q539" s="93"/>
      <c r="R539" s="93"/>
      <c r="S539" s="93"/>
      <c r="T539" s="93"/>
    </row>
    <row r="540" spans="1:20" ht="14.25" customHeight="1" x14ac:dyDescent="0.35">
      <c r="A540" s="1">
        <v>2023</v>
      </c>
      <c r="B540" s="1" t="s">
        <v>28</v>
      </c>
      <c r="C540" s="1">
        <v>21</v>
      </c>
      <c r="D540" s="49">
        <v>129.59399999999999</v>
      </c>
      <c r="E540" s="50">
        <v>109.938</v>
      </c>
      <c r="F540" s="60">
        <v>79.287000000000006</v>
      </c>
      <c r="G540" s="61">
        <v>2317.0889999999999</v>
      </c>
      <c r="H540" s="62">
        <v>6.9</v>
      </c>
      <c r="I540" s="63">
        <v>2.9000000000000001E-2</v>
      </c>
      <c r="J540" s="64">
        <v>7.077</v>
      </c>
      <c r="K540" s="65">
        <v>57.143000000000001</v>
      </c>
      <c r="L540" s="50">
        <v>5.077</v>
      </c>
      <c r="M540" s="66">
        <v>1.4999999999999999E-2</v>
      </c>
      <c r="N540" s="57">
        <v>165.91200000000001</v>
      </c>
      <c r="O540" s="67">
        <v>4.7E-2</v>
      </c>
      <c r="P540" s="68">
        <v>2.3679999999999999</v>
      </c>
      <c r="Q540" s="93"/>
      <c r="R540" s="93"/>
      <c r="S540" s="93"/>
      <c r="T540" s="93"/>
    </row>
    <row r="541" spans="1:20" ht="14.25" customHeight="1" x14ac:dyDescent="0.35">
      <c r="A541" s="1">
        <v>2023</v>
      </c>
      <c r="B541" s="1" t="s">
        <v>28</v>
      </c>
      <c r="C541" s="1">
        <v>22</v>
      </c>
      <c r="D541" s="49">
        <v>128.59399999999999</v>
      </c>
      <c r="E541" s="50">
        <v>109.063</v>
      </c>
      <c r="F541" s="60">
        <v>79.088999999999999</v>
      </c>
      <c r="G541" s="61">
        <v>2258.2910000000002</v>
      </c>
      <c r="H541" s="62">
        <v>6.9</v>
      </c>
      <c r="I541" s="63">
        <v>0.03</v>
      </c>
      <c r="J541" s="64">
        <v>7.21</v>
      </c>
      <c r="K541" s="61">
        <v>55.325000000000003</v>
      </c>
      <c r="L541" s="62">
        <v>5.077</v>
      </c>
      <c r="M541" s="66">
        <v>1.4999999999999999E-2</v>
      </c>
      <c r="N541" s="57">
        <v>165.64099999999999</v>
      </c>
      <c r="O541" s="67">
        <v>4.5999999999999999E-2</v>
      </c>
      <c r="P541" s="68">
        <v>1.524</v>
      </c>
      <c r="Q541" s="93"/>
      <c r="R541" s="93"/>
      <c r="S541" s="93"/>
      <c r="T541" s="93"/>
    </row>
    <row r="542" spans="1:20" ht="14.25" customHeight="1" x14ac:dyDescent="0.35">
      <c r="A542" s="1">
        <v>2023</v>
      </c>
      <c r="B542" s="1" t="s">
        <v>28</v>
      </c>
      <c r="C542" s="1">
        <v>23</v>
      </c>
      <c r="D542" s="49">
        <v>127.797</v>
      </c>
      <c r="E542" s="50">
        <v>108.40600000000001</v>
      </c>
      <c r="F542" s="60">
        <v>78.997</v>
      </c>
      <c r="G542" s="61">
        <v>2311.7890000000002</v>
      </c>
      <c r="H542" s="62">
        <v>6.9</v>
      </c>
      <c r="I542" s="63">
        <v>0.03</v>
      </c>
      <c r="J542" s="64">
        <v>7.069</v>
      </c>
      <c r="K542" s="65">
        <v>56.741999999999997</v>
      </c>
      <c r="L542" s="50">
        <v>5.1539999999999999</v>
      </c>
      <c r="M542" s="66">
        <v>1.4E-2</v>
      </c>
      <c r="N542" s="57">
        <v>139.49199999999999</v>
      </c>
      <c r="O542" s="67">
        <v>4.5999999999999999E-2</v>
      </c>
      <c r="P542" s="68">
        <v>1.5349999999999999</v>
      </c>
      <c r="Q542" s="93"/>
      <c r="R542" s="93"/>
      <c r="S542" s="93"/>
      <c r="T542" s="93"/>
    </row>
    <row r="543" spans="1:20" ht="14.25" customHeight="1" x14ac:dyDescent="0.35">
      <c r="A543" s="1">
        <v>2023</v>
      </c>
      <c r="B543" s="1" t="s">
        <v>28</v>
      </c>
      <c r="C543" s="1">
        <v>24</v>
      </c>
      <c r="D543" s="49">
        <v>129.71899999999999</v>
      </c>
      <c r="E543" s="50">
        <v>110</v>
      </c>
      <c r="F543" s="60">
        <v>79.031999999999996</v>
      </c>
      <c r="G543" s="61">
        <v>2297.25</v>
      </c>
      <c r="H543" s="62">
        <v>6.9</v>
      </c>
      <c r="I543" s="63">
        <v>0.03</v>
      </c>
      <c r="J543" s="64">
        <v>7.008</v>
      </c>
      <c r="K543" s="61">
        <v>56.646000000000001</v>
      </c>
      <c r="L543" s="62">
        <v>5.1859999999999999</v>
      </c>
      <c r="M543" s="66">
        <v>1.4999999999999999E-2</v>
      </c>
      <c r="N543" s="57">
        <v>128.13399999999999</v>
      </c>
      <c r="O543" s="67">
        <v>4.8000000000000001E-2</v>
      </c>
      <c r="P543" s="68">
        <v>1.5569999999999999</v>
      </c>
      <c r="Q543" s="93"/>
      <c r="R543" s="93"/>
      <c r="S543" s="93"/>
      <c r="T543" s="93"/>
    </row>
    <row r="544" spans="1:20" ht="14.25" customHeight="1" x14ac:dyDescent="0.35">
      <c r="A544" s="1">
        <v>2023</v>
      </c>
      <c r="B544" s="1" t="s">
        <v>28</v>
      </c>
      <c r="C544" s="1">
        <v>25</v>
      </c>
      <c r="D544" s="49">
        <v>129.65600000000001</v>
      </c>
      <c r="E544" s="50">
        <v>109.96899999999999</v>
      </c>
      <c r="F544" s="60">
        <v>79.218999999999994</v>
      </c>
      <c r="G544" s="61">
        <v>2260.5920000000001</v>
      </c>
      <c r="H544" s="62">
        <v>6.9</v>
      </c>
      <c r="I544" s="63">
        <v>0.03</v>
      </c>
      <c r="J544" s="64">
        <v>6.9029999999999996</v>
      </c>
      <c r="K544" s="65">
        <v>56.183999999999997</v>
      </c>
      <c r="L544" s="50">
        <v>5.181</v>
      </c>
      <c r="M544" s="66">
        <v>1.4999999999999999E-2</v>
      </c>
      <c r="N544" s="57">
        <v>129.54499999999999</v>
      </c>
      <c r="O544" s="67">
        <v>4.2000000000000003E-2</v>
      </c>
      <c r="P544" s="68">
        <v>1.5389999999999999</v>
      </c>
      <c r="Q544" s="93"/>
      <c r="R544" s="93"/>
      <c r="S544" s="93"/>
      <c r="T544" s="93"/>
    </row>
    <row r="545" spans="1:20" ht="14.25" customHeight="1" x14ac:dyDescent="0.35">
      <c r="A545" s="1">
        <v>2023</v>
      </c>
      <c r="B545" s="1" t="s">
        <v>28</v>
      </c>
      <c r="C545" s="1">
        <v>26</v>
      </c>
      <c r="D545" s="49">
        <v>132</v>
      </c>
      <c r="E545" s="50">
        <v>112</v>
      </c>
      <c r="F545" s="60">
        <v>79.213999999999999</v>
      </c>
      <c r="G545" s="61">
        <v>2269.223</v>
      </c>
      <c r="H545" s="62">
        <v>6.9</v>
      </c>
      <c r="I545" s="63">
        <v>0.03</v>
      </c>
      <c r="J545" s="64">
        <v>7.1050000000000004</v>
      </c>
      <c r="K545" s="61">
        <v>57.25</v>
      </c>
      <c r="L545" s="62">
        <v>5.165</v>
      </c>
      <c r="M545" s="66">
        <v>1.4999999999999999E-2</v>
      </c>
      <c r="N545" s="57">
        <v>135.29900000000001</v>
      </c>
      <c r="O545" s="67">
        <v>4.3999999999999997E-2</v>
      </c>
      <c r="P545" s="68">
        <v>1.5449999999999999</v>
      </c>
      <c r="Q545" s="93"/>
      <c r="R545" s="93"/>
      <c r="S545" s="93"/>
      <c r="T545" s="93"/>
    </row>
    <row r="546" spans="1:20" ht="14.25" customHeight="1" x14ac:dyDescent="0.35">
      <c r="A546" s="1">
        <v>2023</v>
      </c>
      <c r="B546" s="1" t="s">
        <v>28</v>
      </c>
      <c r="C546" s="1">
        <v>27</v>
      </c>
      <c r="D546" s="12">
        <v>135.078</v>
      </c>
      <c r="E546" s="13">
        <v>114.71899999999999</v>
      </c>
      <c r="F546" s="60">
        <v>79.453000000000003</v>
      </c>
      <c r="G546" s="61">
        <v>2299.3609999999999</v>
      </c>
      <c r="H546" s="62">
        <v>6.9</v>
      </c>
      <c r="I546" s="63">
        <v>0.03</v>
      </c>
      <c r="J546" s="64">
        <v>7.1669999999999998</v>
      </c>
      <c r="K546" s="65">
        <v>58.539000000000001</v>
      </c>
      <c r="L546" s="50">
        <v>5.157</v>
      </c>
      <c r="M546" s="66">
        <v>1.4999999999999999E-2</v>
      </c>
      <c r="N546" s="57">
        <v>137.113</v>
      </c>
      <c r="O546" s="67">
        <v>4.8000000000000001E-2</v>
      </c>
      <c r="P546" s="68">
        <v>1.5649999999999999</v>
      </c>
      <c r="Q546" s="93"/>
      <c r="R546" s="93"/>
      <c r="S546" s="93"/>
      <c r="T546" s="93"/>
    </row>
    <row r="547" spans="1:20" ht="14.25" customHeight="1" x14ac:dyDescent="0.35">
      <c r="A547" s="1">
        <v>2023</v>
      </c>
      <c r="B547" s="1" t="s">
        <v>28</v>
      </c>
      <c r="C547" s="1">
        <v>28</v>
      </c>
      <c r="D547" s="12">
        <v>132.23400000000001</v>
      </c>
      <c r="E547" s="13">
        <v>112.313</v>
      </c>
      <c r="F547" s="60">
        <v>79.346999999999994</v>
      </c>
      <c r="G547" s="61">
        <v>2289.232</v>
      </c>
      <c r="H547" s="62">
        <v>6.9</v>
      </c>
      <c r="I547" s="63">
        <v>3.1E-2</v>
      </c>
      <c r="J547" s="64">
        <v>7.0629999999999997</v>
      </c>
      <c r="K547" s="61">
        <v>57.793999999999997</v>
      </c>
      <c r="L547" s="62">
        <v>5.19</v>
      </c>
      <c r="M547" s="66">
        <v>1.4999999999999999E-2</v>
      </c>
      <c r="N547" s="57">
        <v>126.92700000000001</v>
      </c>
      <c r="O547" s="67">
        <v>4.8000000000000001E-2</v>
      </c>
      <c r="P547" s="68">
        <v>1.5660000000000001</v>
      </c>
      <c r="Q547" s="93"/>
      <c r="R547" s="93"/>
      <c r="S547" s="93"/>
      <c r="T547" s="93"/>
    </row>
    <row r="548" spans="1:20" ht="14.25" customHeight="1" x14ac:dyDescent="0.35">
      <c r="A548" s="1">
        <v>2023</v>
      </c>
      <c r="B548" s="1" t="s">
        <v>28</v>
      </c>
      <c r="C548" s="1">
        <v>29</v>
      </c>
      <c r="D548" s="12">
        <v>131.34399999999999</v>
      </c>
      <c r="E548" s="13">
        <v>111.5</v>
      </c>
      <c r="F548" s="83">
        <v>79.692999999999998</v>
      </c>
      <c r="G548" s="69">
        <v>2304.123</v>
      </c>
      <c r="H548" s="50">
        <v>6.9</v>
      </c>
      <c r="I548" s="66">
        <v>0.03</v>
      </c>
      <c r="J548" s="50">
        <v>7.0490000000000004</v>
      </c>
      <c r="K548" s="61">
        <v>58.268999999999998</v>
      </c>
      <c r="L548" s="62">
        <v>5.1970000000000001</v>
      </c>
      <c r="M548" s="66">
        <v>1.4999999999999999E-2</v>
      </c>
      <c r="N548" s="57">
        <v>124.77500000000001</v>
      </c>
      <c r="O548" s="84">
        <v>5.3999999999999999E-2</v>
      </c>
      <c r="P548" s="71">
        <v>2.8050000000000002</v>
      </c>
      <c r="Q548" s="93"/>
      <c r="R548" s="93"/>
      <c r="S548" s="93"/>
      <c r="T548" s="93"/>
    </row>
    <row r="549" spans="1:20" ht="14.25" customHeight="1" x14ac:dyDescent="0.35">
      <c r="A549" s="1">
        <v>2023</v>
      </c>
      <c r="B549" s="1" t="s">
        <v>28</v>
      </c>
      <c r="C549" s="1">
        <v>30</v>
      </c>
      <c r="D549" s="85">
        <v>135.23400000000001</v>
      </c>
      <c r="E549" s="86">
        <v>115</v>
      </c>
      <c r="F549" s="83">
        <v>79.884</v>
      </c>
      <c r="G549" s="69">
        <v>2329.0410000000002</v>
      </c>
      <c r="H549" s="50">
        <v>6.9</v>
      </c>
      <c r="I549" s="66">
        <v>0.03</v>
      </c>
      <c r="J549" s="50">
        <v>6.8550000000000004</v>
      </c>
      <c r="K549" s="61">
        <v>59.898000000000003</v>
      </c>
      <c r="L549" s="62">
        <v>4.9349999999999996</v>
      </c>
      <c r="M549" s="66">
        <v>1.4999999999999999E-2</v>
      </c>
      <c r="N549" s="57">
        <v>245.68199999999999</v>
      </c>
      <c r="O549" s="84">
        <v>5.8000000000000003E-2</v>
      </c>
      <c r="P549" s="71">
        <v>3.8359999999999999</v>
      </c>
      <c r="Q549" s="93"/>
      <c r="R549" s="93"/>
      <c r="S549" s="93"/>
      <c r="T549" s="93"/>
    </row>
    <row r="550" spans="1:20" ht="14.25" customHeight="1" x14ac:dyDescent="0.35">
      <c r="A550" s="1">
        <v>2023</v>
      </c>
      <c r="B550" s="1" t="s">
        <v>29</v>
      </c>
      <c r="C550" s="1">
        <v>1</v>
      </c>
      <c r="D550" s="49">
        <v>135.25</v>
      </c>
      <c r="E550" s="50">
        <v>115</v>
      </c>
      <c r="F550" s="51">
        <v>79.915000000000006</v>
      </c>
      <c r="G550" s="52">
        <v>2276.721</v>
      </c>
      <c r="H550" s="53">
        <v>6.9</v>
      </c>
      <c r="I550" s="54">
        <v>2.9000000000000001E-2</v>
      </c>
      <c r="J550" s="55">
        <v>6.8730000000000002</v>
      </c>
      <c r="K550" s="52">
        <v>58.347000000000001</v>
      </c>
      <c r="L550" s="55">
        <v>4.8369999999999997</v>
      </c>
      <c r="M550" s="56">
        <v>1.4999999999999999E-2</v>
      </c>
      <c r="N550" s="57">
        <v>286.31700000000001</v>
      </c>
      <c r="O550" s="58">
        <v>5.8000000000000003E-2</v>
      </c>
      <c r="P550" s="59">
        <v>3.927</v>
      </c>
      <c r="Q550" s="93"/>
      <c r="R550" s="93"/>
      <c r="S550" s="93"/>
      <c r="T550" s="93"/>
    </row>
    <row r="551" spans="1:20" ht="14.25" customHeight="1" x14ac:dyDescent="0.35">
      <c r="A551" s="1">
        <v>2023</v>
      </c>
      <c r="B551" s="1" t="s">
        <v>29</v>
      </c>
      <c r="C551" s="1">
        <v>2</v>
      </c>
      <c r="D551" s="49">
        <v>135.26599999999999</v>
      </c>
      <c r="E551" s="50">
        <v>115</v>
      </c>
      <c r="F551" s="60">
        <v>79.994</v>
      </c>
      <c r="G551" s="61">
        <v>2242.1860000000001</v>
      </c>
      <c r="H551" s="62">
        <v>6.9</v>
      </c>
      <c r="I551" s="63">
        <v>2.9000000000000001E-2</v>
      </c>
      <c r="J551" s="64">
        <v>6.7770000000000001</v>
      </c>
      <c r="K551" s="65">
        <v>57.945</v>
      </c>
      <c r="L551" s="50">
        <v>4.8410000000000002</v>
      </c>
      <c r="M551" s="66">
        <v>1.4999999999999999E-2</v>
      </c>
      <c r="N551" s="57">
        <v>283.233</v>
      </c>
      <c r="O551" s="67">
        <v>5.5E-2</v>
      </c>
      <c r="P551" s="68">
        <v>3.9209999999999998</v>
      </c>
      <c r="Q551" s="93"/>
      <c r="R551" s="93"/>
      <c r="S551" s="93"/>
      <c r="T551" s="93"/>
    </row>
    <row r="552" spans="1:20" ht="14.25" customHeight="1" x14ac:dyDescent="0.35">
      <c r="A552" s="1">
        <v>2023</v>
      </c>
      <c r="B552" s="1" t="s">
        <v>29</v>
      </c>
      <c r="C552" s="1">
        <v>3</v>
      </c>
      <c r="D552" s="49">
        <v>134.21899999999999</v>
      </c>
      <c r="E552" s="50">
        <v>114.15600000000001</v>
      </c>
      <c r="F552" s="60">
        <v>79.850999999999999</v>
      </c>
      <c r="G552" s="61">
        <v>2299.9749999999999</v>
      </c>
      <c r="H552" s="62">
        <v>6.9</v>
      </c>
      <c r="I552" s="63">
        <v>2.9000000000000001E-2</v>
      </c>
      <c r="J552" s="64">
        <v>6.7640000000000002</v>
      </c>
      <c r="K552" s="65">
        <v>60.382399999999997</v>
      </c>
      <c r="L552" s="50">
        <v>4.8464999999999998</v>
      </c>
      <c r="M552" s="66">
        <v>1.46E-2</v>
      </c>
      <c r="N552" s="57">
        <v>279.82029999999997</v>
      </c>
      <c r="O552" s="67">
        <v>5.2999999999999999E-2</v>
      </c>
      <c r="P552" s="68">
        <v>3.8820000000000001</v>
      </c>
      <c r="Q552" s="93"/>
      <c r="R552" s="93"/>
      <c r="S552" s="93"/>
      <c r="T552" s="93"/>
    </row>
    <row r="553" spans="1:20" ht="14.25" customHeight="1" x14ac:dyDescent="0.35">
      <c r="A553" s="1">
        <v>2023</v>
      </c>
      <c r="B553" s="1" t="s">
        <v>29</v>
      </c>
      <c r="C553" s="1">
        <v>4</v>
      </c>
      <c r="D553" s="49">
        <v>135.25</v>
      </c>
      <c r="E553" s="50">
        <v>114.96899999999999</v>
      </c>
      <c r="F553" s="60">
        <v>79.918000000000006</v>
      </c>
      <c r="G553" s="61">
        <v>2345.672</v>
      </c>
      <c r="H553" s="62">
        <v>6.9</v>
      </c>
      <c r="I553" s="63">
        <v>2.9000000000000001E-2</v>
      </c>
      <c r="J553" s="64">
        <v>6.8479999999999999</v>
      </c>
      <c r="K553" s="65">
        <v>61.289000000000001</v>
      </c>
      <c r="L553" s="50">
        <v>4.8460000000000001</v>
      </c>
      <c r="M553" s="66">
        <v>1.4999999999999999E-2</v>
      </c>
      <c r="N553" s="57">
        <v>280.19</v>
      </c>
      <c r="O553" s="67">
        <v>5.6000000000000001E-2</v>
      </c>
      <c r="P553" s="68">
        <v>3.7650000000000001</v>
      </c>
      <c r="Q553" s="93"/>
      <c r="R553" s="93"/>
      <c r="S553" s="93"/>
      <c r="T553" s="93"/>
    </row>
    <row r="554" spans="1:20" ht="14.25" customHeight="1" x14ac:dyDescent="0.35">
      <c r="A554" s="1">
        <v>2023</v>
      </c>
      <c r="B554" s="1" t="s">
        <v>29</v>
      </c>
      <c r="C554" s="1">
        <v>5</v>
      </c>
      <c r="D554" s="49">
        <v>134.10900000000001</v>
      </c>
      <c r="E554" s="50">
        <v>113.875</v>
      </c>
      <c r="F554" s="60">
        <v>79.840999999999994</v>
      </c>
      <c r="G554" s="61">
        <v>2329.761</v>
      </c>
      <c r="H554" s="62">
        <v>6.9</v>
      </c>
      <c r="I554" s="63">
        <v>2.9000000000000001E-2</v>
      </c>
      <c r="J554" s="64">
        <v>6.601</v>
      </c>
      <c r="K554" s="65">
        <v>61.893000000000001</v>
      </c>
      <c r="L554" s="50">
        <v>4.9947999999999997</v>
      </c>
      <c r="M554" s="66">
        <v>1.46E-2</v>
      </c>
      <c r="N554" s="57">
        <v>220.4615</v>
      </c>
      <c r="O554" s="67">
        <v>5.3600000000000002E-2</v>
      </c>
      <c r="P554" s="68">
        <v>3.8260000000000001</v>
      </c>
      <c r="Q554" s="93"/>
      <c r="R554" s="93"/>
      <c r="S554" s="93"/>
      <c r="T554" s="93"/>
    </row>
    <row r="555" spans="1:20" ht="14.25" customHeight="1" x14ac:dyDescent="0.35">
      <c r="A555" s="1">
        <v>2023</v>
      </c>
      <c r="B555" s="1" t="s">
        <v>29</v>
      </c>
      <c r="C555" s="1">
        <v>6</v>
      </c>
      <c r="D555" s="49">
        <v>133.60900000000001</v>
      </c>
      <c r="E555" s="50">
        <v>113.5</v>
      </c>
      <c r="F555" s="60">
        <v>79.941999999999993</v>
      </c>
      <c r="G555" s="61">
        <v>2415.884</v>
      </c>
      <c r="H555" s="62">
        <v>6.9</v>
      </c>
      <c r="I555" s="63">
        <v>3.1E-2</v>
      </c>
      <c r="J555" s="64">
        <v>7.2169999999999996</v>
      </c>
      <c r="K555" s="65">
        <v>62.5642</v>
      </c>
      <c r="L555" s="50">
        <v>5.2702</v>
      </c>
      <c r="M555" s="66">
        <v>1.46E-2</v>
      </c>
      <c r="N555" s="57">
        <v>106.0226</v>
      </c>
      <c r="O555" s="67">
        <v>5.3999999999999999E-2</v>
      </c>
      <c r="P555" s="68">
        <v>3.7730000000000001</v>
      </c>
      <c r="Q555" s="93"/>
      <c r="R555" s="93"/>
      <c r="S555" s="93"/>
      <c r="T555" s="93"/>
    </row>
    <row r="556" spans="1:20" ht="14.25" customHeight="1" x14ac:dyDescent="0.35">
      <c r="A556" s="1">
        <v>2023</v>
      </c>
      <c r="B556" s="1" t="s">
        <v>29</v>
      </c>
      <c r="C556" s="1">
        <v>7</v>
      </c>
      <c r="D556" s="49">
        <v>134.98400000000001</v>
      </c>
      <c r="E556" s="50">
        <v>114.688</v>
      </c>
      <c r="F556" s="60">
        <v>80.185000000000002</v>
      </c>
      <c r="G556" s="61">
        <v>2407.1669999999999</v>
      </c>
      <c r="H556" s="62">
        <v>6.9</v>
      </c>
      <c r="I556" s="63">
        <v>0.03</v>
      </c>
      <c r="J556" s="64">
        <v>7.6070000000000002</v>
      </c>
      <c r="K556" s="65">
        <v>62.22</v>
      </c>
      <c r="L556" s="50">
        <v>5.4619999999999997</v>
      </c>
      <c r="M556" s="66">
        <v>1.4500000000000001E-2</v>
      </c>
      <c r="N556" s="57">
        <v>72.802999999999997</v>
      </c>
      <c r="O556" s="67">
        <v>0.06</v>
      </c>
      <c r="P556" s="68">
        <v>3.7690000000000001</v>
      </c>
      <c r="Q556" s="93"/>
      <c r="R556" s="93"/>
      <c r="S556" s="93"/>
      <c r="T556" s="93"/>
    </row>
    <row r="557" spans="1:20" ht="14.25" customHeight="1" x14ac:dyDescent="0.35">
      <c r="A557" s="1">
        <v>2023</v>
      </c>
      <c r="B557" s="1" t="s">
        <v>29</v>
      </c>
      <c r="C557" s="1">
        <v>8</v>
      </c>
      <c r="D557" s="49">
        <v>135.35900000000001</v>
      </c>
      <c r="E557" s="50">
        <v>115</v>
      </c>
      <c r="F557" s="60">
        <v>80.266000000000005</v>
      </c>
      <c r="G557" s="69">
        <v>2473.672</v>
      </c>
      <c r="H557" s="62">
        <v>6.9</v>
      </c>
      <c r="I557" s="63">
        <v>2.9000000000000001E-2</v>
      </c>
      <c r="J557" s="50">
        <v>7.2190000000000003</v>
      </c>
      <c r="K557" s="65">
        <v>64.705200000000005</v>
      </c>
      <c r="L557" s="50">
        <v>5.5430999999999999</v>
      </c>
      <c r="M557" s="66">
        <v>1.46E-2</v>
      </c>
      <c r="N557" s="57">
        <v>56.3919</v>
      </c>
      <c r="O557" s="70">
        <v>5.1900000000000002E-2</v>
      </c>
      <c r="P557" s="71">
        <v>3.8439999999999999</v>
      </c>
      <c r="Q557" s="93"/>
      <c r="R557" s="93"/>
      <c r="S557" s="93"/>
      <c r="T557" s="93"/>
    </row>
    <row r="558" spans="1:20" ht="14.25" customHeight="1" x14ac:dyDescent="0.35">
      <c r="A558" s="1">
        <v>2023</v>
      </c>
      <c r="B558" s="1" t="s">
        <v>29</v>
      </c>
      <c r="C558" s="1">
        <v>9</v>
      </c>
      <c r="D558" s="49">
        <v>135.328</v>
      </c>
      <c r="E558" s="50">
        <v>114.96899999999999</v>
      </c>
      <c r="F558" s="60">
        <v>80.25</v>
      </c>
      <c r="G558" s="61">
        <v>2364.3130000000001</v>
      </c>
      <c r="H558" s="62">
        <v>6.9</v>
      </c>
      <c r="I558" s="63">
        <v>2.9000000000000001E-2</v>
      </c>
      <c r="J558" s="64">
        <v>7.1589999999999998</v>
      </c>
      <c r="K558" s="65">
        <v>62.004199999999997</v>
      </c>
      <c r="L558" s="50">
        <v>5.5416999999999996</v>
      </c>
      <c r="M558" s="66">
        <v>1.46E-2</v>
      </c>
      <c r="N558" s="57">
        <v>56.469799999999999</v>
      </c>
      <c r="O558" s="67">
        <v>4.7E-2</v>
      </c>
      <c r="P558" s="68">
        <v>3.8079999999999998</v>
      </c>
      <c r="Q558" s="93"/>
      <c r="R558" s="93"/>
      <c r="S558" s="93"/>
      <c r="T558" s="93"/>
    </row>
    <row r="559" spans="1:20" ht="14.25" customHeight="1" x14ac:dyDescent="0.35">
      <c r="A559" s="1">
        <v>2023</v>
      </c>
      <c r="B559" s="1" t="s">
        <v>29</v>
      </c>
      <c r="C559" s="1">
        <v>10</v>
      </c>
      <c r="D559" s="49">
        <v>135.39099999999999</v>
      </c>
      <c r="E559" s="50">
        <v>115.03100000000001</v>
      </c>
      <c r="F559" s="72">
        <v>80.644000000000005</v>
      </c>
      <c r="G559" s="61">
        <v>2292.4940000000001</v>
      </c>
      <c r="H559" s="62">
        <v>6.9</v>
      </c>
      <c r="I559" s="63">
        <v>2.9000000000000001E-2</v>
      </c>
      <c r="J559" s="73">
        <v>7.2409999999999997</v>
      </c>
      <c r="K559" s="65">
        <v>60.405999999999999</v>
      </c>
      <c r="L559" s="50">
        <v>5.5469999999999997</v>
      </c>
      <c r="M559" s="74">
        <v>1.4999999999999999E-2</v>
      </c>
      <c r="N559" s="57">
        <v>55.777000000000001</v>
      </c>
      <c r="O559" s="75">
        <v>4.7E-2</v>
      </c>
      <c r="P559" s="76">
        <v>3.9849999999999999</v>
      </c>
      <c r="Q559" s="93"/>
      <c r="R559" s="93"/>
      <c r="S559" s="93"/>
      <c r="T559" s="93"/>
    </row>
    <row r="560" spans="1:20" ht="14.25" customHeight="1" x14ac:dyDescent="0.35">
      <c r="A560" s="1">
        <v>2023</v>
      </c>
      <c r="B560" s="1" t="s">
        <v>29</v>
      </c>
      <c r="C560" s="1">
        <v>11</v>
      </c>
      <c r="D560" s="49">
        <v>129.18799999999999</v>
      </c>
      <c r="E560" s="50">
        <v>109.84399999999999</v>
      </c>
      <c r="F560" s="72">
        <v>80.971999999999994</v>
      </c>
      <c r="G560" s="61">
        <v>2355.7710000000002</v>
      </c>
      <c r="H560" s="62">
        <v>6.9</v>
      </c>
      <c r="I560" s="63">
        <v>0.03</v>
      </c>
      <c r="J560" s="77">
        <v>7.3220000000000001</v>
      </c>
      <c r="K560" s="65">
        <v>62.698999999999998</v>
      </c>
      <c r="L560" s="50">
        <v>5.556</v>
      </c>
      <c r="M560" s="74">
        <v>1.4999999999999999E-2</v>
      </c>
      <c r="N560" s="57">
        <v>54.738</v>
      </c>
      <c r="O560" s="75">
        <v>5.3999999999999999E-2</v>
      </c>
      <c r="P560" s="76">
        <v>3.835</v>
      </c>
      <c r="Q560" s="93"/>
      <c r="R560" s="93"/>
      <c r="S560" s="93"/>
      <c r="T560" s="93"/>
    </row>
    <row r="561" spans="1:20" ht="14.25" customHeight="1" x14ac:dyDescent="0.35">
      <c r="A561" s="1">
        <v>2023</v>
      </c>
      <c r="B561" s="1" t="s">
        <v>29</v>
      </c>
      <c r="C561" s="1">
        <v>12</v>
      </c>
      <c r="D561" s="49">
        <v>125.14100000000001</v>
      </c>
      <c r="E561" s="50">
        <v>106.625</v>
      </c>
      <c r="F561" s="72">
        <v>81.34</v>
      </c>
      <c r="G561" s="61">
        <v>2379.5509999999999</v>
      </c>
      <c r="H561" s="62">
        <v>6.9</v>
      </c>
      <c r="I561" s="63">
        <v>0.03</v>
      </c>
      <c r="J561" s="73">
        <v>7.3029999999999999</v>
      </c>
      <c r="K561" s="65">
        <v>64.581000000000003</v>
      </c>
      <c r="L561" s="50">
        <v>5.56</v>
      </c>
      <c r="M561" s="74">
        <v>1.4999999999999999E-2</v>
      </c>
      <c r="N561" s="57">
        <v>54.481999999999999</v>
      </c>
      <c r="O561" s="75">
        <v>5.3999999999999999E-2</v>
      </c>
      <c r="P561" s="76">
        <v>3.87</v>
      </c>
      <c r="Q561" s="93"/>
      <c r="R561" s="93"/>
      <c r="S561" s="93"/>
      <c r="T561" s="93"/>
    </row>
    <row r="562" spans="1:20" ht="14.25" customHeight="1" x14ac:dyDescent="0.35">
      <c r="A562" s="1">
        <v>2023</v>
      </c>
      <c r="B562" s="1" t="s">
        <v>29</v>
      </c>
      <c r="C562" s="1">
        <v>13</v>
      </c>
      <c r="D562" s="49">
        <v>125.53100000000001</v>
      </c>
      <c r="E562" s="50">
        <v>107.03100000000001</v>
      </c>
      <c r="F562" s="78">
        <v>81.509</v>
      </c>
      <c r="G562" s="61">
        <v>2366.067</v>
      </c>
      <c r="H562" s="62">
        <v>6.9</v>
      </c>
      <c r="I562" s="63">
        <v>0.03</v>
      </c>
      <c r="J562" s="79">
        <v>7.625</v>
      </c>
      <c r="K562" s="65">
        <v>63.33</v>
      </c>
      <c r="L562" s="50">
        <v>5.5570000000000004</v>
      </c>
      <c r="M562" s="66">
        <v>1.4999999999999999E-2</v>
      </c>
      <c r="N562" s="57">
        <v>54.673999999999999</v>
      </c>
      <c r="O562" s="80">
        <v>6.5000000000000002E-2</v>
      </c>
      <c r="P562" s="81">
        <v>3.899</v>
      </c>
      <c r="Q562" s="93"/>
      <c r="R562" s="93"/>
      <c r="S562" s="93"/>
      <c r="T562" s="93"/>
    </row>
    <row r="563" spans="1:20" ht="14.25" customHeight="1" x14ac:dyDescent="0.35">
      <c r="A563" s="1">
        <v>2023</v>
      </c>
      <c r="B563" s="1" t="s">
        <v>29</v>
      </c>
      <c r="C563" s="1">
        <v>14</v>
      </c>
      <c r="D563" s="49">
        <v>125.953</v>
      </c>
      <c r="E563" s="50">
        <v>107.375</v>
      </c>
      <c r="F563" s="60">
        <v>81.462999999999994</v>
      </c>
      <c r="G563" s="61">
        <v>2384.0709999999999</v>
      </c>
      <c r="H563" s="62">
        <v>6.9</v>
      </c>
      <c r="I563" s="63">
        <v>0.03</v>
      </c>
      <c r="J563" s="79">
        <v>7.5270000000000001</v>
      </c>
      <c r="K563" s="82">
        <v>63.953000000000003</v>
      </c>
      <c r="L563" s="50">
        <v>5.5720000000000001</v>
      </c>
      <c r="M563" s="66">
        <v>1.4999999999999999E-2</v>
      </c>
      <c r="N563" s="57">
        <v>52.988999999999997</v>
      </c>
      <c r="O563" s="80">
        <v>6.2E-2</v>
      </c>
      <c r="P563" s="81">
        <v>3.8759999999999999</v>
      </c>
      <c r="Q563" s="93"/>
      <c r="R563" s="93"/>
      <c r="S563" s="93"/>
      <c r="T563" s="93"/>
    </row>
    <row r="564" spans="1:20" ht="14.25" customHeight="1" x14ac:dyDescent="0.35">
      <c r="A564" s="1">
        <v>2023</v>
      </c>
      <c r="B564" s="1" t="s">
        <v>29</v>
      </c>
      <c r="C564" s="1">
        <v>15</v>
      </c>
      <c r="D564" s="49">
        <v>128.01599999999999</v>
      </c>
      <c r="E564" s="50">
        <v>109.063</v>
      </c>
      <c r="F564" s="60">
        <v>81.415000000000006</v>
      </c>
      <c r="G564" s="61">
        <v>2366.6889999999999</v>
      </c>
      <c r="H564" s="62">
        <v>6.9</v>
      </c>
      <c r="I564" s="63">
        <v>0.03</v>
      </c>
      <c r="J564" s="73">
        <v>7.484</v>
      </c>
      <c r="K564" s="65">
        <v>63.991999999999997</v>
      </c>
      <c r="L564" s="50">
        <v>5.5890000000000004</v>
      </c>
      <c r="M564" s="66">
        <v>1.4999999999999999E-2</v>
      </c>
      <c r="N564" s="57">
        <v>50.744</v>
      </c>
      <c r="O564" s="75">
        <v>5.7000000000000002E-2</v>
      </c>
      <c r="P564" s="76">
        <v>3.867</v>
      </c>
      <c r="Q564" s="93"/>
      <c r="R564" s="93"/>
      <c r="S564" s="93"/>
      <c r="T564" s="93"/>
    </row>
    <row r="565" spans="1:20" ht="14.25" customHeight="1" x14ac:dyDescent="0.35">
      <c r="A565" s="1">
        <v>2023</v>
      </c>
      <c r="B565" s="1" t="s">
        <v>29</v>
      </c>
      <c r="C565" s="1">
        <v>16</v>
      </c>
      <c r="D565" s="49">
        <v>117.71899999999999</v>
      </c>
      <c r="E565" s="50">
        <v>100.313</v>
      </c>
      <c r="F565" s="60">
        <v>81.442999999999998</v>
      </c>
      <c r="G565" s="61">
        <v>2251.8879999999999</v>
      </c>
      <c r="H565" s="62">
        <v>6.9</v>
      </c>
      <c r="I565" s="63">
        <v>0.03</v>
      </c>
      <c r="J565" s="79">
        <v>7.5430000000000001</v>
      </c>
      <c r="K565" s="61">
        <v>57.807000000000002</v>
      </c>
      <c r="L565" s="62">
        <v>5.6</v>
      </c>
      <c r="M565" s="66">
        <v>1.4999999999999999E-2</v>
      </c>
      <c r="N565" s="57">
        <v>49.375</v>
      </c>
      <c r="O565" s="80">
        <v>5.2999999999999999E-2</v>
      </c>
      <c r="P565" s="81">
        <v>4.0810000000000004</v>
      </c>
      <c r="Q565" s="93"/>
      <c r="R565" s="93"/>
      <c r="S565" s="93"/>
      <c r="T565" s="93"/>
    </row>
    <row r="566" spans="1:20" ht="14.25" customHeight="1" x14ac:dyDescent="0.35">
      <c r="A566" s="1">
        <v>2023</v>
      </c>
      <c r="B566" s="1" t="s">
        <v>29</v>
      </c>
      <c r="C566" s="1">
        <v>17</v>
      </c>
      <c r="D566" s="49">
        <v>118.14100000000001</v>
      </c>
      <c r="E566" s="50">
        <v>100.59399999999999</v>
      </c>
      <c r="F566" s="60">
        <v>81.632000000000005</v>
      </c>
      <c r="G566" s="61">
        <v>2272.0639999999999</v>
      </c>
      <c r="H566" s="62">
        <v>6.9</v>
      </c>
      <c r="I566" s="63">
        <v>0.03</v>
      </c>
      <c r="J566" s="64">
        <v>7.4829999999999997</v>
      </c>
      <c r="K566" s="65">
        <v>59.17</v>
      </c>
      <c r="L566" s="50">
        <v>5.5979999999999999</v>
      </c>
      <c r="M566" s="66">
        <v>1.4999999999999999E-2</v>
      </c>
      <c r="N566" s="57">
        <v>49.512</v>
      </c>
      <c r="O566" s="67">
        <v>5.3999999999999999E-2</v>
      </c>
      <c r="P566" s="68">
        <v>3.8210000000000002</v>
      </c>
      <c r="Q566" s="93"/>
      <c r="R566" s="93"/>
      <c r="S566" s="93"/>
      <c r="T566" s="93"/>
    </row>
    <row r="567" spans="1:20" ht="14.25" customHeight="1" x14ac:dyDescent="0.35">
      <c r="A567" s="1">
        <v>2023</v>
      </c>
      <c r="B567" s="1" t="s">
        <v>29</v>
      </c>
      <c r="C567" s="1">
        <v>18</v>
      </c>
      <c r="D567" s="49">
        <v>122.28100000000001</v>
      </c>
      <c r="E567" s="50">
        <v>104.09399999999999</v>
      </c>
      <c r="F567" s="60">
        <v>81.99</v>
      </c>
      <c r="G567" s="61">
        <v>2366.2530000000002</v>
      </c>
      <c r="H567" s="62">
        <v>6.9</v>
      </c>
      <c r="I567" s="63">
        <v>0.03</v>
      </c>
      <c r="J567" s="64">
        <v>7.5529999999999999</v>
      </c>
      <c r="K567" s="61">
        <v>64.072000000000003</v>
      </c>
      <c r="L567" s="62">
        <v>5.5739999999999998</v>
      </c>
      <c r="M567" s="66">
        <v>1.4999999999999999E-2</v>
      </c>
      <c r="N567" s="57">
        <v>52.564</v>
      </c>
      <c r="O567" s="67">
        <v>6.5000000000000002E-2</v>
      </c>
      <c r="P567" s="68">
        <v>3.97</v>
      </c>
      <c r="Q567" s="93"/>
      <c r="R567" s="93"/>
      <c r="S567" s="93"/>
      <c r="T567" s="93"/>
    </row>
    <row r="568" spans="1:20" ht="14.25" customHeight="1" x14ac:dyDescent="0.35">
      <c r="A568" s="1">
        <v>2023</v>
      </c>
      <c r="B568" s="1" t="s">
        <v>29</v>
      </c>
      <c r="C568" s="1">
        <v>19</v>
      </c>
      <c r="D568" s="49">
        <v>131.797</v>
      </c>
      <c r="E568" s="50">
        <v>112.53100000000001</v>
      </c>
      <c r="F568" s="60">
        <v>82.182000000000002</v>
      </c>
      <c r="G568" s="61">
        <v>2429.7170000000001</v>
      </c>
      <c r="H568" s="62">
        <v>6.9</v>
      </c>
      <c r="I568" s="63">
        <v>0.03</v>
      </c>
      <c r="J568" s="64">
        <v>7.3520000000000003</v>
      </c>
      <c r="K568" s="65">
        <v>65.944999999999993</v>
      </c>
      <c r="L568" s="50">
        <v>5.5819999999999999</v>
      </c>
      <c r="M568" s="66">
        <v>1.4999999999999999E-2</v>
      </c>
      <c r="N568" s="57">
        <v>51.515999999999998</v>
      </c>
      <c r="O568" s="67">
        <v>6.3E-2</v>
      </c>
      <c r="P568" s="68">
        <v>3.9289999999999998</v>
      </c>
      <c r="Q568" s="93"/>
      <c r="R568" s="93"/>
      <c r="S568" s="93"/>
      <c r="T568" s="93"/>
    </row>
    <row r="569" spans="1:20" ht="14.25" customHeight="1" x14ac:dyDescent="0.35">
      <c r="A569" s="1">
        <v>2023</v>
      </c>
      <c r="B569" s="1" t="s">
        <v>29</v>
      </c>
      <c r="C569" s="1">
        <v>20</v>
      </c>
      <c r="D569" s="49">
        <v>123.01600000000001</v>
      </c>
      <c r="E569" s="50">
        <v>104.90600000000001</v>
      </c>
      <c r="F569" s="60">
        <v>82.293000000000006</v>
      </c>
      <c r="G569" s="61">
        <v>2373.1260000000002</v>
      </c>
      <c r="H569" s="62">
        <v>6.9</v>
      </c>
      <c r="I569" s="63">
        <v>0.03</v>
      </c>
      <c r="J569" s="64">
        <v>7.6180000000000003</v>
      </c>
      <c r="K569" s="61">
        <v>63.851999999999997</v>
      </c>
      <c r="L569" s="62">
        <v>5.59</v>
      </c>
      <c r="M569" s="66">
        <v>1.4999999999999999E-2</v>
      </c>
      <c r="N569" s="57">
        <v>50.694000000000003</v>
      </c>
      <c r="O569" s="67">
        <v>6.9000000000000006E-2</v>
      </c>
      <c r="P569" s="68">
        <v>4.0819999999999999</v>
      </c>
      <c r="Q569" s="93"/>
      <c r="R569" s="93"/>
      <c r="S569" s="93"/>
      <c r="T569" s="93"/>
    </row>
    <row r="570" spans="1:20" ht="14.25" customHeight="1" x14ac:dyDescent="0.35">
      <c r="A570" s="1">
        <v>2023</v>
      </c>
      <c r="B570" s="1" t="s">
        <v>29</v>
      </c>
      <c r="C570" s="1">
        <v>21</v>
      </c>
      <c r="D570" s="49">
        <v>130.453</v>
      </c>
      <c r="E570" s="50">
        <v>111.375</v>
      </c>
      <c r="F570" s="60">
        <v>82.113</v>
      </c>
      <c r="G570" s="61">
        <v>2408.826</v>
      </c>
      <c r="H570" s="62">
        <v>6.9</v>
      </c>
      <c r="I570" s="63">
        <v>0.03</v>
      </c>
      <c r="J570" s="64">
        <v>7.0380000000000003</v>
      </c>
      <c r="K570" s="65">
        <v>65.447000000000003</v>
      </c>
      <c r="L570" s="50">
        <v>5.41</v>
      </c>
      <c r="M570" s="66">
        <v>1.4999999999999999E-2</v>
      </c>
      <c r="N570" s="57">
        <v>79.488</v>
      </c>
      <c r="O570" s="67">
        <v>5.8000000000000003E-2</v>
      </c>
      <c r="P570" s="68">
        <v>4.4160000000000004</v>
      </c>
      <c r="Q570" s="93"/>
      <c r="R570" s="93"/>
      <c r="S570" s="93"/>
      <c r="T570" s="93"/>
    </row>
    <row r="571" spans="1:20" ht="14.25" customHeight="1" x14ac:dyDescent="0.35">
      <c r="A571" s="1">
        <v>2023</v>
      </c>
      <c r="B571" s="1" t="s">
        <v>29</v>
      </c>
      <c r="C571" s="1">
        <v>22</v>
      </c>
      <c r="D571" s="49">
        <v>134.65600000000001</v>
      </c>
      <c r="E571" s="50">
        <v>114.90600000000001</v>
      </c>
      <c r="F571" s="60">
        <v>82.03</v>
      </c>
      <c r="G571" s="61">
        <v>2445.5830000000001</v>
      </c>
      <c r="H571" s="62">
        <v>6.9</v>
      </c>
      <c r="I571" s="63">
        <v>2.9000000000000001E-2</v>
      </c>
      <c r="J571" s="64">
        <v>6.8789999999999996</v>
      </c>
      <c r="K571" s="61">
        <v>66.703000000000003</v>
      </c>
      <c r="L571" s="62">
        <v>5.3</v>
      </c>
      <c r="M571" s="66">
        <v>1.4999999999999999E-2</v>
      </c>
      <c r="N571" s="57">
        <v>98.524000000000001</v>
      </c>
      <c r="O571" s="67">
        <v>0.06</v>
      </c>
      <c r="P571" s="68">
        <v>4.49</v>
      </c>
      <c r="Q571" s="93"/>
      <c r="R571" s="93"/>
      <c r="S571" s="93"/>
      <c r="T571" s="93"/>
    </row>
    <row r="572" spans="1:20" ht="14.25" customHeight="1" x14ac:dyDescent="0.35">
      <c r="A572" s="1">
        <v>2023</v>
      </c>
      <c r="B572" s="1" t="s">
        <v>29</v>
      </c>
      <c r="C572" s="1">
        <v>23</v>
      </c>
      <c r="D572" s="49">
        <v>134.703</v>
      </c>
      <c r="E572" s="50">
        <v>114.96899999999999</v>
      </c>
      <c r="F572" s="60">
        <v>82.097999999999999</v>
      </c>
      <c r="G572" s="61">
        <v>2400.0949999999998</v>
      </c>
      <c r="H572" s="62">
        <v>6.9</v>
      </c>
      <c r="I572" s="63">
        <v>0.03</v>
      </c>
      <c r="J572" s="64">
        <v>6.78</v>
      </c>
      <c r="K572" s="65">
        <v>65.374700000000004</v>
      </c>
      <c r="L572" s="50">
        <v>5.2869999999999999</v>
      </c>
      <c r="M572" s="66">
        <v>1.46E-2</v>
      </c>
      <c r="N572" s="57">
        <v>101.42019999999999</v>
      </c>
      <c r="O572" s="67">
        <v>5.3400000000000003E-2</v>
      </c>
      <c r="P572" s="68">
        <v>4.415</v>
      </c>
      <c r="Q572" s="93"/>
      <c r="R572" s="93"/>
      <c r="S572" s="93"/>
      <c r="T572" s="93"/>
    </row>
    <row r="573" spans="1:20" ht="14.25" customHeight="1" x14ac:dyDescent="0.35">
      <c r="A573" s="1">
        <v>2023</v>
      </c>
      <c r="B573" s="1" t="s">
        <v>29</v>
      </c>
      <c r="C573" s="1">
        <v>24</v>
      </c>
      <c r="D573" s="49">
        <v>133.01599999999999</v>
      </c>
      <c r="E573" s="50">
        <v>113.53100000000001</v>
      </c>
      <c r="F573" s="60">
        <v>82.19</v>
      </c>
      <c r="G573" s="61">
        <v>2384.8629999999998</v>
      </c>
      <c r="H573" s="62">
        <v>6.9</v>
      </c>
      <c r="I573" s="63">
        <v>0.03</v>
      </c>
      <c r="J573" s="64">
        <v>6.8739999999999997</v>
      </c>
      <c r="K573" s="61">
        <v>65.275999999999996</v>
      </c>
      <c r="L573" s="62">
        <v>5.3150000000000004</v>
      </c>
      <c r="M573" s="66">
        <v>1.4999999999999999E-2</v>
      </c>
      <c r="N573" s="57">
        <v>95.378</v>
      </c>
      <c r="O573" s="67">
        <v>5.2999999999999999E-2</v>
      </c>
      <c r="P573" s="68">
        <v>4.7460000000000004</v>
      </c>
      <c r="Q573" s="93"/>
      <c r="R573" s="93"/>
      <c r="S573" s="93"/>
      <c r="T573" s="93"/>
    </row>
    <row r="574" spans="1:20" ht="14.25" customHeight="1" x14ac:dyDescent="0.35">
      <c r="A574" s="1">
        <v>2023</v>
      </c>
      <c r="B574" s="1" t="s">
        <v>29</v>
      </c>
      <c r="C574" s="1">
        <v>25</v>
      </c>
      <c r="D574" s="49">
        <v>134.578</v>
      </c>
      <c r="E574" s="50">
        <v>114.813</v>
      </c>
      <c r="F574" s="60">
        <v>82.558000000000007</v>
      </c>
      <c r="G574" s="61">
        <v>2415.9290000000001</v>
      </c>
      <c r="H574" s="62">
        <v>6.9</v>
      </c>
      <c r="I574" s="63">
        <v>0.03</v>
      </c>
      <c r="J574" s="64">
        <v>7.1989999999999998</v>
      </c>
      <c r="K574" s="65">
        <v>66.64</v>
      </c>
      <c r="L574" s="50">
        <v>5.3310000000000004</v>
      </c>
      <c r="M574" s="66">
        <v>1.4999999999999999E-2</v>
      </c>
      <c r="N574" s="57">
        <v>91.92</v>
      </c>
      <c r="O574" s="67">
        <v>6.2E-2</v>
      </c>
      <c r="P574" s="68">
        <v>4.2169999999999996</v>
      </c>
      <c r="Q574" s="93"/>
      <c r="R574" s="93"/>
      <c r="S574" s="93"/>
      <c r="T574" s="93"/>
    </row>
    <row r="575" spans="1:20" ht="14.25" customHeight="1" x14ac:dyDescent="0.35">
      <c r="A575" s="1">
        <v>2023</v>
      </c>
      <c r="B575" s="1" t="s">
        <v>29</v>
      </c>
      <c r="C575" s="1">
        <v>26</v>
      </c>
      <c r="D575" s="49">
        <v>134.71899999999999</v>
      </c>
      <c r="E575" s="50">
        <v>114.938</v>
      </c>
      <c r="F575" s="60">
        <v>82.960999999999999</v>
      </c>
      <c r="G575" s="61">
        <v>2415.2820000000002</v>
      </c>
      <c r="H575" s="62">
        <v>6.9009999999999998</v>
      </c>
      <c r="I575" s="63">
        <v>0.03</v>
      </c>
      <c r="J575" s="64">
        <v>6.9589999999999996</v>
      </c>
      <c r="K575" s="61">
        <v>66.77</v>
      </c>
      <c r="L575" s="62">
        <v>5.3220000000000001</v>
      </c>
      <c r="M575" s="66">
        <v>1.4999999999999999E-2</v>
      </c>
      <c r="N575" s="57">
        <v>94.02</v>
      </c>
      <c r="O575" s="67">
        <v>5.7000000000000002E-2</v>
      </c>
      <c r="P575" s="68">
        <v>4.1820000000000004</v>
      </c>
      <c r="Q575" s="93"/>
      <c r="R575" s="93"/>
      <c r="S575" s="93"/>
      <c r="T575" s="93"/>
    </row>
    <row r="576" spans="1:20" ht="14.25" customHeight="1" x14ac:dyDescent="0.35">
      <c r="A576" s="1">
        <v>2023</v>
      </c>
      <c r="B576" s="1" t="s">
        <v>29</v>
      </c>
      <c r="C576" s="1">
        <v>27</v>
      </c>
      <c r="D576" s="12">
        <v>136.078</v>
      </c>
      <c r="E576" s="13">
        <v>116.03100000000001</v>
      </c>
      <c r="F576" s="60">
        <v>82.981999999999999</v>
      </c>
      <c r="G576" s="61">
        <v>2437.1210000000001</v>
      </c>
      <c r="H576" s="62">
        <v>6.9</v>
      </c>
      <c r="I576" s="63">
        <v>0.03</v>
      </c>
      <c r="J576" s="64">
        <v>6.9249999999999998</v>
      </c>
      <c r="K576" s="65">
        <v>67.177000000000007</v>
      </c>
      <c r="L576" s="50">
        <v>5.2809999999999997</v>
      </c>
      <c r="M576" s="66">
        <v>1.4999999999999999E-2</v>
      </c>
      <c r="N576" s="57">
        <v>103.078</v>
      </c>
      <c r="O576" s="67">
        <v>5.7000000000000002E-2</v>
      </c>
      <c r="P576" s="68">
        <v>4.1710000000000003</v>
      </c>
      <c r="Q576" s="93"/>
      <c r="R576" s="93"/>
      <c r="S576" s="93"/>
      <c r="T576" s="93"/>
    </row>
    <row r="577" spans="1:20" ht="14.25" customHeight="1" x14ac:dyDescent="0.35">
      <c r="A577" s="1">
        <v>2023</v>
      </c>
      <c r="B577" s="1" t="s">
        <v>29</v>
      </c>
      <c r="C577" s="1">
        <v>28</v>
      </c>
      <c r="D577" s="12">
        <v>140.46899999999999</v>
      </c>
      <c r="E577" s="13">
        <v>119.813</v>
      </c>
      <c r="F577" s="60">
        <v>82.81</v>
      </c>
      <c r="G577" s="61">
        <v>2403.8069999999998</v>
      </c>
      <c r="H577" s="62">
        <v>6.9</v>
      </c>
      <c r="I577" s="63">
        <v>0.03</v>
      </c>
      <c r="J577" s="64">
        <v>6.7930000000000001</v>
      </c>
      <c r="K577" s="61">
        <v>66.537999999999997</v>
      </c>
      <c r="L577" s="62">
        <v>5.3010000000000002</v>
      </c>
      <c r="M577" s="66">
        <v>1.4E-2</v>
      </c>
      <c r="N577" s="57">
        <v>98.256</v>
      </c>
      <c r="O577" s="67">
        <v>5.5E-2</v>
      </c>
      <c r="P577" s="68">
        <v>3.964</v>
      </c>
      <c r="Q577" s="93"/>
      <c r="R577" s="93"/>
      <c r="S577" s="93"/>
      <c r="T577" s="93"/>
    </row>
    <row r="578" spans="1:20" ht="14.25" customHeight="1" x14ac:dyDescent="0.35">
      <c r="A578" s="1">
        <v>2023</v>
      </c>
      <c r="B578" s="1" t="s">
        <v>29</v>
      </c>
      <c r="C578" s="1">
        <v>29</v>
      </c>
      <c r="D578" s="12">
        <v>138.75</v>
      </c>
      <c r="E578" s="13">
        <v>118.28100000000001</v>
      </c>
      <c r="F578" s="83">
        <v>82.686999999999998</v>
      </c>
      <c r="G578" s="69">
        <v>2388.7489999999998</v>
      </c>
      <c r="H578" s="50">
        <v>6.9</v>
      </c>
      <c r="I578" s="66">
        <v>0.03</v>
      </c>
      <c r="J578" s="50">
        <v>6.7210000000000001</v>
      </c>
      <c r="K578" s="61">
        <v>68.198999999999998</v>
      </c>
      <c r="L578" s="62">
        <v>5.3070000000000004</v>
      </c>
      <c r="M578" s="66">
        <v>1.4999999999999999E-2</v>
      </c>
      <c r="N578" s="57">
        <v>97.073999999999998</v>
      </c>
      <c r="O578" s="84">
        <v>5.0999999999999997E-2</v>
      </c>
      <c r="P578" s="71">
        <v>4.1139999999999999</v>
      </c>
      <c r="Q578" s="93"/>
      <c r="R578" s="93"/>
      <c r="S578" s="93"/>
      <c r="T578" s="93"/>
    </row>
    <row r="579" spans="1:20" ht="14.25" customHeight="1" x14ac:dyDescent="0.35">
      <c r="A579" s="1">
        <v>2023</v>
      </c>
      <c r="B579" s="1" t="s">
        <v>29</v>
      </c>
      <c r="C579" s="1">
        <v>30</v>
      </c>
      <c r="D579" s="12">
        <v>136.06299999999999</v>
      </c>
      <c r="E579" s="13">
        <v>116.03100000000001</v>
      </c>
      <c r="F579" s="83">
        <v>82.894999999999996</v>
      </c>
      <c r="G579" s="69">
        <v>2369.4580000000001</v>
      </c>
      <c r="H579" s="50">
        <v>6.9</v>
      </c>
      <c r="I579" s="66">
        <v>0.03</v>
      </c>
      <c r="J579" s="50">
        <v>6.5970000000000004</v>
      </c>
      <c r="K579" s="61">
        <v>66.394999999999996</v>
      </c>
      <c r="L579" s="62">
        <v>5.2910000000000004</v>
      </c>
      <c r="M579" s="66">
        <v>1.4999999999999999E-2</v>
      </c>
      <c r="N579" s="57">
        <v>100.703</v>
      </c>
      <c r="O579" s="84">
        <v>4.9000000000000002E-2</v>
      </c>
      <c r="P579" s="71">
        <v>4.2279999999999998</v>
      </c>
      <c r="Q579" s="93"/>
      <c r="R579" s="93"/>
      <c r="S579" s="93"/>
      <c r="T579" s="93"/>
    </row>
    <row r="580" spans="1:20" ht="14.25" customHeight="1" x14ac:dyDescent="0.35">
      <c r="A580" s="1">
        <v>2023</v>
      </c>
      <c r="B580" s="1" t="s">
        <v>29</v>
      </c>
      <c r="C580" s="1">
        <v>31</v>
      </c>
      <c r="D580" s="85">
        <v>136.625</v>
      </c>
      <c r="E580" s="86">
        <v>116.09399999999999</v>
      </c>
      <c r="F580" s="87">
        <v>83.105000000000004</v>
      </c>
      <c r="G580" s="88">
        <v>2383.058</v>
      </c>
      <c r="H580" s="89">
        <v>6.9</v>
      </c>
      <c r="I580" s="90">
        <v>0.03</v>
      </c>
      <c r="J580" s="89">
        <v>6.6959999999999997</v>
      </c>
      <c r="K580" s="61">
        <v>65.953000000000003</v>
      </c>
      <c r="L580" s="64">
        <v>5.3070000000000004</v>
      </c>
      <c r="M580" s="66">
        <v>1.4999999999999999E-2</v>
      </c>
      <c r="N580" s="57">
        <v>97.358000000000004</v>
      </c>
      <c r="O580" s="66">
        <v>4.9000000000000002E-2</v>
      </c>
      <c r="P580" s="91">
        <v>4.1509999999999998</v>
      </c>
      <c r="Q580" s="93"/>
      <c r="R580" s="93"/>
      <c r="S580" s="93"/>
      <c r="T580" s="93"/>
    </row>
    <row r="581" spans="1:20" ht="14.25" customHeight="1" x14ac:dyDescent="0.35">
      <c r="A581" s="1">
        <v>2023</v>
      </c>
      <c r="B581" s="1" t="s">
        <v>30</v>
      </c>
      <c r="C581" s="1">
        <v>1</v>
      </c>
      <c r="D581" s="49">
        <v>136.43799999999999</v>
      </c>
      <c r="E581" s="50">
        <v>115.78100000000001</v>
      </c>
      <c r="F581" s="51">
        <v>83.29</v>
      </c>
      <c r="G581" s="52">
        <v>2470.8449999999998</v>
      </c>
      <c r="H581" s="53">
        <v>6.9</v>
      </c>
      <c r="I581" s="54">
        <v>0.03</v>
      </c>
      <c r="J581" s="55">
        <v>6.8819999999999997</v>
      </c>
      <c r="K581" s="52">
        <v>67.834999999999994</v>
      </c>
      <c r="L581" s="55">
        <v>5.3209999999999997</v>
      </c>
      <c r="M581" s="56">
        <v>1.4999999999999999E-2</v>
      </c>
      <c r="N581" s="57">
        <v>94.016999999999996</v>
      </c>
      <c r="O581" s="58">
        <v>5.3999999999999999E-2</v>
      </c>
      <c r="P581" s="59">
        <v>4.258</v>
      </c>
      <c r="Q581" s="93"/>
      <c r="R581" s="93"/>
      <c r="S581" s="93"/>
      <c r="T581" s="93"/>
    </row>
    <row r="582" spans="1:20" ht="14.25" customHeight="1" x14ac:dyDescent="0.35">
      <c r="A582" s="1">
        <v>2023</v>
      </c>
      <c r="B582" s="1" t="s">
        <v>30</v>
      </c>
      <c r="C582" s="1">
        <v>2</v>
      </c>
      <c r="D582" s="49">
        <v>135.59399999999999</v>
      </c>
      <c r="E582" s="50">
        <v>114.90600000000001</v>
      </c>
      <c r="F582" s="60">
        <v>83.262</v>
      </c>
      <c r="G582" s="61">
        <v>2547.5189999999998</v>
      </c>
      <c r="H582" s="62">
        <v>6.9</v>
      </c>
      <c r="I582" s="63">
        <v>3.1E-2</v>
      </c>
      <c r="J582" s="64">
        <v>6.7409999999999997</v>
      </c>
      <c r="K582" s="65">
        <v>69.641000000000005</v>
      </c>
      <c r="L582" s="50">
        <v>5.2859999999999996</v>
      </c>
      <c r="M582" s="66">
        <v>1.4999999999999999E-2</v>
      </c>
      <c r="N582" s="57">
        <v>101.629</v>
      </c>
      <c r="O582" s="67">
        <v>5.3999999999999999E-2</v>
      </c>
      <c r="P582" s="68">
        <v>4.3209999999999997</v>
      </c>
      <c r="Q582" s="93"/>
      <c r="R582" s="93"/>
      <c r="S582" s="93"/>
      <c r="T582" s="93"/>
    </row>
    <row r="583" spans="1:20" ht="14.25" customHeight="1" x14ac:dyDescent="0.35">
      <c r="A583" s="1">
        <v>2023</v>
      </c>
      <c r="B583" s="1" t="s">
        <v>30</v>
      </c>
      <c r="C583" s="1">
        <v>3</v>
      </c>
      <c r="D583" s="49">
        <v>135.453</v>
      </c>
      <c r="E583" s="50">
        <v>114.938</v>
      </c>
      <c r="F583" s="60">
        <v>82.869</v>
      </c>
      <c r="G583" s="61">
        <v>2545.9659999999999</v>
      </c>
      <c r="H583" s="62">
        <v>6.9</v>
      </c>
      <c r="I583" s="63">
        <v>0.03</v>
      </c>
      <c r="J583" s="64">
        <v>6.83</v>
      </c>
      <c r="K583" s="65">
        <v>73.846000000000004</v>
      </c>
      <c r="L583" s="50">
        <v>5.2930000000000001</v>
      </c>
      <c r="M583" s="66">
        <v>1.4999999999999999E-2</v>
      </c>
      <c r="N583" s="57">
        <v>100.706</v>
      </c>
      <c r="O583" s="67">
        <v>5.5E-2</v>
      </c>
      <c r="P583" s="68">
        <v>4.1500000000000004</v>
      </c>
      <c r="Q583" s="93"/>
      <c r="R583" s="93"/>
      <c r="S583" s="93"/>
      <c r="T583" s="93"/>
    </row>
    <row r="584" spans="1:20" ht="14.25" customHeight="1" x14ac:dyDescent="0.35">
      <c r="A584" s="1">
        <v>2023</v>
      </c>
      <c r="B584" s="1" t="s">
        <v>30</v>
      </c>
      <c r="C584" s="1">
        <v>4</v>
      </c>
      <c r="D584" s="49">
        <v>135.48400000000001</v>
      </c>
      <c r="E584" s="50">
        <v>114.96899999999999</v>
      </c>
      <c r="F584" s="60">
        <v>82.759</v>
      </c>
      <c r="G584" s="61">
        <v>2515.0140000000001</v>
      </c>
      <c r="H584" s="62">
        <v>6.9</v>
      </c>
      <c r="I584" s="63">
        <v>0.03</v>
      </c>
      <c r="J584" s="64">
        <v>6.6909999999999998</v>
      </c>
      <c r="K584" s="65">
        <v>70.256</v>
      </c>
      <c r="L584" s="50">
        <v>5.0789999999999997</v>
      </c>
      <c r="M584" s="66">
        <v>1.4999999999999999E-2</v>
      </c>
      <c r="N584" s="57">
        <v>180.53</v>
      </c>
      <c r="O584" s="67">
        <v>5.1999999999999998E-2</v>
      </c>
      <c r="P584" s="68">
        <v>4.2960000000000003</v>
      </c>
      <c r="Q584" s="93"/>
      <c r="R584" s="93"/>
      <c r="S584" s="93"/>
      <c r="T584" s="93"/>
    </row>
    <row r="585" spans="1:20" ht="14.25" customHeight="1" x14ac:dyDescent="0.35">
      <c r="A585" s="1">
        <v>2023</v>
      </c>
      <c r="B585" s="1" t="s">
        <v>30</v>
      </c>
      <c r="C585" s="1">
        <v>5</v>
      </c>
      <c r="D585" s="49">
        <v>135.5</v>
      </c>
      <c r="E585" s="50">
        <v>115</v>
      </c>
      <c r="F585" s="60">
        <v>83.066999999999993</v>
      </c>
      <c r="G585" s="61">
        <v>2493.8649999999998</v>
      </c>
      <c r="H585" s="62">
        <v>6.9</v>
      </c>
      <c r="I585" s="63">
        <v>0.03</v>
      </c>
      <c r="J585" s="64">
        <v>6.5819999999999999</v>
      </c>
      <c r="K585" s="65">
        <v>70.338999999999999</v>
      </c>
      <c r="L585" s="50">
        <v>4.8769999999999998</v>
      </c>
      <c r="M585" s="66">
        <v>1.6E-2</v>
      </c>
      <c r="N585" s="57">
        <v>260.512</v>
      </c>
      <c r="O585" s="67">
        <v>5.3999999999999999E-2</v>
      </c>
      <c r="P585" s="68">
        <v>4.2640000000000002</v>
      </c>
      <c r="Q585" s="93"/>
      <c r="R585" s="93"/>
      <c r="S585" s="93"/>
      <c r="T585" s="93"/>
    </row>
    <row r="586" spans="1:20" ht="14.25" customHeight="1" x14ac:dyDescent="0.35">
      <c r="A586" s="1">
        <v>2023</v>
      </c>
      <c r="B586" s="1" t="s">
        <v>30</v>
      </c>
      <c r="C586" s="1">
        <v>6</v>
      </c>
      <c r="D586" s="49">
        <v>135.25</v>
      </c>
      <c r="E586" s="50">
        <v>114.96899999999999</v>
      </c>
      <c r="F586" s="60">
        <v>83.046000000000006</v>
      </c>
      <c r="G586" s="61">
        <v>2335.0770000000002</v>
      </c>
      <c r="H586" s="62">
        <v>6.9</v>
      </c>
      <c r="I586" s="63">
        <v>0.03</v>
      </c>
      <c r="J586" s="64">
        <v>6.7009999999999996</v>
      </c>
      <c r="K586" s="65">
        <v>67.680999999999997</v>
      </c>
      <c r="L586" s="50">
        <v>4.891</v>
      </c>
      <c r="M586" s="66">
        <v>1.6E-2</v>
      </c>
      <c r="N586" s="57">
        <v>252.565</v>
      </c>
      <c r="O586" s="67">
        <v>5.0999999999999997E-2</v>
      </c>
      <c r="P586" s="68">
        <v>4.4589999999999996</v>
      </c>
      <c r="Q586" s="93"/>
      <c r="R586" s="93"/>
      <c r="S586" s="93"/>
      <c r="T586" s="93"/>
    </row>
    <row r="587" spans="1:20" ht="14.25" customHeight="1" x14ac:dyDescent="0.35">
      <c r="A587" s="1">
        <v>2023</v>
      </c>
      <c r="B587" s="1" t="s">
        <v>30</v>
      </c>
      <c r="C587" s="1">
        <v>7</v>
      </c>
      <c r="D587" s="49">
        <v>127.828</v>
      </c>
      <c r="E587" s="50">
        <v>108.5</v>
      </c>
      <c r="F587" s="60">
        <v>83.18</v>
      </c>
      <c r="G587" s="61">
        <v>1907.011</v>
      </c>
      <c r="H587" s="62">
        <v>6.9</v>
      </c>
      <c r="I587" s="63">
        <v>0.03</v>
      </c>
      <c r="J587" s="64">
        <v>7.391</v>
      </c>
      <c r="K587" s="65">
        <v>52.198</v>
      </c>
      <c r="L587" s="50">
        <v>4.859</v>
      </c>
      <c r="M587" s="66">
        <v>1.6E-2</v>
      </c>
      <c r="N587" s="57">
        <v>271.60000000000002</v>
      </c>
      <c r="O587" s="67">
        <v>5.0999999999999997E-2</v>
      </c>
      <c r="P587" s="68">
        <v>4.4980000000000002</v>
      </c>
      <c r="Q587" s="93"/>
      <c r="R587" s="93"/>
      <c r="S587" s="93"/>
      <c r="T587" s="93"/>
    </row>
    <row r="588" spans="1:20" ht="14.25" customHeight="1" x14ac:dyDescent="0.35">
      <c r="A588" s="1">
        <v>2023</v>
      </c>
      <c r="B588" s="1" t="s">
        <v>30</v>
      </c>
      <c r="C588" s="1">
        <v>8</v>
      </c>
      <c r="D588" s="49">
        <v>110.23399999999999</v>
      </c>
      <c r="E588" s="50">
        <v>93.125</v>
      </c>
      <c r="F588" s="60">
        <v>83.481999999999999</v>
      </c>
      <c r="G588" s="69">
        <v>1724.3440000000001</v>
      </c>
      <c r="H588" s="62">
        <v>6.9</v>
      </c>
      <c r="I588" s="63">
        <v>0.03</v>
      </c>
      <c r="J588" s="50">
        <v>7.9340000000000002</v>
      </c>
      <c r="K588" s="65">
        <v>46.588999999999999</v>
      </c>
      <c r="L588" s="50">
        <v>4.8550000000000004</v>
      </c>
      <c r="M588" s="66">
        <v>1.6E-2</v>
      </c>
      <c r="N588" s="57">
        <v>274.32799999999997</v>
      </c>
      <c r="O588" s="70">
        <v>5.7000000000000002E-2</v>
      </c>
      <c r="P588" s="71">
        <v>4.7110000000000003</v>
      </c>
      <c r="Q588" s="93"/>
      <c r="R588" s="93"/>
      <c r="S588" s="93"/>
      <c r="T588" s="93"/>
    </row>
    <row r="589" spans="1:20" ht="14.25" customHeight="1" x14ac:dyDescent="0.35">
      <c r="A589" s="1">
        <v>2023</v>
      </c>
      <c r="B589" s="1" t="s">
        <v>30</v>
      </c>
      <c r="C589" s="1">
        <v>9</v>
      </c>
      <c r="D589" s="49">
        <v>111.64100000000001</v>
      </c>
      <c r="E589" s="50">
        <v>94.468999999999994</v>
      </c>
      <c r="F589" s="60">
        <v>83.494</v>
      </c>
      <c r="G589" s="61">
        <v>1722.4580000000001</v>
      </c>
      <c r="H589" s="62">
        <v>6.9</v>
      </c>
      <c r="I589" s="63">
        <v>3.1E-2</v>
      </c>
      <c r="J589" s="64">
        <v>4.8150000000000004</v>
      </c>
      <c r="K589" s="65">
        <v>47.289000000000001</v>
      </c>
      <c r="L589" s="50">
        <v>4.8520000000000003</v>
      </c>
      <c r="M589" s="66">
        <v>1.6E-2</v>
      </c>
      <c r="N589" s="57">
        <v>276.44799999999998</v>
      </c>
      <c r="O589" s="67">
        <v>5.8999999999999997E-2</v>
      </c>
      <c r="P589" s="68">
        <v>7.9</v>
      </c>
      <c r="Q589" s="93"/>
      <c r="R589" s="93"/>
      <c r="S589" s="93"/>
      <c r="T589" s="93"/>
    </row>
    <row r="590" spans="1:20" ht="14.25" customHeight="1" x14ac:dyDescent="0.35">
      <c r="A590" s="1">
        <v>2023</v>
      </c>
      <c r="B590" s="1" t="s">
        <v>30</v>
      </c>
      <c r="C590" s="1">
        <v>10</v>
      </c>
      <c r="D590" s="49">
        <v>118.14100000000001</v>
      </c>
      <c r="E590" s="50">
        <v>99.968999999999994</v>
      </c>
      <c r="F590" s="72">
        <v>83.471000000000004</v>
      </c>
      <c r="G590" s="61">
        <v>1713.144</v>
      </c>
      <c r="H590" s="62">
        <v>6.9</v>
      </c>
      <c r="I590" s="63">
        <v>3.1E-2</v>
      </c>
      <c r="J590" s="73">
        <v>7.6479999999999997</v>
      </c>
      <c r="K590" s="65">
        <v>46.753</v>
      </c>
      <c r="L590" s="50">
        <v>5.15</v>
      </c>
      <c r="M590" s="74">
        <v>1.6E-2</v>
      </c>
      <c r="N590" s="57">
        <v>171.697</v>
      </c>
      <c r="O590" s="75">
        <v>5.6000000000000001E-2</v>
      </c>
      <c r="P590" s="76">
        <v>5.3079999999999998</v>
      </c>
      <c r="Q590" s="93"/>
      <c r="R590" s="93"/>
      <c r="S590" s="93"/>
      <c r="T590" s="93"/>
    </row>
    <row r="591" spans="1:20" ht="14.25" customHeight="1" x14ac:dyDescent="0.35">
      <c r="A591" s="1">
        <v>2023</v>
      </c>
      <c r="B591" s="1" t="s">
        <v>30</v>
      </c>
      <c r="C591" s="1">
        <v>11</v>
      </c>
      <c r="D591" s="49">
        <v>117.98399999999999</v>
      </c>
      <c r="E591" s="50">
        <v>99.968999999999994</v>
      </c>
      <c r="F591" s="72">
        <v>83.498000000000005</v>
      </c>
      <c r="G591" s="61">
        <v>1641.1849999999999</v>
      </c>
      <c r="H591" s="62">
        <v>6.9</v>
      </c>
      <c r="I591" s="63">
        <v>0.03</v>
      </c>
      <c r="J591" s="77">
        <v>7.5369999999999999</v>
      </c>
      <c r="K591" s="65">
        <v>43.779000000000003</v>
      </c>
      <c r="L591" s="50">
        <v>5.2610000000000001</v>
      </c>
      <c r="M591" s="74">
        <v>1.6E-2</v>
      </c>
      <c r="N591" s="57">
        <v>109.383</v>
      </c>
      <c r="O591" s="75">
        <v>5.7000000000000002E-2</v>
      </c>
      <c r="P591" s="76">
        <v>7.8849999999999998</v>
      </c>
      <c r="Q591" s="93"/>
      <c r="R591" s="93"/>
      <c r="S591" s="93"/>
      <c r="T591" s="93"/>
    </row>
    <row r="592" spans="1:20" ht="14.25" customHeight="1" x14ac:dyDescent="0.35">
      <c r="A592" s="1">
        <v>2023</v>
      </c>
      <c r="B592" s="1" t="s">
        <v>30</v>
      </c>
      <c r="C592" s="1">
        <v>12</v>
      </c>
      <c r="D592" s="49">
        <v>112.75</v>
      </c>
      <c r="E592" s="50">
        <v>95.813000000000002</v>
      </c>
      <c r="F592" s="72">
        <v>83.494</v>
      </c>
      <c r="G592" s="61">
        <v>1603.3389999999999</v>
      </c>
      <c r="H592" s="62">
        <v>6.9</v>
      </c>
      <c r="I592" s="63">
        <v>0.03</v>
      </c>
      <c r="J592" s="73">
        <v>7.65</v>
      </c>
      <c r="K592" s="65">
        <v>43.755000000000003</v>
      </c>
      <c r="L592" s="50">
        <v>5.202</v>
      </c>
      <c r="M592" s="74">
        <v>1.6E-2</v>
      </c>
      <c r="N592" s="57">
        <v>123.666</v>
      </c>
      <c r="O592" s="75">
        <v>5.8999999999999997E-2</v>
      </c>
      <c r="P592" s="76">
        <v>6.1749999999999998</v>
      </c>
      <c r="Q592" s="93"/>
      <c r="R592" s="93"/>
      <c r="S592" s="93"/>
      <c r="T592" s="93"/>
    </row>
    <row r="593" spans="1:20" ht="14.25" customHeight="1" x14ac:dyDescent="0.35">
      <c r="A593" s="1">
        <v>2023</v>
      </c>
      <c r="B593" s="1" t="s">
        <v>30</v>
      </c>
      <c r="C593" s="1">
        <v>13</v>
      </c>
      <c r="D593" s="49">
        <v>110.48399999999999</v>
      </c>
      <c r="E593" s="50">
        <v>94.25</v>
      </c>
      <c r="F593" s="78">
        <v>83.494</v>
      </c>
      <c r="G593" s="61">
        <v>1527.136</v>
      </c>
      <c r="H593" s="62">
        <v>6.9</v>
      </c>
      <c r="I593" s="63">
        <v>0.03</v>
      </c>
      <c r="J593" s="79">
        <v>7.6349999999999998</v>
      </c>
      <c r="K593" s="65">
        <v>40.234999999999999</v>
      </c>
      <c r="L593" s="50">
        <v>5.1970000000000001</v>
      </c>
      <c r="M593" s="66">
        <v>1.6E-2</v>
      </c>
      <c r="N593" s="57">
        <v>123.666</v>
      </c>
      <c r="O593" s="80">
        <v>5.3999999999999999E-2</v>
      </c>
      <c r="P593" s="81">
        <v>5.8959999999999999</v>
      </c>
      <c r="Q593" s="93"/>
      <c r="R593" s="93"/>
      <c r="S593" s="93"/>
      <c r="T593" s="93"/>
    </row>
    <row r="594" spans="1:20" ht="14.25" customHeight="1" x14ac:dyDescent="0.35">
      <c r="A594" s="1">
        <v>2023</v>
      </c>
      <c r="B594" s="1" t="s">
        <v>30</v>
      </c>
      <c r="C594" s="1">
        <v>14</v>
      </c>
      <c r="D594" s="49">
        <v>109.75</v>
      </c>
      <c r="E594" s="50">
        <v>93.75</v>
      </c>
      <c r="F594" s="60">
        <v>83.340999999999994</v>
      </c>
      <c r="G594" s="61">
        <v>1522.4659999999999</v>
      </c>
      <c r="H594" s="62">
        <v>6.9</v>
      </c>
      <c r="I594" s="63">
        <v>3.1E-2</v>
      </c>
      <c r="J594" s="79">
        <v>7.7480000000000002</v>
      </c>
      <c r="K594" s="82">
        <v>37.664000000000001</v>
      </c>
      <c r="L594" s="50">
        <v>5.1829999999999998</v>
      </c>
      <c r="M594" s="66">
        <v>1.6E-2</v>
      </c>
      <c r="N594" s="57">
        <v>128.71</v>
      </c>
      <c r="O594" s="80">
        <v>0.06</v>
      </c>
      <c r="P594" s="81">
        <v>5.1520000000000001</v>
      </c>
      <c r="Q594" s="93"/>
      <c r="R594" s="93"/>
      <c r="S594" s="93"/>
      <c r="T594" s="93"/>
    </row>
    <row r="595" spans="1:20" ht="14.25" customHeight="1" x14ac:dyDescent="0.35">
      <c r="A595" s="1">
        <v>2023</v>
      </c>
      <c r="B595" s="1" t="s">
        <v>30</v>
      </c>
      <c r="C595" s="1">
        <v>15</v>
      </c>
      <c r="D595" s="49">
        <v>111.59399999999999</v>
      </c>
      <c r="E595" s="50">
        <v>94.968999999999994</v>
      </c>
      <c r="F595" s="60">
        <v>83.575999999999993</v>
      </c>
      <c r="G595" s="61">
        <v>1581.1489999999999</v>
      </c>
      <c r="H595" s="62">
        <v>6.9</v>
      </c>
      <c r="I595" s="63">
        <v>3.1E-2</v>
      </c>
      <c r="J595" s="73">
        <v>7.835</v>
      </c>
      <c r="K595" s="65">
        <v>36.759</v>
      </c>
      <c r="L595" s="50">
        <v>5.1630000000000003</v>
      </c>
      <c r="M595" s="66">
        <v>1.6E-2</v>
      </c>
      <c r="N595" s="57">
        <v>135.08199999999999</v>
      </c>
      <c r="O595" s="75">
        <v>6.4000000000000001E-2</v>
      </c>
      <c r="P595" s="76">
        <v>4.6959999999999997</v>
      </c>
      <c r="Q595" s="93"/>
      <c r="R595" s="93"/>
      <c r="S595" s="93"/>
      <c r="T595" s="93"/>
    </row>
    <row r="596" spans="1:20" ht="14.25" customHeight="1" x14ac:dyDescent="0.35">
      <c r="A596" s="1">
        <v>2023</v>
      </c>
      <c r="B596" s="1" t="s">
        <v>30</v>
      </c>
      <c r="C596" s="1">
        <v>16</v>
      </c>
      <c r="D596" s="49">
        <v>115.73399999999999</v>
      </c>
      <c r="E596" s="50">
        <v>98.313000000000002</v>
      </c>
      <c r="F596" s="60">
        <v>83.853999999999999</v>
      </c>
      <c r="G596" s="61">
        <v>1632.404</v>
      </c>
      <c r="H596" s="62">
        <v>6.9</v>
      </c>
      <c r="I596" s="63">
        <v>3.2000000000000001E-2</v>
      </c>
      <c r="J596" s="79">
        <v>7.7750000000000004</v>
      </c>
      <c r="K596" s="61">
        <v>37.384999999999998</v>
      </c>
      <c r="L596" s="62">
        <v>5.1269999999999998</v>
      </c>
      <c r="M596" s="66">
        <v>1.6E-2</v>
      </c>
      <c r="N596" s="57">
        <v>147.374</v>
      </c>
      <c r="O596" s="80">
        <v>6.5000000000000002E-2</v>
      </c>
      <c r="P596" s="81">
        <v>4.2430000000000003</v>
      </c>
      <c r="Q596" s="93"/>
      <c r="R596" s="93"/>
      <c r="S596" s="93"/>
      <c r="T596" s="93"/>
    </row>
    <row r="597" spans="1:20" ht="14.25" customHeight="1" x14ac:dyDescent="0.35">
      <c r="A597" s="1">
        <v>2023</v>
      </c>
      <c r="B597" s="1" t="s">
        <v>30</v>
      </c>
      <c r="C597" s="1">
        <v>17</v>
      </c>
      <c r="D597" s="49">
        <v>113.422</v>
      </c>
      <c r="E597" s="50">
        <v>96.281000000000006</v>
      </c>
      <c r="F597" s="60">
        <v>83.587999999999994</v>
      </c>
      <c r="G597" s="61">
        <v>1609.693</v>
      </c>
      <c r="H597" s="62">
        <v>6.9</v>
      </c>
      <c r="I597" s="63">
        <v>3.1E-2</v>
      </c>
      <c r="J597" s="64">
        <v>7.6619999999999999</v>
      </c>
      <c r="K597" s="65">
        <v>36.912999999999997</v>
      </c>
      <c r="L597" s="50">
        <v>5.1130000000000004</v>
      </c>
      <c r="M597" s="66">
        <v>1.6E-2</v>
      </c>
      <c r="N597" s="57">
        <v>153.89099999999999</v>
      </c>
      <c r="O597" s="67">
        <v>6.6000000000000003E-2</v>
      </c>
      <c r="P597" s="68">
        <v>5.7880000000000003</v>
      </c>
      <c r="Q597" s="93"/>
      <c r="R597" s="93"/>
      <c r="S597" s="93"/>
      <c r="T597" s="93"/>
    </row>
    <row r="598" spans="1:20" ht="14.25" customHeight="1" x14ac:dyDescent="0.35">
      <c r="A598" s="1">
        <v>2023</v>
      </c>
      <c r="B598" s="1" t="s">
        <v>30</v>
      </c>
      <c r="C598" s="1">
        <v>18</v>
      </c>
      <c r="D598" s="49">
        <v>112.625</v>
      </c>
      <c r="E598" s="50">
        <v>95.406000000000006</v>
      </c>
      <c r="F598" s="60">
        <v>83.504000000000005</v>
      </c>
      <c r="G598" s="61">
        <v>1609.0440000000001</v>
      </c>
      <c r="H598" s="62">
        <v>6.9</v>
      </c>
      <c r="I598" s="63">
        <v>3.2000000000000001E-2</v>
      </c>
      <c r="J598" s="64">
        <v>7.8890000000000002</v>
      </c>
      <c r="K598" s="61">
        <v>37.442999999999998</v>
      </c>
      <c r="L598" s="62">
        <v>5.1269999999999998</v>
      </c>
      <c r="M598" s="66">
        <v>1.6E-2</v>
      </c>
      <c r="N598" s="57">
        <v>146.81899999999999</v>
      </c>
      <c r="O598" s="67">
        <v>0.06</v>
      </c>
      <c r="P598" s="68">
        <v>8.08</v>
      </c>
      <c r="Q598" s="93"/>
      <c r="R598" s="93"/>
      <c r="S598" s="93"/>
      <c r="T598" s="93"/>
    </row>
    <row r="599" spans="1:20" ht="14.25" customHeight="1" x14ac:dyDescent="0.35">
      <c r="A599" s="1">
        <v>2023</v>
      </c>
      <c r="B599" s="1" t="s">
        <v>30</v>
      </c>
      <c r="C599" s="1">
        <v>19</v>
      </c>
      <c r="D599" s="49">
        <v>118.203</v>
      </c>
      <c r="E599" s="50">
        <v>99.968999999999994</v>
      </c>
      <c r="F599" s="60">
        <v>83.361000000000004</v>
      </c>
      <c r="G599" s="61">
        <v>1564.788</v>
      </c>
      <c r="H599" s="62">
        <v>6.9</v>
      </c>
      <c r="I599" s="63">
        <v>3.2000000000000001E-2</v>
      </c>
      <c r="J599" s="64">
        <v>8.0120000000000005</v>
      </c>
      <c r="K599" s="65">
        <v>35.765999999999998</v>
      </c>
      <c r="L599" s="50">
        <v>5.1589999999999998</v>
      </c>
      <c r="M599" s="66">
        <v>1.6E-2</v>
      </c>
      <c r="N599" s="57">
        <v>136.602</v>
      </c>
      <c r="O599" s="67">
        <v>5.2999999999999999E-2</v>
      </c>
      <c r="P599" s="68">
        <v>10.214</v>
      </c>
      <c r="Q599" s="93"/>
      <c r="R599" s="93"/>
      <c r="S599" s="93"/>
      <c r="T599" s="93"/>
    </row>
    <row r="600" spans="1:20" ht="14.25" customHeight="1" x14ac:dyDescent="0.35">
      <c r="A600" s="1">
        <v>2023</v>
      </c>
      <c r="B600" s="1" t="s">
        <v>30</v>
      </c>
      <c r="C600" s="1">
        <v>20</v>
      </c>
      <c r="D600" s="49">
        <v>112.875</v>
      </c>
      <c r="E600" s="50">
        <v>95.593999999999994</v>
      </c>
      <c r="F600" s="60">
        <v>83.052999999999997</v>
      </c>
      <c r="G600" s="61">
        <v>1499.35</v>
      </c>
      <c r="H600" s="62">
        <v>6.9</v>
      </c>
      <c r="I600" s="63">
        <v>3.2000000000000001E-2</v>
      </c>
      <c r="J600" s="64">
        <v>8.1</v>
      </c>
      <c r="K600" s="61">
        <v>34.231000000000002</v>
      </c>
      <c r="L600" s="62">
        <v>5.16</v>
      </c>
      <c r="M600" s="66">
        <v>1.6E-2</v>
      </c>
      <c r="N600" s="57">
        <v>135.93199999999999</v>
      </c>
      <c r="O600" s="67">
        <v>4.8000000000000001E-2</v>
      </c>
      <c r="P600" s="68">
        <v>4.8780000000000001</v>
      </c>
      <c r="Q600" s="93"/>
      <c r="R600" s="93"/>
      <c r="S600" s="93"/>
      <c r="T600" s="93"/>
    </row>
    <row r="601" spans="1:20" ht="14.25" customHeight="1" x14ac:dyDescent="0.35">
      <c r="A601" s="1">
        <v>2023</v>
      </c>
      <c r="B601" s="1" t="s">
        <v>30</v>
      </c>
      <c r="C601" s="1">
        <v>21</v>
      </c>
      <c r="D601" s="49">
        <v>116.39100000000001</v>
      </c>
      <c r="E601" s="50">
        <v>98.343999999999994</v>
      </c>
      <c r="F601" s="60">
        <v>82.213999999999999</v>
      </c>
      <c r="G601" s="61">
        <v>1399.3869999999999</v>
      </c>
      <c r="H601" s="62">
        <v>6.8860000000000001</v>
      </c>
      <c r="I601" s="63">
        <v>3.1E-2</v>
      </c>
      <c r="J601" s="64">
        <v>7.9269999999999996</v>
      </c>
      <c r="K601" s="65">
        <v>31.007000000000001</v>
      </c>
      <c r="L601" s="50">
        <v>5.1520000000000001</v>
      </c>
      <c r="M601" s="66">
        <v>1.6E-2</v>
      </c>
      <c r="N601" s="57">
        <v>139.1</v>
      </c>
      <c r="O601" s="67">
        <v>4.5999999999999999E-2</v>
      </c>
      <c r="P601" s="68">
        <v>7.3</v>
      </c>
      <c r="Q601" s="93"/>
      <c r="R601" s="93"/>
      <c r="S601" s="93"/>
      <c r="T601" s="93"/>
    </row>
    <row r="602" spans="1:20" ht="14.25" customHeight="1" x14ac:dyDescent="0.35">
      <c r="A602" s="1">
        <v>2023</v>
      </c>
      <c r="B602" s="1" t="s">
        <v>30</v>
      </c>
      <c r="C602" s="1">
        <v>22</v>
      </c>
      <c r="D602" s="49">
        <v>124.172</v>
      </c>
      <c r="E602" s="50">
        <v>105</v>
      </c>
      <c r="F602" s="60">
        <v>83.247</v>
      </c>
      <c r="G602" s="61">
        <v>1595.454</v>
      </c>
      <c r="H602" s="62">
        <v>6.9</v>
      </c>
      <c r="I602" s="63">
        <v>0.03</v>
      </c>
      <c r="J602" s="64">
        <v>7.9059999999999997</v>
      </c>
      <c r="K602" s="61">
        <v>38.956000000000003</v>
      </c>
      <c r="L602" s="62">
        <v>5.1719999999999997</v>
      </c>
      <c r="M602" s="66">
        <v>1.6E-2</v>
      </c>
      <c r="N602" s="57">
        <v>132.19900000000001</v>
      </c>
      <c r="O602" s="67">
        <v>5.3999999999999999E-2</v>
      </c>
      <c r="P602" s="68">
        <v>9.407</v>
      </c>
      <c r="Q602" s="93"/>
      <c r="R602" s="93"/>
      <c r="S602" s="93"/>
      <c r="T602" s="93"/>
    </row>
    <row r="603" spans="1:20" ht="14.25" customHeight="1" x14ac:dyDescent="0.35">
      <c r="A603" s="1">
        <v>2023</v>
      </c>
      <c r="B603" s="1" t="s">
        <v>30</v>
      </c>
      <c r="C603" s="1">
        <v>23</v>
      </c>
      <c r="D603" s="49">
        <v>118.10899999999999</v>
      </c>
      <c r="E603" s="50">
        <v>99.531000000000006</v>
      </c>
      <c r="F603" s="60">
        <v>83.531999999999996</v>
      </c>
      <c r="G603" s="61">
        <v>1667.104</v>
      </c>
      <c r="H603" s="62">
        <v>6.9</v>
      </c>
      <c r="I603" s="63">
        <v>2.9000000000000001E-2</v>
      </c>
      <c r="J603" s="64">
        <v>7.8010000000000002</v>
      </c>
      <c r="K603" s="65">
        <v>41.654000000000003</v>
      </c>
      <c r="L603" s="50">
        <v>5.1550000000000002</v>
      </c>
      <c r="M603" s="66">
        <v>1.6E-2</v>
      </c>
      <c r="N603" s="57">
        <v>137.714</v>
      </c>
      <c r="O603" s="67">
        <v>5.7000000000000002E-2</v>
      </c>
      <c r="P603" s="68">
        <v>8.3070000000000004</v>
      </c>
      <c r="Q603" s="93"/>
      <c r="R603" s="93"/>
      <c r="S603" s="93"/>
      <c r="T603" s="93"/>
    </row>
    <row r="604" spans="1:20" ht="14.25" customHeight="1" x14ac:dyDescent="0.35">
      <c r="A604" s="1">
        <v>2023</v>
      </c>
      <c r="B604" s="1" t="s">
        <v>30</v>
      </c>
      <c r="C604" s="1">
        <v>24</v>
      </c>
      <c r="D604" s="49">
        <v>118.84399999999999</v>
      </c>
      <c r="E604" s="50">
        <v>100</v>
      </c>
      <c r="F604" s="60">
        <v>83.370999999999995</v>
      </c>
      <c r="G604" s="61">
        <v>1664.8689999999999</v>
      </c>
      <c r="H604" s="62">
        <v>6.9</v>
      </c>
      <c r="I604" s="63">
        <v>0.03</v>
      </c>
      <c r="J604" s="64">
        <v>7.7160000000000002</v>
      </c>
      <c r="K604" s="61">
        <v>41.722000000000001</v>
      </c>
      <c r="L604" s="62">
        <v>5.157</v>
      </c>
      <c r="M604" s="66">
        <v>1.6E-2</v>
      </c>
      <c r="N604" s="57">
        <v>137.011</v>
      </c>
      <c r="O604" s="67">
        <v>5.7000000000000002E-2</v>
      </c>
      <c r="P604" s="68">
        <v>10.179</v>
      </c>
      <c r="Q604" s="93"/>
      <c r="R604" s="93"/>
      <c r="S604" s="93"/>
      <c r="T604" s="93"/>
    </row>
    <row r="605" spans="1:20" ht="14.25" customHeight="1" x14ac:dyDescent="0.35">
      <c r="A605" s="1">
        <v>2023</v>
      </c>
      <c r="B605" s="1" t="s">
        <v>30</v>
      </c>
      <c r="C605" s="1">
        <v>25</v>
      </c>
      <c r="D605" s="49">
        <v>118.703</v>
      </c>
      <c r="E605" s="50">
        <v>99.968999999999994</v>
      </c>
      <c r="F605" s="60">
        <v>83.35</v>
      </c>
      <c r="G605" s="61">
        <v>1605.279</v>
      </c>
      <c r="H605" s="62">
        <v>6.9</v>
      </c>
      <c r="I605" s="63">
        <v>3.1E-2</v>
      </c>
      <c r="J605" s="64">
        <v>7.6219999999999999</v>
      </c>
      <c r="K605" s="65">
        <v>37.319000000000003</v>
      </c>
      <c r="L605" s="50">
        <v>4.984</v>
      </c>
      <c r="M605" s="66">
        <v>1.6E-2</v>
      </c>
      <c r="N605" s="57">
        <v>210.892</v>
      </c>
      <c r="O605" s="67">
        <v>4.8000000000000001E-2</v>
      </c>
      <c r="P605" s="68">
        <v>11.375</v>
      </c>
      <c r="Q605" s="93"/>
      <c r="R605" s="93"/>
      <c r="S605" s="93"/>
      <c r="T605" s="93"/>
    </row>
    <row r="606" spans="1:20" ht="14.25" customHeight="1" x14ac:dyDescent="0.35">
      <c r="A606" s="1">
        <v>2023</v>
      </c>
      <c r="B606" s="1" t="s">
        <v>30</v>
      </c>
      <c r="C606" s="1">
        <v>26</v>
      </c>
      <c r="D606" s="49">
        <v>111.75</v>
      </c>
      <c r="E606" s="50">
        <v>94.375</v>
      </c>
      <c r="F606" s="60">
        <v>83.483000000000004</v>
      </c>
      <c r="G606" s="61">
        <v>1559.4190000000001</v>
      </c>
      <c r="H606" s="62">
        <v>6.9</v>
      </c>
      <c r="I606" s="63">
        <v>2.9000000000000001E-2</v>
      </c>
      <c r="J606" s="64">
        <v>7.6550000000000002</v>
      </c>
      <c r="K606" s="61">
        <v>36.505000000000003</v>
      </c>
      <c r="L606" s="62">
        <v>4.8710000000000004</v>
      </c>
      <c r="M606" s="66">
        <v>1.6E-2</v>
      </c>
      <c r="N606" s="57">
        <v>265.21800000000002</v>
      </c>
      <c r="O606" s="67">
        <v>5.0999999999999997E-2</v>
      </c>
      <c r="P606" s="68">
        <v>10.989000000000001</v>
      </c>
      <c r="Q606" s="93"/>
      <c r="R606" s="93"/>
      <c r="S606" s="93"/>
      <c r="T606" s="93"/>
    </row>
    <row r="607" spans="1:20" ht="14.25" customHeight="1" x14ac:dyDescent="0.35">
      <c r="A607" s="1">
        <v>2023</v>
      </c>
      <c r="B607" s="1" t="s">
        <v>30</v>
      </c>
      <c r="C607" s="1">
        <v>27</v>
      </c>
      <c r="D607" s="12">
        <v>112.28100000000001</v>
      </c>
      <c r="E607" s="13">
        <v>95</v>
      </c>
      <c r="F607" s="60">
        <v>83.531999999999996</v>
      </c>
      <c r="G607" s="61">
        <v>1514.1510000000001</v>
      </c>
      <c r="H607" s="62">
        <v>6.9</v>
      </c>
      <c r="I607" s="63">
        <v>0.03</v>
      </c>
      <c r="J607" s="64">
        <v>7.6689999999999996</v>
      </c>
      <c r="K607" s="65">
        <v>37.103000000000002</v>
      </c>
      <c r="L607" s="50">
        <v>4.8970000000000002</v>
      </c>
      <c r="M607" s="66">
        <v>1.6E-2</v>
      </c>
      <c r="N607" s="57">
        <v>248.988</v>
      </c>
      <c r="O607" s="67">
        <v>5.1999999999999998E-2</v>
      </c>
      <c r="P607" s="68">
        <v>11.266999999999999</v>
      </c>
      <c r="Q607" s="93"/>
      <c r="R607" s="93"/>
      <c r="S607" s="93"/>
      <c r="T607" s="93"/>
    </row>
    <row r="608" spans="1:20" ht="14.25" customHeight="1" x14ac:dyDescent="0.35">
      <c r="A608" s="1">
        <v>2023</v>
      </c>
      <c r="B608" s="1" t="s">
        <v>30</v>
      </c>
      <c r="C608" s="1">
        <v>28</v>
      </c>
      <c r="D608" s="12">
        <v>30.765999999999998</v>
      </c>
      <c r="E608" s="13">
        <v>26.030999999999999</v>
      </c>
      <c r="F608" s="60">
        <v>83.808000000000007</v>
      </c>
      <c r="G608" s="61">
        <v>1514.652</v>
      </c>
      <c r="H608" s="62">
        <v>6.899</v>
      </c>
      <c r="I608" s="63">
        <v>2.8000000000000001E-2</v>
      </c>
      <c r="J608" s="64">
        <v>7.8259999999999996</v>
      </c>
      <c r="K608" s="61">
        <v>29.952999999999999</v>
      </c>
      <c r="L608" s="62">
        <v>4.875</v>
      </c>
      <c r="M608" s="66">
        <v>1.6E-2</v>
      </c>
      <c r="N608" s="57">
        <v>262.89499999999998</v>
      </c>
      <c r="O608" s="67">
        <v>6.8000000000000005E-2</v>
      </c>
      <c r="P608" s="68">
        <v>7.8890000000000002</v>
      </c>
      <c r="Q608" s="93"/>
      <c r="R608" s="93"/>
      <c r="S608" s="93"/>
      <c r="T608" s="93"/>
    </row>
    <row r="609" spans="1:20" ht="14.25" customHeight="1" x14ac:dyDescent="0.35">
      <c r="A609" s="1">
        <v>2023</v>
      </c>
      <c r="B609" s="1" t="s">
        <v>30</v>
      </c>
      <c r="C609" s="1">
        <v>29</v>
      </c>
      <c r="D609" s="12">
        <v>6.109</v>
      </c>
      <c r="E609" s="13">
        <v>5.2190000000000003</v>
      </c>
      <c r="F609" s="83">
        <v>83.61</v>
      </c>
      <c r="G609" s="69">
        <v>1550.5719999999999</v>
      </c>
      <c r="H609" s="50">
        <v>6.9290000000000003</v>
      </c>
      <c r="I609" s="66">
        <v>2.7E-2</v>
      </c>
      <c r="J609" s="50">
        <v>7.5819999999999999</v>
      </c>
      <c r="K609" s="61">
        <v>36.455199999999998</v>
      </c>
      <c r="L609" s="62">
        <v>4.9305000000000003</v>
      </c>
      <c r="M609" s="66">
        <v>1.6E-2</v>
      </c>
      <c r="N609" s="57">
        <v>235.52950000000001</v>
      </c>
      <c r="O609" s="84">
        <v>2.47E-2</v>
      </c>
      <c r="P609" s="71">
        <v>7.4180000000000001</v>
      </c>
      <c r="Q609" s="93"/>
      <c r="R609" s="93"/>
      <c r="S609" s="93"/>
      <c r="T609" s="93"/>
    </row>
    <row r="610" spans="1:20" ht="14.25" customHeight="1" x14ac:dyDescent="0.35">
      <c r="A610" s="1">
        <v>2023</v>
      </c>
      <c r="B610" s="1" t="s">
        <v>30</v>
      </c>
      <c r="C610" s="1">
        <v>30</v>
      </c>
      <c r="D610" s="12">
        <v>9.4220000000000006</v>
      </c>
      <c r="E610" s="13">
        <v>7.9059999999999997</v>
      </c>
      <c r="F610" s="83">
        <v>83.141999999999996</v>
      </c>
      <c r="G610" s="69">
        <v>1790.0640000000001</v>
      </c>
      <c r="H610" s="50">
        <v>6.9219999999999997</v>
      </c>
      <c r="I610" s="66">
        <v>3.4000000000000002E-2</v>
      </c>
      <c r="J610" s="50">
        <v>7.5140000000000002</v>
      </c>
      <c r="K610" s="61">
        <v>68.622</v>
      </c>
      <c r="L610" s="62">
        <v>5.0119999999999996</v>
      </c>
      <c r="M610" s="66">
        <v>9.8000000000000004E-2</v>
      </c>
      <c r="N610" s="57">
        <v>325</v>
      </c>
      <c r="O610" s="84">
        <v>8.2000000000000003E-2</v>
      </c>
      <c r="P610" s="71">
        <v>7.1440000000000001</v>
      </c>
      <c r="Q610" s="93"/>
      <c r="R610" s="93"/>
      <c r="S610" s="93"/>
      <c r="T610" s="93"/>
    </row>
    <row r="611" spans="1:20" ht="14.25" customHeight="1" x14ac:dyDescent="0.35">
      <c r="A611" s="1">
        <v>2023</v>
      </c>
      <c r="B611" s="1" t="s">
        <v>30</v>
      </c>
      <c r="C611" s="1">
        <v>31</v>
      </c>
      <c r="D611" s="85">
        <v>111.875</v>
      </c>
      <c r="E611" s="86">
        <v>94.593999999999994</v>
      </c>
      <c r="F611" s="87">
        <v>83.917000000000002</v>
      </c>
      <c r="G611" s="88">
        <v>1624.6880000000001</v>
      </c>
      <c r="H611" s="89">
        <v>6.9</v>
      </c>
      <c r="I611" s="90">
        <v>0.03</v>
      </c>
      <c r="J611" s="89">
        <v>7.9560000000000004</v>
      </c>
      <c r="K611" s="61">
        <v>37.878</v>
      </c>
      <c r="L611" s="64">
        <v>4.9009999999999998</v>
      </c>
      <c r="M611" s="66">
        <v>1.7000000000000001E-2</v>
      </c>
      <c r="N611" s="57">
        <v>247.583</v>
      </c>
      <c r="O611" s="66">
        <v>5.8999999999999997E-2</v>
      </c>
      <c r="P611" s="91">
        <v>7.7910000000000004</v>
      </c>
      <c r="Q611" s="93"/>
      <c r="R611" s="93"/>
      <c r="S611" s="93"/>
      <c r="T611" s="93"/>
    </row>
    <row r="612" spans="1:20" ht="14.25" customHeight="1" x14ac:dyDescent="0.35">
      <c r="A612" s="1">
        <v>2023</v>
      </c>
      <c r="B612" s="1" t="s">
        <v>31</v>
      </c>
      <c r="C612" s="1">
        <v>1</v>
      </c>
      <c r="D612" s="49">
        <v>113.703</v>
      </c>
      <c r="E612" s="50">
        <v>95.938000000000002</v>
      </c>
      <c r="F612" s="51">
        <v>83.912999999999997</v>
      </c>
      <c r="G612" s="52">
        <v>1629.941</v>
      </c>
      <c r="H612" s="53">
        <v>6.9</v>
      </c>
      <c r="I612" s="54">
        <v>0.03</v>
      </c>
      <c r="J612" s="55">
        <v>7.8929999999999998</v>
      </c>
      <c r="K612" s="52">
        <v>30.940999999999999</v>
      </c>
      <c r="L612" s="55">
        <v>4.9240000000000004</v>
      </c>
      <c r="M612" s="56">
        <v>1.6E-2</v>
      </c>
      <c r="N612" s="57">
        <v>240.31899999999999</v>
      </c>
      <c r="O612" s="58">
        <v>5.1999999999999998E-2</v>
      </c>
      <c r="P612" s="59">
        <v>7.4480000000000004</v>
      </c>
      <c r="Q612" s="93"/>
      <c r="R612" s="93"/>
      <c r="S612" s="93"/>
      <c r="T612" s="93"/>
    </row>
    <row r="613" spans="1:20" ht="14.25" customHeight="1" x14ac:dyDescent="0.35">
      <c r="A613" s="1">
        <v>2023</v>
      </c>
      <c r="B613" s="1" t="s">
        <v>31</v>
      </c>
      <c r="C613" s="1">
        <v>2</v>
      </c>
      <c r="D613" s="49">
        <v>112.563</v>
      </c>
      <c r="E613" s="50">
        <v>94.968999999999994</v>
      </c>
      <c r="F613" s="60">
        <v>83.733999999999995</v>
      </c>
      <c r="G613" s="61">
        <v>1600.13</v>
      </c>
      <c r="H613" s="62">
        <v>6.9</v>
      </c>
      <c r="I613" s="63">
        <v>0.03</v>
      </c>
      <c r="J613" s="64">
        <v>7.9130000000000003</v>
      </c>
      <c r="K613" s="65">
        <v>34.765999999999998</v>
      </c>
      <c r="L613" s="50">
        <v>4.8780000000000001</v>
      </c>
      <c r="M613" s="66">
        <v>1.6E-2</v>
      </c>
      <c r="N613" s="57">
        <v>261.709</v>
      </c>
      <c r="O613" s="67">
        <v>5.1999999999999998E-2</v>
      </c>
      <c r="P613" s="68">
        <v>6.67</v>
      </c>
      <c r="Q613" s="93"/>
      <c r="R613" s="93"/>
      <c r="S613" s="93"/>
      <c r="T613" s="93"/>
    </row>
    <row r="614" spans="1:20" ht="14.25" customHeight="1" x14ac:dyDescent="0.35">
      <c r="A614" s="1">
        <v>2023</v>
      </c>
      <c r="B614" s="1" t="s">
        <v>31</v>
      </c>
      <c r="C614" s="1">
        <v>3</v>
      </c>
      <c r="D614" s="49">
        <v>111.375</v>
      </c>
      <c r="E614" s="50">
        <v>94.156000000000006</v>
      </c>
      <c r="F614" s="60">
        <v>83.837000000000003</v>
      </c>
      <c r="G614" s="61">
        <v>1538.7380000000001</v>
      </c>
      <c r="H614" s="62">
        <v>6.9</v>
      </c>
      <c r="I614" s="63">
        <v>0.03</v>
      </c>
      <c r="J614" s="64">
        <v>7.7290000000000001</v>
      </c>
      <c r="K614" s="65">
        <v>37.607999999999997</v>
      </c>
      <c r="L614" s="50">
        <v>4.9039999999999999</v>
      </c>
      <c r="M614" s="66">
        <v>1.6E-2</v>
      </c>
      <c r="N614" s="57">
        <v>245.37899999999999</v>
      </c>
      <c r="O614" s="67">
        <v>5.2999999999999999E-2</v>
      </c>
      <c r="P614" s="68">
        <v>8.6199999999999992</v>
      </c>
      <c r="Q614" s="93"/>
      <c r="R614" s="93"/>
      <c r="S614" s="93"/>
      <c r="T614" s="93"/>
    </row>
    <row r="615" spans="1:20" ht="14.25" customHeight="1" x14ac:dyDescent="0.35">
      <c r="A615" s="1">
        <v>2023</v>
      </c>
      <c r="B615" s="1" t="s">
        <v>31</v>
      </c>
      <c r="C615" s="1">
        <v>4</v>
      </c>
      <c r="D615" s="49">
        <v>107.625</v>
      </c>
      <c r="E615" s="50">
        <v>91.063000000000002</v>
      </c>
      <c r="F615" s="60">
        <v>83.650999999999996</v>
      </c>
      <c r="G615" s="61">
        <v>1545.12</v>
      </c>
      <c r="H615" s="62">
        <v>6.9</v>
      </c>
      <c r="I615" s="63">
        <v>0.03</v>
      </c>
      <c r="J615" s="64">
        <v>8.0399999999999991</v>
      </c>
      <c r="K615" s="65">
        <v>34.524999999999999</v>
      </c>
      <c r="L615" s="50">
        <v>4.8860000000000001</v>
      </c>
      <c r="M615" s="66">
        <v>1.6E-2</v>
      </c>
      <c r="N615" s="57">
        <v>256.01799999999997</v>
      </c>
      <c r="O615" s="67">
        <v>4.9000000000000002E-2</v>
      </c>
      <c r="P615" s="68">
        <v>10.532</v>
      </c>
      <c r="Q615" s="93"/>
      <c r="R615" s="93"/>
      <c r="S615" s="93"/>
      <c r="T615" s="93"/>
    </row>
    <row r="616" spans="1:20" ht="14.25" customHeight="1" x14ac:dyDescent="0.35">
      <c r="A616" s="1">
        <v>2023</v>
      </c>
      <c r="B616" s="1" t="s">
        <v>31</v>
      </c>
      <c r="C616" s="1">
        <v>5</v>
      </c>
      <c r="D616" s="49">
        <v>112.26600000000001</v>
      </c>
      <c r="E616" s="50">
        <v>94.968999999999994</v>
      </c>
      <c r="F616" s="60">
        <v>83.221000000000004</v>
      </c>
      <c r="G616" s="61">
        <v>1540.931</v>
      </c>
      <c r="H616" s="62">
        <v>6.9</v>
      </c>
      <c r="I616" s="63">
        <v>0.03</v>
      </c>
      <c r="J616" s="64">
        <v>8.1649999999999991</v>
      </c>
      <c r="K616" s="65">
        <v>32.331000000000003</v>
      </c>
      <c r="L616" s="50">
        <v>4.8710000000000004</v>
      </c>
      <c r="M616" s="66">
        <v>1.6E-2</v>
      </c>
      <c r="N616" s="57">
        <v>265.63499999999999</v>
      </c>
      <c r="O616" s="67">
        <v>0.05</v>
      </c>
      <c r="P616" s="68">
        <v>10</v>
      </c>
      <c r="Q616" s="93"/>
      <c r="R616" s="93"/>
      <c r="S616" s="93"/>
      <c r="T616" s="93"/>
    </row>
    <row r="617" spans="1:20" ht="14.25" customHeight="1" x14ac:dyDescent="0.35">
      <c r="A617" s="1">
        <v>2023</v>
      </c>
      <c r="B617" s="1" t="s">
        <v>31</v>
      </c>
      <c r="C617" s="1">
        <v>6</v>
      </c>
      <c r="D617" s="49">
        <v>114.26600000000001</v>
      </c>
      <c r="E617" s="50">
        <v>96.688000000000002</v>
      </c>
      <c r="F617" s="60">
        <v>83.557000000000002</v>
      </c>
      <c r="G617" s="61">
        <v>1613.43</v>
      </c>
      <c r="H617" s="62">
        <v>6.9</v>
      </c>
      <c r="I617" s="63">
        <v>3.1E-2</v>
      </c>
      <c r="J617" s="64">
        <v>8.07</v>
      </c>
      <c r="K617" s="65">
        <v>36.816000000000003</v>
      </c>
      <c r="L617" s="50">
        <v>4.907</v>
      </c>
      <c r="M617" s="66">
        <v>1.6E-2</v>
      </c>
      <c r="N617" s="57">
        <v>243.709</v>
      </c>
      <c r="O617" s="67">
        <v>6.3E-2</v>
      </c>
      <c r="P617" s="68">
        <v>9.2370000000000001</v>
      </c>
      <c r="Q617" s="93"/>
      <c r="R617" s="93"/>
      <c r="S617" s="93"/>
      <c r="T617" s="93"/>
    </row>
    <row r="618" spans="1:20" ht="14.25" customHeight="1" x14ac:dyDescent="0.35">
      <c r="A618" s="1">
        <v>2023</v>
      </c>
      <c r="B618" s="1" t="s">
        <v>31</v>
      </c>
      <c r="C618" s="1">
        <v>7</v>
      </c>
      <c r="D618" s="49">
        <v>112.328</v>
      </c>
      <c r="E618" s="50">
        <v>95.031000000000006</v>
      </c>
      <c r="F618" s="60">
        <v>83.775000000000006</v>
      </c>
      <c r="G618" s="61">
        <v>1635.5260000000001</v>
      </c>
      <c r="H618" s="62">
        <v>6.9</v>
      </c>
      <c r="I618" s="63">
        <v>3.1E-2</v>
      </c>
      <c r="J618" s="64">
        <v>7.81</v>
      </c>
      <c r="K618" s="65">
        <v>37.823999999999998</v>
      </c>
      <c r="L618" s="50">
        <v>4.8970000000000002</v>
      </c>
      <c r="M618" s="66">
        <v>1.6E-2</v>
      </c>
      <c r="N618" s="57">
        <v>249.72200000000001</v>
      </c>
      <c r="O618" s="67">
        <v>6.0999999999999999E-2</v>
      </c>
      <c r="P618" s="68">
        <v>5.9409999999999998</v>
      </c>
      <c r="Q618" s="93"/>
      <c r="R618" s="93"/>
      <c r="S618" s="93"/>
      <c r="T618" s="93"/>
    </row>
    <row r="619" spans="1:20" ht="14.25" customHeight="1" x14ac:dyDescent="0.35">
      <c r="A619" s="1">
        <v>2023</v>
      </c>
      <c r="B619" s="1" t="s">
        <v>31</v>
      </c>
      <c r="C619" s="1">
        <v>8</v>
      </c>
      <c r="D619" s="49">
        <v>112.23399999999999</v>
      </c>
      <c r="E619" s="50">
        <v>94.938000000000002</v>
      </c>
      <c r="F619" s="60">
        <v>84.201999999999998</v>
      </c>
      <c r="G619" s="69">
        <v>1641.41</v>
      </c>
      <c r="H619" s="62">
        <v>6.9</v>
      </c>
      <c r="I619" s="63">
        <v>2.9000000000000001E-2</v>
      </c>
      <c r="J619" s="50">
        <v>7.6680000000000001</v>
      </c>
      <c r="K619" s="65">
        <v>35.572000000000003</v>
      </c>
      <c r="L619" s="50">
        <v>4.9560000000000004</v>
      </c>
      <c r="M619" s="66">
        <v>1.7000000000000001E-2</v>
      </c>
      <c r="N619" s="57">
        <v>227.87700000000001</v>
      </c>
      <c r="O619" s="70">
        <v>5.8000000000000003E-2</v>
      </c>
      <c r="P619" s="71">
        <v>2.04</v>
      </c>
      <c r="Q619" s="93"/>
      <c r="R619" s="93"/>
      <c r="S619" s="93"/>
      <c r="T619" s="93"/>
    </row>
    <row r="620" spans="1:20" ht="14.25" customHeight="1" x14ac:dyDescent="0.35">
      <c r="A620" s="1">
        <v>2023</v>
      </c>
      <c r="B620" s="1" t="s">
        <v>31</v>
      </c>
      <c r="C620" s="1">
        <v>9</v>
      </c>
      <c r="D620" s="49">
        <v>109.313</v>
      </c>
      <c r="E620" s="50">
        <v>92.593999999999994</v>
      </c>
      <c r="F620" s="60">
        <v>84.247</v>
      </c>
      <c r="G620" s="61">
        <v>1628.856</v>
      </c>
      <c r="H620" s="62">
        <v>6.9</v>
      </c>
      <c r="I620" s="63">
        <v>0.03</v>
      </c>
      <c r="J620" s="64">
        <v>7.476</v>
      </c>
      <c r="K620" s="65">
        <v>34.201000000000001</v>
      </c>
      <c r="L620" s="50">
        <v>5.1139999999999999</v>
      </c>
      <c r="M620" s="66">
        <v>1.9E-2</v>
      </c>
      <c r="N620" s="57">
        <v>151.55699999999999</v>
      </c>
      <c r="O620" s="67">
        <v>5.8000000000000003E-2</v>
      </c>
      <c r="P620" s="68">
        <v>2.4900000000000002</v>
      </c>
      <c r="Q620" s="93"/>
      <c r="R620" s="93"/>
      <c r="S620" s="93"/>
      <c r="T620" s="93"/>
    </row>
    <row r="621" spans="1:20" ht="14.25" customHeight="1" x14ac:dyDescent="0.35">
      <c r="A621" s="1">
        <v>2023</v>
      </c>
      <c r="B621" s="1" t="s">
        <v>31</v>
      </c>
      <c r="C621" s="1">
        <v>10</v>
      </c>
      <c r="D621" s="49">
        <v>112.203</v>
      </c>
      <c r="E621" s="50">
        <v>94.968999999999994</v>
      </c>
      <c r="F621" s="72">
        <v>84.082999999999998</v>
      </c>
      <c r="G621" s="61">
        <v>1585.116</v>
      </c>
      <c r="H621" s="62">
        <v>6.9</v>
      </c>
      <c r="I621" s="63">
        <v>2.9000000000000001E-2</v>
      </c>
      <c r="J621" s="73">
        <v>7.34</v>
      </c>
      <c r="K621" s="65">
        <v>35.429000000000002</v>
      </c>
      <c r="L621" s="50">
        <v>5.12</v>
      </c>
      <c r="M621" s="74">
        <v>1.7000000000000001E-2</v>
      </c>
      <c r="N621" s="57">
        <v>149.42099999999999</v>
      </c>
      <c r="O621" s="75">
        <v>5.7000000000000002E-2</v>
      </c>
      <c r="P621" s="76">
        <v>2.9409999999999998</v>
      </c>
      <c r="Q621" s="93"/>
      <c r="R621" s="93"/>
      <c r="S621" s="93"/>
      <c r="T621" s="93"/>
    </row>
    <row r="622" spans="1:20" ht="14.25" customHeight="1" x14ac:dyDescent="0.35">
      <c r="A622" s="1">
        <v>2023</v>
      </c>
      <c r="B622" s="1" t="s">
        <v>31</v>
      </c>
      <c r="C622" s="1">
        <v>11</v>
      </c>
      <c r="D622" s="49">
        <v>112.48399999999999</v>
      </c>
      <c r="E622" s="50">
        <v>95</v>
      </c>
      <c r="F622" s="72">
        <v>84.057000000000002</v>
      </c>
      <c r="G622" s="61">
        <v>1547.0920000000001</v>
      </c>
      <c r="H622" s="62">
        <v>6.9</v>
      </c>
      <c r="I622" s="63">
        <v>0.03</v>
      </c>
      <c r="J622" s="77">
        <v>7.52</v>
      </c>
      <c r="K622" s="65">
        <v>34.194000000000003</v>
      </c>
      <c r="L622" s="50">
        <v>5.1360000000000001</v>
      </c>
      <c r="M622" s="74">
        <v>1.7000000000000001E-2</v>
      </c>
      <c r="N622" s="57">
        <v>144.09800000000001</v>
      </c>
      <c r="O622" s="75">
        <v>5.1999999999999998E-2</v>
      </c>
      <c r="P622" s="76">
        <v>2.5030000000000001</v>
      </c>
      <c r="Q622" s="93"/>
      <c r="R622" s="93"/>
      <c r="S622" s="93"/>
      <c r="T622" s="93"/>
    </row>
    <row r="623" spans="1:20" ht="14.25" customHeight="1" x14ac:dyDescent="0.35">
      <c r="A623" s="1">
        <v>2023</v>
      </c>
      <c r="B623" s="1" t="s">
        <v>31</v>
      </c>
      <c r="C623" s="1">
        <v>12</v>
      </c>
      <c r="D623" s="49">
        <v>106.96899999999999</v>
      </c>
      <c r="E623" s="50">
        <v>90.313000000000002</v>
      </c>
      <c r="F623" s="72">
        <v>83.956000000000003</v>
      </c>
      <c r="G623" s="61">
        <v>1608.848</v>
      </c>
      <c r="H623" s="62">
        <v>6.9</v>
      </c>
      <c r="I623" s="63">
        <v>0.03</v>
      </c>
      <c r="J623" s="73">
        <v>7.64</v>
      </c>
      <c r="K623" s="65">
        <v>35.277000000000001</v>
      </c>
      <c r="L623" s="50">
        <v>5.125</v>
      </c>
      <c r="M623" s="74">
        <v>1.6E-2</v>
      </c>
      <c r="N623" s="57">
        <v>147.39099999999999</v>
      </c>
      <c r="O623" s="75">
        <v>6.0999999999999999E-2</v>
      </c>
      <c r="P623" s="76">
        <v>2.573</v>
      </c>
      <c r="Q623" s="93"/>
      <c r="R623" s="93"/>
      <c r="S623" s="93"/>
      <c r="T623" s="93"/>
    </row>
    <row r="624" spans="1:20" ht="14.25" customHeight="1" x14ac:dyDescent="0.35">
      <c r="A624" s="1">
        <v>2023</v>
      </c>
      <c r="B624" s="1" t="s">
        <v>31</v>
      </c>
      <c r="C624" s="1">
        <v>13</v>
      </c>
      <c r="D624" s="49">
        <v>115.672</v>
      </c>
      <c r="E624" s="50">
        <v>97.656000000000006</v>
      </c>
      <c r="F624" s="78">
        <v>83.662000000000006</v>
      </c>
      <c r="G624" s="61">
        <v>1629.9580000000001</v>
      </c>
      <c r="H624" s="62">
        <v>6.9</v>
      </c>
      <c r="I624" s="63">
        <v>3.1E-2</v>
      </c>
      <c r="J624" s="79">
        <v>7.4249999999999998</v>
      </c>
      <c r="K624" s="65">
        <v>36.591000000000001</v>
      </c>
      <c r="L624" s="50">
        <v>5.1319999999999997</v>
      </c>
      <c r="M624" s="66">
        <v>1.6E-2</v>
      </c>
      <c r="N624" s="57">
        <v>145.23099999999999</v>
      </c>
      <c r="O624" s="80">
        <v>5.8000000000000003E-2</v>
      </c>
      <c r="P624" s="81">
        <v>3.948</v>
      </c>
      <c r="Q624" s="93"/>
      <c r="R624" s="93"/>
      <c r="S624" s="93"/>
      <c r="T624" s="93"/>
    </row>
    <row r="625" spans="1:20" ht="14.25" customHeight="1" x14ac:dyDescent="0.35">
      <c r="A625" s="1">
        <v>2023</v>
      </c>
      <c r="B625" s="1" t="s">
        <v>31</v>
      </c>
      <c r="C625" s="1">
        <v>14</v>
      </c>
      <c r="D625" s="49">
        <v>114.813</v>
      </c>
      <c r="E625" s="50">
        <v>97.093999999999994</v>
      </c>
      <c r="F625" s="60">
        <v>83.591999999999999</v>
      </c>
      <c r="G625" s="61">
        <v>1654.8130000000001</v>
      </c>
      <c r="H625" s="62">
        <v>6.9</v>
      </c>
      <c r="I625" s="63">
        <v>3.1E-2</v>
      </c>
      <c r="J625" s="79">
        <v>7.4219999999999997</v>
      </c>
      <c r="K625" s="82">
        <v>36.814999999999998</v>
      </c>
      <c r="L625" s="50">
        <v>5.1349999999999998</v>
      </c>
      <c r="M625" s="66">
        <v>1.6E-2</v>
      </c>
      <c r="N625" s="57">
        <v>144.61000000000001</v>
      </c>
      <c r="O625" s="80">
        <v>5.7000000000000002E-2</v>
      </c>
      <c r="P625" s="81">
        <v>3.8</v>
      </c>
      <c r="Q625" s="93"/>
      <c r="R625" s="93"/>
      <c r="S625" s="93"/>
      <c r="T625" s="93"/>
    </row>
    <row r="626" spans="1:20" ht="14.25" customHeight="1" x14ac:dyDescent="0.35">
      <c r="A626" s="1">
        <v>2023</v>
      </c>
      <c r="B626" s="1" t="s">
        <v>31</v>
      </c>
      <c r="C626" s="1">
        <v>15</v>
      </c>
      <c r="D626" s="49">
        <v>107.90600000000001</v>
      </c>
      <c r="E626" s="50">
        <v>91.063000000000002</v>
      </c>
      <c r="F626" s="60">
        <v>83.591999999999999</v>
      </c>
      <c r="G626" s="61">
        <v>1633.2280000000001</v>
      </c>
      <c r="H626" s="62">
        <v>6.9</v>
      </c>
      <c r="I626" s="63">
        <v>0.03</v>
      </c>
      <c r="J626" s="73">
        <v>7.2809999999999997</v>
      </c>
      <c r="K626" s="65">
        <v>34.683999999999997</v>
      </c>
      <c r="L626" s="50">
        <v>5.1890000000000001</v>
      </c>
      <c r="M626" s="66">
        <v>1.6E-2</v>
      </c>
      <c r="N626" s="57">
        <v>135.40299999999999</v>
      </c>
      <c r="O626" s="75">
        <v>5.8999999999999997E-2</v>
      </c>
      <c r="P626" s="76">
        <v>3.867</v>
      </c>
      <c r="Q626" s="93"/>
      <c r="R626" s="93"/>
      <c r="S626" s="93"/>
      <c r="T626" s="93"/>
    </row>
    <row r="627" spans="1:20" ht="14.25" customHeight="1" x14ac:dyDescent="0.35">
      <c r="A627" s="1">
        <v>2023</v>
      </c>
      <c r="B627" s="1" t="s">
        <v>31</v>
      </c>
      <c r="C627" s="1">
        <v>16</v>
      </c>
      <c r="D627" s="49">
        <v>112.422</v>
      </c>
      <c r="E627" s="50">
        <v>95.031000000000006</v>
      </c>
      <c r="F627" s="60">
        <v>82.998999999999995</v>
      </c>
      <c r="G627" s="61">
        <v>1619.22</v>
      </c>
      <c r="H627" s="62">
        <v>6.9</v>
      </c>
      <c r="I627" s="63">
        <v>0.03</v>
      </c>
      <c r="J627" s="79">
        <v>7.2690000000000001</v>
      </c>
      <c r="K627" s="61">
        <v>30.608000000000001</v>
      </c>
      <c r="L627" s="62">
        <v>5.3090000000000002</v>
      </c>
      <c r="M627" s="66">
        <v>1.6E-2</v>
      </c>
      <c r="N627" s="57">
        <v>96.448999999999998</v>
      </c>
      <c r="O627" s="80">
        <v>5.1999999999999998E-2</v>
      </c>
      <c r="P627" s="81">
        <v>6.431</v>
      </c>
      <c r="Q627" s="93"/>
      <c r="R627" s="93"/>
      <c r="S627" s="93"/>
      <c r="T627" s="93"/>
    </row>
    <row r="628" spans="1:20" ht="14.25" customHeight="1" x14ac:dyDescent="0.35">
      <c r="A628" s="1">
        <v>2023</v>
      </c>
      <c r="B628" s="1" t="s">
        <v>31</v>
      </c>
      <c r="C628" s="1">
        <v>17</v>
      </c>
      <c r="D628" s="49">
        <v>111.64100000000001</v>
      </c>
      <c r="E628" s="50">
        <v>94.438000000000002</v>
      </c>
      <c r="F628" s="60">
        <v>83.037000000000006</v>
      </c>
      <c r="G628" s="61">
        <v>1583.4960000000001</v>
      </c>
      <c r="H628" s="62">
        <v>6.9</v>
      </c>
      <c r="I628" s="63">
        <v>2.9000000000000001E-2</v>
      </c>
      <c r="J628" s="64">
        <v>7.165</v>
      </c>
      <c r="K628" s="65">
        <v>31.277000000000001</v>
      </c>
      <c r="L628" s="50">
        <v>5.319</v>
      </c>
      <c r="M628" s="66">
        <v>1.6E-2</v>
      </c>
      <c r="N628" s="57">
        <v>94.816000000000003</v>
      </c>
      <c r="O628" s="67">
        <v>5.2999999999999999E-2</v>
      </c>
      <c r="P628" s="68">
        <v>6.8639999999999999</v>
      </c>
      <c r="Q628" s="93"/>
      <c r="R628" s="93"/>
      <c r="S628" s="93"/>
      <c r="T628" s="93"/>
    </row>
    <row r="629" spans="1:20" ht="14.25" customHeight="1" x14ac:dyDescent="0.35">
      <c r="A629" s="1">
        <v>2023</v>
      </c>
      <c r="B629" s="1" t="s">
        <v>31</v>
      </c>
      <c r="C629" s="1">
        <v>18</v>
      </c>
      <c r="D629" s="49">
        <v>112.35899999999999</v>
      </c>
      <c r="E629" s="50">
        <v>95</v>
      </c>
      <c r="F629" s="60">
        <v>83.259</v>
      </c>
      <c r="G629" s="61">
        <v>1562.569</v>
      </c>
      <c r="H629" s="62">
        <v>6.9</v>
      </c>
      <c r="I629" s="63">
        <v>2.9000000000000001E-2</v>
      </c>
      <c r="J629" s="64">
        <v>7.2910000000000004</v>
      </c>
      <c r="K629" s="61">
        <v>31.452000000000002</v>
      </c>
      <c r="L629" s="62">
        <v>5.3380000000000001</v>
      </c>
      <c r="M629" s="66">
        <v>1.6E-2</v>
      </c>
      <c r="N629" s="57">
        <v>90.251999999999995</v>
      </c>
      <c r="O629" s="67">
        <v>5.0999999999999997E-2</v>
      </c>
      <c r="P629" s="68">
        <v>4.9390000000000001</v>
      </c>
      <c r="Q629" s="93"/>
      <c r="R629" s="93"/>
      <c r="S629" s="93"/>
      <c r="T629" s="93"/>
    </row>
    <row r="630" spans="1:20" ht="14.25" customHeight="1" x14ac:dyDescent="0.35">
      <c r="A630" s="1">
        <v>2023</v>
      </c>
      <c r="B630" s="1" t="s">
        <v>31</v>
      </c>
      <c r="C630" s="1">
        <v>19</v>
      </c>
      <c r="D630" s="49">
        <v>112.375</v>
      </c>
      <c r="E630" s="50">
        <v>94.968999999999994</v>
      </c>
      <c r="F630" s="60">
        <v>82.995000000000005</v>
      </c>
      <c r="G630" s="61">
        <v>1606.1990000000001</v>
      </c>
      <c r="H630" s="62">
        <v>6.9</v>
      </c>
      <c r="I630" s="63">
        <v>2.9000000000000001E-2</v>
      </c>
      <c r="J630" s="64">
        <v>7.5750000000000002</v>
      </c>
      <c r="K630" s="65">
        <v>32.204999999999998</v>
      </c>
      <c r="L630" s="50">
        <v>5.3289999999999997</v>
      </c>
      <c r="M630" s="66">
        <v>1.6E-2</v>
      </c>
      <c r="N630" s="57">
        <v>92.334999999999994</v>
      </c>
      <c r="O630" s="67">
        <v>5.7000000000000002E-2</v>
      </c>
      <c r="P630" s="68">
        <v>4.2770000000000001</v>
      </c>
      <c r="Q630" s="93"/>
      <c r="R630" s="93"/>
      <c r="S630" s="93"/>
      <c r="T630" s="93"/>
    </row>
    <row r="631" spans="1:20" ht="14.25" customHeight="1" x14ac:dyDescent="0.35">
      <c r="A631" s="1">
        <v>2023</v>
      </c>
      <c r="B631" s="1" t="s">
        <v>31</v>
      </c>
      <c r="C631" s="1">
        <v>20</v>
      </c>
      <c r="D631" s="49">
        <v>113.078</v>
      </c>
      <c r="E631" s="50">
        <v>95.593999999999994</v>
      </c>
      <c r="F631" s="60">
        <v>83.138999999999996</v>
      </c>
      <c r="G631" s="61">
        <v>1623.146</v>
      </c>
      <c r="H631" s="62">
        <v>6.9</v>
      </c>
      <c r="I631" s="63">
        <v>2.9000000000000001E-2</v>
      </c>
      <c r="J631" s="64">
        <v>7.7240000000000002</v>
      </c>
      <c r="K631" s="61">
        <v>33.134999999999998</v>
      </c>
      <c r="L631" s="62">
        <v>5.3380000000000001</v>
      </c>
      <c r="M631" s="66">
        <v>1.6E-2</v>
      </c>
      <c r="N631" s="57">
        <v>90.563000000000002</v>
      </c>
      <c r="O631" s="67">
        <v>5.3999999999999999E-2</v>
      </c>
      <c r="P631" s="68">
        <v>4.298</v>
      </c>
      <c r="Q631" s="93"/>
      <c r="R631" s="93"/>
      <c r="S631" s="93"/>
      <c r="T631" s="93"/>
    </row>
    <row r="632" spans="1:20" ht="14.25" customHeight="1" x14ac:dyDescent="0.35">
      <c r="A632" s="1">
        <v>2023</v>
      </c>
      <c r="B632" s="1" t="s">
        <v>31</v>
      </c>
      <c r="C632" s="1">
        <v>21</v>
      </c>
      <c r="D632" s="49">
        <v>112.313</v>
      </c>
      <c r="E632" s="50">
        <v>95</v>
      </c>
      <c r="F632" s="60">
        <v>82.870999999999995</v>
      </c>
      <c r="G632" s="61">
        <v>1629.7719999999999</v>
      </c>
      <c r="H632" s="62">
        <v>6.9</v>
      </c>
      <c r="I632" s="63">
        <v>2.9000000000000001E-2</v>
      </c>
      <c r="J632" s="64">
        <v>7.6379999999999999</v>
      </c>
      <c r="K632" s="65">
        <v>35.546999999999997</v>
      </c>
      <c r="L632" s="50">
        <v>5.3440000000000003</v>
      </c>
      <c r="M632" s="66">
        <v>1.6E-2</v>
      </c>
      <c r="N632" s="57">
        <v>89.238</v>
      </c>
      <c r="O632" s="67">
        <v>5.2999999999999999E-2</v>
      </c>
      <c r="P632" s="68">
        <v>4.3659999999999997</v>
      </c>
      <c r="Q632" s="93"/>
      <c r="R632" s="93"/>
      <c r="S632" s="93"/>
      <c r="T632" s="93"/>
    </row>
    <row r="633" spans="1:20" ht="14.25" customHeight="1" x14ac:dyDescent="0.35">
      <c r="A633" s="1">
        <v>2023</v>
      </c>
      <c r="B633" s="1" t="s">
        <v>31</v>
      </c>
      <c r="C633" s="1">
        <v>22</v>
      </c>
      <c r="D633" s="49">
        <v>113.71899999999999</v>
      </c>
      <c r="E633" s="50">
        <v>95.938000000000002</v>
      </c>
      <c r="F633" s="60">
        <v>82.784000000000006</v>
      </c>
      <c r="G633" s="61">
        <v>1646.2139999999999</v>
      </c>
      <c r="H633" s="62">
        <v>6.9</v>
      </c>
      <c r="I633" s="63">
        <v>2.8000000000000001E-2</v>
      </c>
      <c r="J633" s="64">
        <v>7.55</v>
      </c>
      <c r="K633" s="61">
        <v>34.646000000000001</v>
      </c>
      <c r="L633" s="62">
        <v>5.335</v>
      </c>
      <c r="M633" s="66">
        <v>1.6E-2</v>
      </c>
      <c r="N633" s="57">
        <v>90.93</v>
      </c>
      <c r="O633" s="67">
        <v>5.3999999999999999E-2</v>
      </c>
      <c r="P633" s="68">
        <v>3</v>
      </c>
      <c r="Q633" s="93"/>
      <c r="R633" s="93"/>
      <c r="S633" s="93"/>
      <c r="T633" s="93"/>
    </row>
    <row r="634" spans="1:20" ht="14.25" customHeight="1" x14ac:dyDescent="0.35">
      <c r="A634" s="1">
        <v>2023</v>
      </c>
      <c r="B634" s="1" t="s">
        <v>31</v>
      </c>
      <c r="C634" s="1">
        <v>23</v>
      </c>
      <c r="D634" s="49">
        <v>114.438</v>
      </c>
      <c r="E634" s="50">
        <v>96.656000000000006</v>
      </c>
      <c r="F634" s="60">
        <v>82.744</v>
      </c>
      <c r="G634" s="61">
        <v>1607.3610000000001</v>
      </c>
      <c r="H634" s="62">
        <v>6.9</v>
      </c>
      <c r="I634" s="63">
        <v>2.8000000000000001E-2</v>
      </c>
      <c r="J634" s="64">
        <v>7.4889999999999999</v>
      </c>
      <c r="K634" s="65">
        <v>35.886000000000003</v>
      </c>
      <c r="L634" s="50">
        <v>5.3529999999999998</v>
      </c>
      <c r="M634" s="66">
        <v>1.6E-2</v>
      </c>
      <c r="N634" s="57">
        <v>87.635000000000005</v>
      </c>
      <c r="O634" s="67">
        <v>5.5E-2</v>
      </c>
      <c r="P634" s="68">
        <v>2.8519999999999999</v>
      </c>
      <c r="Q634" s="93"/>
      <c r="R634" s="93"/>
      <c r="S634" s="93"/>
      <c r="T634" s="93"/>
    </row>
    <row r="635" spans="1:20" ht="14.25" customHeight="1" x14ac:dyDescent="0.35">
      <c r="A635" s="1">
        <v>2023</v>
      </c>
      <c r="B635" s="1" t="s">
        <v>31</v>
      </c>
      <c r="C635" s="1">
        <v>24</v>
      </c>
      <c r="D635" s="49">
        <v>114.48399999999999</v>
      </c>
      <c r="E635" s="50">
        <v>96.656000000000006</v>
      </c>
      <c r="F635" s="60">
        <v>82.807000000000002</v>
      </c>
      <c r="G635" s="61">
        <v>1545.68</v>
      </c>
      <c r="H635" s="62">
        <v>6.9</v>
      </c>
      <c r="I635" s="63">
        <v>2.8000000000000001E-2</v>
      </c>
      <c r="J635" s="64">
        <v>7.3550000000000004</v>
      </c>
      <c r="K635" s="61">
        <v>32.426000000000002</v>
      </c>
      <c r="L635" s="62">
        <v>5.3019999999999996</v>
      </c>
      <c r="M635" s="66">
        <v>1.6E-2</v>
      </c>
      <c r="N635" s="57">
        <v>98.186999999999998</v>
      </c>
      <c r="O635" s="67">
        <v>0.05</v>
      </c>
      <c r="P635" s="68">
        <v>2.847</v>
      </c>
      <c r="Q635" s="93"/>
      <c r="R635" s="93"/>
      <c r="S635" s="93"/>
      <c r="T635" s="93"/>
    </row>
    <row r="636" spans="1:20" ht="14.25" customHeight="1" x14ac:dyDescent="0.35">
      <c r="A636" s="1">
        <v>2023</v>
      </c>
      <c r="B636" s="1" t="s">
        <v>31</v>
      </c>
      <c r="C636" s="1">
        <v>25</v>
      </c>
      <c r="D636" s="49">
        <v>112.453</v>
      </c>
      <c r="E636" s="50">
        <v>94.938000000000002</v>
      </c>
      <c r="F636" s="60">
        <v>82.600999999999999</v>
      </c>
      <c r="G636" s="61">
        <v>1544.9</v>
      </c>
      <c r="H636" s="62">
        <v>6.9</v>
      </c>
      <c r="I636" s="63">
        <v>2.8000000000000001E-2</v>
      </c>
      <c r="J636" s="64">
        <v>7.492</v>
      </c>
      <c r="K636" s="65">
        <v>34.607999999999997</v>
      </c>
      <c r="L636" s="50">
        <v>5.2990000000000004</v>
      </c>
      <c r="M636" s="66">
        <v>1.6E-2</v>
      </c>
      <c r="N636" s="57">
        <v>99.009</v>
      </c>
      <c r="O636" s="67">
        <v>5.0999999999999997E-2</v>
      </c>
      <c r="P636" s="68">
        <v>2.4470000000000001</v>
      </c>
      <c r="Q636" s="93"/>
      <c r="R636" s="93"/>
      <c r="S636" s="93"/>
      <c r="T636" s="93"/>
    </row>
    <row r="637" spans="1:20" ht="14.25" customHeight="1" x14ac:dyDescent="0.35">
      <c r="A637" s="1">
        <v>2023</v>
      </c>
      <c r="B637" s="1" t="s">
        <v>31</v>
      </c>
      <c r="C637" s="1">
        <v>26</v>
      </c>
      <c r="D637" s="49">
        <v>114.28100000000001</v>
      </c>
      <c r="E637" s="50">
        <v>96.563000000000002</v>
      </c>
      <c r="F637" s="60">
        <v>82.912999999999997</v>
      </c>
      <c r="G637" s="61">
        <v>1592.953</v>
      </c>
      <c r="H637" s="62">
        <v>6.9</v>
      </c>
      <c r="I637" s="63">
        <v>2.8000000000000001E-2</v>
      </c>
      <c r="J637" s="64">
        <v>7.5579999999999998</v>
      </c>
      <c r="K637" s="61">
        <v>38.003</v>
      </c>
      <c r="L637" s="62">
        <v>5.31</v>
      </c>
      <c r="M637" s="66">
        <v>1.6E-2</v>
      </c>
      <c r="N637" s="57">
        <v>96.159000000000006</v>
      </c>
      <c r="O637" s="67">
        <v>5.7000000000000002E-2</v>
      </c>
      <c r="P637" s="68">
        <v>2.3279999999999998</v>
      </c>
      <c r="Q637" s="93"/>
      <c r="R637" s="93"/>
      <c r="S637" s="93"/>
      <c r="T637" s="93"/>
    </row>
    <row r="638" spans="1:20" ht="14.25" customHeight="1" x14ac:dyDescent="0.35">
      <c r="A638" s="1">
        <v>2023</v>
      </c>
      <c r="B638" s="1" t="s">
        <v>31</v>
      </c>
      <c r="C638" s="1">
        <v>27</v>
      </c>
      <c r="D638" s="12">
        <v>118.297</v>
      </c>
      <c r="E638" s="13">
        <v>99.968999999999994</v>
      </c>
      <c r="F638" s="60">
        <v>82.963999999999999</v>
      </c>
      <c r="G638" s="61">
        <v>1629.9570000000001</v>
      </c>
      <c r="H638" s="62">
        <v>6.9</v>
      </c>
      <c r="I638" s="63">
        <v>2.8000000000000001E-2</v>
      </c>
      <c r="J638" s="64">
        <v>7.226</v>
      </c>
      <c r="K638" s="65">
        <v>40.14</v>
      </c>
      <c r="L638" s="50">
        <v>5.3120000000000003</v>
      </c>
      <c r="M638" s="66">
        <v>1.6E-2</v>
      </c>
      <c r="N638" s="57">
        <v>95.849000000000004</v>
      </c>
      <c r="O638" s="67">
        <v>5.6000000000000001E-2</v>
      </c>
      <c r="P638" s="68">
        <v>2.177</v>
      </c>
      <c r="Q638" s="93"/>
      <c r="R638" s="93"/>
      <c r="S638" s="93"/>
      <c r="T638" s="93"/>
    </row>
    <row r="639" spans="1:20" ht="14.25" customHeight="1" x14ac:dyDescent="0.35">
      <c r="A639" s="1">
        <v>2023</v>
      </c>
      <c r="B639" s="1" t="s">
        <v>31</v>
      </c>
      <c r="C639" s="1">
        <v>28</v>
      </c>
      <c r="D639" s="12">
        <v>118.26600000000001</v>
      </c>
      <c r="E639" s="13">
        <v>100</v>
      </c>
      <c r="F639" s="60">
        <v>82.893000000000001</v>
      </c>
      <c r="G639" s="61">
        <v>1642.22</v>
      </c>
      <c r="H639" s="62">
        <v>6.9009999999999998</v>
      </c>
      <c r="I639" s="63">
        <v>2.8000000000000001E-2</v>
      </c>
      <c r="J639" s="64">
        <v>7.1509999999999998</v>
      </c>
      <c r="K639" s="61">
        <v>40.570999999999998</v>
      </c>
      <c r="L639" s="62">
        <v>5.3230000000000004</v>
      </c>
      <c r="M639" s="66">
        <v>1.6E-2</v>
      </c>
      <c r="N639" s="57">
        <v>93.444999999999993</v>
      </c>
      <c r="O639" s="67">
        <v>5.6000000000000001E-2</v>
      </c>
      <c r="P639" s="68">
        <v>2.0489999999999999</v>
      </c>
      <c r="Q639" s="93"/>
      <c r="R639" s="93"/>
      <c r="S639" s="93"/>
      <c r="T639" s="93"/>
    </row>
    <row r="640" spans="1:20" ht="14.25" customHeight="1" x14ac:dyDescent="0.35">
      <c r="A640" s="1">
        <v>2023</v>
      </c>
      <c r="B640" s="1" t="s">
        <v>31</v>
      </c>
      <c r="C640" s="1">
        <v>29</v>
      </c>
      <c r="D640" s="12">
        <v>118.23399999999999</v>
      </c>
      <c r="E640" s="13">
        <v>100</v>
      </c>
      <c r="F640" s="83">
        <v>82.742999999999995</v>
      </c>
      <c r="G640" s="69">
        <v>1636.3</v>
      </c>
      <c r="H640" s="50">
        <v>6.9</v>
      </c>
      <c r="I640" s="66">
        <v>2.8000000000000001E-2</v>
      </c>
      <c r="J640" s="50">
        <v>7.0869999999999997</v>
      </c>
      <c r="K640" s="61">
        <v>40.206000000000003</v>
      </c>
      <c r="L640" s="62">
        <v>5.3940000000000001</v>
      </c>
      <c r="M640" s="66">
        <v>1.4999999999999999E-2</v>
      </c>
      <c r="N640" s="57">
        <v>81.498999999999995</v>
      </c>
      <c r="O640" s="84">
        <v>5.5E-2</v>
      </c>
      <c r="P640" s="71">
        <v>2.5129999999999999</v>
      </c>
      <c r="Q640" s="93"/>
      <c r="R640" s="93"/>
      <c r="S640" s="93"/>
      <c r="T640" s="93"/>
    </row>
    <row r="641" spans="1:20" ht="14.25" customHeight="1" x14ac:dyDescent="0.35">
      <c r="A641" s="1">
        <v>2023</v>
      </c>
      <c r="B641" s="1" t="s">
        <v>31</v>
      </c>
      <c r="C641" s="1">
        <v>30</v>
      </c>
      <c r="D641" s="85">
        <v>112.60899999999999</v>
      </c>
      <c r="E641" s="86">
        <v>95.156000000000006</v>
      </c>
      <c r="F641" s="83">
        <v>82.272000000000006</v>
      </c>
      <c r="G641" s="69">
        <v>1630.49</v>
      </c>
      <c r="H641" s="50">
        <v>6.9</v>
      </c>
      <c r="I641" s="66">
        <v>2.8000000000000001E-2</v>
      </c>
      <c r="J641" s="50">
        <v>7.1390000000000002</v>
      </c>
      <c r="K641" s="61">
        <v>38.293999999999997</v>
      </c>
      <c r="L641" s="62">
        <v>5.4530000000000003</v>
      </c>
      <c r="M641" s="66">
        <v>1.4999999999999999E-2</v>
      </c>
      <c r="N641" s="57">
        <v>69.203000000000003</v>
      </c>
      <c r="O641" s="84">
        <v>5.0999999999999997E-2</v>
      </c>
      <c r="P641" s="71">
        <v>2.7349999999999999</v>
      </c>
      <c r="Q641" s="93"/>
      <c r="R641" s="93"/>
      <c r="S641" s="93"/>
      <c r="T641" s="93"/>
    </row>
    <row r="642" spans="1:20" ht="14.25" customHeight="1" x14ac:dyDescent="0.35">
      <c r="A642" s="1">
        <v>2023</v>
      </c>
      <c r="B642" s="1" t="s">
        <v>32</v>
      </c>
      <c r="C642" s="1">
        <v>1</v>
      </c>
      <c r="D642" s="49">
        <v>111.313</v>
      </c>
      <c r="E642" s="50">
        <v>94.063000000000002</v>
      </c>
      <c r="F642" s="51">
        <v>81.793000000000006</v>
      </c>
      <c r="G642" s="52">
        <v>1574.1079999999999</v>
      </c>
      <c r="H642" s="53">
        <v>6.9</v>
      </c>
      <c r="I642" s="54">
        <v>2.8000000000000001E-2</v>
      </c>
      <c r="J642" s="55">
        <v>6.968</v>
      </c>
      <c r="K642" s="52">
        <v>38.238</v>
      </c>
      <c r="L642" s="55">
        <v>5.4690000000000003</v>
      </c>
      <c r="M642" s="56">
        <v>1.4999999999999999E-2</v>
      </c>
      <c r="N642" s="57">
        <v>66.900000000000006</v>
      </c>
      <c r="O642" s="58">
        <v>4.8000000000000001E-2</v>
      </c>
      <c r="P642" s="59">
        <v>3.613</v>
      </c>
      <c r="Q642" s="93"/>
      <c r="R642" s="93"/>
      <c r="S642" s="93"/>
      <c r="T642" s="93"/>
    </row>
    <row r="643" spans="1:20" ht="14.25" customHeight="1" x14ac:dyDescent="0.35">
      <c r="A643" s="1">
        <v>2023</v>
      </c>
      <c r="B643" s="1" t="s">
        <v>32</v>
      </c>
      <c r="C643" s="1">
        <v>2</v>
      </c>
      <c r="D643" s="49">
        <v>112.28100000000001</v>
      </c>
      <c r="E643" s="50">
        <v>95.031000000000006</v>
      </c>
      <c r="F643" s="60">
        <v>81.747</v>
      </c>
      <c r="G643" s="61">
        <v>1567.4469999999999</v>
      </c>
      <c r="H643" s="62">
        <v>6.9</v>
      </c>
      <c r="I643" s="63">
        <v>2.9000000000000001E-2</v>
      </c>
      <c r="J643" s="64">
        <v>7.1669999999999998</v>
      </c>
      <c r="K643" s="65">
        <v>38.679000000000002</v>
      </c>
      <c r="L643" s="50">
        <v>5.4749999999999996</v>
      </c>
      <c r="M643" s="66">
        <v>1.4999999999999999E-2</v>
      </c>
      <c r="N643" s="57">
        <v>65.787999999999997</v>
      </c>
      <c r="O643" s="67">
        <v>0.05</v>
      </c>
      <c r="P643" s="68">
        <v>4.0339999999999998</v>
      </c>
      <c r="Q643" s="93"/>
      <c r="R643" s="93"/>
      <c r="S643" s="93"/>
      <c r="T643" s="93"/>
    </row>
    <row r="644" spans="1:20" ht="14.25" customHeight="1" x14ac:dyDescent="0.35">
      <c r="A644" s="1">
        <v>2023</v>
      </c>
      <c r="B644" s="1" t="s">
        <v>32</v>
      </c>
      <c r="C644" s="1">
        <v>3</v>
      </c>
      <c r="D644" s="49">
        <v>112.26600000000001</v>
      </c>
      <c r="E644" s="50">
        <v>94.968999999999994</v>
      </c>
      <c r="F644" s="60">
        <v>82.128</v>
      </c>
      <c r="G644" s="61">
        <v>1614.242</v>
      </c>
      <c r="H644" s="62">
        <v>6.9</v>
      </c>
      <c r="I644" s="63">
        <v>2.8000000000000001E-2</v>
      </c>
      <c r="J644" s="64">
        <v>7.1829999999999998</v>
      </c>
      <c r="K644" s="65">
        <v>39.631999999999998</v>
      </c>
      <c r="L644" s="50">
        <v>5.4720000000000004</v>
      </c>
      <c r="M644" s="66">
        <v>1.4999999999999999E-2</v>
      </c>
      <c r="N644" s="57">
        <v>66.349000000000004</v>
      </c>
      <c r="O644" s="67">
        <v>5.1999999999999998E-2</v>
      </c>
      <c r="P644" s="68">
        <v>3.7749999999999999</v>
      </c>
      <c r="Q644" s="93"/>
      <c r="R644" s="93"/>
      <c r="S644" s="93"/>
      <c r="T644" s="93"/>
    </row>
    <row r="645" spans="1:20" ht="14.25" customHeight="1" x14ac:dyDescent="0.35">
      <c r="A645" s="1">
        <v>2023</v>
      </c>
      <c r="B645" s="1" t="s">
        <v>32</v>
      </c>
      <c r="C645" s="1">
        <v>4</v>
      </c>
      <c r="D645" s="49">
        <v>126.75</v>
      </c>
      <c r="E645" s="50">
        <v>107.5</v>
      </c>
      <c r="F645" s="60">
        <v>82.316000000000003</v>
      </c>
      <c r="G645" s="61">
        <v>1977.0219999999999</v>
      </c>
      <c r="H645" s="62">
        <v>6.9</v>
      </c>
      <c r="I645" s="63">
        <v>2.9000000000000001E-2</v>
      </c>
      <c r="J645" s="64">
        <v>6.9710000000000001</v>
      </c>
      <c r="K645" s="65">
        <v>54.610999999999997</v>
      </c>
      <c r="L645" s="50">
        <v>5.5149999999999997</v>
      </c>
      <c r="M645" s="66">
        <v>1.4999999999999999E-2</v>
      </c>
      <c r="N645" s="57">
        <v>60.354999999999997</v>
      </c>
      <c r="O645" s="67">
        <v>5.2999999999999999E-2</v>
      </c>
      <c r="P645" s="68">
        <v>2.4460000000000002</v>
      </c>
      <c r="Q645" s="93"/>
      <c r="R645" s="93"/>
      <c r="S645" s="93"/>
      <c r="T645" s="93"/>
    </row>
    <row r="646" spans="1:20" ht="14.25" customHeight="1" x14ac:dyDescent="0.35">
      <c r="A646" s="1">
        <v>2023</v>
      </c>
      <c r="B646" s="1" t="s">
        <v>32</v>
      </c>
      <c r="C646" s="1">
        <v>5</v>
      </c>
      <c r="D646" s="49">
        <v>135.60900000000001</v>
      </c>
      <c r="E646" s="50">
        <v>114.96899999999999</v>
      </c>
      <c r="F646" s="60">
        <v>82.540999999999997</v>
      </c>
      <c r="G646" s="61">
        <v>2322.8539999999998</v>
      </c>
      <c r="H646" s="62">
        <v>6.9</v>
      </c>
      <c r="I646" s="63">
        <v>0.03</v>
      </c>
      <c r="J646" s="64">
        <v>6.702</v>
      </c>
      <c r="K646" s="65">
        <v>65.307000000000002</v>
      </c>
      <c r="L646" s="50">
        <v>5.4710000000000001</v>
      </c>
      <c r="M646" s="66">
        <v>1.4999999999999999E-2</v>
      </c>
      <c r="N646" s="57">
        <v>66.957999999999998</v>
      </c>
      <c r="O646" s="67">
        <v>5.1999999999999998E-2</v>
      </c>
      <c r="P646" s="68">
        <v>3.0840000000000001</v>
      </c>
      <c r="Q646" s="93"/>
      <c r="R646" s="93"/>
      <c r="S646" s="93"/>
      <c r="T646" s="93"/>
    </row>
    <row r="647" spans="1:20" ht="14.25" customHeight="1" x14ac:dyDescent="0.35">
      <c r="A647" s="1">
        <v>2023</v>
      </c>
      <c r="B647" s="1" t="s">
        <v>32</v>
      </c>
      <c r="C647" s="1">
        <v>6</v>
      </c>
      <c r="D647" s="49">
        <v>135.875</v>
      </c>
      <c r="E647" s="50">
        <v>115.03100000000001</v>
      </c>
      <c r="F647" s="60">
        <v>82.646000000000001</v>
      </c>
      <c r="G647" s="61">
        <v>2403.36</v>
      </c>
      <c r="H647" s="62">
        <v>6.9</v>
      </c>
      <c r="I647" s="63">
        <v>0.03</v>
      </c>
      <c r="J647" s="64">
        <v>6.5119999999999996</v>
      </c>
      <c r="K647" s="65">
        <v>67.33</v>
      </c>
      <c r="L647" s="50">
        <v>5.4340000000000002</v>
      </c>
      <c r="M647" s="66">
        <v>1.4999999999999999E-2</v>
      </c>
      <c r="N647" s="57">
        <v>72.364000000000004</v>
      </c>
      <c r="O647" s="67">
        <v>5.1999999999999998E-2</v>
      </c>
      <c r="P647" s="68">
        <v>3.2280000000000002</v>
      </c>
      <c r="Q647" s="93"/>
      <c r="R647" s="93"/>
      <c r="S647" s="93"/>
      <c r="T647" s="93"/>
    </row>
    <row r="648" spans="1:20" ht="14.25" customHeight="1" x14ac:dyDescent="0.35">
      <c r="A648" s="1">
        <v>2023</v>
      </c>
      <c r="B648" s="1" t="s">
        <v>32</v>
      </c>
      <c r="C648" s="1">
        <v>7</v>
      </c>
      <c r="D648" s="49">
        <v>135.797</v>
      </c>
      <c r="E648" s="50">
        <v>114.875</v>
      </c>
      <c r="F648" s="60">
        <v>82.668999999999997</v>
      </c>
      <c r="G648" s="61">
        <v>2357.6849999999999</v>
      </c>
      <c r="H648" s="62">
        <v>6.9</v>
      </c>
      <c r="I648" s="63">
        <v>0.03</v>
      </c>
      <c r="J648" s="64">
        <v>6.6760000000000002</v>
      </c>
      <c r="K648" s="65">
        <v>60.850999999999999</v>
      </c>
      <c r="L648" s="50">
        <v>5.4169999999999998</v>
      </c>
      <c r="M648" s="66">
        <v>1.4999999999999999E-2</v>
      </c>
      <c r="N648" s="57">
        <v>75.290999999999997</v>
      </c>
      <c r="O648" s="67">
        <v>4.8000000000000001E-2</v>
      </c>
      <c r="P648" s="68">
        <v>2.4249999999999998</v>
      </c>
      <c r="Q648" s="93"/>
      <c r="R648" s="93"/>
      <c r="S648" s="93"/>
      <c r="T648" s="93"/>
    </row>
    <row r="649" spans="1:20" ht="14.25" customHeight="1" x14ac:dyDescent="0.35">
      <c r="A649" s="1">
        <v>2023</v>
      </c>
      <c r="B649" s="1" t="s">
        <v>32</v>
      </c>
      <c r="C649" s="1">
        <v>8</v>
      </c>
      <c r="D649" s="49">
        <v>134.21899999999999</v>
      </c>
      <c r="E649" s="50">
        <v>113.59399999999999</v>
      </c>
      <c r="F649" s="60">
        <v>82.456999999999994</v>
      </c>
      <c r="G649" s="69">
        <v>2217.029</v>
      </c>
      <c r="H649" s="62">
        <v>6.9</v>
      </c>
      <c r="I649" s="63">
        <v>0.03</v>
      </c>
      <c r="J649" s="50">
        <v>6.8</v>
      </c>
      <c r="K649" s="65">
        <v>56.125</v>
      </c>
      <c r="L649" s="50">
        <v>5.4240000000000004</v>
      </c>
      <c r="M649" s="66">
        <v>1.4999999999999999E-2</v>
      </c>
      <c r="N649" s="57">
        <v>74.075000000000003</v>
      </c>
      <c r="O649" s="70">
        <v>4.4999999999999998E-2</v>
      </c>
      <c r="P649" s="71">
        <v>2.9279999999999999</v>
      </c>
      <c r="Q649" s="93"/>
      <c r="R649" s="93"/>
      <c r="S649" s="93"/>
      <c r="T649" s="93"/>
    </row>
    <row r="650" spans="1:20" ht="14.25" customHeight="1" x14ac:dyDescent="0.35">
      <c r="A650" s="1">
        <v>2023</v>
      </c>
      <c r="B650" s="1" t="s">
        <v>32</v>
      </c>
      <c r="C650" s="1">
        <v>9</v>
      </c>
      <c r="D650" s="49">
        <v>135.875</v>
      </c>
      <c r="E650" s="50">
        <v>115</v>
      </c>
      <c r="F650" s="60">
        <v>82.036000000000001</v>
      </c>
      <c r="G650" s="61">
        <v>2277.9090000000001</v>
      </c>
      <c r="H650" s="62">
        <v>6.9</v>
      </c>
      <c r="I650" s="63">
        <v>0.03</v>
      </c>
      <c r="J650" s="64">
        <v>6.7519999999999998</v>
      </c>
      <c r="K650" s="65">
        <v>56.51</v>
      </c>
      <c r="L650" s="50">
        <v>5.4240000000000004</v>
      </c>
      <c r="M650" s="66">
        <v>1.4999999999999999E-2</v>
      </c>
      <c r="N650" s="57">
        <v>73.954999999999998</v>
      </c>
      <c r="O650" s="67">
        <v>4.2999999999999997E-2</v>
      </c>
      <c r="P650" s="68">
        <v>3.536</v>
      </c>
      <c r="Q650" s="93"/>
      <c r="R650" s="93"/>
      <c r="S650" s="93"/>
      <c r="T650" s="93"/>
    </row>
    <row r="651" spans="1:20" ht="14.25" customHeight="1" x14ac:dyDescent="0.35">
      <c r="A651" s="1">
        <v>2023</v>
      </c>
      <c r="B651" s="1" t="s">
        <v>32</v>
      </c>
      <c r="C651" s="1">
        <v>10</v>
      </c>
      <c r="D651" s="49">
        <v>135.875</v>
      </c>
      <c r="E651" s="50">
        <v>114.96899999999999</v>
      </c>
      <c r="F651" s="72">
        <v>82.046999999999997</v>
      </c>
      <c r="G651" s="61">
        <v>2303.1350000000002</v>
      </c>
      <c r="H651" s="62">
        <v>6.9</v>
      </c>
      <c r="I651" s="63">
        <v>0.03</v>
      </c>
      <c r="J651" s="73">
        <v>6.7240000000000002</v>
      </c>
      <c r="K651" s="65">
        <v>57.853999999999999</v>
      </c>
      <c r="L651" s="50">
        <v>5.423</v>
      </c>
      <c r="M651" s="74">
        <v>1.4999999999999999E-2</v>
      </c>
      <c r="N651" s="57">
        <v>74.183000000000007</v>
      </c>
      <c r="O651" s="75">
        <v>4.5999999999999999E-2</v>
      </c>
      <c r="P651" s="76">
        <v>3.6030000000000002</v>
      </c>
      <c r="Q651" s="93"/>
      <c r="R651" s="93"/>
      <c r="S651" s="93"/>
      <c r="T651" s="93"/>
    </row>
    <row r="652" spans="1:20" ht="14.25" customHeight="1" x14ac:dyDescent="0.35">
      <c r="A652" s="1">
        <v>2023</v>
      </c>
      <c r="B652" s="1" t="s">
        <v>32</v>
      </c>
      <c r="C652" s="1">
        <v>11</v>
      </c>
      <c r="D652" s="49">
        <v>135.922</v>
      </c>
      <c r="E652" s="50">
        <v>114.96899999999999</v>
      </c>
      <c r="F652" s="72">
        <v>82.1</v>
      </c>
      <c r="G652" s="61">
        <v>2396.8649999999998</v>
      </c>
      <c r="H652" s="62">
        <v>6.9</v>
      </c>
      <c r="I652" s="63">
        <v>0.03</v>
      </c>
      <c r="J652" s="77">
        <v>6.6749999999999998</v>
      </c>
      <c r="K652" s="65">
        <v>63.405000000000001</v>
      </c>
      <c r="L652" s="50">
        <v>5.4279999999999999</v>
      </c>
      <c r="M652" s="74">
        <v>1.4999999999999999E-2</v>
      </c>
      <c r="N652" s="57">
        <v>73.331999999999994</v>
      </c>
      <c r="O652" s="75">
        <v>4.9000000000000002E-2</v>
      </c>
      <c r="P652" s="76">
        <v>4.12</v>
      </c>
      <c r="Q652" s="93"/>
      <c r="R652" s="93"/>
      <c r="S652" s="93"/>
      <c r="T652" s="93"/>
    </row>
    <row r="653" spans="1:20" ht="14.25" customHeight="1" x14ac:dyDescent="0.35">
      <c r="A653" s="1">
        <v>2023</v>
      </c>
      <c r="B653" s="1" t="s">
        <v>32</v>
      </c>
      <c r="C653" s="1">
        <v>12</v>
      </c>
      <c r="D653" s="49">
        <v>134.76599999999999</v>
      </c>
      <c r="E653" s="50">
        <v>114.063</v>
      </c>
      <c r="F653" s="72">
        <v>81.983000000000004</v>
      </c>
      <c r="G653" s="61">
        <v>2434.7330000000002</v>
      </c>
      <c r="H653" s="62">
        <v>6.9</v>
      </c>
      <c r="I653" s="63">
        <v>0.03</v>
      </c>
      <c r="J653" s="73">
        <v>6.6950000000000003</v>
      </c>
      <c r="K653" s="65">
        <v>63.118000000000002</v>
      </c>
      <c r="L653" s="50">
        <v>5.4210000000000003</v>
      </c>
      <c r="M653" s="74">
        <v>1.4999999999999999E-2</v>
      </c>
      <c r="N653" s="57">
        <v>74.516999999999996</v>
      </c>
      <c r="O653" s="75">
        <v>4.9000000000000002E-2</v>
      </c>
      <c r="P653" s="76">
        <v>4.7850000000000001</v>
      </c>
      <c r="Q653" s="93"/>
      <c r="R653" s="93"/>
      <c r="S653" s="93"/>
      <c r="T653" s="93"/>
    </row>
    <row r="654" spans="1:20" ht="14.25" customHeight="1" x14ac:dyDescent="0.35">
      <c r="A654" s="1">
        <v>2023</v>
      </c>
      <c r="B654" s="1" t="s">
        <v>32</v>
      </c>
      <c r="C654" s="1">
        <v>13</v>
      </c>
      <c r="D654" s="49">
        <v>135.625</v>
      </c>
      <c r="E654" s="50">
        <v>115</v>
      </c>
      <c r="F654" s="78">
        <v>82.052000000000007</v>
      </c>
      <c r="G654" s="61">
        <v>2383.7370000000001</v>
      </c>
      <c r="H654" s="62">
        <v>6.9</v>
      </c>
      <c r="I654" s="63">
        <v>2.9000000000000001E-2</v>
      </c>
      <c r="J654" s="79">
        <v>6.6760000000000002</v>
      </c>
      <c r="K654" s="65">
        <v>57.372999999999998</v>
      </c>
      <c r="L654" s="50">
        <v>5.319</v>
      </c>
      <c r="M654" s="66">
        <v>1.4E-2</v>
      </c>
      <c r="N654" s="57">
        <v>99.638999999999996</v>
      </c>
      <c r="O654" s="80">
        <v>4.7E-2</v>
      </c>
      <c r="P654" s="81">
        <v>4.0389999999999997</v>
      </c>
      <c r="Q654" s="93"/>
      <c r="R654" s="93"/>
      <c r="S654" s="93"/>
      <c r="T654" s="93"/>
    </row>
    <row r="655" spans="1:20" ht="14.25" customHeight="1" x14ac:dyDescent="0.35">
      <c r="A655" s="1">
        <v>2023</v>
      </c>
      <c r="B655" s="1" t="s">
        <v>32</v>
      </c>
      <c r="C655" s="1">
        <v>14</v>
      </c>
      <c r="D655" s="49">
        <v>125.953</v>
      </c>
      <c r="E655" s="50">
        <v>106.59399999999999</v>
      </c>
      <c r="F655" s="60">
        <v>81.905000000000001</v>
      </c>
      <c r="G655" s="61">
        <v>2388.7049999999999</v>
      </c>
      <c r="H655" s="62">
        <v>6.9</v>
      </c>
      <c r="I655" s="63">
        <v>2.9000000000000001E-2</v>
      </c>
      <c r="J655" s="79">
        <v>6.6929999999999996</v>
      </c>
      <c r="K655" s="82">
        <v>58.372799999999998</v>
      </c>
      <c r="L655" s="50">
        <v>5.1577999999999999</v>
      </c>
      <c r="M655" s="66">
        <v>1.47E-2</v>
      </c>
      <c r="N655" s="57">
        <v>136.76939999999999</v>
      </c>
      <c r="O655" s="80">
        <v>4.8500000000000001E-2</v>
      </c>
      <c r="P655" s="81">
        <v>4.0919999999999996</v>
      </c>
      <c r="Q655" s="93"/>
      <c r="R655" s="93"/>
      <c r="S655" s="93"/>
      <c r="T655" s="93"/>
    </row>
    <row r="656" spans="1:20" ht="14.25" customHeight="1" x14ac:dyDescent="0.35">
      <c r="A656" s="1">
        <v>2023</v>
      </c>
      <c r="B656" s="1" t="s">
        <v>32</v>
      </c>
      <c r="C656" s="1">
        <v>15</v>
      </c>
      <c r="D656" s="49">
        <v>133.922</v>
      </c>
      <c r="E656" s="50">
        <v>113.15600000000001</v>
      </c>
      <c r="F656" s="60">
        <v>81.995999999999995</v>
      </c>
      <c r="G656" s="61">
        <v>2330.7550000000001</v>
      </c>
      <c r="H656" s="62">
        <v>6.9</v>
      </c>
      <c r="I656" s="63">
        <v>2.9000000000000001E-2</v>
      </c>
      <c r="J656" s="73">
        <v>6.7709999999999999</v>
      </c>
      <c r="K656" s="65">
        <v>61.040399999999998</v>
      </c>
      <c r="L656" s="50">
        <v>5.1676000000000002</v>
      </c>
      <c r="M656" s="66">
        <v>1.47E-2</v>
      </c>
      <c r="N656" s="57">
        <v>133.75649999999999</v>
      </c>
      <c r="O656" s="75">
        <v>4.5999999999999999E-2</v>
      </c>
      <c r="P656" s="76">
        <v>4.1059999999999999</v>
      </c>
      <c r="Q656" s="93"/>
      <c r="R656" s="93"/>
      <c r="S656" s="93"/>
      <c r="T656" s="93"/>
    </row>
    <row r="657" spans="1:20" ht="14.25" customHeight="1" x14ac:dyDescent="0.35">
      <c r="A657" s="1">
        <v>2023</v>
      </c>
      <c r="B657" s="1" t="s">
        <v>32</v>
      </c>
      <c r="C657" s="1">
        <v>16</v>
      </c>
      <c r="D657" s="49">
        <v>126.672</v>
      </c>
      <c r="E657" s="50">
        <v>106.90600000000001</v>
      </c>
      <c r="F657" s="60">
        <v>82.012</v>
      </c>
      <c r="G657" s="61">
        <v>2260.002</v>
      </c>
      <c r="H657" s="62">
        <v>6.9</v>
      </c>
      <c r="I657" s="63">
        <v>2.9000000000000001E-2</v>
      </c>
      <c r="J657" s="79">
        <v>7.0019999999999998</v>
      </c>
      <c r="K657" s="61">
        <v>63.225999999999999</v>
      </c>
      <c r="L657" s="62">
        <v>5.1769999999999996</v>
      </c>
      <c r="M657" s="66">
        <v>1.4999999999999999E-2</v>
      </c>
      <c r="N657" s="57">
        <v>130.97900000000001</v>
      </c>
      <c r="O657" s="80">
        <v>4.8000000000000001E-2</v>
      </c>
      <c r="P657" s="81">
        <v>3.3759999999999999</v>
      </c>
      <c r="Q657" s="93"/>
      <c r="R657" s="93"/>
      <c r="S657" s="93"/>
      <c r="T657" s="93"/>
    </row>
    <row r="658" spans="1:20" ht="14.25" customHeight="1" x14ac:dyDescent="0.35">
      <c r="A658" s="1">
        <v>2023</v>
      </c>
      <c r="B658" s="1" t="s">
        <v>32</v>
      </c>
      <c r="C658" s="1">
        <v>17</v>
      </c>
      <c r="D658" s="49">
        <v>135.73400000000001</v>
      </c>
      <c r="E658" s="50">
        <v>114.96899999999999</v>
      </c>
      <c r="F658" s="60">
        <v>81.8</v>
      </c>
      <c r="G658" s="61">
        <v>2431.0419999999999</v>
      </c>
      <c r="H658" s="62">
        <v>6.9</v>
      </c>
      <c r="I658" s="63">
        <v>0.03</v>
      </c>
      <c r="J658" s="64">
        <v>7.1109999999999998</v>
      </c>
      <c r="K658" s="65">
        <v>69.2</v>
      </c>
      <c r="L658" s="50">
        <v>5.1950000000000003</v>
      </c>
      <c r="M658" s="66">
        <v>1.4999999999999999E-2</v>
      </c>
      <c r="N658" s="57">
        <v>125.547</v>
      </c>
      <c r="O658" s="67">
        <v>6.4000000000000001E-2</v>
      </c>
      <c r="P658" s="68">
        <v>2.722</v>
      </c>
      <c r="Q658" s="93"/>
      <c r="R658" s="93"/>
      <c r="S658" s="93"/>
      <c r="T658" s="93"/>
    </row>
    <row r="659" spans="1:20" ht="14.25" customHeight="1" x14ac:dyDescent="0.35">
      <c r="A659" s="1">
        <v>2023</v>
      </c>
      <c r="B659" s="1" t="s">
        <v>32</v>
      </c>
      <c r="C659" s="1">
        <v>18</v>
      </c>
      <c r="D659" s="49">
        <v>139.46899999999999</v>
      </c>
      <c r="E659" s="50">
        <v>118.188</v>
      </c>
      <c r="F659" s="60">
        <v>81.930999999999997</v>
      </c>
      <c r="G659" s="61">
        <v>2448.8429999999998</v>
      </c>
      <c r="H659" s="62">
        <v>6.9</v>
      </c>
      <c r="I659" s="63">
        <v>0.03</v>
      </c>
      <c r="J659" s="64">
        <v>6.8550000000000004</v>
      </c>
      <c r="K659" s="61">
        <v>68.363</v>
      </c>
      <c r="L659" s="62">
        <v>5.181</v>
      </c>
      <c r="M659" s="66">
        <v>1.4999999999999999E-2</v>
      </c>
      <c r="N659" s="57">
        <v>129.49</v>
      </c>
      <c r="O659" s="67">
        <v>5.1999999999999998E-2</v>
      </c>
      <c r="P659" s="68">
        <v>4.2759999999999998</v>
      </c>
      <c r="Q659" s="93"/>
      <c r="R659" s="93"/>
      <c r="S659" s="93"/>
      <c r="T659" s="93"/>
    </row>
    <row r="660" spans="1:20" ht="14.25" customHeight="1" x14ac:dyDescent="0.35">
      <c r="A660" s="1">
        <v>2023</v>
      </c>
      <c r="B660" s="1" t="s">
        <v>32</v>
      </c>
      <c r="C660" s="1">
        <v>19</v>
      </c>
      <c r="D660" s="49">
        <v>120.5</v>
      </c>
      <c r="E660" s="50">
        <v>102.125</v>
      </c>
      <c r="F660" s="60">
        <v>82.096999999999994</v>
      </c>
      <c r="G660" s="61">
        <v>2377.7199999999998</v>
      </c>
      <c r="H660" s="62">
        <v>6.9</v>
      </c>
      <c r="I660" s="63">
        <v>0.03</v>
      </c>
      <c r="J660" s="64">
        <v>6.9850000000000003</v>
      </c>
      <c r="K660" s="65">
        <v>66.984999999999999</v>
      </c>
      <c r="L660" s="50">
        <v>5.1539999999999999</v>
      </c>
      <c r="M660" s="66">
        <v>1.4E-2</v>
      </c>
      <c r="N660" s="57">
        <v>139.63300000000001</v>
      </c>
      <c r="O660" s="67">
        <v>5.5E-2</v>
      </c>
      <c r="P660" s="68">
        <v>8.5519999999999996</v>
      </c>
      <c r="Q660" s="93"/>
      <c r="R660" s="93"/>
      <c r="S660" s="93"/>
      <c r="T660" s="93"/>
    </row>
    <row r="661" spans="1:20" ht="14.25" customHeight="1" x14ac:dyDescent="0.35">
      <c r="A661" s="1">
        <v>2023</v>
      </c>
      <c r="B661" s="1" t="s">
        <v>32</v>
      </c>
      <c r="C661" s="1">
        <v>20</v>
      </c>
      <c r="D661" s="49">
        <v>127.65600000000001</v>
      </c>
      <c r="E661" s="50">
        <v>108.21899999999999</v>
      </c>
      <c r="F661" s="60">
        <v>82.192999999999998</v>
      </c>
      <c r="G661" s="61">
        <v>2337.3029999999999</v>
      </c>
      <c r="H661" s="62">
        <v>6.9</v>
      </c>
      <c r="I661" s="63">
        <v>2.9000000000000001E-2</v>
      </c>
      <c r="J661" s="64">
        <v>6.7389999999999999</v>
      </c>
      <c r="K661" s="61">
        <v>64.847999999999999</v>
      </c>
      <c r="L661" s="62">
        <v>5.0060000000000002</v>
      </c>
      <c r="M661" s="66">
        <v>1.4999999999999999E-2</v>
      </c>
      <c r="N661" s="57">
        <v>193.898</v>
      </c>
      <c r="O661" s="67">
        <v>5.0999999999999997E-2</v>
      </c>
      <c r="P661" s="68">
        <v>8.0090000000000003</v>
      </c>
      <c r="Q661" s="93"/>
      <c r="R661" s="93"/>
      <c r="S661" s="93"/>
      <c r="T661" s="93"/>
    </row>
    <row r="662" spans="1:20" ht="14.25" customHeight="1" x14ac:dyDescent="0.35">
      <c r="A662" s="1">
        <v>2023</v>
      </c>
      <c r="B662" s="1" t="s">
        <v>32</v>
      </c>
      <c r="C662" s="1">
        <v>21</v>
      </c>
      <c r="D662" s="49">
        <v>129.56299999999999</v>
      </c>
      <c r="E662" s="50">
        <v>110</v>
      </c>
      <c r="F662" s="60">
        <v>81.930999999999997</v>
      </c>
      <c r="G662" s="61">
        <v>2374.5189999999998</v>
      </c>
      <c r="H662" s="62">
        <v>6.9</v>
      </c>
      <c r="I662" s="63">
        <v>2.9000000000000001E-2</v>
      </c>
      <c r="J662" s="64">
        <v>6.6379999999999999</v>
      </c>
      <c r="K662" s="65">
        <v>63.738</v>
      </c>
      <c r="L662" s="50">
        <v>4.9969999999999999</v>
      </c>
      <c r="M662" s="66">
        <v>1.4999999999999999E-2</v>
      </c>
      <c r="N662" s="57">
        <v>198.00899999999999</v>
      </c>
      <c r="O662" s="67">
        <v>4.9000000000000002E-2</v>
      </c>
      <c r="P662" s="68">
        <v>9.4629999999999992</v>
      </c>
      <c r="Q662" s="93"/>
      <c r="R662" s="93"/>
      <c r="S662" s="93"/>
      <c r="T662" s="93"/>
    </row>
    <row r="663" spans="1:20" ht="14.25" customHeight="1" x14ac:dyDescent="0.35">
      <c r="A663" s="1">
        <v>2023</v>
      </c>
      <c r="B663" s="1" t="s">
        <v>32</v>
      </c>
      <c r="C663" s="1">
        <v>22</v>
      </c>
      <c r="D663" s="49">
        <v>129.64099999999999</v>
      </c>
      <c r="E663" s="50">
        <v>109.96899999999999</v>
      </c>
      <c r="F663" s="60">
        <v>81.456999999999994</v>
      </c>
      <c r="G663" s="61">
        <v>2278.0120000000002</v>
      </c>
      <c r="H663" s="62">
        <v>6.9</v>
      </c>
      <c r="I663" s="63">
        <v>2.8000000000000001E-2</v>
      </c>
      <c r="J663" s="64">
        <v>6.6669999999999998</v>
      </c>
      <c r="K663" s="61">
        <v>59.073</v>
      </c>
      <c r="L663" s="62">
        <v>4.9930000000000003</v>
      </c>
      <c r="M663" s="66">
        <v>1.4999999999999999E-2</v>
      </c>
      <c r="N663" s="57">
        <v>199.55</v>
      </c>
      <c r="O663" s="67">
        <v>4.3999999999999997E-2</v>
      </c>
      <c r="P663" s="68">
        <v>10.644</v>
      </c>
      <c r="Q663" s="93"/>
      <c r="R663" s="93"/>
      <c r="S663" s="93"/>
      <c r="T663" s="93"/>
    </row>
    <row r="664" spans="1:20" ht="14.25" customHeight="1" x14ac:dyDescent="0.35">
      <c r="A664" s="1">
        <v>2023</v>
      </c>
      <c r="B664" s="1" t="s">
        <v>32</v>
      </c>
      <c r="C664" s="1">
        <v>23</v>
      </c>
      <c r="D664" s="49">
        <v>132.15600000000001</v>
      </c>
      <c r="E664" s="50">
        <v>112</v>
      </c>
      <c r="F664" s="60">
        <v>81.411000000000001</v>
      </c>
      <c r="G664" s="61">
        <v>2318.9699999999998</v>
      </c>
      <c r="H664" s="62">
        <v>6.9</v>
      </c>
      <c r="I664" s="63">
        <v>2.8000000000000001E-2</v>
      </c>
      <c r="J664" s="64">
        <v>6.601</v>
      </c>
      <c r="K664" s="65">
        <v>61.363</v>
      </c>
      <c r="L664" s="50">
        <v>5.0069999999999997</v>
      </c>
      <c r="M664" s="66">
        <v>1.4999999999999999E-2</v>
      </c>
      <c r="N664" s="57">
        <v>193.64099999999999</v>
      </c>
      <c r="O664" s="67">
        <v>4.3999999999999997E-2</v>
      </c>
      <c r="P664" s="68">
        <v>10.276</v>
      </c>
      <c r="Q664" s="93"/>
      <c r="R664" s="93"/>
      <c r="S664" s="93"/>
      <c r="T664" s="93"/>
    </row>
    <row r="665" spans="1:20" ht="14.25" customHeight="1" x14ac:dyDescent="0.35">
      <c r="A665" s="1">
        <v>2023</v>
      </c>
      <c r="B665" s="1" t="s">
        <v>32</v>
      </c>
      <c r="C665" s="1">
        <v>24</v>
      </c>
      <c r="D665" s="49">
        <v>139.60900000000001</v>
      </c>
      <c r="E665" s="50">
        <v>118.46899999999999</v>
      </c>
      <c r="F665" s="60">
        <v>81.402000000000001</v>
      </c>
      <c r="G665" s="61">
        <v>2351.6950000000002</v>
      </c>
      <c r="H665" s="62">
        <v>6.9</v>
      </c>
      <c r="I665" s="63">
        <v>2.9000000000000001E-2</v>
      </c>
      <c r="J665" s="64">
        <v>6.5540000000000003</v>
      </c>
      <c r="K665" s="61">
        <v>62.319000000000003</v>
      </c>
      <c r="L665" s="62">
        <v>5.0119999999999996</v>
      </c>
      <c r="M665" s="66">
        <v>1.4999999999999999E-2</v>
      </c>
      <c r="N665" s="57">
        <v>190.97800000000001</v>
      </c>
      <c r="O665" s="67">
        <v>4.9000000000000002E-2</v>
      </c>
      <c r="P665" s="68">
        <v>11.327</v>
      </c>
      <c r="Q665" s="93"/>
      <c r="R665" s="93"/>
      <c r="S665" s="93"/>
      <c r="T665" s="93"/>
    </row>
    <row r="666" spans="1:20" ht="14.25" customHeight="1" x14ac:dyDescent="0.35">
      <c r="A666" s="1">
        <v>2023</v>
      </c>
      <c r="B666" s="1" t="s">
        <v>32</v>
      </c>
      <c r="C666" s="1">
        <v>25</v>
      </c>
      <c r="D666" s="49">
        <v>140.5</v>
      </c>
      <c r="E666" s="50">
        <v>119.21899999999999</v>
      </c>
      <c r="F666" s="60">
        <v>81.19</v>
      </c>
      <c r="G666" s="61">
        <v>2388.1350000000002</v>
      </c>
      <c r="H666" s="62">
        <v>6.9</v>
      </c>
      <c r="I666" s="63">
        <v>2.9000000000000001E-2</v>
      </c>
      <c r="J666" s="64">
        <v>6.3620000000000001</v>
      </c>
      <c r="K666" s="65">
        <v>63.290999999999997</v>
      </c>
      <c r="L666" s="50">
        <v>5.01</v>
      </c>
      <c r="M666" s="66">
        <v>1.4999999999999999E-2</v>
      </c>
      <c r="N666" s="57">
        <v>192.22399999999999</v>
      </c>
      <c r="O666" s="67">
        <v>4.8000000000000001E-2</v>
      </c>
      <c r="P666" s="68">
        <v>8.7089999999999996</v>
      </c>
      <c r="Q666" s="93"/>
      <c r="R666" s="93"/>
      <c r="S666" s="93"/>
      <c r="T666" s="93"/>
    </row>
    <row r="667" spans="1:20" ht="14.25" customHeight="1" x14ac:dyDescent="0.35">
      <c r="A667" s="1">
        <v>2023</v>
      </c>
      <c r="B667" s="1" t="s">
        <v>32</v>
      </c>
      <c r="C667" s="1">
        <v>26</v>
      </c>
      <c r="D667" s="49">
        <v>56.578000000000003</v>
      </c>
      <c r="E667" s="50">
        <v>47.75</v>
      </c>
      <c r="F667" s="60">
        <v>80.64</v>
      </c>
      <c r="G667" s="61">
        <v>2262.5329999999999</v>
      </c>
      <c r="H667" s="62">
        <v>6.9119999999999999</v>
      </c>
      <c r="I667" s="63">
        <v>3.1E-2</v>
      </c>
      <c r="J667" s="64">
        <v>7.1349999999999998</v>
      </c>
      <c r="K667" s="61">
        <v>75.031999999999996</v>
      </c>
      <c r="L667" s="62">
        <v>5.1150000000000002</v>
      </c>
      <c r="M667" s="66">
        <v>1.4999999999999999E-2</v>
      </c>
      <c r="N667" s="57">
        <v>157.04599999999999</v>
      </c>
      <c r="O667" s="67">
        <v>7.0999999999999994E-2</v>
      </c>
      <c r="P667" s="68">
        <v>4.7380000000000004</v>
      </c>
      <c r="Q667" s="93"/>
      <c r="R667" s="93"/>
      <c r="S667" s="93"/>
      <c r="T667" s="93"/>
    </row>
    <row r="668" spans="1:20" ht="14.25" customHeight="1" x14ac:dyDescent="0.35">
      <c r="A668" s="1">
        <v>2023</v>
      </c>
      <c r="B668" s="1" t="s">
        <v>32</v>
      </c>
      <c r="C668" s="1">
        <v>27</v>
      </c>
      <c r="D668" s="12">
        <v>141.047</v>
      </c>
      <c r="E668" s="13">
        <v>119.90600000000001</v>
      </c>
      <c r="F668" s="60">
        <v>81.194000000000003</v>
      </c>
      <c r="G668" s="61">
        <v>2354.6909999999998</v>
      </c>
      <c r="H668" s="62">
        <v>6.9</v>
      </c>
      <c r="I668" s="63">
        <v>0.03</v>
      </c>
      <c r="J668" s="64">
        <v>6.95</v>
      </c>
      <c r="K668" s="65">
        <v>63.146999999999998</v>
      </c>
      <c r="L668" s="50">
        <v>5.3129999999999997</v>
      </c>
      <c r="M668" s="66">
        <v>1.4E-2</v>
      </c>
      <c r="N668" s="57">
        <v>113.916</v>
      </c>
      <c r="O668" s="67">
        <v>7.0999999999999994E-2</v>
      </c>
      <c r="P668" s="68">
        <v>6.6520000000000001</v>
      </c>
      <c r="Q668" s="93"/>
      <c r="R668" s="93"/>
      <c r="S668" s="93"/>
      <c r="T668" s="93"/>
    </row>
    <row r="669" spans="1:20" ht="14.25" customHeight="1" x14ac:dyDescent="0.35">
      <c r="A669" s="1">
        <v>2023</v>
      </c>
      <c r="B669" s="1" t="s">
        <v>32</v>
      </c>
      <c r="C669" s="1">
        <v>28</v>
      </c>
      <c r="D669" s="12">
        <v>140.96899999999999</v>
      </c>
      <c r="E669" s="13">
        <v>119.90600000000001</v>
      </c>
      <c r="F669" s="60">
        <v>80.856999999999999</v>
      </c>
      <c r="G669" s="61">
        <v>2478.58</v>
      </c>
      <c r="H669" s="62">
        <v>6.9</v>
      </c>
      <c r="I669" s="63">
        <v>2.9000000000000001E-2</v>
      </c>
      <c r="J669" s="64">
        <v>6.4290000000000003</v>
      </c>
      <c r="K669" s="61">
        <v>65.988</v>
      </c>
      <c r="L669" s="62">
        <v>5.5190000000000001</v>
      </c>
      <c r="M669" s="66">
        <v>1.4999999999999999E-2</v>
      </c>
      <c r="N669" s="57">
        <v>59.607999999999997</v>
      </c>
      <c r="O669" s="67">
        <v>6.2E-2</v>
      </c>
      <c r="P669" s="68">
        <v>7.4939999999999998</v>
      </c>
      <c r="Q669" s="93"/>
      <c r="R669" s="93"/>
      <c r="S669" s="93"/>
      <c r="T669" s="93"/>
    </row>
    <row r="670" spans="1:20" ht="14.25" customHeight="1" x14ac:dyDescent="0.35">
      <c r="A670" s="1">
        <v>2023</v>
      </c>
      <c r="B670" s="1" t="s">
        <v>32</v>
      </c>
      <c r="C670" s="1">
        <v>29</v>
      </c>
      <c r="D670" s="12">
        <v>134.73400000000001</v>
      </c>
      <c r="E670" s="13">
        <v>114.563</v>
      </c>
      <c r="F670" s="83">
        <v>80.5</v>
      </c>
      <c r="G670" s="69">
        <v>2321.7420000000002</v>
      </c>
      <c r="H670" s="50">
        <v>6.9</v>
      </c>
      <c r="I670" s="66">
        <v>2.9000000000000001E-2</v>
      </c>
      <c r="J670" s="50">
        <v>6.5529999999999999</v>
      </c>
      <c r="K670" s="61">
        <v>60.536000000000001</v>
      </c>
      <c r="L670" s="62">
        <v>5.5129999999999999</v>
      </c>
      <c r="M670" s="66">
        <v>1.4999999999999999E-2</v>
      </c>
      <c r="N670" s="57">
        <v>60.207999999999998</v>
      </c>
      <c r="O670" s="84">
        <v>5.5E-2</v>
      </c>
      <c r="P670" s="71">
        <v>6.8920000000000003</v>
      </c>
      <c r="Q670" s="93"/>
      <c r="R670" s="93"/>
      <c r="S670" s="93"/>
      <c r="T670" s="93"/>
    </row>
    <row r="671" spans="1:20" ht="14.25" customHeight="1" x14ac:dyDescent="0.35">
      <c r="A671" s="1">
        <v>2023</v>
      </c>
      <c r="B671" s="1" t="s">
        <v>32</v>
      </c>
      <c r="C671" s="1">
        <v>30</v>
      </c>
      <c r="D671" s="12">
        <v>140.375</v>
      </c>
      <c r="E671" s="13">
        <v>119.313</v>
      </c>
      <c r="F671" s="83">
        <v>80.156000000000006</v>
      </c>
      <c r="G671" s="69">
        <v>2457.2060000000001</v>
      </c>
      <c r="H671" s="50">
        <v>6.9</v>
      </c>
      <c r="I671" s="66">
        <v>2.9000000000000001E-2</v>
      </c>
      <c r="J671" s="50">
        <v>6.492</v>
      </c>
      <c r="K671" s="61">
        <v>63.284999999999997</v>
      </c>
      <c r="L671" s="62">
        <v>5.5110000000000001</v>
      </c>
      <c r="M671" s="66">
        <v>1.4999999999999999E-2</v>
      </c>
      <c r="N671" s="57">
        <v>60.655000000000001</v>
      </c>
      <c r="O671" s="84">
        <v>5.6000000000000001E-2</v>
      </c>
      <c r="P671" s="71">
        <v>4.6029999999999998</v>
      </c>
      <c r="Q671" s="93"/>
      <c r="R671" s="93"/>
      <c r="S671" s="93"/>
      <c r="T671" s="93"/>
    </row>
    <row r="672" spans="1:20" ht="14.25" customHeight="1" x14ac:dyDescent="0.35">
      <c r="A672" s="1">
        <v>2023</v>
      </c>
      <c r="B672" s="1" t="s">
        <v>32</v>
      </c>
      <c r="C672" s="1">
        <v>31</v>
      </c>
      <c r="D672" s="85">
        <v>137.85900000000001</v>
      </c>
      <c r="E672" s="86">
        <v>117.063</v>
      </c>
      <c r="F672" s="87">
        <v>80.5</v>
      </c>
      <c r="G672" s="88">
        <v>2488.9760000000001</v>
      </c>
      <c r="H672" s="89">
        <v>6.9</v>
      </c>
      <c r="I672" s="90">
        <v>2.9000000000000001E-2</v>
      </c>
      <c r="J672" s="89">
        <v>6.4950000000000001</v>
      </c>
      <c r="K672" s="61">
        <v>66.344999999999999</v>
      </c>
      <c r="L672" s="64">
        <v>5.5110000000000001</v>
      </c>
      <c r="M672" s="66">
        <v>1.4999999999999999E-2</v>
      </c>
      <c r="N672" s="57">
        <v>60.667000000000002</v>
      </c>
      <c r="O672" s="66">
        <v>6.7000000000000004E-2</v>
      </c>
      <c r="P672" s="91">
        <v>6.8979999999999997</v>
      </c>
      <c r="Q672" s="93"/>
      <c r="R672" s="93"/>
      <c r="S672" s="93"/>
      <c r="T672" s="93"/>
    </row>
    <row r="673" spans="1:20" ht="14.25" customHeight="1" x14ac:dyDescent="0.35">
      <c r="A673" s="1">
        <v>2023</v>
      </c>
      <c r="B673" s="1" t="s">
        <v>33</v>
      </c>
      <c r="C673" s="1">
        <v>1</v>
      </c>
      <c r="D673" s="49">
        <v>141.09399999999999</v>
      </c>
      <c r="E673" s="50">
        <v>119.84399999999999</v>
      </c>
      <c r="F673" s="51">
        <v>80.534000000000006</v>
      </c>
      <c r="G673" s="52">
        <v>2571.6149999999998</v>
      </c>
      <c r="H673" s="53">
        <v>6.9</v>
      </c>
      <c r="I673" s="54">
        <v>2.9000000000000001E-2</v>
      </c>
      <c r="J673" s="55">
        <v>6.2069999999999999</v>
      </c>
      <c r="K673" s="52">
        <v>69.028000000000006</v>
      </c>
      <c r="L673" s="55">
        <v>5.5010000000000003</v>
      </c>
      <c r="M673" s="56">
        <v>1.4999999999999999E-2</v>
      </c>
      <c r="N673" s="57">
        <v>62.087000000000003</v>
      </c>
      <c r="O673" s="58">
        <v>0.06</v>
      </c>
      <c r="P673" s="59">
        <v>7.6710000000000003</v>
      </c>
      <c r="Q673" s="93"/>
      <c r="R673" s="93"/>
      <c r="S673" s="93"/>
      <c r="T673" s="93"/>
    </row>
    <row r="674" spans="1:20" ht="14.25" customHeight="1" x14ac:dyDescent="0.35">
      <c r="A674" s="1">
        <v>2023</v>
      </c>
      <c r="B674" s="1" t="s">
        <v>33</v>
      </c>
      <c r="C674" s="1">
        <v>2</v>
      </c>
      <c r="D674" s="49">
        <v>141.18799999999999</v>
      </c>
      <c r="E674" s="50">
        <v>119.71899999999999</v>
      </c>
      <c r="F674" s="60">
        <v>80.572000000000003</v>
      </c>
      <c r="G674" s="61">
        <v>2504.6460000000002</v>
      </c>
      <c r="H674" s="62">
        <v>6.9</v>
      </c>
      <c r="I674" s="63">
        <v>0.03</v>
      </c>
      <c r="J674" s="64">
        <v>6.4660000000000002</v>
      </c>
      <c r="K674" s="65">
        <v>65.471000000000004</v>
      </c>
      <c r="L674" s="50">
        <v>5.5129999999999999</v>
      </c>
      <c r="M674" s="66">
        <v>1.4999999999999999E-2</v>
      </c>
      <c r="N674" s="57">
        <v>60.313000000000002</v>
      </c>
      <c r="O674" s="67">
        <v>6.2E-2</v>
      </c>
      <c r="P674" s="68">
        <v>6.0640000000000001</v>
      </c>
      <c r="Q674" s="93"/>
      <c r="R674" s="93"/>
      <c r="S674" s="93"/>
      <c r="T674" s="93"/>
    </row>
    <row r="675" spans="1:20" ht="14.25" customHeight="1" x14ac:dyDescent="0.35">
      <c r="A675" s="1">
        <v>2023</v>
      </c>
      <c r="B675" s="1" t="s">
        <v>33</v>
      </c>
      <c r="C675" s="1">
        <v>3</v>
      </c>
      <c r="D675" s="49">
        <v>139.46899999999999</v>
      </c>
      <c r="E675" s="50">
        <v>118.28100000000001</v>
      </c>
      <c r="F675" s="60">
        <v>80.429000000000002</v>
      </c>
      <c r="G675" s="61">
        <v>2496.4960000000001</v>
      </c>
      <c r="H675" s="62">
        <v>6.9</v>
      </c>
      <c r="I675" s="63">
        <v>0.03</v>
      </c>
      <c r="J675" s="64">
        <v>6.4820000000000002</v>
      </c>
      <c r="K675" s="65">
        <v>67.703000000000003</v>
      </c>
      <c r="L675" s="50">
        <v>5.26</v>
      </c>
      <c r="M675" s="66">
        <v>1.4999999999999999E-2</v>
      </c>
      <c r="N675" s="57">
        <v>115.04600000000001</v>
      </c>
      <c r="O675" s="67">
        <v>6.2E-2</v>
      </c>
      <c r="P675" s="68">
        <v>4.8760000000000003</v>
      </c>
      <c r="Q675" s="93"/>
      <c r="R675" s="93"/>
      <c r="S675" s="93"/>
      <c r="T675" s="93"/>
    </row>
    <row r="676" spans="1:20" ht="14.25" customHeight="1" x14ac:dyDescent="0.35">
      <c r="A676" s="1">
        <v>2023</v>
      </c>
      <c r="B676" s="1" t="s">
        <v>33</v>
      </c>
      <c r="C676" s="1">
        <v>4</v>
      </c>
      <c r="D676" s="49">
        <v>139.10900000000001</v>
      </c>
      <c r="E676" s="50">
        <v>117.938</v>
      </c>
      <c r="F676" s="60">
        <v>80.429000000000002</v>
      </c>
      <c r="G676" s="61">
        <v>2403.2820000000002</v>
      </c>
      <c r="H676" s="62">
        <v>6.9</v>
      </c>
      <c r="I676" s="63">
        <v>2.9000000000000001E-2</v>
      </c>
      <c r="J676" s="64">
        <v>6.4279999999999999</v>
      </c>
      <c r="K676" s="65">
        <v>61.796999999999997</v>
      </c>
      <c r="L676" s="50">
        <v>5.1280000000000001</v>
      </c>
      <c r="M676" s="66">
        <v>1.4999999999999999E-2</v>
      </c>
      <c r="N676" s="57">
        <v>146.291</v>
      </c>
      <c r="O676" s="67">
        <v>5.8999999999999997E-2</v>
      </c>
      <c r="P676" s="68">
        <v>3.9780000000000002</v>
      </c>
      <c r="Q676" s="93"/>
      <c r="R676" s="93"/>
      <c r="S676" s="93"/>
      <c r="T676" s="93"/>
    </row>
    <row r="677" spans="1:20" ht="14.25" customHeight="1" x14ac:dyDescent="0.35">
      <c r="A677" s="1">
        <v>2023</v>
      </c>
      <c r="B677" s="1" t="s">
        <v>33</v>
      </c>
      <c r="C677" s="1">
        <v>5</v>
      </c>
      <c r="D677" s="49">
        <v>137.31299999999999</v>
      </c>
      <c r="E677" s="50">
        <v>116.09399999999999</v>
      </c>
      <c r="F677" s="60">
        <v>80.450999999999993</v>
      </c>
      <c r="G677" s="61">
        <v>2223.8809999999999</v>
      </c>
      <c r="H677" s="62">
        <v>6.9</v>
      </c>
      <c r="I677" s="63">
        <v>2.9000000000000001E-2</v>
      </c>
      <c r="J677" s="64">
        <v>6.5579999999999998</v>
      </c>
      <c r="K677" s="65">
        <v>58.981999999999999</v>
      </c>
      <c r="L677" s="50">
        <v>5.1420000000000003</v>
      </c>
      <c r="M677" s="66">
        <v>1.4999999999999999E-2</v>
      </c>
      <c r="N677" s="57">
        <v>141.751</v>
      </c>
      <c r="O677" s="67">
        <v>5.6000000000000001E-2</v>
      </c>
      <c r="P677" s="68">
        <v>4.5709999999999997</v>
      </c>
      <c r="Q677" s="93"/>
      <c r="R677" s="93"/>
      <c r="S677" s="93"/>
      <c r="T677" s="93"/>
    </row>
    <row r="678" spans="1:20" ht="14.25" customHeight="1" x14ac:dyDescent="0.35">
      <c r="A678" s="1">
        <v>2023</v>
      </c>
      <c r="B678" s="1" t="s">
        <v>33</v>
      </c>
      <c r="C678" s="1">
        <v>6</v>
      </c>
      <c r="D678" s="49">
        <v>138.56299999999999</v>
      </c>
      <c r="E678" s="50">
        <v>117.375</v>
      </c>
      <c r="F678" s="60">
        <v>80.531000000000006</v>
      </c>
      <c r="G678" s="61">
        <v>2290.54</v>
      </c>
      <c r="H678" s="62">
        <v>6.9</v>
      </c>
      <c r="I678" s="63">
        <v>2.9000000000000001E-2</v>
      </c>
      <c r="J678" s="64">
        <v>6.5679999999999996</v>
      </c>
      <c r="K678" s="65">
        <v>60.21</v>
      </c>
      <c r="L678" s="50">
        <v>5.1479999999999997</v>
      </c>
      <c r="M678" s="66">
        <v>1.4999999999999999E-2</v>
      </c>
      <c r="N678" s="57">
        <v>139.48500000000001</v>
      </c>
      <c r="O678" s="67">
        <v>5.7000000000000002E-2</v>
      </c>
      <c r="P678" s="68">
        <v>2.512</v>
      </c>
      <c r="Q678" s="93"/>
      <c r="R678" s="93"/>
      <c r="S678" s="93"/>
      <c r="T678" s="93"/>
    </row>
    <row r="679" spans="1:20" ht="14.25" customHeight="1" x14ac:dyDescent="0.35">
      <c r="A679" s="1">
        <v>2023</v>
      </c>
      <c r="B679" s="1" t="s">
        <v>33</v>
      </c>
      <c r="C679" s="1">
        <v>7</v>
      </c>
      <c r="D679" s="49">
        <v>140.06299999999999</v>
      </c>
      <c r="E679" s="50">
        <v>118.688</v>
      </c>
      <c r="F679" s="60">
        <v>80.412999999999997</v>
      </c>
      <c r="G679" s="61">
        <v>2388.8719999999998</v>
      </c>
      <c r="H679" s="62">
        <v>6.9</v>
      </c>
      <c r="I679" s="63">
        <v>0.03</v>
      </c>
      <c r="J679" s="64">
        <v>6.78</v>
      </c>
      <c r="K679" s="65">
        <v>62.566000000000003</v>
      </c>
      <c r="L679" s="50">
        <v>5.157</v>
      </c>
      <c r="M679" s="66">
        <v>1.4999999999999999E-2</v>
      </c>
      <c r="N679" s="57">
        <v>137.02000000000001</v>
      </c>
      <c r="O679" s="67">
        <v>6.2E-2</v>
      </c>
      <c r="P679" s="68">
        <v>3.5369999999999999</v>
      </c>
      <c r="Q679" s="93"/>
      <c r="R679" s="93"/>
      <c r="S679" s="93"/>
      <c r="T679" s="93"/>
    </row>
    <row r="680" spans="1:20" ht="14.25" customHeight="1" x14ac:dyDescent="0.35">
      <c r="A680" s="1">
        <v>2023</v>
      </c>
      <c r="B680" s="1" t="s">
        <v>33</v>
      </c>
      <c r="C680" s="1">
        <v>8</v>
      </c>
      <c r="D680" s="49">
        <v>93.343999999999994</v>
      </c>
      <c r="E680" s="50">
        <v>79.063000000000002</v>
      </c>
      <c r="F680" s="60">
        <v>80.215999999999994</v>
      </c>
      <c r="G680" s="69">
        <v>2283.5940000000001</v>
      </c>
      <c r="H680" s="62">
        <v>6.9029999999999996</v>
      </c>
      <c r="I680" s="63">
        <v>3.3000000000000002E-2</v>
      </c>
      <c r="J680" s="50">
        <v>6.9249999999999998</v>
      </c>
      <c r="K680" s="65">
        <v>63.670999999999999</v>
      </c>
      <c r="L680" s="50">
        <v>5.1760000000000002</v>
      </c>
      <c r="M680" s="66">
        <v>1.6E-2</v>
      </c>
      <c r="N680" s="57">
        <v>133.255</v>
      </c>
      <c r="O680" s="70">
        <v>7.5999999999999998E-2</v>
      </c>
      <c r="P680" s="71">
        <v>4.3529999999999998</v>
      </c>
      <c r="Q680" s="93"/>
      <c r="R680" s="93"/>
      <c r="S680" s="93"/>
      <c r="T680" s="93"/>
    </row>
    <row r="681" spans="1:20" ht="14.25" customHeight="1" x14ac:dyDescent="0.35">
      <c r="A681" s="1">
        <v>2023</v>
      </c>
      <c r="B681" s="1" t="s">
        <v>33</v>
      </c>
      <c r="C681" s="1">
        <v>9</v>
      </c>
      <c r="D681" s="49">
        <v>139.53100000000001</v>
      </c>
      <c r="E681" s="50">
        <v>118.375</v>
      </c>
      <c r="F681" s="60">
        <v>79.924999999999997</v>
      </c>
      <c r="G681" s="61">
        <v>2402.5300000000002</v>
      </c>
      <c r="H681" s="62">
        <v>6.9039999999999999</v>
      </c>
      <c r="I681" s="63">
        <v>0.03</v>
      </c>
      <c r="J681" s="64">
        <v>6.8639999999999999</v>
      </c>
      <c r="K681" s="65">
        <v>63.505000000000003</v>
      </c>
      <c r="L681" s="50">
        <v>5.2770000000000001</v>
      </c>
      <c r="M681" s="66">
        <v>1.4999999999999999E-2</v>
      </c>
      <c r="N681" s="57">
        <v>107.57299999999999</v>
      </c>
      <c r="O681" s="67">
        <v>6.1600000000000002E-2</v>
      </c>
      <c r="P681" s="68">
        <v>5.1589999999999998</v>
      </c>
      <c r="Q681" s="93"/>
      <c r="R681" s="93"/>
      <c r="S681" s="93"/>
      <c r="T681" s="93"/>
    </row>
    <row r="682" spans="1:20" ht="14.25" customHeight="1" x14ac:dyDescent="0.35">
      <c r="A682" s="1">
        <v>2023</v>
      </c>
      <c r="B682" s="1" t="s">
        <v>33</v>
      </c>
      <c r="C682" s="1">
        <v>10</v>
      </c>
      <c r="D682" s="49">
        <v>141.5</v>
      </c>
      <c r="E682" s="50">
        <v>120</v>
      </c>
      <c r="F682" s="72">
        <v>79.674000000000007</v>
      </c>
      <c r="G682" s="61">
        <v>2430.8739999999998</v>
      </c>
      <c r="H682" s="62">
        <v>6.9039999999999999</v>
      </c>
      <c r="I682" s="63">
        <v>0.03</v>
      </c>
      <c r="J682" s="73">
        <v>6.5259999999999998</v>
      </c>
      <c r="K682" s="65">
        <v>62.378999999999998</v>
      </c>
      <c r="L682" s="50">
        <v>5.319</v>
      </c>
      <c r="M682" s="74">
        <v>1.4999999999999999E-2</v>
      </c>
      <c r="N682" s="57">
        <v>95.403000000000006</v>
      </c>
      <c r="O682" s="75">
        <v>5.8999999999999997E-2</v>
      </c>
      <c r="P682" s="76">
        <v>12.06</v>
      </c>
      <c r="Q682" s="93"/>
      <c r="R682" s="93"/>
      <c r="S682" s="93"/>
      <c r="T682" s="93"/>
    </row>
    <row r="683" spans="1:20" ht="14.25" customHeight="1" x14ac:dyDescent="0.35">
      <c r="A683" s="1">
        <v>2023</v>
      </c>
      <c r="B683" s="1" t="s">
        <v>33</v>
      </c>
      <c r="C683" s="1">
        <v>11</v>
      </c>
      <c r="D683" s="49">
        <v>136.125</v>
      </c>
      <c r="E683" s="50">
        <v>115.34399999999999</v>
      </c>
      <c r="F683" s="72">
        <v>79.713999999999999</v>
      </c>
      <c r="G683" s="61">
        <v>2345.9450000000002</v>
      </c>
      <c r="H683" s="62">
        <v>6.9039999999999999</v>
      </c>
      <c r="I683" s="63">
        <v>0.03</v>
      </c>
      <c r="J683" s="77">
        <v>6.57</v>
      </c>
      <c r="K683" s="65">
        <v>59.970999999999997</v>
      </c>
      <c r="L683" s="50">
        <v>5.3250000000000002</v>
      </c>
      <c r="M683" s="74">
        <v>1.4999999999999999E-2</v>
      </c>
      <c r="N683" s="57">
        <v>93.683999999999997</v>
      </c>
      <c r="O683" s="75">
        <v>5.6000000000000001E-2</v>
      </c>
      <c r="P683" s="76">
        <v>11.618</v>
      </c>
      <c r="Q683" s="93"/>
      <c r="R683" s="93"/>
      <c r="S683" s="93"/>
      <c r="T683" s="93"/>
    </row>
    <row r="684" spans="1:20" ht="14.25" customHeight="1" x14ac:dyDescent="0.35">
      <c r="A684" s="1">
        <v>2023</v>
      </c>
      <c r="B684" s="1" t="s">
        <v>33</v>
      </c>
      <c r="C684" s="1">
        <v>12</v>
      </c>
      <c r="D684" s="49">
        <v>128.68799999999999</v>
      </c>
      <c r="E684" s="50">
        <v>108.875</v>
      </c>
      <c r="F684" s="72">
        <v>79.637</v>
      </c>
      <c r="G684" s="61">
        <v>2286.0929999999998</v>
      </c>
      <c r="H684" s="62">
        <v>6.9039999999999999</v>
      </c>
      <c r="I684" s="63">
        <v>2.9000000000000001E-2</v>
      </c>
      <c r="J684" s="73">
        <v>6.5780000000000003</v>
      </c>
      <c r="K684" s="65">
        <v>59.756</v>
      </c>
      <c r="L684" s="50">
        <v>5.2750000000000004</v>
      </c>
      <c r="M684" s="74">
        <v>1.4999999999999999E-2</v>
      </c>
      <c r="N684" s="57">
        <v>105.901</v>
      </c>
      <c r="O684" s="75">
        <v>5.7000000000000002E-2</v>
      </c>
      <c r="P684" s="76">
        <v>10.891999999999999</v>
      </c>
      <c r="Q684" s="93"/>
      <c r="R684" s="93"/>
      <c r="S684" s="93"/>
      <c r="T684" s="93"/>
    </row>
    <row r="685" spans="1:20" ht="14.25" customHeight="1" x14ac:dyDescent="0.35">
      <c r="A685" s="1">
        <v>2023</v>
      </c>
      <c r="B685" s="1" t="s">
        <v>33</v>
      </c>
      <c r="C685" s="1">
        <v>13</v>
      </c>
      <c r="D685" s="49">
        <v>66.391000000000005</v>
      </c>
      <c r="E685" s="50">
        <v>56.155999999999999</v>
      </c>
      <c r="F685" s="78">
        <v>79.39</v>
      </c>
      <c r="G685" s="61">
        <v>2167.0889999999999</v>
      </c>
      <c r="H685" s="62">
        <v>6.9020000000000001</v>
      </c>
      <c r="I685" s="63">
        <v>2.9000000000000001E-2</v>
      </c>
      <c r="J685" s="79">
        <v>6.7949999999999999</v>
      </c>
      <c r="K685" s="65">
        <v>42.942999999999998</v>
      </c>
      <c r="L685" s="50">
        <v>5.2960000000000003</v>
      </c>
      <c r="M685" s="66">
        <v>1.6E-2</v>
      </c>
      <c r="N685" s="57">
        <v>103.039</v>
      </c>
      <c r="O685" s="80">
        <v>4.8000000000000001E-2</v>
      </c>
      <c r="P685" s="81">
        <v>11.397</v>
      </c>
      <c r="Q685" s="93"/>
      <c r="R685" s="93"/>
      <c r="S685" s="93"/>
      <c r="T685" s="93"/>
    </row>
    <row r="686" spans="1:20" ht="14.25" customHeight="1" x14ac:dyDescent="0.35">
      <c r="A686" s="1">
        <v>2023</v>
      </c>
      <c r="B686" s="1" t="s">
        <v>33</v>
      </c>
      <c r="C686" s="1">
        <v>14</v>
      </c>
      <c r="D686" s="49">
        <v>139.85900000000001</v>
      </c>
      <c r="E686" s="50">
        <v>118.375</v>
      </c>
      <c r="F686" s="60">
        <v>79.522000000000006</v>
      </c>
      <c r="G686" s="61">
        <v>2359.6370000000002</v>
      </c>
      <c r="H686" s="62">
        <v>6.8979999999999997</v>
      </c>
      <c r="I686" s="63">
        <v>2.9000000000000001E-2</v>
      </c>
      <c r="J686" s="79">
        <v>6.6219999999999999</v>
      </c>
      <c r="K686" s="82">
        <v>61.853999999999999</v>
      </c>
      <c r="L686" s="50">
        <v>5.3479999999999999</v>
      </c>
      <c r="M686" s="66">
        <v>1.4999999999999999E-2</v>
      </c>
      <c r="N686" s="57">
        <v>88.424000000000007</v>
      </c>
      <c r="O686" s="80">
        <v>4.5999999999999999E-2</v>
      </c>
      <c r="P686" s="81">
        <v>10.967000000000001</v>
      </c>
      <c r="Q686" s="93"/>
      <c r="R686" s="93"/>
      <c r="S686" s="93"/>
      <c r="T686" s="93"/>
    </row>
    <row r="687" spans="1:20" ht="14.25" customHeight="1" x14ac:dyDescent="0.35">
      <c r="A687" s="1">
        <v>2023</v>
      </c>
      <c r="B687" s="1" t="s">
        <v>33</v>
      </c>
      <c r="C687" s="1">
        <v>15</v>
      </c>
      <c r="D687" s="49">
        <v>141.76599999999999</v>
      </c>
      <c r="E687" s="50">
        <v>120</v>
      </c>
      <c r="F687" s="60">
        <v>79.305000000000007</v>
      </c>
      <c r="G687" s="61">
        <v>2365.4259999999999</v>
      </c>
      <c r="H687" s="62">
        <v>6.8979999999999997</v>
      </c>
      <c r="I687" s="63">
        <v>2.9000000000000001E-2</v>
      </c>
      <c r="J687" s="73">
        <v>6.4790000000000001</v>
      </c>
      <c r="K687" s="65">
        <v>60.832999999999998</v>
      </c>
      <c r="L687" s="50">
        <v>5.3239999999999998</v>
      </c>
      <c r="M687" s="66">
        <v>1.4999999999999999E-2</v>
      </c>
      <c r="N687" s="57">
        <v>93.671999999999997</v>
      </c>
      <c r="O687" s="75">
        <v>4.7E-2</v>
      </c>
      <c r="P687" s="76">
        <v>10.606999999999999</v>
      </c>
      <c r="Q687" s="93"/>
      <c r="R687" s="93"/>
      <c r="S687" s="93"/>
      <c r="T687" s="93"/>
    </row>
    <row r="688" spans="1:20" ht="14.25" customHeight="1" x14ac:dyDescent="0.35">
      <c r="A688" s="1">
        <v>2023</v>
      </c>
      <c r="B688" s="1" t="s">
        <v>33</v>
      </c>
      <c r="C688" s="1">
        <v>16</v>
      </c>
      <c r="D688" s="49">
        <v>141.39099999999999</v>
      </c>
      <c r="E688" s="50">
        <v>119.688</v>
      </c>
      <c r="F688" s="60">
        <v>79.457999999999998</v>
      </c>
      <c r="G688" s="61">
        <v>2242.067</v>
      </c>
      <c r="H688" s="62">
        <v>6.8979999999999997</v>
      </c>
      <c r="I688" s="63">
        <v>2.9000000000000001E-2</v>
      </c>
      <c r="J688" s="79">
        <v>6.8920000000000003</v>
      </c>
      <c r="K688" s="61">
        <v>56.741999999999997</v>
      </c>
      <c r="L688" s="62">
        <v>5.3869999999999996</v>
      </c>
      <c r="M688" s="66">
        <v>1.4999999999999999E-2</v>
      </c>
      <c r="N688" s="57">
        <v>80.968000000000004</v>
      </c>
      <c r="O688" s="80">
        <v>4.4999999999999998E-2</v>
      </c>
      <c r="P688" s="81">
        <v>3.5920000000000001</v>
      </c>
      <c r="Q688" s="93"/>
      <c r="R688" s="93"/>
      <c r="S688" s="93"/>
      <c r="T688" s="93"/>
    </row>
    <row r="689" spans="1:20" ht="14.25" customHeight="1" x14ac:dyDescent="0.35">
      <c r="A689" s="1">
        <v>2023</v>
      </c>
      <c r="B689" s="1" t="s">
        <v>33</v>
      </c>
      <c r="C689" s="1">
        <v>17</v>
      </c>
      <c r="D689" s="49">
        <v>140.65600000000001</v>
      </c>
      <c r="E689" s="50">
        <v>119.09399999999999</v>
      </c>
      <c r="F689" s="60">
        <v>79.623000000000005</v>
      </c>
      <c r="G689" s="61">
        <v>2355.527</v>
      </c>
      <c r="H689" s="62">
        <v>6.8979999999999997</v>
      </c>
      <c r="I689" s="63">
        <v>2.9000000000000001E-2</v>
      </c>
      <c r="J689" s="64">
        <v>6.7050000000000001</v>
      </c>
      <c r="K689" s="65">
        <v>58.191000000000003</v>
      </c>
      <c r="L689" s="50">
        <v>5.0190000000000001</v>
      </c>
      <c r="M689" s="66">
        <v>1.4E-2</v>
      </c>
      <c r="N689" s="57">
        <v>219.499</v>
      </c>
      <c r="O689" s="67">
        <v>4.3999999999999997E-2</v>
      </c>
      <c r="P689" s="68">
        <v>3.5750000000000002</v>
      </c>
      <c r="Q689" s="93"/>
      <c r="R689" s="93"/>
      <c r="S689" s="93"/>
      <c r="T689" s="93"/>
    </row>
    <row r="690" spans="1:20" ht="14.25" customHeight="1" x14ac:dyDescent="0.35">
      <c r="A690" s="1">
        <v>2023</v>
      </c>
      <c r="B690" s="1" t="s">
        <v>33</v>
      </c>
      <c r="C690" s="1">
        <v>18</v>
      </c>
      <c r="D690" s="49">
        <v>141.64099999999999</v>
      </c>
      <c r="E690" s="50">
        <v>119.90600000000001</v>
      </c>
      <c r="F690" s="60">
        <v>79.722999999999999</v>
      </c>
      <c r="G690" s="61">
        <v>2388.6880000000001</v>
      </c>
      <c r="H690" s="62">
        <v>6.8979999999999997</v>
      </c>
      <c r="I690" s="63">
        <v>2.9000000000000001E-2</v>
      </c>
      <c r="J690" s="64">
        <v>6.5590000000000002</v>
      </c>
      <c r="K690" s="61">
        <v>59.957000000000001</v>
      </c>
      <c r="L690" s="62">
        <v>4.8550000000000004</v>
      </c>
      <c r="M690" s="66">
        <v>1.4999999999999999E-2</v>
      </c>
      <c r="N690" s="57">
        <v>275.71600000000001</v>
      </c>
      <c r="O690" s="67">
        <v>4.3999999999999997E-2</v>
      </c>
      <c r="P690" s="68">
        <v>2.0099999999999998</v>
      </c>
      <c r="Q690" s="93"/>
      <c r="R690" s="93"/>
      <c r="S690" s="93"/>
      <c r="T690" s="93"/>
    </row>
    <row r="691" spans="1:20" ht="14.25" customHeight="1" x14ac:dyDescent="0.35">
      <c r="A691" s="1">
        <v>2023</v>
      </c>
      <c r="B691" s="1" t="s">
        <v>33</v>
      </c>
      <c r="C691" s="1">
        <v>19</v>
      </c>
      <c r="D691" s="49">
        <v>135.875</v>
      </c>
      <c r="E691" s="50">
        <v>114.875</v>
      </c>
      <c r="F691" s="60">
        <v>79.494</v>
      </c>
      <c r="G691" s="61">
        <v>2242.4459999999999</v>
      </c>
      <c r="H691" s="62">
        <v>6.8979999999999997</v>
      </c>
      <c r="I691" s="63">
        <v>2.9000000000000001E-2</v>
      </c>
      <c r="J691" s="64">
        <v>6.6920000000000002</v>
      </c>
      <c r="K691" s="65">
        <v>57.222999999999999</v>
      </c>
      <c r="L691" s="50">
        <v>4.867</v>
      </c>
      <c r="M691" s="66">
        <v>1.4999999999999999E-2</v>
      </c>
      <c r="N691" s="57">
        <v>267.47699999999998</v>
      </c>
      <c r="O691" s="67">
        <v>4.2999999999999997E-2</v>
      </c>
      <c r="P691" s="68">
        <v>3.4889999999999999</v>
      </c>
      <c r="Q691" s="93"/>
      <c r="R691" s="93"/>
      <c r="S691" s="93"/>
      <c r="T691" s="93"/>
    </row>
    <row r="692" spans="1:20" ht="14.25" customHeight="1" x14ac:dyDescent="0.35">
      <c r="A692" s="1">
        <v>2023</v>
      </c>
      <c r="B692" s="1" t="s">
        <v>33</v>
      </c>
      <c r="C692" s="1">
        <v>20</v>
      </c>
      <c r="D692" s="49">
        <v>140.93799999999999</v>
      </c>
      <c r="E692" s="50">
        <v>119.21899999999999</v>
      </c>
      <c r="F692" s="60">
        <v>78.736999999999995</v>
      </c>
      <c r="G692" s="61">
        <v>2316.2779999999998</v>
      </c>
      <c r="H692" s="62">
        <v>6.8979999999999997</v>
      </c>
      <c r="I692" s="63">
        <v>2.9000000000000001E-2</v>
      </c>
      <c r="J692" s="64">
        <v>6.6639999999999997</v>
      </c>
      <c r="K692" s="61">
        <v>58.113</v>
      </c>
      <c r="L692" s="62">
        <v>4.843</v>
      </c>
      <c r="M692" s="66">
        <v>1.4999999999999999E-2</v>
      </c>
      <c r="N692" s="57">
        <v>282.76600000000002</v>
      </c>
      <c r="O692" s="67">
        <v>4.2999999999999997E-2</v>
      </c>
      <c r="P692" s="68">
        <v>5.5380000000000003</v>
      </c>
      <c r="Q692" s="93"/>
      <c r="R692" s="93"/>
      <c r="S692" s="93"/>
      <c r="T692" s="93"/>
    </row>
    <row r="693" spans="1:20" ht="14.25" customHeight="1" x14ac:dyDescent="0.35">
      <c r="A693" s="1">
        <v>2023</v>
      </c>
      <c r="B693" s="1" t="s">
        <v>33</v>
      </c>
      <c r="C693" s="1">
        <v>21</v>
      </c>
      <c r="D693" s="49">
        <v>141.09399999999999</v>
      </c>
      <c r="E693" s="50">
        <v>119.5</v>
      </c>
      <c r="F693" s="60">
        <v>79.097999999999999</v>
      </c>
      <c r="G693" s="61">
        <v>2393.7240000000002</v>
      </c>
      <c r="H693" s="62">
        <v>6.8979999999999997</v>
      </c>
      <c r="I693" s="63">
        <v>2.9000000000000001E-2</v>
      </c>
      <c r="J693" s="64">
        <v>6.6710000000000003</v>
      </c>
      <c r="K693" s="65">
        <v>60.109000000000002</v>
      </c>
      <c r="L693" s="50">
        <v>4.8220000000000001</v>
      </c>
      <c r="M693" s="66">
        <v>1.4999999999999999E-2</v>
      </c>
      <c r="N693" s="57">
        <v>298.01799999999997</v>
      </c>
      <c r="O693" s="67">
        <v>4.5999999999999999E-2</v>
      </c>
      <c r="P693" s="68">
        <v>3.835</v>
      </c>
      <c r="Q693" s="93"/>
      <c r="R693" s="93"/>
      <c r="S693" s="93"/>
      <c r="T693" s="93"/>
    </row>
    <row r="694" spans="1:20" ht="14.25" customHeight="1" x14ac:dyDescent="0.35">
      <c r="A694" s="1">
        <v>2023</v>
      </c>
      <c r="B694" s="1" t="s">
        <v>33</v>
      </c>
      <c r="C694" s="1">
        <v>22</v>
      </c>
      <c r="D694" s="49">
        <v>141.828</v>
      </c>
      <c r="E694" s="50">
        <v>120</v>
      </c>
      <c r="F694" s="60">
        <v>79.376000000000005</v>
      </c>
      <c r="G694" s="61">
        <v>2427.248</v>
      </c>
      <c r="H694" s="62">
        <v>6.8979999999999997</v>
      </c>
      <c r="I694" s="63">
        <v>2.9000000000000001E-2</v>
      </c>
      <c r="J694" s="64">
        <v>6.5819999999999999</v>
      </c>
      <c r="K694" s="61">
        <v>60.784999999999997</v>
      </c>
      <c r="L694" s="62">
        <v>4.79</v>
      </c>
      <c r="M694" s="66">
        <v>1.4999999999999999E-2</v>
      </c>
      <c r="N694" s="57">
        <v>322.66000000000003</v>
      </c>
      <c r="O694" s="67">
        <v>4.4999999999999998E-2</v>
      </c>
      <c r="P694" s="68">
        <v>6.3689999999999998</v>
      </c>
      <c r="Q694" s="93"/>
      <c r="R694" s="93"/>
      <c r="S694" s="93"/>
      <c r="T694" s="93"/>
    </row>
    <row r="695" spans="1:20" ht="14.25" customHeight="1" x14ac:dyDescent="0.35">
      <c r="A695" s="1">
        <v>2023</v>
      </c>
      <c r="B695" s="1" t="s">
        <v>33</v>
      </c>
      <c r="C695" s="1">
        <v>23</v>
      </c>
      <c r="D695" s="49">
        <v>134.28100000000001</v>
      </c>
      <c r="E695" s="50">
        <v>113.53100000000001</v>
      </c>
      <c r="F695" s="60">
        <v>79.066000000000003</v>
      </c>
      <c r="G695" s="61">
        <v>2368.317</v>
      </c>
      <c r="H695" s="62">
        <v>6.8979999999999997</v>
      </c>
      <c r="I695" s="63">
        <v>2.8000000000000001E-2</v>
      </c>
      <c r="J695" s="64">
        <v>6.524</v>
      </c>
      <c r="K695" s="65">
        <v>58.67</v>
      </c>
      <c r="L695" s="50">
        <v>4.8179999999999996</v>
      </c>
      <c r="M695" s="66">
        <v>1.4999999999999999E-2</v>
      </c>
      <c r="N695" s="57">
        <v>299.10399999999998</v>
      </c>
      <c r="O695" s="67">
        <v>4.2999999999999997E-2</v>
      </c>
      <c r="P695" s="68">
        <v>6.2309999999999999</v>
      </c>
      <c r="Q695" s="93"/>
      <c r="R695" s="93"/>
      <c r="S695" s="93"/>
      <c r="T695" s="93"/>
    </row>
    <row r="696" spans="1:20" ht="14.25" customHeight="1" x14ac:dyDescent="0.35">
      <c r="A696" s="1">
        <v>2023</v>
      </c>
      <c r="B696" s="1" t="s">
        <v>33</v>
      </c>
      <c r="C696" s="1">
        <v>24</v>
      </c>
      <c r="D696" s="49">
        <v>130.15600000000001</v>
      </c>
      <c r="E696" s="50">
        <v>109.938</v>
      </c>
      <c r="F696" s="60">
        <v>79.078999999999994</v>
      </c>
      <c r="G696" s="61">
        <v>2256.2489999999998</v>
      </c>
      <c r="H696" s="62">
        <v>6.8979999999999997</v>
      </c>
      <c r="I696" s="63">
        <v>2.9000000000000001E-2</v>
      </c>
      <c r="J696" s="64">
        <v>6.3940000000000001</v>
      </c>
      <c r="K696" s="61">
        <v>55.206000000000003</v>
      </c>
      <c r="L696" s="62">
        <v>4.8490000000000002</v>
      </c>
      <c r="M696" s="66">
        <v>1.4999999999999999E-2</v>
      </c>
      <c r="N696" s="57">
        <v>277.79700000000003</v>
      </c>
      <c r="O696" s="67">
        <v>3.9E-2</v>
      </c>
      <c r="P696" s="68">
        <v>5.3639999999999999</v>
      </c>
      <c r="Q696" s="93"/>
      <c r="R696" s="93"/>
      <c r="S696" s="93"/>
      <c r="T696" s="93"/>
    </row>
    <row r="697" spans="1:20" ht="14.25" customHeight="1" x14ac:dyDescent="0.35">
      <c r="A697" s="1">
        <v>2023</v>
      </c>
      <c r="B697" s="1" t="s">
        <v>33</v>
      </c>
      <c r="C697" s="1">
        <v>25</v>
      </c>
      <c r="D697" s="49">
        <v>132.172</v>
      </c>
      <c r="E697" s="50">
        <v>111.71899999999999</v>
      </c>
      <c r="F697" s="60">
        <v>78.852999999999994</v>
      </c>
      <c r="G697" s="61">
        <v>2431.4389999999999</v>
      </c>
      <c r="H697" s="62">
        <v>6.8979999999999997</v>
      </c>
      <c r="I697" s="63">
        <v>2.9000000000000001E-2</v>
      </c>
      <c r="J697" s="64">
        <v>6.3819999999999997</v>
      </c>
      <c r="K697" s="65">
        <v>59.412999999999997</v>
      </c>
      <c r="L697" s="50">
        <v>4.8209999999999997</v>
      </c>
      <c r="M697" s="66">
        <v>1.4999999999999999E-2</v>
      </c>
      <c r="N697" s="57">
        <v>297.01</v>
      </c>
      <c r="O697" s="67">
        <v>0.04</v>
      </c>
      <c r="P697" s="68">
        <v>7.1239999999999997</v>
      </c>
      <c r="Q697" s="93"/>
      <c r="R697" s="93"/>
      <c r="S697" s="93"/>
      <c r="T697" s="93"/>
    </row>
    <row r="698" spans="1:20" ht="14.25" customHeight="1" x14ac:dyDescent="0.35">
      <c r="A698" s="1">
        <v>2023</v>
      </c>
      <c r="B698" s="1" t="s">
        <v>33</v>
      </c>
      <c r="C698" s="1">
        <v>26</v>
      </c>
      <c r="D698" s="49">
        <v>136.76599999999999</v>
      </c>
      <c r="E698" s="50">
        <v>115.59399999999999</v>
      </c>
      <c r="F698" s="60">
        <v>78.394999999999996</v>
      </c>
      <c r="G698" s="61">
        <v>2377.2840000000001</v>
      </c>
      <c r="H698" s="62">
        <v>6.8979999999999997</v>
      </c>
      <c r="I698" s="63">
        <v>2.8000000000000001E-2</v>
      </c>
      <c r="J698" s="64">
        <v>6.3710000000000004</v>
      </c>
      <c r="K698" s="61">
        <v>59.125</v>
      </c>
      <c r="L698" s="62">
        <v>4.8239999999999998</v>
      </c>
      <c r="M698" s="66">
        <v>1.4999999999999999E-2</v>
      </c>
      <c r="N698" s="57">
        <v>294.95299999999997</v>
      </c>
      <c r="O698" s="67">
        <v>0.04</v>
      </c>
      <c r="P698" s="68">
        <v>6.9909999999999997</v>
      </c>
      <c r="Q698" s="93"/>
      <c r="R698" s="93"/>
      <c r="S698" s="93"/>
      <c r="T698" s="93"/>
    </row>
    <row r="699" spans="1:20" ht="14.25" customHeight="1" x14ac:dyDescent="0.35">
      <c r="A699" s="1">
        <v>2023</v>
      </c>
      <c r="B699" s="1" t="s">
        <v>33</v>
      </c>
      <c r="C699" s="1">
        <v>27</v>
      </c>
      <c r="D699" s="12">
        <v>141.625</v>
      </c>
      <c r="E699" s="13">
        <v>119.84399999999999</v>
      </c>
      <c r="F699" s="60">
        <v>78.465999999999994</v>
      </c>
      <c r="G699" s="61">
        <v>2404.5309999999999</v>
      </c>
      <c r="H699" s="62">
        <v>6.8979999999999997</v>
      </c>
      <c r="I699" s="63">
        <v>2.9000000000000001E-2</v>
      </c>
      <c r="J699" s="64">
        <v>6.4850000000000003</v>
      </c>
      <c r="K699" s="65">
        <v>58.384</v>
      </c>
      <c r="L699" s="50">
        <v>4.7910000000000004</v>
      </c>
      <c r="M699" s="66">
        <v>1.4999999999999999E-2</v>
      </c>
      <c r="N699" s="57">
        <v>319.13499999999999</v>
      </c>
      <c r="O699" s="67">
        <v>4.3999999999999997E-2</v>
      </c>
      <c r="P699" s="68">
        <v>8.18</v>
      </c>
      <c r="Q699" s="93"/>
      <c r="R699" s="93"/>
      <c r="S699" s="93"/>
      <c r="T699" s="93"/>
    </row>
    <row r="700" spans="1:20" ht="14.25" customHeight="1" x14ac:dyDescent="0.35">
      <c r="A700" s="1">
        <v>2023</v>
      </c>
      <c r="B700" s="1" t="s">
        <v>33</v>
      </c>
      <c r="C700" s="1">
        <v>28</v>
      </c>
      <c r="D700" s="12">
        <v>137.422</v>
      </c>
      <c r="E700" s="13">
        <v>116.438</v>
      </c>
      <c r="F700" s="60">
        <v>78.391999999999996</v>
      </c>
      <c r="G700" s="61">
        <v>2472.1280000000002</v>
      </c>
      <c r="H700" s="62">
        <v>6.8979999999999997</v>
      </c>
      <c r="I700" s="63">
        <v>2.9000000000000001E-2</v>
      </c>
      <c r="J700" s="64">
        <v>6.4690000000000003</v>
      </c>
      <c r="K700" s="61">
        <v>61.932000000000002</v>
      </c>
      <c r="L700" s="62">
        <v>4.83</v>
      </c>
      <c r="M700" s="66">
        <v>1.4999999999999999E-2</v>
      </c>
      <c r="N700" s="57">
        <v>309.99200000000002</v>
      </c>
      <c r="O700" s="67">
        <v>4.8000000000000001E-2</v>
      </c>
      <c r="P700" s="68">
        <v>8.3160000000000007</v>
      </c>
      <c r="Q700" s="93"/>
      <c r="R700" s="93"/>
      <c r="S700" s="93"/>
      <c r="T700" s="93"/>
    </row>
    <row r="701" spans="1:20" ht="14.25" customHeight="1" x14ac:dyDescent="0.35">
      <c r="A701" s="1">
        <v>2023</v>
      </c>
      <c r="B701" s="1" t="s">
        <v>33</v>
      </c>
      <c r="C701" s="1">
        <v>29</v>
      </c>
      <c r="D701" s="12">
        <v>135.625</v>
      </c>
      <c r="E701" s="13">
        <v>115</v>
      </c>
      <c r="F701" s="83">
        <v>78.254999999999995</v>
      </c>
      <c r="G701" s="69">
        <v>2451.8069999999998</v>
      </c>
      <c r="H701" s="50">
        <v>6.8979999999999997</v>
      </c>
      <c r="I701" s="66">
        <v>2.8000000000000001E-2</v>
      </c>
      <c r="J701" s="50">
        <v>6.4539999999999997</v>
      </c>
      <c r="K701" s="61">
        <v>62.015000000000001</v>
      </c>
      <c r="L701" s="62">
        <v>4.827</v>
      </c>
      <c r="M701" s="66">
        <v>1.4999999999999999E-2</v>
      </c>
      <c r="N701" s="57">
        <v>293.63600000000002</v>
      </c>
      <c r="O701" s="84">
        <v>4.8000000000000001E-2</v>
      </c>
      <c r="P701" s="71">
        <v>8.41</v>
      </c>
      <c r="Q701" s="93"/>
      <c r="R701" s="93"/>
      <c r="S701" s="93"/>
      <c r="T701" s="93"/>
    </row>
    <row r="702" spans="1:20" ht="14.25" customHeight="1" x14ac:dyDescent="0.35">
      <c r="A702" s="1">
        <v>2023</v>
      </c>
      <c r="B702" s="1" t="s">
        <v>33</v>
      </c>
      <c r="C702" s="1">
        <v>30</v>
      </c>
      <c r="D702" s="85">
        <v>135.672</v>
      </c>
      <c r="E702" s="86">
        <v>114.938</v>
      </c>
      <c r="F702" s="83">
        <v>78.436999999999998</v>
      </c>
      <c r="G702" s="69">
        <v>2449.4079999999999</v>
      </c>
      <c r="H702" s="50">
        <v>6.8979999999999997</v>
      </c>
      <c r="I702" s="66">
        <v>2.9000000000000001E-2</v>
      </c>
      <c r="J702" s="50">
        <v>6.657</v>
      </c>
      <c r="K702" s="61">
        <v>60.887</v>
      </c>
      <c r="L702" s="62">
        <v>4.835</v>
      </c>
      <c r="M702" s="66">
        <v>1.4999999999999999E-2</v>
      </c>
      <c r="N702" s="57">
        <v>287.60599999999999</v>
      </c>
      <c r="O702" s="84">
        <v>4.9000000000000002E-2</v>
      </c>
      <c r="P702" s="71">
        <v>6.7009999999999996</v>
      </c>
      <c r="Q702" s="93"/>
      <c r="R702" s="93"/>
      <c r="S702" s="93"/>
      <c r="T702" s="93"/>
    </row>
    <row r="703" spans="1:20" ht="14.25" customHeight="1" x14ac:dyDescent="0.35">
      <c r="A703" s="1">
        <v>2023</v>
      </c>
      <c r="B703" s="1" t="s">
        <v>34</v>
      </c>
      <c r="C703" s="1">
        <v>1</v>
      </c>
      <c r="D703" s="92">
        <v>157.5</v>
      </c>
      <c r="E703" s="50">
        <v>147.678</v>
      </c>
      <c r="F703" s="93">
        <v>78.228999999999999</v>
      </c>
      <c r="G703" s="93">
        <v>2430.4070000000002</v>
      </c>
      <c r="H703" s="93">
        <v>6.8979999999999997</v>
      </c>
      <c r="I703" s="93">
        <v>2.9000000000000001E-2</v>
      </c>
      <c r="J703" s="94">
        <v>6.5330000000000004</v>
      </c>
      <c r="K703" s="93">
        <v>60.503999999999998</v>
      </c>
      <c r="L703" s="93">
        <v>4.8129999999999997</v>
      </c>
      <c r="M703" s="93">
        <v>1.4999999999999999E-2</v>
      </c>
      <c r="N703" s="94">
        <v>302.61500000000001</v>
      </c>
      <c r="O703" s="95">
        <v>4.5999999999999999E-2</v>
      </c>
      <c r="P703" s="96">
        <v>7.8310000000000004</v>
      </c>
      <c r="Q703" s="93"/>
      <c r="R703" s="93"/>
      <c r="S703" s="93"/>
      <c r="T703" s="93"/>
    </row>
    <row r="704" spans="1:20" ht="14.25" customHeight="1" x14ac:dyDescent="0.35">
      <c r="A704" s="1">
        <v>2023</v>
      </c>
      <c r="B704" s="1" t="s">
        <v>34</v>
      </c>
      <c r="C704" s="1">
        <v>2</v>
      </c>
      <c r="D704" s="92">
        <v>157.84399999999999</v>
      </c>
      <c r="E704" s="50">
        <v>148.167</v>
      </c>
      <c r="F704" s="93">
        <v>77.957999999999998</v>
      </c>
      <c r="G704" s="93">
        <v>2424.1179999999999</v>
      </c>
      <c r="H704" s="93">
        <v>6.8979999999999997</v>
      </c>
      <c r="I704" s="93">
        <v>2.8000000000000001E-2</v>
      </c>
      <c r="J704" s="94">
        <v>6.5010000000000003</v>
      </c>
      <c r="K704" s="93">
        <v>57.805</v>
      </c>
      <c r="L704" s="93">
        <v>4.8150000000000004</v>
      </c>
      <c r="M704" s="93">
        <v>1.4999999999999999E-2</v>
      </c>
      <c r="N704" s="94">
        <v>301.18799999999999</v>
      </c>
      <c r="O704" s="95">
        <v>4.5999999999999999E-2</v>
      </c>
      <c r="P704" s="96">
        <v>8.218</v>
      </c>
      <c r="Q704" s="93"/>
      <c r="R704" s="93"/>
      <c r="S704" s="93"/>
      <c r="T704" s="93"/>
    </row>
    <row r="705" spans="1:20" ht="14.25" customHeight="1" x14ac:dyDescent="0.35">
      <c r="A705" s="1">
        <v>2023</v>
      </c>
      <c r="B705" s="1" t="s">
        <v>34</v>
      </c>
      <c r="C705" s="1">
        <v>3</v>
      </c>
      <c r="D705" s="92">
        <v>154.81299999999999</v>
      </c>
      <c r="E705" s="50">
        <v>144.97499999999999</v>
      </c>
      <c r="F705" s="93">
        <v>77.852000000000004</v>
      </c>
      <c r="G705" s="93">
        <v>2234.8069999999998</v>
      </c>
      <c r="H705" s="93">
        <v>6.8979999999999997</v>
      </c>
      <c r="I705" s="93">
        <v>2.9000000000000001E-2</v>
      </c>
      <c r="J705" s="94">
        <v>6.8319999999999999</v>
      </c>
      <c r="K705" s="93">
        <v>52.307000000000002</v>
      </c>
      <c r="L705" s="93">
        <v>4.8259999999999996</v>
      </c>
      <c r="M705" s="93">
        <v>1.4999999999999999E-2</v>
      </c>
      <c r="N705" s="94">
        <v>293.995</v>
      </c>
      <c r="O705" s="95">
        <v>4.3999999999999997E-2</v>
      </c>
      <c r="P705" s="96">
        <v>7.867</v>
      </c>
      <c r="Q705" s="93"/>
      <c r="R705" s="93"/>
      <c r="S705" s="93"/>
      <c r="T705" s="93"/>
    </row>
    <row r="706" spans="1:20" ht="14.25" customHeight="1" x14ac:dyDescent="0.35">
      <c r="A706" s="1">
        <v>2023</v>
      </c>
      <c r="B706" s="1" t="s">
        <v>34</v>
      </c>
      <c r="C706" s="1">
        <v>4</v>
      </c>
      <c r="D706" s="92">
        <v>157.34399999999999</v>
      </c>
      <c r="E706" s="50">
        <v>147.99799999999999</v>
      </c>
      <c r="F706" s="93">
        <v>77.930000000000007</v>
      </c>
      <c r="G706" s="93">
        <v>2258.8449999999998</v>
      </c>
      <c r="H706" s="93">
        <v>6.8979999999999997</v>
      </c>
      <c r="I706" s="93">
        <v>2.9000000000000001E-2</v>
      </c>
      <c r="J706" s="94">
        <v>6.8319999999999999</v>
      </c>
      <c r="K706" s="93">
        <v>53.258000000000003</v>
      </c>
      <c r="L706" s="93">
        <v>4.843</v>
      </c>
      <c r="M706" s="93">
        <v>1.4999999999999999E-2</v>
      </c>
      <c r="N706" s="94">
        <v>283.10700000000003</v>
      </c>
      <c r="O706" s="95">
        <v>4.3999999999999997E-2</v>
      </c>
      <c r="P706" s="96">
        <v>5.8419999999999996</v>
      </c>
      <c r="Q706" s="93"/>
      <c r="R706" s="93"/>
      <c r="S706" s="93"/>
      <c r="T706" s="93"/>
    </row>
    <row r="707" spans="1:20" ht="14.25" customHeight="1" x14ac:dyDescent="0.35">
      <c r="A707" s="1">
        <v>2023</v>
      </c>
      <c r="B707" s="1" t="s">
        <v>34</v>
      </c>
      <c r="C707" s="1">
        <v>5</v>
      </c>
      <c r="D707" s="92">
        <v>158.75</v>
      </c>
      <c r="E707" s="50">
        <v>148.959</v>
      </c>
      <c r="F707" s="93">
        <v>78.182000000000002</v>
      </c>
      <c r="G707" s="93">
        <v>2302.8380000000002</v>
      </c>
      <c r="H707" s="93">
        <v>6.8979999999999997</v>
      </c>
      <c r="I707" s="93">
        <v>2.9000000000000001E-2</v>
      </c>
      <c r="J707" s="94">
        <v>7.0049999999999999</v>
      </c>
      <c r="K707" s="93">
        <v>54.332000000000001</v>
      </c>
      <c r="L707" s="93">
        <v>4.8410000000000002</v>
      </c>
      <c r="M707" s="93">
        <v>1.4999999999999999E-2</v>
      </c>
      <c r="N707" s="94">
        <v>283.90300000000002</v>
      </c>
      <c r="O707" s="95">
        <v>0.05</v>
      </c>
      <c r="P707" s="96">
        <v>4.7290000000000001</v>
      </c>
      <c r="Q707" s="93"/>
      <c r="R707" s="93"/>
      <c r="S707" s="93"/>
      <c r="T707" s="93"/>
    </row>
    <row r="708" spans="1:20" ht="14.25" customHeight="1" x14ac:dyDescent="0.35">
      <c r="A708" s="1">
        <v>2023</v>
      </c>
      <c r="B708" s="1" t="s">
        <v>34</v>
      </c>
      <c r="C708" s="1">
        <v>6</v>
      </c>
      <c r="D708" s="92">
        <v>159.03100000000001</v>
      </c>
      <c r="E708" s="50">
        <v>149.74</v>
      </c>
      <c r="F708" s="93">
        <v>78.16</v>
      </c>
      <c r="G708" s="93">
        <v>2387.3319999999999</v>
      </c>
      <c r="H708" s="93">
        <v>6.8979999999999997</v>
      </c>
      <c r="I708" s="93">
        <v>2.9000000000000001E-2</v>
      </c>
      <c r="J708" s="94">
        <v>6.8029999999999999</v>
      </c>
      <c r="K708" s="93">
        <v>53.642000000000003</v>
      </c>
      <c r="L708" s="93">
        <v>4.8159999999999998</v>
      </c>
      <c r="M708" s="93">
        <v>1.4999999999999999E-2</v>
      </c>
      <c r="N708" s="94">
        <v>300.61</v>
      </c>
      <c r="O708" s="95">
        <v>4.7E-2</v>
      </c>
      <c r="P708" s="96">
        <v>4.4640000000000004</v>
      </c>
      <c r="Q708" s="93"/>
      <c r="R708" s="93"/>
      <c r="S708" s="93"/>
      <c r="T708" s="93"/>
    </row>
    <row r="709" spans="1:20" ht="14.25" customHeight="1" x14ac:dyDescent="0.35">
      <c r="A709" s="1">
        <v>2023</v>
      </c>
      <c r="B709" s="1" t="s">
        <v>34</v>
      </c>
      <c r="C709" s="1">
        <v>7</v>
      </c>
      <c r="D709" s="92">
        <v>160.625</v>
      </c>
      <c r="E709" s="50">
        <v>150.96799999999999</v>
      </c>
      <c r="F709" s="93">
        <v>77.753</v>
      </c>
      <c r="G709" s="93">
        <v>2404.9780000000001</v>
      </c>
      <c r="H709" s="93">
        <v>6.8979999999999997</v>
      </c>
      <c r="I709" s="93">
        <v>2.9000000000000001E-2</v>
      </c>
      <c r="J709" s="94">
        <v>6.9980000000000002</v>
      </c>
      <c r="K709" s="93">
        <v>54.007100000000001</v>
      </c>
      <c r="L709" s="93">
        <v>4.8602999999999996</v>
      </c>
      <c r="M709" s="93">
        <v>1.4999999999999999E-2</v>
      </c>
      <c r="N709" s="94">
        <v>271.90980000000002</v>
      </c>
      <c r="O709" s="95">
        <v>4.8099999999999997E-2</v>
      </c>
      <c r="P709" s="96">
        <v>3.5609999999999999</v>
      </c>
      <c r="Q709" s="93"/>
      <c r="R709" s="93"/>
      <c r="S709" s="93"/>
      <c r="T709" s="93"/>
    </row>
    <row r="710" spans="1:20" ht="14.25" customHeight="1" x14ac:dyDescent="0.35">
      <c r="A710" s="1">
        <v>2023</v>
      </c>
      <c r="B710" s="1" t="s">
        <v>34</v>
      </c>
      <c r="C710" s="1">
        <v>8</v>
      </c>
      <c r="D710" s="92">
        <v>160.125</v>
      </c>
      <c r="E710" s="50">
        <v>150.35900000000001</v>
      </c>
      <c r="F710" s="93">
        <v>77.597999999999999</v>
      </c>
      <c r="G710" s="93">
        <v>2458.047</v>
      </c>
      <c r="H710" s="93">
        <v>6.8979999999999997</v>
      </c>
      <c r="I710" s="93">
        <v>2.9000000000000001E-2</v>
      </c>
      <c r="J710" s="94">
        <v>6.8929999999999998</v>
      </c>
      <c r="K710" s="93">
        <v>55.085000000000001</v>
      </c>
      <c r="L710" s="93">
        <v>4.9029999999999996</v>
      </c>
      <c r="M710" s="93">
        <v>1.4E-2</v>
      </c>
      <c r="N710" s="94">
        <v>245.96199999999999</v>
      </c>
      <c r="O710" s="95">
        <v>4.5999999999999999E-2</v>
      </c>
      <c r="P710" s="96">
        <v>5.78</v>
      </c>
      <c r="Q710" s="93"/>
      <c r="R710" s="93"/>
      <c r="S710" s="93"/>
      <c r="T710" s="93"/>
    </row>
    <row r="711" spans="1:20" ht="14.25" customHeight="1" x14ac:dyDescent="0.35">
      <c r="A711" s="1">
        <v>2023</v>
      </c>
      <c r="B711" s="1" t="s">
        <v>34</v>
      </c>
      <c r="C711" s="1">
        <v>9</v>
      </c>
      <c r="D711" s="92">
        <v>158.53100000000001</v>
      </c>
      <c r="E711" s="50">
        <v>148.89699999999999</v>
      </c>
      <c r="F711" s="93">
        <v>77.506</v>
      </c>
      <c r="G711" s="93">
        <v>2450.4830000000002</v>
      </c>
      <c r="H711" s="93">
        <v>6.8979999999999997</v>
      </c>
      <c r="I711" s="93">
        <v>2.9000000000000001E-2</v>
      </c>
      <c r="J711" s="94">
        <v>6.8179999999999996</v>
      </c>
      <c r="K711" s="93">
        <v>54.780999999999999</v>
      </c>
      <c r="L711" s="93">
        <v>4.8789999999999996</v>
      </c>
      <c r="M711" s="93">
        <v>1.4999999999999999E-2</v>
      </c>
      <c r="N711" s="94">
        <v>260.77699999999999</v>
      </c>
      <c r="O711" s="95">
        <v>4.3999999999999997E-2</v>
      </c>
      <c r="P711" s="96">
        <v>5.7389999999999999</v>
      </c>
      <c r="Q711" s="93"/>
      <c r="R711" s="93"/>
      <c r="S711" s="93"/>
      <c r="T711" s="93"/>
    </row>
    <row r="712" spans="1:20" ht="14.25" customHeight="1" x14ac:dyDescent="0.35">
      <c r="A712" s="1">
        <v>2023</v>
      </c>
      <c r="B712" s="1" t="s">
        <v>34</v>
      </c>
      <c r="C712" s="1">
        <v>10</v>
      </c>
      <c r="D712" s="92">
        <v>156.65600000000001</v>
      </c>
      <c r="E712" s="50">
        <v>147.34399999999999</v>
      </c>
      <c r="F712" s="93">
        <v>77.239999999999995</v>
      </c>
      <c r="G712" s="93">
        <v>2282.1840000000002</v>
      </c>
      <c r="H712" s="93">
        <v>6.8979999999999997</v>
      </c>
      <c r="I712" s="93">
        <v>2.8000000000000001E-2</v>
      </c>
      <c r="J712" s="94">
        <v>7.0170000000000003</v>
      </c>
      <c r="K712" s="93">
        <v>49.27</v>
      </c>
      <c r="L712" s="93">
        <v>4.8470000000000004</v>
      </c>
      <c r="M712" s="93">
        <v>1.4999999999999999E-2</v>
      </c>
      <c r="N712" s="94">
        <v>280.95499999999998</v>
      </c>
      <c r="O712" s="95">
        <v>4.2000000000000003E-2</v>
      </c>
      <c r="P712" s="96">
        <v>5.383</v>
      </c>
      <c r="Q712" s="93"/>
      <c r="R712" s="93"/>
      <c r="S712" s="93"/>
      <c r="T712" s="93"/>
    </row>
    <row r="713" spans="1:20" ht="14.25" customHeight="1" x14ac:dyDescent="0.35">
      <c r="A713" s="1">
        <v>2023</v>
      </c>
      <c r="B713" s="1" t="s">
        <v>34</v>
      </c>
      <c r="C713" s="1">
        <v>11</v>
      </c>
      <c r="D713" s="92">
        <v>160.43799999999999</v>
      </c>
      <c r="E713" s="50">
        <v>150.95400000000001</v>
      </c>
      <c r="F713" s="93">
        <v>77.106999999999999</v>
      </c>
      <c r="G713" s="93">
        <v>2324.9699999999998</v>
      </c>
      <c r="H713" s="93">
        <v>6.8979999999999997</v>
      </c>
      <c r="I713" s="93">
        <v>2.9000000000000001E-2</v>
      </c>
      <c r="J713" s="94">
        <v>7.0529999999999999</v>
      </c>
      <c r="K713" s="93">
        <v>49.625999999999998</v>
      </c>
      <c r="L713" s="93">
        <v>4.87</v>
      </c>
      <c r="M713" s="93">
        <v>1.4999999999999999E-2</v>
      </c>
      <c r="N713" s="94">
        <v>265.93</v>
      </c>
      <c r="O713" s="95">
        <v>4.2000000000000003E-2</v>
      </c>
      <c r="P713" s="96">
        <v>6.0049999999999999</v>
      </c>
      <c r="Q713" s="93"/>
      <c r="R713" s="93"/>
      <c r="S713" s="93"/>
      <c r="T713" s="93"/>
    </row>
    <row r="714" spans="1:20" ht="14.25" customHeight="1" x14ac:dyDescent="0.35">
      <c r="A714" s="1">
        <v>2023</v>
      </c>
      <c r="B714" s="1" t="s">
        <v>34</v>
      </c>
      <c r="C714" s="1">
        <v>12</v>
      </c>
      <c r="D714" s="92">
        <v>160.93799999999999</v>
      </c>
      <c r="E714" s="50">
        <v>151.364</v>
      </c>
      <c r="F714" s="93">
        <v>76.930000000000007</v>
      </c>
      <c r="G714" s="93">
        <v>2426.8879999999999</v>
      </c>
      <c r="H714" s="93">
        <v>6.8979999999999997</v>
      </c>
      <c r="I714" s="93">
        <v>2.9000000000000001E-2</v>
      </c>
      <c r="J714" s="94">
        <v>6.9660000000000002</v>
      </c>
      <c r="K714" s="93">
        <v>51.570999999999998</v>
      </c>
      <c r="L714" s="93">
        <v>4.883</v>
      </c>
      <c r="M714" s="93">
        <v>1.4999999999999999E-2</v>
      </c>
      <c r="N714" s="94">
        <v>257</v>
      </c>
      <c r="O714" s="95">
        <v>4.2999999999999997E-2</v>
      </c>
      <c r="P714" s="96">
        <v>5.71</v>
      </c>
      <c r="Q714" s="93"/>
      <c r="R714" s="93"/>
      <c r="S714" s="93"/>
      <c r="T714" s="93"/>
    </row>
    <row r="715" spans="1:20" ht="14.25" customHeight="1" x14ac:dyDescent="0.35">
      <c r="A715" s="1">
        <v>2023</v>
      </c>
      <c r="B715" s="1" t="s">
        <v>34</v>
      </c>
      <c r="C715" s="1">
        <v>13</v>
      </c>
      <c r="D715" s="92">
        <v>161.46899999999999</v>
      </c>
      <c r="E715" s="50">
        <v>151.57</v>
      </c>
      <c r="F715" s="93">
        <v>76.954999999999998</v>
      </c>
      <c r="G715" s="93">
        <v>2482.2890000000002</v>
      </c>
      <c r="H715" s="93">
        <v>6.8979999999999997</v>
      </c>
      <c r="I715" s="93">
        <v>2.9000000000000001E-2</v>
      </c>
      <c r="J715" s="94">
        <v>6.7919999999999998</v>
      </c>
      <c r="K715" s="93">
        <v>54.152000000000001</v>
      </c>
      <c r="L715" s="93">
        <v>4.8890000000000002</v>
      </c>
      <c r="M715" s="93">
        <v>1.4999999999999999E-2</v>
      </c>
      <c r="N715" s="94">
        <v>253.91800000000001</v>
      </c>
      <c r="O715" s="95">
        <v>4.3999999999999997E-2</v>
      </c>
      <c r="P715" s="96">
        <v>4.3319999999999999</v>
      </c>
      <c r="Q715" s="93"/>
      <c r="R715" s="93"/>
      <c r="S715" s="93"/>
      <c r="T715" s="93"/>
    </row>
    <row r="716" spans="1:20" ht="14.25" customHeight="1" x14ac:dyDescent="0.35">
      <c r="A716" s="1">
        <v>2023</v>
      </c>
      <c r="B716" s="1" t="s">
        <v>34</v>
      </c>
      <c r="C716" s="1">
        <v>14</v>
      </c>
      <c r="D716" s="92">
        <v>157.75</v>
      </c>
      <c r="E716" s="50">
        <v>147.89500000000001</v>
      </c>
      <c r="F716" s="93">
        <v>77.27</v>
      </c>
      <c r="G716" s="93">
        <v>2511.44</v>
      </c>
      <c r="H716" s="93">
        <v>6.8979999999999997</v>
      </c>
      <c r="I716" s="93">
        <v>0.03</v>
      </c>
      <c r="J716" s="94">
        <v>6.7389999999999999</v>
      </c>
      <c r="K716" s="93">
        <v>53.652000000000001</v>
      </c>
      <c r="L716" s="93">
        <v>4.8479999999999999</v>
      </c>
      <c r="M716" s="93">
        <v>1.4999999999999999E-2</v>
      </c>
      <c r="N716" s="94">
        <v>280.78399999999999</v>
      </c>
      <c r="O716" s="95">
        <v>4.7E-2</v>
      </c>
      <c r="P716" s="96">
        <v>5.2460000000000004</v>
      </c>
      <c r="Q716" s="93"/>
      <c r="R716" s="93"/>
      <c r="S716" s="93"/>
      <c r="T716" s="93"/>
    </row>
    <row r="717" spans="1:20" ht="14.25" customHeight="1" x14ac:dyDescent="0.35">
      <c r="A717" s="1">
        <v>2023</v>
      </c>
      <c r="B717" s="1" t="s">
        <v>34</v>
      </c>
      <c r="C717" s="1">
        <v>15</v>
      </c>
      <c r="D717" s="92">
        <v>155.21899999999999</v>
      </c>
      <c r="E717" s="50">
        <v>145.47499999999999</v>
      </c>
      <c r="F717" s="93">
        <v>77.27</v>
      </c>
      <c r="G717" s="93">
        <v>2510.5680000000002</v>
      </c>
      <c r="H717" s="93">
        <v>6.8979999999999997</v>
      </c>
      <c r="I717" s="93">
        <v>2.9000000000000001E-2</v>
      </c>
      <c r="J717" s="94">
        <v>6.569</v>
      </c>
      <c r="K717" s="93">
        <v>52.524999999999999</v>
      </c>
      <c r="L717" s="93">
        <v>4.9690000000000003</v>
      </c>
      <c r="M717" s="93">
        <v>1.7000000000000001E-2</v>
      </c>
      <c r="N717" s="94">
        <v>220.90799999999999</v>
      </c>
      <c r="O717" s="95">
        <v>4.3999999999999997E-2</v>
      </c>
      <c r="P717" s="96">
        <v>8.9949999999999992</v>
      </c>
      <c r="Q717" s="93"/>
      <c r="R717" s="93"/>
      <c r="S717" s="93"/>
      <c r="T717" s="93"/>
    </row>
    <row r="718" spans="1:20" ht="14.25" customHeight="1" x14ac:dyDescent="0.35">
      <c r="A718" s="1">
        <v>2023</v>
      </c>
      <c r="B718" s="1" t="s">
        <v>34</v>
      </c>
      <c r="C718" s="1">
        <v>16</v>
      </c>
      <c r="D718" s="92">
        <v>152.93799999999999</v>
      </c>
      <c r="E718" s="50">
        <v>143.04300000000001</v>
      </c>
      <c r="F718" s="93">
        <v>77.278000000000006</v>
      </c>
      <c r="G718" s="93">
        <v>2479.7289999999998</v>
      </c>
      <c r="H718" s="93">
        <v>6.8979999999999997</v>
      </c>
      <c r="I718" s="93">
        <v>2.9000000000000001E-2</v>
      </c>
      <c r="J718" s="94">
        <v>6.6769999999999996</v>
      </c>
      <c r="K718" s="93">
        <v>49.558999999999997</v>
      </c>
      <c r="L718" s="93">
        <v>5.0170000000000003</v>
      </c>
      <c r="M718" s="93">
        <v>1.7999999999999999E-2</v>
      </c>
      <c r="N718" s="94">
        <v>190.042</v>
      </c>
      <c r="O718" s="95">
        <v>4.4999999999999998E-2</v>
      </c>
      <c r="P718" s="96">
        <v>12.118</v>
      </c>
      <c r="Q718" s="93"/>
      <c r="R718" s="93"/>
      <c r="S718" s="93"/>
      <c r="T718" s="93"/>
    </row>
    <row r="719" spans="1:20" ht="14.25" customHeight="1" x14ac:dyDescent="0.35">
      <c r="A719" s="1">
        <v>2023</v>
      </c>
      <c r="B719" s="1" t="s">
        <v>34</v>
      </c>
      <c r="C719" s="1">
        <v>17</v>
      </c>
      <c r="D719" s="92">
        <v>155.21899999999999</v>
      </c>
      <c r="E719" s="50">
        <v>145.352</v>
      </c>
      <c r="F719" s="93">
        <v>77.135999999999996</v>
      </c>
      <c r="G719" s="93">
        <v>2319.386</v>
      </c>
      <c r="H719" s="93">
        <v>6.8979999999999997</v>
      </c>
      <c r="I719" s="93">
        <v>2.9000000000000001E-2</v>
      </c>
      <c r="J719" s="94">
        <v>6.7889999999999997</v>
      </c>
      <c r="K719" s="93">
        <v>45.426000000000002</v>
      </c>
      <c r="L719" s="93">
        <v>5.05</v>
      </c>
      <c r="M719" s="93">
        <v>1.7999999999999999E-2</v>
      </c>
      <c r="N719" s="94">
        <v>175.57499999999999</v>
      </c>
      <c r="O719" s="95">
        <v>0.04</v>
      </c>
      <c r="P719" s="96">
        <v>11.576000000000001</v>
      </c>
      <c r="Q719" s="93"/>
      <c r="R719" s="93"/>
      <c r="S719" s="93"/>
      <c r="T719" s="93"/>
    </row>
    <row r="720" spans="1:20" ht="14.25" customHeight="1" x14ac:dyDescent="0.35">
      <c r="A720" s="1">
        <v>2023</v>
      </c>
      <c r="B720" s="1" t="s">
        <v>34</v>
      </c>
      <c r="C720" s="1">
        <v>18</v>
      </c>
      <c r="D720" s="92">
        <v>155.43799999999999</v>
      </c>
      <c r="E720" s="50">
        <v>145.423</v>
      </c>
      <c r="F720" s="93">
        <v>77.388000000000005</v>
      </c>
      <c r="G720" s="93">
        <v>2308.3240000000001</v>
      </c>
      <c r="H720" s="93">
        <v>6.8979999999999997</v>
      </c>
      <c r="I720" s="93">
        <v>2.9000000000000001E-2</v>
      </c>
      <c r="J720" s="94">
        <v>6.9109999999999996</v>
      </c>
      <c r="K720" s="93">
        <v>46.789000000000001</v>
      </c>
      <c r="L720" s="93">
        <v>5.0869999999999997</v>
      </c>
      <c r="M720" s="93">
        <v>1.7999999999999999E-2</v>
      </c>
      <c r="N720" s="94">
        <v>161.02099999999999</v>
      </c>
      <c r="O720" s="95">
        <v>0.04</v>
      </c>
      <c r="P720" s="96">
        <v>10.108000000000001</v>
      </c>
      <c r="Q720" s="93"/>
      <c r="R720" s="93"/>
      <c r="S720" s="93"/>
      <c r="T720" s="93"/>
    </row>
    <row r="721" spans="1:20" ht="14.25" customHeight="1" x14ac:dyDescent="0.35">
      <c r="A721" s="1">
        <v>2023</v>
      </c>
      <c r="B721" s="1" t="s">
        <v>34</v>
      </c>
      <c r="C721" s="1">
        <v>19</v>
      </c>
      <c r="D721" s="92">
        <v>155.25</v>
      </c>
      <c r="E721" s="50">
        <v>145.328</v>
      </c>
      <c r="F721" s="93">
        <v>77.242999999999995</v>
      </c>
      <c r="G721" s="93">
        <v>2318.3879999999999</v>
      </c>
      <c r="H721" s="93">
        <v>6.8979999999999997</v>
      </c>
      <c r="I721" s="93">
        <v>2.9000000000000001E-2</v>
      </c>
      <c r="J721" s="94">
        <v>7.0650000000000004</v>
      </c>
      <c r="K721" s="93">
        <v>48.853999999999999</v>
      </c>
      <c r="L721" s="93">
        <v>5.093</v>
      </c>
      <c r="M721" s="93">
        <v>1.7999999999999999E-2</v>
      </c>
      <c r="N721" s="94">
        <v>158.303</v>
      </c>
      <c r="O721" s="95">
        <v>4.3999999999999997E-2</v>
      </c>
      <c r="P721" s="96">
        <v>8.8659999999999997</v>
      </c>
      <c r="Q721" s="93"/>
      <c r="R721" s="93"/>
      <c r="S721" s="93"/>
      <c r="T721" s="93"/>
    </row>
    <row r="722" spans="1:20" ht="14.25" customHeight="1" x14ac:dyDescent="0.35">
      <c r="A722" s="1">
        <v>2023</v>
      </c>
      <c r="B722" s="1" t="s">
        <v>34</v>
      </c>
      <c r="C722" s="1">
        <v>20</v>
      </c>
      <c r="D722" s="92">
        <v>137</v>
      </c>
      <c r="E722" s="50">
        <v>128.05000000000001</v>
      </c>
      <c r="F722" s="93">
        <v>77.531999999999996</v>
      </c>
      <c r="G722" s="93">
        <v>2309.4349999999999</v>
      </c>
      <c r="H722" s="93">
        <v>6.8979999999999997</v>
      </c>
      <c r="I722" s="93">
        <v>0.03</v>
      </c>
      <c r="J722" s="94">
        <v>7.1130000000000004</v>
      </c>
      <c r="K722" s="93">
        <v>47.259</v>
      </c>
      <c r="L722" s="93">
        <v>5.0890000000000004</v>
      </c>
      <c r="M722" s="93">
        <v>1.7999999999999999E-2</v>
      </c>
      <c r="N722" s="94">
        <v>160.715</v>
      </c>
      <c r="O722" s="95">
        <v>4.7E-2</v>
      </c>
      <c r="P722" s="96">
        <v>4.2729999999999997</v>
      </c>
      <c r="Q722" s="93"/>
      <c r="R722" s="93"/>
      <c r="S722" s="93"/>
      <c r="T722" s="93"/>
    </row>
    <row r="723" spans="1:20" ht="14.25" customHeight="1" x14ac:dyDescent="0.35">
      <c r="A723" s="1">
        <v>2023</v>
      </c>
      <c r="B723" s="1" t="s">
        <v>34</v>
      </c>
      <c r="C723" s="1">
        <v>21</v>
      </c>
      <c r="D723" s="92">
        <v>153.78100000000001</v>
      </c>
      <c r="E723" s="50">
        <v>144.12700000000001</v>
      </c>
      <c r="F723" s="93">
        <v>77.036000000000001</v>
      </c>
      <c r="G723" s="93">
        <v>2140.2269999999999</v>
      </c>
      <c r="H723" s="93">
        <v>6.8979999999999997</v>
      </c>
      <c r="I723" s="93">
        <v>2.9000000000000001E-2</v>
      </c>
      <c r="J723" s="94">
        <v>7.3810000000000002</v>
      </c>
      <c r="K723" s="93">
        <v>43.844999999999999</v>
      </c>
      <c r="L723" s="93">
        <v>5.0949999999999998</v>
      </c>
      <c r="M723" s="93">
        <v>1.7999999999999999E-2</v>
      </c>
      <c r="N723" s="94">
        <v>158.02799999999999</v>
      </c>
      <c r="O723" s="95">
        <v>5.0999999999999997E-2</v>
      </c>
      <c r="P723" s="96">
        <v>3.7709999999999999</v>
      </c>
      <c r="Q723" s="93"/>
      <c r="R723" s="93"/>
      <c r="S723" s="93"/>
      <c r="T723" s="93"/>
    </row>
    <row r="724" spans="1:20" ht="14.25" customHeight="1" x14ac:dyDescent="0.35">
      <c r="A724" s="1">
        <v>2023</v>
      </c>
      <c r="B724" s="1" t="s">
        <v>34</v>
      </c>
      <c r="C724" s="1">
        <v>22</v>
      </c>
      <c r="D724" s="92">
        <v>154.125</v>
      </c>
      <c r="E724" s="50">
        <v>144.29599999999999</v>
      </c>
      <c r="F724" s="93">
        <v>76.632999999999996</v>
      </c>
      <c r="G724" s="93">
        <v>2196.4540000000002</v>
      </c>
      <c r="H724" s="93">
        <v>6.8979999999999997</v>
      </c>
      <c r="I724" s="93">
        <v>2.9000000000000001E-2</v>
      </c>
      <c r="J724" s="94">
        <v>7.1340000000000003</v>
      </c>
      <c r="K724" s="93">
        <v>43.615000000000002</v>
      </c>
      <c r="L724" s="93">
        <v>5.1310000000000002</v>
      </c>
      <c r="M724" s="93">
        <v>1.6E-2</v>
      </c>
      <c r="N724" s="94">
        <v>145.69</v>
      </c>
      <c r="O724" s="95">
        <v>5.5E-2</v>
      </c>
      <c r="P724" s="96">
        <v>3.7</v>
      </c>
      <c r="Q724" s="93"/>
      <c r="R724" s="93"/>
      <c r="S724" s="93"/>
      <c r="T724" s="93"/>
    </row>
    <row r="725" spans="1:20" ht="14.25" customHeight="1" x14ac:dyDescent="0.35">
      <c r="A725" s="1">
        <v>2023</v>
      </c>
      <c r="B725" s="1" t="s">
        <v>34</v>
      </c>
      <c r="C725" s="1">
        <v>23</v>
      </c>
      <c r="D725" s="92">
        <v>155.46899999999999</v>
      </c>
      <c r="E725" s="50">
        <v>145.98400000000001</v>
      </c>
      <c r="F725" s="93">
        <v>76.757000000000005</v>
      </c>
      <c r="G725" s="93">
        <v>2196.3270000000002</v>
      </c>
      <c r="H725" s="93">
        <v>6.8979999999999997</v>
      </c>
      <c r="I725" s="93">
        <v>2.9000000000000001E-2</v>
      </c>
      <c r="J725" s="94">
        <v>7.1689999999999996</v>
      </c>
      <c r="K725" s="93">
        <v>42.768000000000001</v>
      </c>
      <c r="L725" s="93">
        <v>5.1779999999999999</v>
      </c>
      <c r="M725" s="93">
        <v>1.4999999999999999E-2</v>
      </c>
      <c r="N725" s="94">
        <v>130.608</v>
      </c>
      <c r="O725" s="95">
        <v>4.5999999999999999E-2</v>
      </c>
      <c r="P725" s="96">
        <v>1.7330000000000001</v>
      </c>
      <c r="Q725" s="93"/>
      <c r="R725" s="93"/>
      <c r="S725" s="93"/>
      <c r="T725" s="93"/>
    </row>
    <row r="726" spans="1:20" ht="14.25" customHeight="1" x14ac:dyDescent="0.35">
      <c r="A726" s="1">
        <v>2023</v>
      </c>
      <c r="B726" s="1" t="s">
        <v>34</v>
      </c>
      <c r="C726" s="1">
        <v>24</v>
      </c>
      <c r="D726" s="92">
        <v>155.875</v>
      </c>
      <c r="E726" s="50">
        <v>146.136</v>
      </c>
      <c r="F726" s="93">
        <v>76.873999999999995</v>
      </c>
      <c r="G726" s="93">
        <v>2234.4929999999999</v>
      </c>
      <c r="H726" s="93">
        <v>6.8979999999999997</v>
      </c>
      <c r="I726" s="93">
        <v>2.9000000000000001E-2</v>
      </c>
      <c r="J726" s="94">
        <v>7.1710000000000003</v>
      </c>
      <c r="K726" s="93">
        <v>44.337000000000003</v>
      </c>
      <c r="L726" s="93">
        <v>5.1660000000000004</v>
      </c>
      <c r="M726" s="93">
        <v>1.4999999999999999E-2</v>
      </c>
      <c r="N726" s="94">
        <v>134.458</v>
      </c>
      <c r="O726" s="95">
        <v>3.5999999999999997E-2</v>
      </c>
      <c r="P726" s="96">
        <v>2.6739999999999999</v>
      </c>
      <c r="Q726" s="93"/>
      <c r="R726" s="93"/>
      <c r="S726" s="93"/>
      <c r="T726" s="93"/>
    </row>
    <row r="727" spans="1:20" ht="14.25" customHeight="1" x14ac:dyDescent="0.35">
      <c r="A727" s="1">
        <v>2023</v>
      </c>
      <c r="B727" s="1" t="s">
        <v>34</v>
      </c>
      <c r="C727" s="1">
        <v>25</v>
      </c>
      <c r="D727" s="92">
        <v>153.34399999999999</v>
      </c>
      <c r="E727" s="50">
        <v>143.791</v>
      </c>
      <c r="F727" s="93">
        <v>76.671000000000006</v>
      </c>
      <c r="G727" s="93">
        <v>2279.636</v>
      </c>
      <c r="H727" s="93">
        <v>6.8970000000000002</v>
      </c>
      <c r="I727" s="93">
        <v>2.9000000000000001E-2</v>
      </c>
      <c r="J727" s="94">
        <v>6.6449999999999996</v>
      </c>
      <c r="K727" s="93">
        <v>48.970999999999997</v>
      </c>
      <c r="L727" s="93">
        <v>5.16</v>
      </c>
      <c r="M727" s="93">
        <v>1.5599999999999999E-2</v>
      </c>
      <c r="N727" s="94">
        <v>136.55600000000001</v>
      </c>
      <c r="O727" s="95">
        <v>3.3000000000000002E-2</v>
      </c>
      <c r="P727" s="96">
        <v>3.5680000000000001</v>
      </c>
      <c r="Q727" s="93"/>
      <c r="R727" s="93"/>
      <c r="S727" s="93"/>
      <c r="T727" s="93"/>
    </row>
    <row r="728" spans="1:20" ht="14.25" customHeight="1" x14ac:dyDescent="0.35">
      <c r="A728" s="1">
        <v>2023</v>
      </c>
      <c r="B728" s="1" t="s">
        <v>34</v>
      </c>
      <c r="C728" s="1">
        <v>26</v>
      </c>
      <c r="D728" s="92">
        <v>148.53100000000001</v>
      </c>
      <c r="E728" s="50">
        <v>138.66200000000001</v>
      </c>
      <c r="F728" s="93">
        <v>76.415999999999997</v>
      </c>
      <c r="G728" s="93">
        <v>2387.3380000000002</v>
      </c>
      <c r="H728" s="93">
        <v>6.8979999999999997</v>
      </c>
      <c r="I728" s="93">
        <v>0.03</v>
      </c>
      <c r="J728" s="94">
        <v>6.71</v>
      </c>
      <c r="K728" s="93">
        <v>51.710999999999999</v>
      </c>
      <c r="L728" s="93">
        <v>5.202</v>
      </c>
      <c r="M728" s="93">
        <v>1.4999999999999999E-2</v>
      </c>
      <c r="N728" s="94">
        <v>123.455</v>
      </c>
      <c r="O728" s="95">
        <v>3.4000000000000002E-2</v>
      </c>
      <c r="P728" s="96">
        <v>2.7559999999999998</v>
      </c>
      <c r="Q728" s="93"/>
      <c r="R728" s="93"/>
      <c r="S728" s="93"/>
      <c r="T728" s="93"/>
    </row>
    <row r="729" spans="1:20" ht="14.25" customHeight="1" x14ac:dyDescent="0.35">
      <c r="A729" s="1">
        <v>2023</v>
      </c>
      <c r="B729" s="1" t="s">
        <v>34</v>
      </c>
      <c r="C729" s="1">
        <v>27</v>
      </c>
      <c r="D729" s="97">
        <v>155</v>
      </c>
      <c r="E729" s="13">
        <v>145.09399999999999</v>
      </c>
      <c r="F729" s="93">
        <v>76.504999999999995</v>
      </c>
      <c r="G729" s="93">
        <v>2356.759</v>
      </c>
      <c r="H729" s="93">
        <v>6.8979999999999997</v>
      </c>
      <c r="I729" s="93">
        <v>0.03</v>
      </c>
      <c r="J729" s="94">
        <v>7.1660000000000004</v>
      </c>
      <c r="K729" s="93">
        <v>49.22</v>
      </c>
      <c r="L729" s="93">
        <v>5.1970000000000001</v>
      </c>
      <c r="M729" s="93">
        <v>1.4999999999999999E-2</v>
      </c>
      <c r="N729" s="94">
        <v>124.82899999999999</v>
      </c>
      <c r="O729" s="95">
        <v>3.6999999999999998E-2</v>
      </c>
      <c r="P729" s="96">
        <v>2.5550000000000002</v>
      </c>
      <c r="Q729" s="93"/>
      <c r="R729" s="93"/>
      <c r="S729" s="93"/>
      <c r="T729" s="93"/>
    </row>
    <row r="730" spans="1:20" ht="14.25" customHeight="1" x14ac:dyDescent="0.35">
      <c r="A730" s="1">
        <v>2023</v>
      </c>
      <c r="B730" s="1" t="s">
        <v>34</v>
      </c>
      <c r="C730" s="1">
        <v>28</v>
      </c>
      <c r="D730" s="97">
        <v>154.84399999999999</v>
      </c>
      <c r="E730" s="13">
        <v>145.36199999999999</v>
      </c>
      <c r="F730" s="93">
        <v>76.727000000000004</v>
      </c>
      <c r="G730" s="93">
        <v>2351.1889999999999</v>
      </c>
      <c r="H730" s="93">
        <v>6.8979999999999997</v>
      </c>
      <c r="I730" s="93">
        <v>3.2000000000000001E-2</v>
      </c>
      <c r="J730" s="94">
        <v>7.2460000000000004</v>
      </c>
      <c r="K730" s="93">
        <v>47.774999999999999</v>
      </c>
      <c r="L730" s="93">
        <v>5.2</v>
      </c>
      <c r="M730" s="93">
        <v>1.4999999999999999E-2</v>
      </c>
      <c r="N730" s="94">
        <v>124.22199999999999</v>
      </c>
      <c r="O730" s="95">
        <v>3.9E-2</v>
      </c>
      <c r="P730" s="96">
        <v>3.92</v>
      </c>
      <c r="Q730" s="93"/>
      <c r="R730" s="93"/>
      <c r="S730" s="93"/>
      <c r="T730" s="93"/>
    </row>
    <row r="731" spans="1:20" ht="14.25" customHeight="1" x14ac:dyDescent="0.35">
      <c r="A731" s="1">
        <v>2023</v>
      </c>
      <c r="B731" s="1" t="s">
        <v>34</v>
      </c>
      <c r="C731" s="1">
        <v>29</v>
      </c>
      <c r="D731" s="97">
        <v>99.781000000000006</v>
      </c>
      <c r="E731" s="13">
        <v>93.885000000000005</v>
      </c>
      <c r="F731" s="93">
        <v>76.372</v>
      </c>
      <c r="G731" s="93">
        <v>2398.9349999999999</v>
      </c>
      <c r="H731" s="93">
        <v>6.78</v>
      </c>
      <c r="I731" s="93">
        <v>5.8000000000000003E-2</v>
      </c>
      <c r="J731" s="94">
        <v>7.1319999999999997</v>
      </c>
      <c r="K731" s="93">
        <v>55.8</v>
      </c>
      <c r="L731" s="93">
        <v>5.18</v>
      </c>
      <c r="M731" s="93">
        <v>1.6E-2</v>
      </c>
      <c r="N731" s="94">
        <v>649.17100000000005</v>
      </c>
      <c r="O731" s="95">
        <v>6.4000000000000001E-2</v>
      </c>
      <c r="P731" s="96">
        <v>5.5030000000000001</v>
      </c>
      <c r="Q731" s="93"/>
      <c r="R731" s="93"/>
      <c r="S731" s="93"/>
      <c r="T731" s="93"/>
    </row>
    <row r="732" spans="1:20" ht="14.25" customHeight="1" x14ac:dyDescent="0.35">
      <c r="A732" s="1">
        <v>2023</v>
      </c>
      <c r="B732" s="1" t="s">
        <v>34</v>
      </c>
      <c r="C732" s="1">
        <v>30</v>
      </c>
      <c r="D732" s="97">
        <v>141.03100000000001</v>
      </c>
      <c r="E732" s="13">
        <v>132.06899999999999</v>
      </c>
      <c r="F732" s="93">
        <v>76.355999999999995</v>
      </c>
      <c r="G732" s="93">
        <v>2298.6280000000002</v>
      </c>
      <c r="H732" s="93">
        <v>6.9</v>
      </c>
      <c r="I732" s="93">
        <v>0.03</v>
      </c>
      <c r="J732" s="94">
        <v>7.26</v>
      </c>
      <c r="K732" s="93">
        <v>47.088999999999999</v>
      </c>
      <c r="L732" s="93">
        <v>5.1890000000000001</v>
      </c>
      <c r="M732" s="93">
        <v>1.6E-2</v>
      </c>
      <c r="N732" s="94">
        <v>126.979</v>
      </c>
      <c r="O732" s="95">
        <v>5.6000000000000001E-2</v>
      </c>
      <c r="P732" s="96">
        <v>4.9640000000000004</v>
      </c>
      <c r="Q732" s="93"/>
      <c r="R732" s="93"/>
      <c r="S732" s="93"/>
      <c r="T732" s="93"/>
    </row>
    <row r="733" spans="1:20" ht="14.25" customHeight="1" x14ac:dyDescent="0.35">
      <c r="A733" s="1">
        <v>2023</v>
      </c>
      <c r="B733" s="1" t="s">
        <v>34</v>
      </c>
      <c r="C733" s="1">
        <v>31</v>
      </c>
      <c r="D733" s="98">
        <v>148.59399999999999</v>
      </c>
      <c r="E733" s="86">
        <v>139.238</v>
      </c>
      <c r="F733" s="93">
        <v>75.774000000000001</v>
      </c>
      <c r="G733" s="93">
        <v>2231.9140000000002</v>
      </c>
      <c r="H733" s="93">
        <v>6.9</v>
      </c>
      <c r="I733" s="93">
        <v>3.1E-2</v>
      </c>
      <c r="J733" s="94">
        <v>7.3659999999999997</v>
      </c>
      <c r="K733" s="93">
        <v>46.427999999999997</v>
      </c>
      <c r="L733" s="93">
        <v>5.1959999999999997</v>
      </c>
      <c r="M733" s="93">
        <v>1.6E-2</v>
      </c>
      <c r="N733" s="94">
        <v>125.25</v>
      </c>
      <c r="O733" s="95">
        <v>5.3999999999999999E-2</v>
      </c>
      <c r="P733" s="96">
        <v>4.7009999999999996</v>
      </c>
      <c r="Q733" s="93"/>
      <c r="R733" s="93"/>
      <c r="S733" s="93"/>
      <c r="T733" s="93"/>
    </row>
    <row r="734" spans="1:20" ht="14.25" customHeight="1" x14ac:dyDescent="0.35">
      <c r="A734" s="1">
        <v>2022</v>
      </c>
      <c r="B734" s="1" t="s">
        <v>22</v>
      </c>
      <c r="C734" s="1">
        <v>1</v>
      </c>
      <c r="D734" s="49">
        <v>101.15600000000001</v>
      </c>
      <c r="E734" s="50">
        <v>86.188000000000002</v>
      </c>
      <c r="F734" s="51">
        <v>74.358999999999995</v>
      </c>
      <c r="G734" s="52">
        <v>1558.066</v>
      </c>
      <c r="H734" s="53">
        <v>6.9</v>
      </c>
      <c r="I734" s="54">
        <v>2.3E-2</v>
      </c>
      <c r="J734" s="59">
        <v>8.0630000000000006</v>
      </c>
      <c r="K734" s="52">
        <v>30.64</v>
      </c>
      <c r="L734" s="55">
        <v>5.2370000000000001</v>
      </c>
      <c r="M734" s="56">
        <v>1.4E-2</v>
      </c>
      <c r="N734" s="57">
        <v>114.598</v>
      </c>
      <c r="O734" s="58">
        <v>4.7E-2</v>
      </c>
      <c r="P734" s="96"/>
      <c r="Q734" s="93"/>
      <c r="R734" s="93"/>
      <c r="S734" s="93"/>
      <c r="T734" s="93"/>
    </row>
    <row r="735" spans="1:20" ht="14.25" customHeight="1" x14ac:dyDescent="0.35">
      <c r="A735" s="1">
        <v>2022</v>
      </c>
      <c r="B735" s="1" t="s">
        <v>22</v>
      </c>
      <c r="C735" s="1">
        <v>2</v>
      </c>
      <c r="D735" s="49">
        <v>95.375</v>
      </c>
      <c r="E735" s="50">
        <v>81.313000000000002</v>
      </c>
      <c r="F735" s="60">
        <v>74.082999999999998</v>
      </c>
      <c r="G735" s="61">
        <v>1545.2190000000001</v>
      </c>
      <c r="H735" s="62">
        <v>6.9</v>
      </c>
      <c r="I735" s="63">
        <v>2.4E-2</v>
      </c>
      <c r="J735" s="68">
        <v>8.0969999999999995</v>
      </c>
      <c r="K735" s="65">
        <v>32.577100000000002</v>
      </c>
      <c r="L735" s="50">
        <v>5.2614000000000001</v>
      </c>
      <c r="M735" s="66">
        <v>1.4E-2</v>
      </c>
      <c r="N735" s="57">
        <v>108.2728</v>
      </c>
      <c r="O735" s="67">
        <v>4.4400000000000002E-2</v>
      </c>
      <c r="P735" s="96"/>
      <c r="Q735" s="93"/>
      <c r="R735" s="93"/>
      <c r="S735" s="93"/>
      <c r="T735" s="93"/>
    </row>
    <row r="736" spans="1:20" ht="14.25" customHeight="1" x14ac:dyDescent="0.35">
      <c r="A736" s="1">
        <v>2022</v>
      </c>
      <c r="B736" s="1" t="s">
        <v>22</v>
      </c>
      <c r="C736" s="1">
        <v>3</v>
      </c>
      <c r="D736" s="49">
        <v>93.703000000000003</v>
      </c>
      <c r="E736" s="50">
        <v>80</v>
      </c>
      <c r="F736" s="60">
        <v>74.078000000000003</v>
      </c>
      <c r="G736" s="61">
        <v>1535.7860000000001</v>
      </c>
      <c r="H736" s="62">
        <v>6.9</v>
      </c>
      <c r="I736" s="63">
        <v>2.5999999999999999E-2</v>
      </c>
      <c r="J736" s="68">
        <v>8.5709999999999997</v>
      </c>
      <c r="K736" s="65">
        <v>31.813400000000001</v>
      </c>
      <c r="L736" s="50">
        <v>5.2601000000000004</v>
      </c>
      <c r="M736" s="66">
        <v>1.4E-2</v>
      </c>
      <c r="N736" s="57">
        <v>108.3817</v>
      </c>
      <c r="O736" s="67">
        <v>4.6399999999999997E-2</v>
      </c>
      <c r="P736" s="96"/>
      <c r="Q736" s="93"/>
      <c r="R736" s="93"/>
      <c r="S736" s="93"/>
      <c r="T736" s="93"/>
    </row>
    <row r="737" spans="1:20" ht="14.25" customHeight="1" x14ac:dyDescent="0.35">
      <c r="A737" s="1">
        <v>2022</v>
      </c>
      <c r="B737" s="1" t="s">
        <v>22</v>
      </c>
      <c r="C737" s="1">
        <v>4</v>
      </c>
      <c r="D737" s="49">
        <v>93.796999999999997</v>
      </c>
      <c r="E737" s="50">
        <v>79.968999999999994</v>
      </c>
      <c r="F737" s="60">
        <v>74.191999999999993</v>
      </c>
      <c r="G737" s="61">
        <v>1628.1679999999999</v>
      </c>
      <c r="H737" s="62">
        <v>6.9</v>
      </c>
      <c r="I737" s="63">
        <v>2.5000000000000001E-2</v>
      </c>
      <c r="J737" s="68">
        <v>8.7629999999999999</v>
      </c>
      <c r="K737" s="65">
        <v>32.116</v>
      </c>
      <c r="L737" s="50">
        <v>5.2539999999999996</v>
      </c>
      <c r="M737" s="66">
        <v>1.4E-2</v>
      </c>
      <c r="N737" s="57">
        <v>109.764</v>
      </c>
      <c r="O737" s="67">
        <v>4.8500000000000001E-2</v>
      </c>
      <c r="P737" s="96"/>
      <c r="Q737" s="93"/>
      <c r="R737" s="93"/>
      <c r="S737" s="93"/>
      <c r="T737" s="93"/>
    </row>
    <row r="738" spans="1:20" ht="14.25" customHeight="1" x14ac:dyDescent="0.35">
      <c r="A738" s="1">
        <v>2022</v>
      </c>
      <c r="B738" s="1" t="s">
        <v>22</v>
      </c>
      <c r="C738" s="1">
        <v>5</v>
      </c>
      <c r="D738" s="49">
        <v>101.188</v>
      </c>
      <c r="E738" s="50">
        <v>86.188000000000002</v>
      </c>
      <c r="F738" s="60">
        <v>74.632000000000005</v>
      </c>
      <c r="G738" s="61">
        <v>1696.463</v>
      </c>
      <c r="H738" s="62">
        <v>6.9</v>
      </c>
      <c r="I738" s="63">
        <v>2.5999999999999999E-2</v>
      </c>
      <c r="J738" s="68">
        <v>8.7789999999999999</v>
      </c>
      <c r="K738" s="65">
        <v>34.182000000000002</v>
      </c>
      <c r="L738" s="50">
        <v>5.2519999999999998</v>
      </c>
      <c r="M738" s="66">
        <v>1.4E-2</v>
      </c>
      <c r="N738" s="57">
        <v>110.961</v>
      </c>
      <c r="O738" s="67">
        <v>5.0999999999999997E-2</v>
      </c>
      <c r="P738" s="96"/>
      <c r="Q738" s="93"/>
      <c r="R738" s="93"/>
      <c r="S738" s="93"/>
      <c r="T738" s="93"/>
    </row>
    <row r="739" spans="1:20" ht="14.25" customHeight="1" x14ac:dyDescent="0.35">
      <c r="A739" s="1">
        <v>2022</v>
      </c>
      <c r="B739" s="1" t="s">
        <v>22</v>
      </c>
      <c r="C739" s="1">
        <v>6</v>
      </c>
      <c r="D739" s="49">
        <v>106.23399999999999</v>
      </c>
      <c r="E739" s="50">
        <v>90.563000000000002</v>
      </c>
      <c r="F739" s="60">
        <v>74.855999999999995</v>
      </c>
      <c r="G739" s="61">
        <v>1720.2550000000001</v>
      </c>
      <c r="H739" s="62">
        <v>6.9</v>
      </c>
      <c r="I739" s="63">
        <v>2.7E-2</v>
      </c>
      <c r="J739" s="68">
        <v>8.8339999999999996</v>
      </c>
      <c r="K739" s="65">
        <v>36.646999999999998</v>
      </c>
      <c r="L739" s="50">
        <v>5.2590000000000003</v>
      </c>
      <c r="M739" s="66">
        <v>1.4E-2</v>
      </c>
      <c r="N739" s="57">
        <v>108.27500000000001</v>
      </c>
      <c r="O739" s="67">
        <v>5.0999999999999997E-2</v>
      </c>
      <c r="P739" s="96"/>
      <c r="Q739" s="93"/>
      <c r="R739" s="93"/>
      <c r="S739" s="93"/>
      <c r="T739" s="93"/>
    </row>
    <row r="740" spans="1:20" ht="14.25" customHeight="1" x14ac:dyDescent="0.35">
      <c r="A740" s="1">
        <v>2022</v>
      </c>
      <c r="B740" s="1" t="s">
        <v>22</v>
      </c>
      <c r="C740" s="1">
        <v>7</v>
      </c>
      <c r="D740" s="49">
        <v>107.85899999999999</v>
      </c>
      <c r="E740" s="50">
        <v>91.875</v>
      </c>
      <c r="F740" s="60">
        <v>74.468999999999994</v>
      </c>
      <c r="G740" s="61">
        <v>1718.1479999999999</v>
      </c>
      <c r="H740" s="62">
        <v>6.9</v>
      </c>
      <c r="I740" s="63">
        <v>0.03</v>
      </c>
      <c r="J740" s="68">
        <v>8.4640000000000004</v>
      </c>
      <c r="K740" s="65">
        <v>36.186999999999998</v>
      </c>
      <c r="L740" s="50">
        <v>5.3029999999999999</v>
      </c>
      <c r="M740" s="66">
        <v>1.4999999999999999E-2</v>
      </c>
      <c r="N740" s="57">
        <v>100.047</v>
      </c>
      <c r="O740" s="67">
        <v>4.9000000000000002E-2</v>
      </c>
      <c r="P740" s="96"/>
      <c r="Q740" s="93"/>
      <c r="R740" s="93"/>
      <c r="S740" s="93"/>
      <c r="T740" s="93"/>
    </row>
    <row r="741" spans="1:20" ht="14.25" customHeight="1" x14ac:dyDescent="0.35">
      <c r="A741" s="1">
        <v>2022</v>
      </c>
      <c r="B741" s="1" t="s">
        <v>22</v>
      </c>
      <c r="C741" s="1">
        <v>8</v>
      </c>
      <c r="D741" s="49">
        <v>108.73399999999999</v>
      </c>
      <c r="E741" s="50">
        <v>92.188000000000002</v>
      </c>
      <c r="F741" s="60">
        <v>74.796999999999997</v>
      </c>
      <c r="G741" s="69">
        <v>1704.172</v>
      </c>
      <c r="H741" s="62">
        <v>6.9</v>
      </c>
      <c r="I741" s="63">
        <v>3.1E-2</v>
      </c>
      <c r="J741" s="71">
        <v>8.3699999999999992</v>
      </c>
      <c r="K741" s="65">
        <v>34.618000000000002</v>
      </c>
      <c r="L741" s="50">
        <v>5.3449999999999998</v>
      </c>
      <c r="M741" s="66">
        <v>1.7999999999999999E-2</v>
      </c>
      <c r="N741" s="57">
        <v>88.747</v>
      </c>
      <c r="O741" s="67">
        <v>4.9000000000000002E-2</v>
      </c>
      <c r="P741" s="96"/>
      <c r="Q741" s="93"/>
      <c r="R741" s="93"/>
      <c r="S741" s="93"/>
      <c r="T741" s="93"/>
    </row>
    <row r="742" spans="1:20" ht="14.25" customHeight="1" x14ac:dyDescent="0.35">
      <c r="A742" s="1">
        <v>2022</v>
      </c>
      <c r="B742" s="1" t="s">
        <v>22</v>
      </c>
      <c r="C742" s="1">
        <v>9</v>
      </c>
      <c r="D742" s="49">
        <v>105.78100000000001</v>
      </c>
      <c r="E742" s="50">
        <v>89.813000000000002</v>
      </c>
      <c r="F742" s="60">
        <v>74.894999999999996</v>
      </c>
      <c r="G742" s="61">
        <v>1609.9369999999999</v>
      </c>
      <c r="H742" s="62">
        <v>6.9</v>
      </c>
      <c r="I742" s="63">
        <v>3.3000000000000002E-2</v>
      </c>
      <c r="J742" s="68">
        <v>8.3130000000000006</v>
      </c>
      <c r="K742" s="65">
        <v>32.545999999999999</v>
      </c>
      <c r="L742" s="50">
        <v>5.3390000000000004</v>
      </c>
      <c r="M742" s="66">
        <v>1.7999999999999999E-2</v>
      </c>
      <c r="N742" s="57">
        <v>90.393000000000001</v>
      </c>
      <c r="O742" s="67">
        <v>4.4999999999999998E-2</v>
      </c>
      <c r="P742" s="96"/>
      <c r="Q742" s="93"/>
      <c r="R742" s="93"/>
      <c r="S742" s="93"/>
      <c r="T742" s="93"/>
    </row>
    <row r="743" spans="1:20" ht="14.25" customHeight="1" x14ac:dyDescent="0.35">
      <c r="A743" s="1">
        <v>2022</v>
      </c>
      <c r="B743" s="1" t="s">
        <v>22</v>
      </c>
      <c r="C743" s="1">
        <v>10</v>
      </c>
      <c r="D743" s="49">
        <v>106.10899999999999</v>
      </c>
      <c r="E743" s="50">
        <v>90</v>
      </c>
      <c r="F743" s="72">
        <v>75.004999999999995</v>
      </c>
      <c r="G743" s="61">
        <v>1554.847</v>
      </c>
      <c r="H743" s="62">
        <v>6.9</v>
      </c>
      <c r="I743" s="63">
        <v>0.03</v>
      </c>
      <c r="J743" s="76">
        <v>8.5719999999999992</v>
      </c>
      <c r="K743" s="65">
        <v>30.805</v>
      </c>
      <c r="L743" s="50">
        <v>5.3540000000000001</v>
      </c>
      <c r="M743" s="74">
        <v>1.7999999999999999E-2</v>
      </c>
      <c r="N743" s="57">
        <v>87.058999999999997</v>
      </c>
      <c r="O743" s="75">
        <v>5.5E-2</v>
      </c>
      <c r="P743" s="96"/>
      <c r="Q743" s="93"/>
      <c r="R743" s="93"/>
      <c r="S743" s="93"/>
      <c r="T743" s="93"/>
    </row>
    <row r="744" spans="1:20" ht="14.25" customHeight="1" x14ac:dyDescent="0.35">
      <c r="A744" s="1">
        <v>2022</v>
      </c>
      <c r="B744" s="1" t="s">
        <v>22</v>
      </c>
      <c r="C744" s="1">
        <v>11</v>
      </c>
      <c r="D744" s="49">
        <v>106.26600000000001</v>
      </c>
      <c r="E744" s="50">
        <v>89.968999999999994</v>
      </c>
      <c r="F744" s="72">
        <v>75.218999999999994</v>
      </c>
      <c r="G744" s="61">
        <v>1652.318</v>
      </c>
      <c r="H744" s="62">
        <v>6.9</v>
      </c>
      <c r="I744" s="63">
        <v>2.9000000000000001E-2</v>
      </c>
      <c r="J744" s="76">
        <v>8.4879999999999995</v>
      </c>
      <c r="K744" s="65">
        <v>34.15</v>
      </c>
      <c r="L744" s="50">
        <v>5.35</v>
      </c>
      <c r="M744" s="74">
        <v>0.02</v>
      </c>
      <c r="N744" s="57">
        <v>87.816999999999993</v>
      </c>
      <c r="O744" s="75">
        <v>6.2E-2</v>
      </c>
      <c r="P744" s="96"/>
      <c r="Q744" s="93"/>
      <c r="R744" s="93"/>
      <c r="S744" s="93"/>
      <c r="T744" s="93"/>
    </row>
    <row r="745" spans="1:20" ht="14.25" customHeight="1" x14ac:dyDescent="0.35">
      <c r="A745" s="1">
        <v>2022</v>
      </c>
      <c r="B745" s="1" t="s">
        <v>22</v>
      </c>
      <c r="C745" s="1">
        <v>12</v>
      </c>
      <c r="D745" s="49">
        <v>106.26600000000001</v>
      </c>
      <c r="E745" s="50">
        <v>89.656000000000006</v>
      </c>
      <c r="F745" s="72">
        <v>75.225999999999999</v>
      </c>
      <c r="G745" s="61">
        <v>1687.6990000000001</v>
      </c>
      <c r="H745" s="62">
        <v>6.9</v>
      </c>
      <c r="I745" s="63">
        <v>2.8000000000000001E-2</v>
      </c>
      <c r="J745" s="76">
        <v>8.6609999999999996</v>
      </c>
      <c r="K745" s="65">
        <v>34.764000000000003</v>
      </c>
      <c r="L745" s="50">
        <v>5.3540000000000001</v>
      </c>
      <c r="M745" s="74">
        <v>1.7999999999999999E-2</v>
      </c>
      <c r="N745" s="57">
        <v>87.218999999999994</v>
      </c>
      <c r="O745" s="75">
        <v>5.5E-2</v>
      </c>
      <c r="P745" s="96"/>
      <c r="Q745" s="93"/>
      <c r="R745" s="93"/>
      <c r="S745" s="93"/>
      <c r="T745" s="93"/>
    </row>
    <row r="746" spans="1:20" ht="14.25" customHeight="1" x14ac:dyDescent="0.35">
      <c r="A746" s="1">
        <v>2022</v>
      </c>
      <c r="B746" s="1" t="s">
        <v>22</v>
      </c>
      <c r="C746" s="1">
        <v>13</v>
      </c>
      <c r="D746" s="99">
        <v>109.7</v>
      </c>
      <c r="E746" s="50">
        <v>92.843999999999994</v>
      </c>
      <c r="F746" s="78">
        <v>75.459999999999994</v>
      </c>
      <c r="G746" s="61">
        <v>1710.299</v>
      </c>
      <c r="H746" s="62">
        <v>6.9</v>
      </c>
      <c r="I746" s="63">
        <v>2.7E-2</v>
      </c>
      <c r="J746" s="81">
        <v>8.9280000000000008</v>
      </c>
      <c r="K746" s="65">
        <v>35.618000000000002</v>
      </c>
      <c r="L746" s="50">
        <v>5.3360000000000003</v>
      </c>
      <c r="M746" s="66">
        <v>1.7999999999999999E-2</v>
      </c>
      <c r="N746" s="57">
        <v>91.001999999999995</v>
      </c>
      <c r="O746" s="80">
        <v>6.4000000000000001E-2</v>
      </c>
      <c r="P746" s="96"/>
      <c r="Q746" s="93"/>
      <c r="R746" s="93"/>
      <c r="S746" s="93"/>
      <c r="T746" s="93"/>
    </row>
    <row r="747" spans="1:20" ht="14.25" customHeight="1" x14ac:dyDescent="0.35">
      <c r="A747" s="1">
        <v>2022</v>
      </c>
      <c r="B747" s="1" t="s">
        <v>22</v>
      </c>
      <c r="C747" s="1">
        <v>14</v>
      </c>
      <c r="D747" s="49">
        <v>112.01600000000001</v>
      </c>
      <c r="E747" s="50">
        <v>95</v>
      </c>
      <c r="F747" s="60">
        <v>75.569999999999993</v>
      </c>
      <c r="G747" s="61">
        <v>1703.731</v>
      </c>
      <c r="H747" s="62">
        <v>6.9</v>
      </c>
      <c r="I747" s="63">
        <v>2.4E-2</v>
      </c>
      <c r="J747" s="81">
        <v>8.5259999999999998</v>
      </c>
      <c r="K747" s="82">
        <v>36.823</v>
      </c>
      <c r="L747" s="50">
        <v>5.2549999999999999</v>
      </c>
      <c r="M747" s="66">
        <v>1.6E-2</v>
      </c>
      <c r="N747" s="57">
        <v>110.169</v>
      </c>
      <c r="O747" s="80">
        <v>5.2999999999999999E-2</v>
      </c>
      <c r="P747" s="96"/>
      <c r="Q747" s="93"/>
      <c r="R747" s="93"/>
      <c r="S747" s="93"/>
      <c r="T747" s="93"/>
    </row>
    <row r="748" spans="1:20" ht="14.25" customHeight="1" x14ac:dyDescent="0.35">
      <c r="A748" s="1">
        <v>2022</v>
      </c>
      <c r="B748" s="1" t="s">
        <v>22</v>
      </c>
      <c r="C748" s="1">
        <v>15</v>
      </c>
      <c r="D748" s="49">
        <v>108.828</v>
      </c>
      <c r="E748" s="50">
        <v>92.375</v>
      </c>
      <c r="F748" s="60">
        <v>75.313999999999993</v>
      </c>
      <c r="G748" s="61">
        <v>1676.4010000000001</v>
      </c>
      <c r="H748" s="62">
        <v>6.9</v>
      </c>
      <c r="I748" s="63">
        <v>2.5000000000000001E-2</v>
      </c>
      <c r="J748" s="76">
        <v>8.6210000000000004</v>
      </c>
      <c r="K748" s="65">
        <v>35.594000000000001</v>
      </c>
      <c r="L748" s="50">
        <v>5.2329999999999997</v>
      </c>
      <c r="M748" s="66">
        <v>1.4E-2</v>
      </c>
      <c r="N748" s="57">
        <v>115.03400000000001</v>
      </c>
      <c r="O748" s="75">
        <v>4.8000000000000001E-2</v>
      </c>
      <c r="P748" s="96"/>
      <c r="Q748" s="93"/>
      <c r="R748" s="93"/>
      <c r="S748" s="93"/>
      <c r="T748" s="93"/>
    </row>
    <row r="749" spans="1:20" ht="14.25" customHeight="1" x14ac:dyDescent="0.35">
      <c r="A749" s="1">
        <v>2022</v>
      </c>
      <c r="B749" s="1" t="s">
        <v>22</v>
      </c>
      <c r="C749" s="1">
        <v>16</v>
      </c>
      <c r="D749" s="49">
        <v>105.953</v>
      </c>
      <c r="E749" s="50">
        <v>89.968999999999994</v>
      </c>
      <c r="F749" s="60">
        <v>75.763000000000005</v>
      </c>
      <c r="G749" s="61">
        <v>1613.7670000000001</v>
      </c>
      <c r="H749" s="62">
        <v>6.9</v>
      </c>
      <c r="I749" s="63">
        <v>2.4E-2</v>
      </c>
      <c r="J749" s="81">
        <v>8.67</v>
      </c>
      <c r="K749" s="61">
        <v>33.603999999999999</v>
      </c>
      <c r="L749" s="62">
        <v>5.2080000000000002</v>
      </c>
      <c r="M749" s="66">
        <v>1.4E-2</v>
      </c>
      <c r="N749" s="57">
        <v>122.137</v>
      </c>
      <c r="O749" s="80">
        <v>4.4999999999999998E-2</v>
      </c>
      <c r="P749" s="96"/>
      <c r="Q749" s="93"/>
      <c r="R749" s="93"/>
      <c r="S749" s="93"/>
      <c r="T749" s="93"/>
    </row>
    <row r="750" spans="1:20" ht="14.25" customHeight="1" x14ac:dyDescent="0.35">
      <c r="A750" s="1">
        <v>2022</v>
      </c>
      <c r="B750" s="1" t="s">
        <v>22</v>
      </c>
      <c r="C750" s="1">
        <v>17</v>
      </c>
      <c r="D750" s="49">
        <v>105.96899999999999</v>
      </c>
      <c r="E750" s="50">
        <v>89.968999999999994</v>
      </c>
      <c r="F750" s="60">
        <v>75.453999999999994</v>
      </c>
      <c r="G750" s="61">
        <v>1566.383</v>
      </c>
      <c r="H750" s="62">
        <v>6.9</v>
      </c>
      <c r="I750" s="63">
        <v>2.5000000000000001E-2</v>
      </c>
      <c r="J750" s="68">
        <v>8.8000000000000007</v>
      </c>
      <c r="K750" s="65">
        <v>33.125</v>
      </c>
      <c r="L750" s="50">
        <v>5.2350000000000003</v>
      </c>
      <c r="M750" s="66">
        <v>1.4E-2</v>
      </c>
      <c r="N750" s="57">
        <v>114.54600000000001</v>
      </c>
      <c r="O750" s="67">
        <v>4.7E-2</v>
      </c>
      <c r="P750" s="96"/>
      <c r="Q750" s="93"/>
      <c r="R750" s="93"/>
      <c r="S750" s="93"/>
      <c r="T750" s="93"/>
    </row>
    <row r="751" spans="1:20" ht="14.25" customHeight="1" x14ac:dyDescent="0.35">
      <c r="A751" s="1">
        <v>2022</v>
      </c>
      <c r="B751" s="1" t="s">
        <v>22</v>
      </c>
      <c r="C751" s="1">
        <v>18</v>
      </c>
      <c r="D751" s="49">
        <v>106.063</v>
      </c>
      <c r="E751" s="50">
        <v>90</v>
      </c>
      <c r="F751" s="60">
        <v>75.759</v>
      </c>
      <c r="G751" s="61">
        <v>1625.4359999999999</v>
      </c>
      <c r="H751" s="62">
        <v>6.9</v>
      </c>
      <c r="I751" s="63">
        <v>2.4E-2</v>
      </c>
      <c r="J751" s="68">
        <v>9.0329999999999995</v>
      </c>
      <c r="K751" s="61">
        <v>33.697000000000003</v>
      </c>
      <c r="L751" s="62">
        <v>5.2220000000000004</v>
      </c>
      <c r="M751" s="66">
        <v>1.4E-2</v>
      </c>
      <c r="N751" s="57">
        <v>118.101</v>
      </c>
      <c r="O751" s="67">
        <v>5.3999999999999999E-2</v>
      </c>
      <c r="P751" s="96"/>
      <c r="Q751" s="93"/>
      <c r="R751" s="93"/>
      <c r="S751" s="93"/>
      <c r="T751" s="93"/>
    </row>
    <row r="752" spans="1:20" ht="14.25" customHeight="1" x14ac:dyDescent="0.35">
      <c r="A752" s="1">
        <v>2022</v>
      </c>
      <c r="B752" s="1" t="s">
        <v>22</v>
      </c>
      <c r="C752" s="1">
        <v>19</v>
      </c>
      <c r="D752" s="49">
        <v>108.84399999999999</v>
      </c>
      <c r="E752" s="50">
        <v>92.093999999999994</v>
      </c>
      <c r="F752" s="60">
        <v>75.680999999999997</v>
      </c>
      <c r="G752" s="61">
        <v>1682.855</v>
      </c>
      <c r="H752" s="62">
        <v>6.9</v>
      </c>
      <c r="I752" s="63">
        <v>2.4E-2</v>
      </c>
      <c r="J752" s="68">
        <v>8.7129999999999992</v>
      </c>
      <c r="K752" s="65">
        <v>36.279000000000003</v>
      </c>
      <c r="L752" s="50">
        <v>5.218</v>
      </c>
      <c r="M752" s="66">
        <v>1.4E-2</v>
      </c>
      <c r="N752" s="57">
        <v>119.069</v>
      </c>
      <c r="O752" s="67">
        <v>5.2999999999999999E-2</v>
      </c>
      <c r="P752" s="96"/>
      <c r="Q752" s="93"/>
      <c r="R752" s="93"/>
      <c r="S752" s="93"/>
      <c r="T752" s="93"/>
    </row>
    <row r="753" spans="1:20" ht="14.25" customHeight="1" x14ac:dyDescent="0.35">
      <c r="A753" s="1">
        <v>2022</v>
      </c>
      <c r="B753" s="1" t="s">
        <v>22</v>
      </c>
      <c r="C753" s="1">
        <v>20</v>
      </c>
      <c r="D753" s="49">
        <v>110.90600000000001</v>
      </c>
      <c r="E753" s="50">
        <v>94.031000000000006</v>
      </c>
      <c r="F753" s="60">
        <v>75.688999999999993</v>
      </c>
      <c r="G753" s="61">
        <v>1733.979</v>
      </c>
      <c r="H753" s="62">
        <v>6.9</v>
      </c>
      <c r="I753" s="63">
        <v>2.4E-2</v>
      </c>
      <c r="J753" s="68">
        <v>8.4939999999999998</v>
      </c>
      <c r="K753" s="61">
        <v>36.527999999999999</v>
      </c>
      <c r="L753" s="62">
        <v>5.1929999999999996</v>
      </c>
      <c r="M753" s="66">
        <v>1.4E-2</v>
      </c>
      <c r="N753" s="57">
        <v>126.036</v>
      </c>
      <c r="O753" s="67">
        <v>5.0999999999999997E-2</v>
      </c>
      <c r="P753" s="96"/>
      <c r="Q753" s="93"/>
      <c r="R753" s="93"/>
      <c r="S753" s="93"/>
      <c r="T753" s="93"/>
    </row>
    <row r="754" spans="1:20" ht="14.25" customHeight="1" x14ac:dyDescent="0.35">
      <c r="A754" s="1">
        <v>2022</v>
      </c>
      <c r="B754" s="1" t="s">
        <v>22</v>
      </c>
      <c r="C754" s="1">
        <v>21</v>
      </c>
      <c r="D754" s="49">
        <v>111.938</v>
      </c>
      <c r="E754" s="50">
        <v>94.938000000000002</v>
      </c>
      <c r="F754" s="60">
        <v>75.415000000000006</v>
      </c>
      <c r="G754" s="61">
        <v>1697.56</v>
      </c>
      <c r="H754" s="62">
        <v>6.9</v>
      </c>
      <c r="I754" s="63">
        <v>2.3E-2</v>
      </c>
      <c r="J754" s="68">
        <v>8.4149999999999991</v>
      </c>
      <c r="K754" s="65">
        <v>35.963000000000001</v>
      </c>
      <c r="L754" s="50">
        <v>5.1230000000000002</v>
      </c>
      <c r="M754" s="66">
        <v>1.7999999999999999E-2</v>
      </c>
      <c r="N754" s="57">
        <v>149.108</v>
      </c>
      <c r="O754" s="67">
        <v>5.0999999999999997E-2</v>
      </c>
      <c r="P754" s="96"/>
      <c r="Q754" s="93"/>
      <c r="R754" s="93"/>
      <c r="S754" s="93"/>
      <c r="T754" s="93"/>
    </row>
    <row r="755" spans="1:20" ht="14.25" customHeight="1" x14ac:dyDescent="0.35">
      <c r="A755" s="1">
        <v>2022</v>
      </c>
      <c r="B755" s="1" t="s">
        <v>22</v>
      </c>
      <c r="C755" s="1">
        <v>22</v>
      </c>
      <c r="D755" s="49">
        <v>110.51600000000001</v>
      </c>
      <c r="E755" s="49">
        <v>93.813000000000002</v>
      </c>
      <c r="F755" s="60">
        <v>74.936000000000007</v>
      </c>
      <c r="G755" s="65">
        <v>1670.558</v>
      </c>
      <c r="H755" s="49">
        <v>6.9</v>
      </c>
      <c r="I755" s="100">
        <v>2.4E-2</v>
      </c>
      <c r="J755" s="101">
        <v>8.4420000000000002</v>
      </c>
      <c r="K755" s="102">
        <v>33.786999999999999</v>
      </c>
      <c r="L755" s="49">
        <v>5.0549999999999997</v>
      </c>
      <c r="M755" s="100">
        <v>0.02</v>
      </c>
      <c r="N755" s="65">
        <v>173.45400000000001</v>
      </c>
      <c r="O755" s="103">
        <v>4.8000000000000001E-2</v>
      </c>
      <c r="P755" s="96"/>
      <c r="Q755" s="93"/>
      <c r="R755" s="93"/>
      <c r="S755" s="93"/>
      <c r="T755" s="93"/>
    </row>
    <row r="756" spans="1:20" ht="14.25" customHeight="1" x14ac:dyDescent="0.35">
      <c r="A756" s="1">
        <v>2022</v>
      </c>
      <c r="B756" s="1" t="s">
        <v>22</v>
      </c>
      <c r="C756" s="1">
        <v>23</v>
      </c>
      <c r="D756" s="49">
        <v>107.65600000000001</v>
      </c>
      <c r="E756" s="50">
        <v>91.406000000000006</v>
      </c>
      <c r="F756" s="51">
        <v>74.796999999999997</v>
      </c>
      <c r="G756" s="52">
        <v>1664.7470000000001</v>
      </c>
      <c r="H756" s="53">
        <v>6.9</v>
      </c>
      <c r="I756" s="54">
        <v>2.5000000000000001E-2</v>
      </c>
      <c r="J756" s="59">
        <v>9.14</v>
      </c>
      <c r="K756" s="52">
        <v>35.229999999999997</v>
      </c>
      <c r="L756" s="55">
        <v>5.0979999999999999</v>
      </c>
      <c r="M756" s="56">
        <v>0.02</v>
      </c>
      <c r="N756" s="57">
        <v>157.55699999999999</v>
      </c>
      <c r="O756" s="58">
        <v>5.7000000000000002E-2</v>
      </c>
      <c r="P756" s="96"/>
      <c r="Q756" s="93"/>
      <c r="R756" s="93"/>
      <c r="S756" s="93"/>
      <c r="T756" s="93"/>
    </row>
    <row r="757" spans="1:20" ht="14.25" customHeight="1" x14ac:dyDescent="0.35">
      <c r="A757" s="1">
        <v>2022</v>
      </c>
      <c r="B757" s="1" t="s">
        <v>22</v>
      </c>
      <c r="C757" s="1">
        <v>24</v>
      </c>
      <c r="D757" s="49">
        <v>111.203</v>
      </c>
      <c r="E757" s="50">
        <v>94.218999999999994</v>
      </c>
      <c r="F757" s="60">
        <v>74.664000000000001</v>
      </c>
      <c r="G757" s="61">
        <v>1743.5039999999999</v>
      </c>
      <c r="H757" s="62">
        <v>6.9</v>
      </c>
      <c r="I757" s="63">
        <v>2.5000000000000001E-2</v>
      </c>
      <c r="J757" s="68">
        <v>8.7720000000000002</v>
      </c>
      <c r="K757" s="65">
        <v>36.014000000000003</v>
      </c>
      <c r="L757" s="50">
        <v>5.048</v>
      </c>
      <c r="M757" s="66">
        <v>0.02</v>
      </c>
      <c r="N757" s="57">
        <v>176.37899999999999</v>
      </c>
      <c r="O757" s="67">
        <v>5.7000000000000002E-2</v>
      </c>
      <c r="P757" s="96"/>
      <c r="Q757" s="93"/>
      <c r="R757" s="93"/>
      <c r="S757" s="93"/>
      <c r="T757" s="93"/>
    </row>
    <row r="758" spans="1:20" ht="14.25" customHeight="1" x14ac:dyDescent="0.35">
      <c r="A758" s="1">
        <v>2022</v>
      </c>
      <c r="B758" s="1" t="s">
        <v>22</v>
      </c>
      <c r="C758" s="1">
        <v>25</v>
      </c>
      <c r="D758" s="49">
        <v>106.125</v>
      </c>
      <c r="E758" s="50">
        <v>89.938000000000002</v>
      </c>
      <c r="F758" s="60">
        <v>74.474000000000004</v>
      </c>
      <c r="G758" s="61">
        <v>1725.471</v>
      </c>
      <c r="H758" s="62">
        <v>6.9</v>
      </c>
      <c r="I758" s="63">
        <v>2.5000000000000001E-2</v>
      </c>
      <c r="J758" s="68">
        <v>8.4540000000000006</v>
      </c>
      <c r="K758" s="65">
        <v>34.526000000000003</v>
      </c>
      <c r="L758" s="50">
        <v>5.0460000000000003</v>
      </c>
      <c r="M758" s="66">
        <v>1.9E-2</v>
      </c>
      <c r="N758" s="57">
        <v>177.279</v>
      </c>
      <c r="O758" s="67">
        <v>5.2999999999999999E-2</v>
      </c>
      <c r="P758" s="96"/>
      <c r="Q758" s="93"/>
      <c r="R758" s="93"/>
      <c r="S758" s="93"/>
      <c r="T758" s="93"/>
    </row>
    <row r="759" spans="1:20" ht="14.25" customHeight="1" x14ac:dyDescent="0.35">
      <c r="A759" s="1">
        <v>2022</v>
      </c>
      <c r="B759" s="1" t="s">
        <v>22</v>
      </c>
      <c r="C759" s="1">
        <v>26</v>
      </c>
      <c r="D759" s="49">
        <v>107.28100000000001</v>
      </c>
      <c r="E759" s="50">
        <v>91</v>
      </c>
      <c r="F759" s="60">
        <v>74.617999999999995</v>
      </c>
      <c r="G759" s="61">
        <v>1723.991</v>
      </c>
      <c r="H759" s="62">
        <v>6.9</v>
      </c>
      <c r="I759" s="63">
        <v>2.5000000000000001E-2</v>
      </c>
      <c r="J759" s="68">
        <v>8.4990000000000006</v>
      </c>
      <c r="K759" s="65">
        <v>33.667000000000002</v>
      </c>
      <c r="L759" s="50">
        <v>5.1280000000000001</v>
      </c>
      <c r="M759" s="66">
        <v>0.02</v>
      </c>
      <c r="N759" s="57">
        <v>148.62899999999999</v>
      </c>
      <c r="O759" s="67">
        <v>5.5E-2</v>
      </c>
      <c r="P759" s="96"/>
      <c r="Q759" s="93"/>
      <c r="R759" s="93"/>
      <c r="S759" s="93"/>
      <c r="T759" s="93"/>
    </row>
    <row r="760" spans="1:20" ht="14.25" customHeight="1" x14ac:dyDescent="0.35">
      <c r="A760" s="1">
        <v>2022</v>
      </c>
      <c r="B760" s="1" t="s">
        <v>22</v>
      </c>
      <c r="C760" s="1">
        <v>27</v>
      </c>
      <c r="D760" s="49">
        <v>110.203</v>
      </c>
      <c r="E760" s="50">
        <v>93.5</v>
      </c>
      <c r="F760" s="60">
        <v>74.680000000000007</v>
      </c>
      <c r="G760" s="61">
        <v>1730.1489999999999</v>
      </c>
      <c r="H760" s="62">
        <v>6.9</v>
      </c>
      <c r="I760" s="63">
        <v>2.5000000000000001E-2</v>
      </c>
      <c r="J760" s="68">
        <v>8.6489999999999991</v>
      </c>
      <c r="K760" s="65">
        <v>33.972000000000001</v>
      </c>
      <c r="L760" s="50">
        <v>5.165</v>
      </c>
      <c r="M760" s="66">
        <v>0.02</v>
      </c>
      <c r="N760" s="57">
        <v>135.00700000000001</v>
      </c>
      <c r="O760" s="67">
        <v>5.3999999999999999E-2</v>
      </c>
      <c r="P760" s="96"/>
      <c r="Q760" s="93"/>
      <c r="R760" s="93"/>
      <c r="S760" s="93"/>
      <c r="T760" s="93"/>
    </row>
    <row r="761" spans="1:20" ht="14.25" customHeight="1" x14ac:dyDescent="0.35">
      <c r="A761" s="1">
        <v>2022</v>
      </c>
      <c r="B761" s="1" t="s">
        <v>22</v>
      </c>
      <c r="C761" s="1">
        <v>28</v>
      </c>
      <c r="D761" s="49">
        <v>102.063</v>
      </c>
      <c r="E761" s="50">
        <v>86.593999999999994</v>
      </c>
      <c r="F761" s="60">
        <v>74.906000000000006</v>
      </c>
      <c r="G761" s="61">
        <v>1644.28</v>
      </c>
      <c r="H761" s="62">
        <v>6.9</v>
      </c>
      <c r="I761" s="63">
        <v>2.4E-2</v>
      </c>
      <c r="J761" s="68">
        <v>8.5</v>
      </c>
      <c r="K761" s="65">
        <v>32.28</v>
      </c>
      <c r="L761" s="50">
        <v>5.1749999999999998</v>
      </c>
      <c r="M761" s="66">
        <v>1.9E-2</v>
      </c>
      <c r="N761" s="57">
        <v>131.82</v>
      </c>
      <c r="O761" s="67">
        <v>4.9000000000000002E-2</v>
      </c>
      <c r="P761" s="96"/>
      <c r="Q761" s="93"/>
      <c r="R761" s="93"/>
      <c r="S761" s="93"/>
      <c r="T761" s="93"/>
    </row>
    <row r="762" spans="1:20" ht="14.25" customHeight="1" x14ac:dyDescent="0.35">
      <c r="A762" s="1">
        <v>2022</v>
      </c>
      <c r="B762" s="1" t="s">
        <v>22</v>
      </c>
      <c r="C762" s="1">
        <v>29</v>
      </c>
      <c r="D762" s="49">
        <v>105.51600000000001</v>
      </c>
      <c r="E762" s="50">
        <v>89.406000000000006</v>
      </c>
      <c r="F762" s="60">
        <v>75.150000000000006</v>
      </c>
      <c r="G762" s="61">
        <v>1565.837</v>
      </c>
      <c r="H762" s="62">
        <v>6.9</v>
      </c>
      <c r="I762" s="63">
        <v>2.5000000000000001E-2</v>
      </c>
      <c r="J762" s="68">
        <v>8.8710000000000004</v>
      </c>
      <c r="K762" s="65">
        <v>30.853999999999999</v>
      </c>
      <c r="L762" s="50">
        <v>5.1820000000000004</v>
      </c>
      <c r="M762" s="66">
        <v>1.9E-2</v>
      </c>
      <c r="N762" s="57">
        <v>129.608</v>
      </c>
      <c r="O762" s="67">
        <v>0.05</v>
      </c>
      <c r="P762" s="96"/>
      <c r="Q762" s="93"/>
      <c r="R762" s="93"/>
      <c r="S762" s="93"/>
      <c r="T762" s="93"/>
    </row>
    <row r="763" spans="1:20" ht="14.25" customHeight="1" x14ac:dyDescent="0.35">
      <c r="A763" s="1">
        <v>2022</v>
      </c>
      <c r="B763" s="1" t="s">
        <v>22</v>
      </c>
      <c r="C763" s="1">
        <v>30</v>
      </c>
      <c r="D763" s="49">
        <v>105.89100000000001</v>
      </c>
      <c r="E763" s="50">
        <v>89.781000000000006</v>
      </c>
      <c r="F763" s="60">
        <v>75.387</v>
      </c>
      <c r="G763" s="69">
        <v>1690.623</v>
      </c>
      <c r="H763" s="62">
        <v>6.9</v>
      </c>
      <c r="I763" s="63">
        <v>2.5999999999999999E-2</v>
      </c>
      <c r="J763" s="71">
        <v>9.0190000000000001</v>
      </c>
      <c r="K763" s="65">
        <v>35.090000000000003</v>
      </c>
      <c r="L763" s="50">
        <v>5.1829999999999998</v>
      </c>
      <c r="M763" s="66">
        <v>1.9E-2</v>
      </c>
      <c r="N763" s="57">
        <v>128.86600000000001</v>
      </c>
      <c r="O763" s="67">
        <v>5.7000000000000002E-2</v>
      </c>
      <c r="P763" s="96"/>
      <c r="Q763" s="93"/>
      <c r="R763" s="93"/>
      <c r="S763" s="93"/>
      <c r="T763" s="93"/>
    </row>
    <row r="764" spans="1:20" ht="14.25" customHeight="1" x14ac:dyDescent="0.35">
      <c r="A764" s="1">
        <v>2022</v>
      </c>
      <c r="B764" s="1" t="s">
        <v>22</v>
      </c>
      <c r="C764" s="1">
        <v>31</v>
      </c>
      <c r="D764" s="104">
        <v>100.73399999999999</v>
      </c>
      <c r="E764" s="105">
        <v>85.406000000000006</v>
      </c>
      <c r="F764" s="60">
        <v>75.959999999999994</v>
      </c>
      <c r="G764" s="61">
        <v>1755.595</v>
      </c>
      <c r="H764" s="62">
        <v>6.9</v>
      </c>
      <c r="I764" s="63">
        <v>2.5999999999999999E-2</v>
      </c>
      <c r="J764" s="68">
        <v>8.7050000000000001</v>
      </c>
      <c r="K764" s="65">
        <v>36.143000000000001</v>
      </c>
      <c r="L764" s="50">
        <v>5.1680000000000001</v>
      </c>
      <c r="M764" s="66">
        <v>1.9E-2</v>
      </c>
      <c r="N764" s="57">
        <v>134.13300000000001</v>
      </c>
      <c r="O764" s="67">
        <v>5.6000000000000001E-2</v>
      </c>
      <c r="P764" s="96"/>
      <c r="Q764" s="93"/>
      <c r="R764" s="93"/>
      <c r="S764" s="93"/>
      <c r="T764" s="93"/>
    </row>
    <row r="765" spans="1:20" ht="14.25" customHeight="1" x14ac:dyDescent="0.35">
      <c r="A765" s="1">
        <v>2022</v>
      </c>
      <c r="B765" s="1" t="s">
        <v>23</v>
      </c>
      <c r="C765" s="1">
        <v>1</v>
      </c>
      <c r="D765" s="12">
        <v>106.125</v>
      </c>
      <c r="E765" s="13">
        <v>89.843999999999994</v>
      </c>
      <c r="F765" s="51">
        <v>74.796999999999997</v>
      </c>
      <c r="G765" s="52">
        <v>1664.7470000000001</v>
      </c>
      <c r="H765" s="53">
        <v>6.9</v>
      </c>
      <c r="I765" s="54">
        <v>2.5000000000000001E-2</v>
      </c>
      <c r="J765" s="59">
        <v>9.14</v>
      </c>
      <c r="K765" s="52">
        <v>35.229999999999997</v>
      </c>
      <c r="L765" s="55">
        <v>5.0979999999999999</v>
      </c>
      <c r="M765" s="56">
        <v>0.02</v>
      </c>
      <c r="N765" s="57">
        <v>157.55699999999999</v>
      </c>
      <c r="O765" s="58">
        <v>5.7000000000000002E-2</v>
      </c>
      <c r="P765" s="96"/>
      <c r="Q765" s="93"/>
      <c r="R765" s="93"/>
      <c r="S765" s="93"/>
      <c r="T765" s="93"/>
    </row>
    <row r="766" spans="1:20" ht="14.25" customHeight="1" x14ac:dyDescent="0.35">
      <c r="A766" s="1">
        <v>2022</v>
      </c>
      <c r="B766" s="1" t="s">
        <v>24</v>
      </c>
      <c r="C766" s="1">
        <v>2</v>
      </c>
      <c r="D766" s="49">
        <v>107.5</v>
      </c>
      <c r="E766" s="50">
        <v>91.188000000000002</v>
      </c>
      <c r="F766" s="60">
        <v>74.664000000000001</v>
      </c>
      <c r="G766" s="61">
        <v>1743.5039999999999</v>
      </c>
      <c r="H766" s="62">
        <v>6.9</v>
      </c>
      <c r="I766" s="63">
        <v>2.5000000000000001E-2</v>
      </c>
      <c r="J766" s="68">
        <v>8.7720000000000002</v>
      </c>
      <c r="K766" s="65">
        <v>36.014000000000003</v>
      </c>
      <c r="L766" s="50">
        <v>5.048</v>
      </c>
      <c r="M766" s="66">
        <v>0.02</v>
      </c>
      <c r="N766" s="57">
        <v>176.37899999999999</v>
      </c>
      <c r="O766" s="67">
        <v>5.7000000000000002E-2</v>
      </c>
      <c r="P766" s="96"/>
      <c r="Q766" s="93"/>
      <c r="R766" s="93"/>
      <c r="S766" s="93"/>
      <c r="T766" s="93"/>
    </row>
    <row r="767" spans="1:20" ht="14.25" customHeight="1" x14ac:dyDescent="0.35">
      <c r="A767" s="1">
        <v>2022</v>
      </c>
      <c r="B767" s="1" t="s">
        <v>23</v>
      </c>
      <c r="C767" s="1">
        <v>3</v>
      </c>
      <c r="D767" s="49">
        <v>107.51600000000001</v>
      </c>
      <c r="E767" s="50">
        <v>91.281000000000006</v>
      </c>
      <c r="F767" s="60">
        <v>74.474000000000004</v>
      </c>
      <c r="G767" s="61">
        <v>1725.471</v>
      </c>
      <c r="H767" s="62">
        <v>6.9</v>
      </c>
      <c r="I767" s="63">
        <v>2.5000000000000001E-2</v>
      </c>
      <c r="J767" s="68">
        <v>8.4540000000000006</v>
      </c>
      <c r="K767" s="65">
        <v>34.526000000000003</v>
      </c>
      <c r="L767" s="50">
        <v>5.0460000000000003</v>
      </c>
      <c r="M767" s="66">
        <v>1.9E-2</v>
      </c>
      <c r="N767" s="57">
        <v>177.279</v>
      </c>
      <c r="O767" s="67">
        <v>5.2999999999999999E-2</v>
      </c>
      <c r="P767" s="96"/>
      <c r="Q767" s="93"/>
      <c r="R767" s="93"/>
      <c r="S767" s="93"/>
      <c r="T767" s="93"/>
    </row>
    <row r="768" spans="1:20" ht="14.25" customHeight="1" x14ac:dyDescent="0.35">
      <c r="A768" s="1">
        <v>2022</v>
      </c>
      <c r="B768" s="1" t="s">
        <v>23</v>
      </c>
      <c r="C768" s="1">
        <v>4</v>
      </c>
      <c r="D768" s="49">
        <v>111.90600000000001</v>
      </c>
      <c r="E768" s="50">
        <v>95</v>
      </c>
      <c r="F768" s="60">
        <v>74.617999999999995</v>
      </c>
      <c r="G768" s="61">
        <v>1723.991</v>
      </c>
      <c r="H768" s="62">
        <v>6.9</v>
      </c>
      <c r="I768" s="63">
        <v>2.5000000000000001E-2</v>
      </c>
      <c r="J768" s="68">
        <v>8.4990000000000006</v>
      </c>
      <c r="K768" s="65">
        <v>33.667000000000002</v>
      </c>
      <c r="L768" s="50">
        <v>5.1280000000000001</v>
      </c>
      <c r="M768" s="66">
        <v>0.02</v>
      </c>
      <c r="N768" s="57">
        <v>148.62899999999999</v>
      </c>
      <c r="O768" s="67">
        <v>5.5E-2</v>
      </c>
      <c r="P768" s="96"/>
      <c r="Q768" s="93"/>
      <c r="R768" s="93"/>
      <c r="S768" s="93"/>
      <c r="T768" s="93"/>
    </row>
    <row r="769" spans="1:20" ht="14.25" customHeight="1" x14ac:dyDescent="0.35">
      <c r="A769" s="1">
        <v>2022</v>
      </c>
      <c r="B769" s="1" t="s">
        <v>23</v>
      </c>
      <c r="C769" s="1">
        <v>5</v>
      </c>
      <c r="D769" s="49">
        <v>107.563</v>
      </c>
      <c r="E769" s="50">
        <v>91.375</v>
      </c>
      <c r="F769" s="60">
        <v>74.680000000000007</v>
      </c>
      <c r="G769" s="61">
        <v>1730.1489999999999</v>
      </c>
      <c r="H769" s="62">
        <v>6.9</v>
      </c>
      <c r="I769" s="63">
        <v>2.5000000000000001E-2</v>
      </c>
      <c r="J769" s="68">
        <v>8.6489999999999991</v>
      </c>
      <c r="K769" s="65">
        <v>33.972000000000001</v>
      </c>
      <c r="L769" s="50">
        <v>5.165</v>
      </c>
      <c r="M769" s="66">
        <v>0.02</v>
      </c>
      <c r="N769" s="57">
        <v>135.00700000000001</v>
      </c>
      <c r="O769" s="67">
        <v>5.3999999999999999E-2</v>
      </c>
      <c r="P769" s="96"/>
      <c r="Q769" s="93"/>
      <c r="R769" s="93"/>
      <c r="S769" s="93"/>
      <c r="T769" s="93"/>
    </row>
    <row r="770" spans="1:20" ht="14.25" customHeight="1" x14ac:dyDescent="0.35">
      <c r="A770" s="1">
        <v>2022</v>
      </c>
      <c r="B770" s="1" t="s">
        <v>23</v>
      </c>
      <c r="C770" s="1">
        <v>6</v>
      </c>
      <c r="D770" s="49">
        <v>105.01600000000001</v>
      </c>
      <c r="E770" s="50">
        <v>89.125</v>
      </c>
      <c r="F770" s="60">
        <v>74.906000000000006</v>
      </c>
      <c r="G770" s="61">
        <v>1644.28</v>
      </c>
      <c r="H770" s="62">
        <v>6.9</v>
      </c>
      <c r="I770" s="63">
        <v>2.4E-2</v>
      </c>
      <c r="J770" s="68">
        <v>8.5</v>
      </c>
      <c r="K770" s="65">
        <v>32.28</v>
      </c>
      <c r="L770" s="50">
        <v>5.1749999999999998</v>
      </c>
      <c r="M770" s="66">
        <v>1.9E-2</v>
      </c>
      <c r="N770" s="57">
        <v>131.82</v>
      </c>
      <c r="O770" s="67">
        <v>4.9000000000000002E-2</v>
      </c>
      <c r="P770" s="96"/>
      <c r="Q770" s="93"/>
      <c r="R770" s="93"/>
      <c r="S770" s="93"/>
      <c r="T770" s="93"/>
    </row>
    <row r="771" spans="1:20" ht="14.25" customHeight="1" x14ac:dyDescent="0.35">
      <c r="A771" s="1">
        <v>2022</v>
      </c>
      <c r="B771" s="1" t="s">
        <v>23</v>
      </c>
      <c r="C771" s="1">
        <v>7</v>
      </c>
      <c r="D771" s="49">
        <v>107.48399999999999</v>
      </c>
      <c r="E771" s="50">
        <v>91.156000000000006</v>
      </c>
      <c r="F771" s="60">
        <v>75.150000000000006</v>
      </c>
      <c r="G771" s="61">
        <v>1565.837</v>
      </c>
      <c r="H771" s="62">
        <v>6.9</v>
      </c>
      <c r="I771" s="63">
        <v>2.5000000000000001E-2</v>
      </c>
      <c r="J771" s="68">
        <v>8.8710000000000004</v>
      </c>
      <c r="K771" s="65">
        <v>30.853999999999999</v>
      </c>
      <c r="L771" s="50">
        <v>5.1820000000000004</v>
      </c>
      <c r="M771" s="66">
        <v>1.9E-2</v>
      </c>
      <c r="N771" s="57">
        <v>129.608</v>
      </c>
      <c r="O771" s="67">
        <v>0.05</v>
      </c>
      <c r="P771" s="96"/>
      <c r="Q771" s="93"/>
      <c r="R771" s="93"/>
      <c r="S771" s="93"/>
      <c r="T771" s="93"/>
    </row>
    <row r="772" spans="1:20" ht="14.25" customHeight="1" x14ac:dyDescent="0.35">
      <c r="A772" s="1">
        <v>2022</v>
      </c>
      <c r="B772" s="1" t="s">
        <v>23</v>
      </c>
      <c r="C772" s="1">
        <v>8</v>
      </c>
      <c r="D772" s="49">
        <v>108.90600000000001</v>
      </c>
      <c r="E772" s="50">
        <v>92.281000000000006</v>
      </c>
      <c r="F772" s="60">
        <v>75.387</v>
      </c>
      <c r="G772" s="69">
        <v>1690.623</v>
      </c>
      <c r="H772" s="62">
        <v>6.9</v>
      </c>
      <c r="I772" s="63">
        <v>2.5999999999999999E-2</v>
      </c>
      <c r="J772" s="71">
        <v>9.0190000000000001</v>
      </c>
      <c r="K772" s="65">
        <v>35.090000000000003</v>
      </c>
      <c r="L772" s="50">
        <v>5.1829999999999998</v>
      </c>
      <c r="M772" s="66">
        <v>1.9E-2</v>
      </c>
      <c r="N772" s="57">
        <v>128.86600000000001</v>
      </c>
      <c r="O772" s="67">
        <v>5.7000000000000002E-2</v>
      </c>
      <c r="P772" s="96"/>
      <c r="Q772" s="93"/>
      <c r="R772" s="93"/>
      <c r="S772" s="93"/>
      <c r="T772" s="93"/>
    </row>
    <row r="773" spans="1:20" ht="14.25" customHeight="1" x14ac:dyDescent="0.35">
      <c r="A773" s="1">
        <v>2022</v>
      </c>
      <c r="B773" s="1" t="s">
        <v>23</v>
      </c>
      <c r="C773" s="1">
        <v>9</v>
      </c>
      <c r="D773" s="49">
        <v>103.375</v>
      </c>
      <c r="E773" s="50">
        <v>87.593999999999994</v>
      </c>
      <c r="F773" s="60">
        <v>75.959999999999994</v>
      </c>
      <c r="G773" s="61">
        <v>1755.595</v>
      </c>
      <c r="H773" s="62">
        <v>6.9</v>
      </c>
      <c r="I773" s="63">
        <v>2.5999999999999999E-2</v>
      </c>
      <c r="J773" s="68">
        <v>8.7050000000000001</v>
      </c>
      <c r="K773" s="65">
        <v>36.143000000000001</v>
      </c>
      <c r="L773" s="50">
        <v>5.1680000000000001</v>
      </c>
      <c r="M773" s="66">
        <v>1.9E-2</v>
      </c>
      <c r="N773" s="57">
        <v>134.13300000000001</v>
      </c>
      <c r="O773" s="67">
        <v>5.6000000000000001E-2</v>
      </c>
      <c r="P773" s="96"/>
      <c r="Q773" s="93"/>
      <c r="R773" s="93"/>
      <c r="S773" s="93"/>
      <c r="T773" s="93"/>
    </row>
    <row r="774" spans="1:20" ht="14.25" customHeight="1" x14ac:dyDescent="0.35">
      <c r="A774" s="1">
        <v>2022</v>
      </c>
      <c r="B774" s="1" t="s">
        <v>23</v>
      </c>
      <c r="C774" s="1">
        <v>10</v>
      </c>
      <c r="D774" s="49">
        <v>107.89100000000001</v>
      </c>
      <c r="E774" s="50">
        <v>91.406000000000006</v>
      </c>
      <c r="F774" s="72">
        <v>76.275999999999996</v>
      </c>
      <c r="G774" s="61">
        <v>1779.39</v>
      </c>
      <c r="H774" s="62">
        <v>6.9</v>
      </c>
      <c r="I774" s="63">
        <v>2.5999999999999999E-2</v>
      </c>
      <c r="J774" s="76">
        <v>8.7629999999999999</v>
      </c>
      <c r="K774" s="65">
        <v>36.723999999999997</v>
      </c>
      <c r="L774" s="50">
        <v>5.0220000000000002</v>
      </c>
      <c r="M774" s="74">
        <v>0.02</v>
      </c>
      <c r="N774" s="57">
        <v>203.78700000000001</v>
      </c>
      <c r="O774" s="75">
        <v>5.8000000000000003E-2</v>
      </c>
      <c r="P774" s="96"/>
      <c r="Q774" s="93"/>
      <c r="R774" s="93"/>
      <c r="S774" s="93"/>
      <c r="T774" s="93"/>
    </row>
    <row r="775" spans="1:20" ht="14.25" customHeight="1" x14ac:dyDescent="0.35">
      <c r="A775" s="1">
        <v>2022</v>
      </c>
      <c r="B775" s="1" t="s">
        <v>23</v>
      </c>
      <c r="C775" s="1">
        <v>11</v>
      </c>
      <c r="D775" s="49">
        <v>108.688</v>
      </c>
      <c r="E775" s="50">
        <v>92.218999999999994</v>
      </c>
      <c r="F775" s="72">
        <v>76.430999999999997</v>
      </c>
      <c r="G775" s="61">
        <v>1796.671</v>
      </c>
      <c r="H775" s="62">
        <v>6.9</v>
      </c>
      <c r="I775" s="63">
        <v>2.5999999999999999E-2</v>
      </c>
      <c r="J775" s="76">
        <v>8.6120000000000001</v>
      </c>
      <c r="K775" s="65">
        <v>36.999000000000002</v>
      </c>
      <c r="L775" s="50">
        <v>4.7729999999999997</v>
      </c>
      <c r="M775" s="74">
        <v>0.02</v>
      </c>
      <c r="N775" s="57">
        <v>332.31200000000001</v>
      </c>
      <c r="O775" s="75">
        <v>5.7000000000000002E-2</v>
      </c>
      <c r="P775" s="96"/>
      <c r="Q775" s="93"/>
      <c r="R775" s="93"/>
      <c r="S775" s="93"/>
      <c r="T775" s="93"/>
    </row>
    <row r="776" spans="1:20" ht="14.25" customHeight="1" x14ac:dyDescent="0.35">
      <c r="A776" s="1">
        <v>2022</v>
      </c>
      <c r="B776" s="1" t="s">
        <v>23</v>
      </c>
      <c r="C776" s="1">
        <v>12</v>
      </c>
      <c r="D776" s="49">
        <v>107.53100000000001</v>
      </c>
      <c r="E776" s="50">
        <v>91.25</v>
      </c>
      <c r="F776" s="72">
        <v>76.613</v>
      </c>
      <c r="G776" s="61">
        <v>1744.261</v>
      </c>
      <c r="H776" s="62">
        <v>6.9</v>
      </c>
      <c r="I776" s="63">
        <v>2.5999999999999999E-2</v>
      </c>
      <c r="J776" s="76">
        <v>8.7010000000000005</v>
      </c>
      <c r="K776" s="65">
        <v>36.609000000000002</v>
      </c>
      <c r="L776" s="50">
        <v>4.7729999999999997</v>
      </c>
      <c r="M776" s="74">
        <v>0.02</v>
      </c>
      <c r="N776" s="57">
        <v>331.346</v>
      </c>
      <c r="O776" s="75">
        <v>5.5E-2</v>
      </c>
      <c r="P776" s="96"/>
      <c r="Q776" s="93"/>
      <c r="R776" s="93"/>
      <c r="S776" s="93"/>
      <c r="T776" s="93"/>
    </row>
    <row r="777" spans="1:20" ht="14.25" customHeight="1" x14ac:dyDescent="0.35">
      <c r="A777" s="1">
        <v>2022</v>
      </c>
      <c r="B777" s="1" t="s">
        <v>23</v>
      </c>
      <c r="C777" s="1">
        <v>13</v>
      </c>
      <c r="D777" s="49">
        <v>110.78100000000001</v>
      </c>
      <c r="E777" s="50">
        <v>94</v>
      </c>
      <c r="F777" s="78">
        <v>76.597999999999999</v>
      </c>
      <c r="G777" s="61">
        <v>1676.557</v>
      </c>
      <c r="H777" s="62">
        <v>6.9</v>
      </c>
      <c r="I777" s="63">
        <v>2.5999999999999999E-2</v>
      </c>
      <c r="J777" s="81">
        <v>8.7360000000000007</v>
      </c>
      <c r="K777" s="65">
        <v>34.478999999999999</v>
      </c>
      <c r="L777" s="50">
        <v>4.7720000000000002</v>
      </c>
      <c r="M777" s="66">
        <v>0.02</v>
      </c>
      <c r="N777" s="57">
        <v>332.33800000000002</v>
      </c>
      <c r="O777" s="80">
        <v>0.05</v>
      </c>
      <c r="P777" s="96"/>
      <c r="Q777" s="93"/>
      <c r="R777" s="93"/>
      <c r="S777" s="93"/>
      <c r="T777" s="93"/>
    </row>
    <row r="778" spans="1:20" ht="14.25" customHeight="1" x14ac:dyDescent="0.35">
      <c r="A778" s="1">
        <v>2022</v>
      </c>
      <c r="B778" s="1" t="s">
        <v>23</v>
      </c>
      <c r="C778" s="1">
        <v>14</v>
      </c>
      <c r="D778" s="49">
        <v>108.75</v>
      </c>
      <c r="E778" s="50">
        <v>92.125</v>
      </c>
      <c r="F778" s="60">
        <v>76.191000000000003</v>
      </c>
      <c r="G778" s="61">
        <v>1647.0039999999999</v>
      </c>
      <c r="H778" s="62">
        <v>6.9</v>
      </c>
      <c r="I778" s="63">
        <v>2.5999999999999999E-2</v>
      </c>
      <c r="J778" s="81">
        <v>8.9120000000000008</v>
      </c>
      <c r="K778" s="82">
        <v>33.868000000000002</v>
      </c>
      <c r="L778" s="50">
        <v>4.7880000000000003</v>
      </c>
      <c r="M778" s="66">
        <v>0.02</v>
      </c>
      <c r="N778" s="57">
        <v>321.83499999999998</v>
      </c>
      <c r="O778" s="80">
        <v>5.3999999999999999E-2</v>
      </c>
      <c r="P778" s="96"/>
      <c r="Q778" s="93"/>
      <c r="R778" s="93"/>
      <c r="S778" s="93"/>
      <c r="T778" s="93"/>
    </row>
    <row r="779" spans="1:20" ht="14.25" customHeight="1" x14ac:dyDescent="0.35">
      <c r="A779" s="1">
        <v>2022</v>
      </c>
      <c r="B779" s="1" t="s">
        <v>23</v>
      </c>
      <c r="C779" s="1">
        <v>15</v>
      </c>
      <c r="D779" s="49">
        <v>106.5</v>
      </c>
      <c r="E779" s="50">
        <v>90.343999999999994</v>
      </c>
      <c r="F779" s="60">
        <v>75.369</v>
      </c>
      <c r="G779" s="61">
        <v>1744.4659999999999</v>
      </c>
      <c r="H779" s="62">
        <v>6.9</v>
      </c>
      <c r="I779" s="63">
        <v>2.5999999999999999E-2</v>
      </c>
      <c r="J779" s="76">
        <v>9.1560000000000006</v>
      </c>
      <c r="K779" s="65">
        <v>34.777999999999999</v>
      </c>
      <c r="L779" s="50">
        <v>4.806</v>
      </c>
      <c r="M779" s="66">
        <v>0.02</v>
      </c>
      <c r="N779" s="57">
        <v>307.28699999999998</v>
      </c>
      <c r="O779" s="75">
        <v>5.8000000000000003E-2</v>
      </c>
      <c r="P779" s="96"/>
      <c r="Q779" s="93"/>
      <c r="R779" s="93"/>
      <c r="S779" s="93"/>
      <c r="T779" s="93"/>
    </row>
    <row r="780" spans="1:20" ht="14.25" customHeight="1" x14ac:dyDescent="0.35">
      <c r="A780" s="1">
        <v>2022</v>
      </c>
      <c r="B780" s="1" t="s">
        <v>23</v>
      </c>
      <c r="C780" s="1">
        <v>16</v>
      </c>
      <c r="D780" s="49">
        <v>107.047</v>
      </c>
      <c r="E780" s="50">
        <v>90.938000000000002</v>
      </c>
      <c r="F780" s="60">
        <v>75.3</v>
      </c>
      <c r="G780" s="61">
        <v>1775.28</v>
      </c>
      <c r="H780" s="62">
        <v>6.9</v>
      </c>
      <c r="I780" s="63">
        <v>2.5999999999999999E-2</v>
      </c>
      <c r="J780" s="81">
        <v>9.3689999999999998</v>
      </c>
      <c r="K780" s="61">
        <v>35.146999999999998</v>
      </c>
      <c r="L780" s="62">
        <v>4.7969999999999997</v>
      </c>
      <c r="M780" s="66">
        <v>0.02</v>
      </c>
      <c r="N780" s="57">
        <v>314.88099999999997</v>
      </c>
      <c r="O780" s="75">
        <v>5.5E-2</v>
      </c>
      <c r="P780" s="96"/>
      <c r="Q780" s="93"/>
      <c r="R780" s="93"/>
      <c r="S780" s="93"/>
      <c r="T780" s="93"/>
    </row>
    <row r="781" spans="1:20" ht="14.25" customHeight="1" x14ac:dyDescent="0.35">
      <c r="A781" s="1">
        <v>2022</v>
      </c>
      <c r="B781" s="1" t="s">
        <v>23</v>
      </c>
      <c r="C781" s="1">
        <v>17</v>
      </c>
      <c r="D781" s="49">
        <v>104.98399999999999</v>
      </c>
      <c r="E781" s="50">
        <v>89.156000000000006</v>
      </c>
      <c r="F781" s="60">
        <v>75.459999999999994</v>
      </c>
      <c r="G781" s="61">
        <v>1762.268</v>
      </c>
      <c r="H781" s="62">
        <v>6.9</v>
      </c>
      <c r="I781" s="63">
        <v>2.8000000000000001E-2</v>
      </c>
      <c r="J781" s="68">
        <v>9.2149999999999999</v>
      </c>
      <c r="K781" s="65">
        <v>34.14</v>
      </c>
      <c r="L781" s="50">
        <v>4.7759999999999998</v>
      </c>
      <c r="M781" s="66">
        <v>0.02</v>
      </c>
      <c r="N781" s="57">
        <v>329.40800000000002</v>
      </c>
      <c r="O781" s="67">
        <v>5.6000000000000001E-2</v>
      </c>
      <c r="P781" s="96"/>
      <c r="Q781" s="93"/>
      <c r="R781" s="93"/>
      <c r="S781" s="93"/>
      <c r="T781" s="93"/>
    </row>
    <row r="782" spans="1:20" ht="14.25" customHeight="1" x14ac:dyDescent="0.35">
      <c r="A782" s="1">
        <v>2022</v>
      </c>
      <c r="B782" s="1" t="s">
        <v>23</v>
      </c>
      <c r="C782" s="1">
        <v>18</v>
      </c>
      <c r="D782" s="49">
        <v>104.34399999999999</v>
      </c>
      <c r="E782" s="50">
        <v>88.593999999999994</v>
      </c>
      <c r="F782" s="60">
        <v>75.584999999999994</v>
      </c>
      <c r="G782" s="61">
        <v>1778.11</v>
      </c>
      <c r="H782" s="62">
        <v>6.9</v>
      </c>
      <c r="I782" s="63">
        <v>3.1E-2</v>
      </c>
      <c r="J782" s="68">
        <v>9.2189999999999994</v>
      </c>
      <c r="K782" s="61">
        <v>34.284999999999997</v>
      </c>
      <c r="L782" s="62">
        <v>4.9560000000000004</v>
      </c>
      <c r="M782" s="66">
        <v>0.02</v>
      </c>
      <c r="N782" s="57">
        <v>236.22300000000001</v>
      </c>
      <c r="O782" s="67">
        <v>5.8000000000000003E-2</v>
      </c>
      <c r="P782" s="96"/>
      <c r="Q782" s="93"/>
      <c r="R782" s="93"/>
      <c r="S782" s="93"/>
      <c r="T782" s="93"/>
    </row>
    <row r="783" spans="1:20" ht="14.25" customHeight="1" x14ac:dyDescent="0.35">
      <c r="A783" s="1">
        <v>2022</v>
      </c>
      <c r="B783" s="1" t="s">
        <v>23</v>
      </c>
      <c r="C783" s="1">
        <v>19</v>
      </c>
      <c r="D783" s="49">
        <v>110.438</v>
      </c>
      <c r="E783" s="50">
        <v>93.625</v>
      </c>
      <c r="F783" s="60">
        <v>75.754999999999995</v>
      </c>
      <c r="G783" s="61">
        <v>1742.117</v>
      </c>
      <c r="H783" s="62">
        <v>6.9</v>
      </c>
      <c r="I783" s="63">
        <v>3.1E-2</v>
      </c>
      <c r="J783" s="68">
        <v>9.3249999999999993</v>
      </c>
      <c r="K783" s="65">
        <v>34.033999999999999</v>
      </c>
      <c r="L783" s="50">
        <v>5.0860000000000003</v>
      </c>
      <c r="M783" s="66">
        <v>0.02</v>
      </c>
      <c r="N783" s="57">
        <v>161.26499999999999</v>
      </c>
      <c r="O783" s="67">
        <v>5.8000000000000003E-2</v>
      </c>
      <c r="P783" s="96"/>
      <c r="Q783" s="93"/>
      <c r="R783" s="93"/>
      <c r="S783" s="93"/>
      <c r="T783" s="93"/>
    </row>
    <row r="784" spans="1:20" ht="14.25" customHeight="1" x14ac:dyDescent="0.35">
      <c r="A784" s="1">
        <v>2022</v>
      </c>
      <c r="B784" s="1" t="s">
        <v>23</v>
      </c>
      <c r="C784" s="1">
        <v>20</v>
      </c>
      <c r="D784" s="49">
        <v>109.51600000000001</v>
      </c>
      <c r="E784" s="50">
        <v>92.781000000000006</v>
      </c>
      <c r="F784" s="60">
        <v>75.840999999999994</v>
      </c>
      <c r="G784" s="61">
        <v>1703.2560000000001</v>
      </c>
      <c r="H784" s="62">
        <v>6.9</v>
      </c>
      <c r="I784" s="63">
        <v>2.9000000000000001E-2</v>
      </c>
      <c r="J784" s="68">
        <v>9.1850000000000005</v>
      </c>
      <c r="K784" s="61">
        <v>33.911000000000001</v>
      </c>
      <c r="L784" s="62">
        <v>5.0919999999999996</v>
      </c>
      <c r="M784" s="66">
        <v>0.02</v>
      </c>
      <c r="N784" s="57">
        <v>159.25399999999999</v>
      </c>
      <c r="O784" s="67">
        <v>5.2999999999999999E-2</v>
      </c>
      <c r="P784" s="96"/>
      <c r="Q784" s="93"/>
      <c r="R784" s="93"/>
      <c r="S784" s="93"/>
      <c r="T784" s="93"/>
    </row>
    <row r="785" spans="1:20" ht="14.25" customHeight="1" x14ac:dyDescent="0.35">
      <c r="A785" s="1">
        <v>2022</v>
      </c>
      <c r="B785" s="1" t="s">
        <v>23</v>
      </c>
      <c r="C785" s="1">
        <v>21</v>
      </c>
      <c r="D785" s="49">
        <v>108.10899999999999</v>
      </c>
      <c r="E785" s="50">
        <v>91.531000000000006</v>
      </c>
      <c r="F785" s="60">
        <v>75.194000000000003</v>
      </c>
      <c r="G785" s="61">
        <v>1647.1289999999999</v>
      </c>
      <c r="H785" s="62">
        <v>6.9</v>
      </c>
      <c r="I785" s="63">
        <v>2.5999999999999999E-2</v>
      </c>
      <c r="J785" s="68">
        <v>9.0079999999999991</v>
      </c>
      <c r="K785" s="65">
        <v>33.01</v>
      </c>
      <c r="L785" s="50">
        <v>5.0999999999999996</v>
      </c>
      <c r="M785" s="66">
        <v>0.02</v>
      </c>
      <c r="N785" s="57">
        <v>156.18899999999999</v>
      </c>
      <c r="O785" s="67">
        <v>5.1999999999999998E-2</v>
      </c>
      <c r="P785" s="96"/>
      <c r="Q785" s="93"/>
      <c r="R785" s="93"/>
      <c r="S785" s="93"/>
      <c r="T785" s="93"/>
    </row>
    <row r="786" spans="1:20" ht="14.25" customHeight="1" x14ac:dyDescent="0.35">
      <c r="A786" s="1">
        <v>2022</v>
      </c>
      <c r="B786" s="1" t="s">
        <v>23</v>
      </c>
      <c r="C786" s="1">
        <v>22</v>
      </c>
      <c r="D786" s="49">
        <v>105.98399999999999</v>
      </c>
      <c r="E786" s="50">
        <v>89.906000000000006</v>
      </c>
      <c r="F786" s="60">
        <v>74.909000000000006</v>
      </c>
      <c r="G786" s="61">
        <v>1697.8520000000001</v>
      </c>
      <c r="H786" s="62">
        <v>6.9</v>
      </c>
      <c r="I786" s="63">
        <v>2.7E-2</v>
      </c>
      <c r="J786" s="68">
        <v>9.3529999999999998</v>
      </c>
      <c r="K786" s="61">
        <v>33.134</v>
      </c>
      <c r="L786" s="62">
        <v>5.0990000000000002</v>
      </c>
      <c r="M786" s="66">
        <v>0.02</v>
      </c>
      <c r="N786" s="57">
        <v>156.499</v>
      </c>
      <c r="O786" s="67">
        <v>5.7000000000000002E-2</v>
      </c>
      <c r="P786" s="96"/>
      <c r="Q786" s="93"/>
      <c r="R786" s="93"/>
      <c r="S786" s="93"/>
      <c r="T786" s="93"/>
    </row>
    <row r="787" spans="1:20" ht="14.25" customHeight="1" x14ac:dyDescent="0.35">
      <c r="A787" s="1">
        <v>2022</v>
      </c>
      <c r="B787" s="1" t="s">
        <v>23</v>
      </c>
      <c r="C787" s="1">
        <v>23</v>
      </c>
      <c r="D787" s="49">
        <v>102.21899999999999</v>
      </c>
      <c r="E787" s="50">
        <v>86.875</v>
      </c>
      <c r="F787" s="60">
        <v>74.435000000000002</v>
      </c>
      <c r="G787" s="61">
        <v>1726.91</v>
      </c>
      <c r="H787" s="62">
        <v>6.9</v>
      </c>
      <c r="I787" s="63">
        <v>2.5000000000000001E-2</v>
      </c>
      <c r="J787" s="68">
        <v>9.032</v>
      </c>
      <c r="K787" s="65">
        <v>33.576999999999998</v>
      </c>
      <c r="L787" s="50">
        <v>5.0923999999999996</v>
      </c>
      <c r="M787" s="66">
        <v>1.9800000000000002E-2</v>
      </c>
      <c r="N787" s="57">
        <v>159.4066</v>
      </c>
      <c r="O787" s="67">
        <v>5.2600000000000001E-2</v>
      </c>
      <c r="P787" s="96"/>
      <c r="Q787" s="93"/>
      <c r="R787" s="93"/>
      <c r="S787" s="93"/>
      <c r="T787" s="93"/>
    </row>
    <row r="788" spans="1:20" ht="14.25" customHeight="1" x14ac:dyDescent="0.35">
      <c r="A788" s="1">
        <v>2022</v>
      </c>
      <c r="B788" s="1" t="s">
        <v>23</v>
      </c>
      <c r="C788" s="1">
        <v>24</v>
      </c>
      <c r="D788" s="49">
        <v>103.203</v>
      </c>
      <c r="E788" s="50">
        <v>87.656000000000006</v>
      </c>
      <c r="F788" s="60">
        <v>74.515000000000001</v>
      </c>
      <c r="G788" s="61">
        <v>1726.7339999999999</v>
      </c>
      <c r="H788" s="62">
        <v>6.9</v>
      </c>
      <c r="I788" s="63">
        <v>2.5000000000000001E-2</v>
      </c>
      <c r="J788" s="68">
        <v>9.0860000000000003</v>
      </c>
      <c r="K788" s="61">
        <v>33.933</v>
      </c>
      <c r="L788" s="62">
        <v>5.0910000000000002</v>
      </c>
      <c r="M788" s="66">
        <v>0.02</v>
      </c>
      <c r="N788" s="57">
        <v>159.441</v>
      </c>
      <c r="O788" s="67">
        <v>6.3E-2</v>
      </c>
      <c r="P788" s="96"/>
      <c r="Q788" s="93"/>
      <c r="R788" s="93"/>
      <c r="S788" s="93"/>
      <c r="T788" s="93"/>
    </row>
    <row r="789" spans="1:20" ht="14.25" customHeight="1" x14ac:dyDescent="0.35">
      <c r="A789" s="1">
        <v>2022</v>
      </c>
      <c r="B789" s="1" t="s">
        <v>23</v>
      </c>
      <c r="C789" s="1">
        <v>25</v>
      </c>
      <c r="D789" s="49">
        <v>105.90600000000001</v>
      </c>
      <c r="E789" s="50">
        <v>89.875</v>
      </c>
      <c r="F789" s="60">
        <v>74.706000000000003</v>
      </c>
      <c r="G789" s="61">
        <v>1730.3050000000001</v>
      </c>
      <c r="H789" s="62">
        <v>6.9</v>
      </c>
      <c r="I789" s="63">
        <v>2.5000000000000001E-2</v>
      </c>
      <c r="J789" s="68">
        <v>9.0269999999999992</v>
      </c>
      <c r="K789" s="65">
        <v>33.713999999999999</v>
      </c>
      <c r="L789" s="50">
        <v>4.9039999999999999</v>
      </c>
      <c r="M789" s="66">
        <v>0.02</v>
      </c>
      <c r="N789" s="57">
        <v>261.69600000000003</v>
      </c>
      <c r="O789" s="67">
        <v>6.7000000000000004E-2</v>
      </c>
      <c r="P789" s="96"/>
      <c r="Q789" s="93"/>
      <c r="R789" s="93"/>
      <c r="S789" s="93"/>
      <c r="T789" s="93"/>
    </row>
    <row r="790" spans="1:20" ht="14.25" customHeight="1" x14ac:dyDescent="0.35">
      <c r="A790" s="1">
        <v>2022</v>
      </c>
      <c r="B790" s="1" t="s">
        <v>23</v>
      </c>
      <c r="C790" s="1">
        <v>26</v>
      </c>
      <c r="D790" s="49">
        <v>108.578</v>
      </c>
      <c r="E790" s="50">
        <v>92.156000000000006</v>
      </c>
      <c r="F790" s="60">
        <v>75.075999999999993</v>
      </c>
      <c r="G790" s="61">
        <v>1722.6210000000001</v>
      </c>
      <c r="H790" s="62">
        <v>6.9</v>
      </c>
      <c r="I790" s="63">
        <v>2.4E-2</v>
      </c>
      <c r="J790" s="68">
        <v>8.8919999999999995</v>
      </c>
      <c r="K790" s="61">
        <v>33.040999999999997</v>
      </c>
      <c r="L790" s="62">
        <v>4.9290000000000003</v>
      </c>
      <c r="M790" s="66">
        <v>0.02</v>
      </c>
      <c r="N790" s="57">
        <v>259.66000000000003</v>
      </c>
      <c r="O790" s="67">
        <v>6.2E-2</v>
      </c>
      <c r="P790" s="96"/>
      <c r="Q790" s="93"/>
      <c r="R790" s="93"/>
      <c r="S790" s="93"/>
      <c r="T790" s="93"/>
    </row>
    <row r="791" spans="1:20" ht="14.25" customHeight="1" x14ac:dyDescent="0.35">
      <c r="A791" s="1">
        <v>2022</v>
      </c>
      <c r="B791" s="1" t="s">
        <v>23</v>
      </c>
      <c r="C791" s="1">
        <v>27</v>
      </c>
      <c r="D791" s="49">
        <v>105.938</v>
      </c>
      <c r="E791" s="50">
        <v>90.031000000000006</v>
      </c>
      <c r="F791" s="60">
        <v>75.350999999999999</v>
      </c>
      <c r="G791" s="61">
        <v>1682.5350000000001</v>
      </c>
      <c r="H791" s="62">
        <v>6.9</v>
      </c>
      <c r="I791" s="63">
        <v>2.4E-2</v>
      </c>
      <c r="J791" s="68">
        <v>8.7520000000000007</v>
      </c>
      <c r="K791" s="65">
        <v>31.783000000000001</v>
      </c>
      <c r="L791" s="50">
        <v>5.1189999999999998</v>
      </c>
      <c r="M791" s="66">
        <v>0.02</v>
      </c>
      <c r="N791" s="57">
        <v>149.88499999999999</v>
      </c>
      <c r="O791" s="67">
        <v>0.05</v>
      </c>
      <c r="P791" s="96"/>
      <c r="Q791" s="93"/>
      <c r="R791" s="93"/>
      <c r="S791" s="93"/>
      <c r="T791" s="93"/>
    </row>
    <row r="792" spans="1:20" ht="14.25" customHeight="1" x14ac:dyDescent="0.35">
      <c r="A792" s="1">
        <v>2022</v>
      </c>
      <c r="B792" s="1" t="s">
        <v>23</v>
      </c>
      <c r="C792" s="1">
        <v>28</v>
      </c>
      <c r="D792" s="106">
        <v>106.01600000000001</v>
      </c>
      <c r="E792" s="107">
        <v>89.968999999999994</v>
      </c>
      <c r="F792" s="60">
        <v>75.671999999999997</v>
      </c>
      <c r="G792" s="61">
        <v>1623.1179999999999</v>
      </c>
      <c r="H792" s="62">
        <v>6.9</v>
      </c>
      <c r="I792" s="63">
        <v>2.4E-2</v>
      </c>
      <c r="J792" s="68">
        <v>9.0250000000000004</v>
      </c>
      <c r="K792" s="61">
        <v>31.802</v>
      </c>
      <c r="L792" s="62">
        <v>5.1289999999999996</v>
      </c>
      <c r="M792" s="66">
        <v>0.02</v>
      </c>
      <c r="N792" s="57">
        <v>146.27500000000001</v>
      </c>
      <c r="O792" s="67">
        <v>5.1999999999999998E-2</v>
      </c>
      <c r="P792" s="96"/>
      <c r="Q792" s="93"/>
      <c r="R792" s="93"/>
      <c r="S792" s="93"/>
      <c r="T792" s="93"/>
    </row>
    <row r="793" spans="1:20" ht="14.25" customHeight="1" x14ac:dyDescent="0.35">
      <c r="A793" s="1">
        <v>2022</v>
      </c>
      <c r="B793" s="1" t="s">
        <v>25</v>
      </c>
      <c r="C793" s="1">
        <v>1</v>
      </c>
      <c r="D793" s="49">
        <v>105.85899999999999</v>
      </c>
      <c r="E793" s="50">
        <v>89.843999999999994</v>
      </c>
      <c r="F793" s="51">
        <v>76.085999999999999</v>
      </c>
      <c r="G793" s="52">
        <v>1707</v>
      </c>
      <c r="H793" s="53">
        <v>6.9</v>
      </c>
      <c r="I793" s="54">
        <v>2.4E-2</v>
      </c>
      <c r="J793" s="59">
        <v>9.2899999999999991</v>
      </c>
      <c r="K793" s="52">
        <v>34.003999999999998</v>
      </c>
      <c r="L793" s="55">
        <v>5.1360000000000001</v>
      </c>
      <c r="M793" s="56">
        <v>0.02</v>
      </c>
      <c r="N793" s="57">
        <v>143.92599999999999</v>
      </c>
      <c r="O793" s="58">
        <v>5.8999999999999997E-2</v>
      </c>
      <c r="P793" s="96"/>
      <c r="Q793" s="93"/>
      <c r="R793" s="93"/>
      <c r="S793" s="93"/>
      <c r="T793" s="93"/>
    </row>
    <row r="794" spans="1:20" ht="14.25" customHeight="1" x14ac:dyDescent="0.35">
      <c r="A794" s="1">
        <v>2022</v>
      </c>
      <c r="B794" s="1" t="s">
        <v>25</v>
      </c>
      <c r="C794" s="1">
        <v>2</v>
      </c>
      <c r="D794" s="49">
        <v>105.578</v>
      </c>
      <c r="E794" s="50">
        <v>89.718999999999994</v>
      </c>
      <c r="F794" s="60">
        <v>76.468999999999994</v>
      </c>
      <c r="G794" s="61">
        <v>1764.702</v>
      </c>
      <c r="H794" s="62">
        <v>6.9</v>
      </c>
      <c r="I794" s="63">
        <v>2.4E-2</v>
      </c>
      <c r="J794" s="68">
        <v>9.3119999999999994</v>
      </c>
      <c r="K794" s="65">
        <v>34.688000000000002</v>
      </c>
      <c r="L794" s="50">
        <v>5.12</v>
      </c>
      <c r="M794" s="66">
        <v>0.02</v>
      </c>
      <c r="N794" s="57">
        <v>149.12100000000001</v>
      </c>
      <c r="O794" s="67">
        <v>6.0999999999999999E-2</v>
      </c>
      <c r="P794" s="96"/>
      <c r="Q794" s="93"/>
      <c r="R794" s="93"/>
      <c r="S794" s="93"/>
      <c r="T794" s="93"/>
    </row>
    <row r="795" spans="1:20" ht="14.25" customHeight="1" x14ac:dyDescent="0.35">
      <c r="A795" s="1">
        <v>2022</v>
      </c>
      <c r="B795" s="1" t="s">
        <v>25</v>
      </c>
      <c r="C795" s="1">
        <v>3</v>
      </c>
      <c r="D795" s="49">
        <v>108.563</v>
      </c>
      <c r="E795" s="50">
        <v>92.25</v>
      </c>
      <c r="F795" s="60">
        <v>76.076999999999998</v>
      </c>
      <c r="G795" s="61">
        <v>1747.7529999999999</v>
      </c>
      <c r="H795" s="62">
        <v>6.9</v>
      </c>
      <c r="I795" s="63">
        <v>2.4E-2</v>
      </c>
      <c r="J795" s="68">
        <v>9.4320000000000004</v>
      </c>
      <c r="K795" s="65">
        <v>34.515000000000001</v>
      </c>
      <c r="L795" s="50">
        <v>5.1509999999999998</v>
      </c>
      <c r="M795" s="66">
        <v>0.02</v>
      </c>
      <c r="N795" s="57">
        <v>139.285</v>
      </c>
      <c r="O795" s="67">
        <v>6.3E-2</v>
      </c>
      <c r="P795" s="96"/>
      <c r="Q795" s="93"/>
      <c r="R795" s="93"/>
      <c r="S795" s="93"/>
      <c r="T795" s="93"/>
    </row>
    <row r="796" spans="1:20" ht="14.25" customHeight="1" x14ac:dyDescent="0.35">
      <c r="A796" s="1">
        <v>2022</v>
      </c>
      <c r="B796" s="1" t="s">
        <v>25</v>
      </c>
      <c r="C796" s="1">
        <v>4</v>
      </c>
      <c r="D796" s="49">
        <v>109.047</v>
      </c>
      <c r="E796" s="50">
        <v>92.593999999999994</v>
      </c>
      <c r="F796" s="60">
        <v>75.786000000000001</v>
      </c>
      <c r="G796" s="61">
        <v>1730.3879999999999</v>
      </c>
      <c r="H796" s="62">
        <v>6.9</v>
      </c>
      <c r="I796" s="63">
        <v>2.3E-2</v>
      </c>
      <c r="J796" s="68">
        <v>9.1769999999999996</v>
      </c>
      <c r="K796" s="65">
        <v>34.78</v>
      </c>
      <c r="L796" s="50">
        <v>5.1459999999999999</v>
      </c>
      <c r="M796" s="66">
        <v>1.7999999999999999E-2</v>
      </c>
      <c r="N796" s="57">
        <v>141.05799999999999</v>
      </c>
      <c r="O796" s="67">
        <v>5.6000000000000001E-2</v>
      </c>
      <c r="P796" s="96"/>
      <c r="Q796" s="93"/>
      <c r="R796" s="93"/>
      <c r="S796" s="93"/>
      <c r="T796" s="93"/>
    </row>
    <row r="797" spans="1:20" ht="14.25" customHeight="1" x14ac:dyDescent="0.35">
      <c r="A797" s="1">
        <v>2022</v>
      </c>
      <c r="B797" s="1" t="s">
        <v>25</v>
      </c>
      <c r="C797" s="1">
        <v>5</v>
      </c>
      <c r="D797" s="49">
        <v>105.14100000000001</v>
      </c>
      <c r="E797" s="50">
        <v>89.375</v>
      </c>
      <c r="F797" s="108">
        <v>75.001999999999995</v>
      </c>
      <c r="G797" s="109">
        <v>1720.537</v>
      </c>
      <c r="H797" s="73">
        <v>6.9</v>
      </c>
      <c r="I797" s="110">
        <v>2.3E-2</v>
      </c>
      <c r="J797" s="111">
        <v>9.2159999999999993</v>
      </c>
      <c r="K797" s="112">
        <v>32.844999999999999</v>
      </c>
      <c r="L797" s="73">
        <v>5.13</v>
      </c>
      <c r="M797" s="110">
        <v>1.7000000000000001E-2</v>
      </c>
      <c r="N797" s="109">
        <v>145.68899999999999</v>
      </c>
      <c r="O797" s="113">
        <v>5.6000000000000001E-2</v>
      </c>
      <c r="P797" s="96"/>
      <c r="Q797" s="93"/>
      <c r="R797" s="93"/>
      <c r="S797" s="93"/>
      <c r="T797" s="93"/>
    </row>
    <row r="798" spans="1:20" ht="14.25" customHeight="1" x14ac:dyDescent="0.35">
      <c r="A798" s="1">
        <v>2022</v>
      </c>
      <c r="B798" s="1" t="s">
        <v>25</v>
      </c>
      <c r="C798" s="1">
        <v>6</v>
      </c>
      <c r="D798" s="49">
        <v>105.922</v>
      </c>
      <c r="E798" s="50">
        <v>89.968999999999994</v>
      </c>
      <c r="F798" s="72">
        <v>75.010000000000005</v>
      </c>
      <c r="G798" s="114">
        <v>1637.0809999999999</v>
      </c>
      <c r="H798" s="115">
        <v>6.9</v>
      </c>
      <c r="I798" s="110">
        <v>2.3E-2</v>
      </c>
      <c r="J798" s="76">
        <v>9.0649999999999995</v>
      </c>
      <c r="K798" s="116">
        <v>32.185000000000002</v>
      </c>
      <c r="L798" s="77">
        <v>5.1379999999999999</v>
      </c>
      <c r="M798" s="74">
        <v>1.7000000000000001E-2</v>
      </c>
      <c r="N798" s="109">
        <v>143.36699999999999</v>
      </c>
      <c r="O798" s="75">
        <v>5.0999999999999997E-2</v>
      </c>
      <c r="P798" s="96"/>
      <c r="Q798" s="93"/>
      <c r="R798" s="93"/>
      <c r="S798" s="93"/>
      <c r="T798" s="93"/>
    </row>
    <row r="799" spans="1:20" ht="14.25" customHeight="1" x14ac:dyDescent="0.35">
      <c r="A799" s="1">
        <v>2022</v>
      </c>
      <c r="B799" s="1" t="s">
        <v>25</v>
      </c>
      <c r="C799" s="1">
        <v>7</v>
      </c>
      <c r="D799" s="49">
        <v>105.953</v>
      </c>
      <c r="E799" s="50">
        <v>90</v>
      </c>
      <c r="F799" s="72">
        <v>75.14</v>
      </c>
      <c r="G799" s="114">
        <v>1581.732</v>
      </c>
      <c r="H799" s="115">
        <v>6.9</v>
      </c>
      <c r="I799" s="110">
        <v>2.3E-2</v>
      </c>
      <c r="J799" s="76">
        <v>9.1029999999999998</v>
      </c>
      <c r="K799" s="116">
        <v>31.605</v>
      </c>
      <c r="L799" s="77">
        <v>5.1189999999999998</v>
      </c>
      <c r="M799" s="74">
        <v>1.7000000000000001E-2</v>
      </c>
      <c r="N799" s="109">
        <v>149.339</v>
      </c>
      <c r="O799" s="75">
        <v>5.0999999999999997E-2</v>
      </c>
      <c r="P799" s="96"/>
      <c r="Q799" s="93"/>
      <c r="R799" s="93"/>
      <c r="S799" s="93"/>
      <c r="T799" s="93"/>
    </row>
    <row r="800" spans="1:20" ht="14.25" customHeight="1" x14ac:dyDescent="0.35">
      <c r="A800" s="1">
        <v>2022</v>
      </c>
      <c r="B800" s="1" t="s">
        <v>25</v>
      </c>
      <c r="C800" s="1">
        <v>8</v>
      </c>
      <c r="D800" s="49">
        <v>105.90600000000001</v>
      </c>
      <c r="E800" s="50">
        <v>89.906000000000006</v>
      </c>
      <c r="F800" s="60">
        <v>75.462999999999994</v>
      </c>
      <c r="G800" s="69">
        <v>1701.7349999999999</v>
      </c>
      <c r="H800" s="62">
        <v>6.9</v>
      </c>
      <c r="I800" s="63">
        <v>2.4E-2</v>
      </c>
      <c r="J800" s="71">
        <v>9.4190000000000005</v>
      </c>
      <c r="K800" s="65">
        <v>33.375999999999998</v>
      </c>
      <c r="L800" s="50">
        <v>5.101</v>
      </c>
      <c r="M800" s="66">
        <v>1.7000000000000001E-2</v>
      </c>
      <c r="N800" s="57">
        <v>155.99100000000001</v>
      </c>
      <c r="O800" s="67">
        <v>6.0999999999999999E-2</v>
      </c>
      <c r="P800" s="96"/>
      <c r="Q800" s="93"/>
      <c r="R800" s="93"/>
      <c r="S800" s="93"/>
      <c r="T800" s="93"/>
    </row>
    <row r="801" spans="1:20" ht="14.25" customHeight="1" x14ac:dyDescent="0.35">
      <c r="A801" s="1">
        <v>2022</v>
      </c>
      <c r="B801" s="1" t="s">
        <v>25</v>
      </c>
      <c r="C801" s="1">
        <v>9</v>
      </c>
      <c r="D801" s="49">
        <v>105.14100000000001</v>
      </c>
      <c r="E801" s="50">
        <v>89.281000000000006</v>
      </c>
      <c r="F801" s="60">
        <v>75.688000000000002</v>
      </c>
      <c r="G801" s="69">
        <v>1764.4780000000001</v>
      </c>
      <c r="H801" s="62">
        <v>6.9</v>
      </c>
      <c r="I801" s="63">
        <v>2.4E-2</v>
      </c>
      <c r="J801" s="71">
        <v>9.3789999999999996</v>
      </c>
      <c r="K801" s="65">
        <v>34.578000000000003</v>
      </c>
      <c r="L801" s="50">
        <v>5.1289999999999996</v>
      </c>
      <c r="M801" s="66">
        <v>1.7000000000000001E-2</v>
      </c>
      <c r="N801" s="57">
        <v>146.33500000000001</v>
      </c>
      <c r="O801" s="67">
        <v>0.06</v>
      </c>
      <c r="P801" s="96"/>
      <c r="Q801" s="93"/>
      <c r="R801" s="93"/>
      <c r="S801" s="93"/>
      <c r="T801" s="93"/>
    </row>
    <row r="802" spans="1:20" ht="14.25" customHeight="1" x14ac:dyDescent="0.35">
      <c r="A802" s="1">
        <v>2022</v>
      </c>
      <c r="B802" s="1" t="s">
        <v>25</v>
      </c>
      <c r="C802" s="1">
        <v>10</v>
      </c>
      <c r="D802" s="49">
        <v>108.422</v>
      </c>
      <c r="E802" s="50">
        <v>92.125</v>
      </c>
      <c r="F802" s="72">
        <v>75.921999999999997</v>
      </c>
      <c r="G802" s="61">
        <v>1749.549</v>
      </c>
      <c r="H802" s="62">
        <v>6.9</v>
      </c>
      <c r="I802" s="63">
        <v>2.5000000000000001E-2</v>
      </c>
      <c r="J802" s="76">
        <v>9.6159999999999997</v>
      </c>
      <c r="K802" s="65">
        <v>35.338999999999999</v>
      </c>
      <c r="L802" s="50">
        <v>5.1429999999999998</v>
      </c>
      <c r="M802" s="74">
        <v>1.7000000000000001E-2</v>
      </c>
      <c r="N802" s="57">
        <v>141.499</v>
      </c>
      <c r="O802" s="75">
        <v>6.3E-2</v>
      </c>
      <c r="P802" s="96"/>
      <c r="Q802" s="93"/>
      <c r="R802" s="93"/>
      <c r="S802" s="93"/>
      <c r="T802" s="93"/>
    </row>
    <row r="803" spans="1:20" ht="14.25" customHeight="1" x14ac:dyDescent="0.35">
      <c r="A803" s="1">
        <v>2022</v>
      </c>
      <c r="B803" s="1" t="s">
        <v>25</v>
      </c>
      <c r="C803" s="1">
        <v>11</v>
      </c>
      <c r="D803" s="49">
        <v>108.46899999999999</v>
      </c>
      <c r="E803" s="50">
        <v>92.093999999999994</v>
      </c>
      <c r="F803" s="72">
        <v>76.045000000000002</v>
      </c>
      <c r="G803" s="61">
        <v>1746.223</v>
      </c>
      <c r="H803" s="62">
        <v>6.9</v>
      </c>
      <c r="I803" s="63">
        <v>2.4E-2</v>
      </c>
      <c r="J803" s="76">
        <v>9.4849999999999994</v>
      </c>
      <c r="K803" s="65">
        <v>35.042000000000002</v>
      </c>
      <c r="L803" s="50">
        <v>5.1479999999999997</v>
      </c>
      <c r="M803" s="74">
        <v>1.7000000000000001E-2</v>
      </c>
      <c r="N803" s="57">
        <v>139.857</v>
      </c>
      <c r="O803" s="75">
        <v>6.2E-2</v>
      </c>
      <c r="P803" s="96"/>
      <c r="Q803" s="93"/>
      <c r="R803" s="93"/>
      <c r="S803" s="93"/>
      <c r="T803" s="93"/>
    </row>
    <row r="804" spans="1:20" ht="14.25" customHeight="1" x14ac:dyDescent="0.35">
      <c r="A804" s="1">
        <v>2022</v>
      </c>
      <c r="B804" s="1" t="s">
        <v>25</v>
      </c>
      <c r="C804" s="1">
        <v>12</v>
      </c>
      <c r="D804" s="49">
        <v>108.85899999999999</v>
      </c>
      <c r="E804" s="50">
        <v>92.375</v>
      </c>
      <c r="F804" s="72">
        <v>76.015000000000001</v>
      </c>
      <c r="G804" s="61">
        <v>1736.229</v>
      </c>
      <c r="H804" s="62">
        <v>6.9</v>
      </c>
      <c r="I804" s="63">
        <v>2.3E-2</v>
      </c>
      <c r="J804" s="76">
        <v>9.2680000000000007</v>
      </c>
      <c r="K804" s="65">
        <v>35.54</v>
      </c>
      <c r="L804" s="50">
        <v>5.16</v>
      </c>
      <c r="M804" s="74">
        <v>1.7000000000000001E-2</v>
      </c>
      <c r="N804" s="57">
        <v>136.113</v>
      </c>
      <c r="O804" s="67">
        <v>5.8999999999999997E-2</v>
      </c>
      <c r="P804" s="96"/>
      <c r="Q804" s="93"/>
      <c r="R804" s="93"/>
      <c r="S804" s="93"/>
      <c r="T804" s="93"/>
    </row>
    <row r="805" spans="1:20" ht="14.25" customHeight="1" x14ac:dyDescent="0.35">
      <c r="A805" s="1">
        <v>2022</v>
      </c>
      <c r="B805" s="1" t="s">
        <v>25</v>
      </c>
      <c r="C805" s="1">
        <v>13</v>
      </c>
      <c r="D805" s="49">
        <v>102.797</v>
      </c>
      <c r="E805" s="50">
        <v>87.218999999999994</v>
      </c>
      <c r="F805" s="78">
        <v>76.266999999999996</v>
      </c>
      <c r="G805" s="61">
        <v>1663.482</v>
      </c>
      <c r="H805" s="62">
        <v>6.9</v>
      </c>
      <c r="I805" s="63">
        <v>2.3E-2</v>
      </c>
      <c r="J805" s="81">
        <v>9.2799999999999994</v>
      </c>
      <c r="K805" s="65">
        <v>34.145000000000003</v>
      </c>
      <c r="L805" s="50">
        <v>5.16</v>
      </c>
      <c r="M805" s="66">
        <v>1.7000000000000001E-2</v>
      </c>
      <c r="N805" s="57">
        <v>136.27000000000001</v>
      </c>
      <c r="O805" s="80">
        <v>5.6000000000000001E-2</v>
      </c>
      <c r="P805" s="96"/>
      <c r="Q805" s="93"/>
      <c r="R805" s="93"/>
      <c r="S805" s="93"/>
      <c r="T805" s="93"/>
    </row>
    <row r="806" spans="1:20" ht="14.25" customHeight="1" x14ac:dyDescent="0.35">
      <c r="A806" s="1">
        <v>2022</v>
      </c>
      <c r="B806" s="1" t="s">
        <v>25</v>
      </c>
      <c r="C806" s="1">
        <v>14</v>
      </c>
      <c r="D806" s="49">
        <v>106.10899999999999</v>
      </c>
      <c r="E806" s="50">
        <v>89.968999999999994</v>
      </c>
      <c r="F806" s="60">
        <v>76.260000000000005</v>
      </c>
      <c r="G806" s="61">
        <v>1637.29</v>
      </c>
      <c r="H806" s="62">
        <v>6.9</v>
      </c>
      <c r="I806" s="63">
        <v>2.4E-2</v>
      </c>
      <c r="J806" s="81">
        <v>9.4309999999999992</v>
      </c>
      <c r="K806" s="82">
        <v>34.229999999999997</v>
      </c>
      <c r="L806" s="50">
        <v>5.1740000000000004</v>
      </c>
      <c r="M806" s="66">
        <v>1.7000000000000001E-2</v>
      </c>
      <c r="N806" s="57">
        <v>131.66399999999999</v>
      </c>
      <c r="O806" s="80">
        <v>0.06</v>
      </c>
      <c r="P806" s="96"/>
      <c r="Q806" s="93"/>
      <c r="R806" s="93"/>
      <c r="S806" s="93"/>
      <c r="T806" s="93"/>
    </row>
    <row r="807" spans="1:20" ht="14.25" customHeight="1" x14ac:dyDescent="0.35">
      <c r="A807" s="1">
        <v>2022</v>
      </c>
      <c r="B807" s="1" t="s">
        <v>25</v>
      </c>
      <c r="C807" s="1">
        <v>15</v>
      </c>
      <c r="D807" s="49">
        <v>106.10899999999999</v>
      </c>
      <c r="E807" s="50">
        <v>90</v>
      </c>
      <c r="F807" s="60">
        <v>76.606999999999999</v>
      </c>
      <c r="G807" s="61">
        <v>1694.6110000000001</v>
      </c>
      <c r="H807" s="62">
        <v>6.9</v>
      </c>
      <c r="I807" s="63">
        <v>2.3E-2</v>
      </c>
      <c r="J807" s="76">
        <v>9.4600000000000009</v>
      </c>
      <c r="K807" s="65">
        <v>35.792200000000001</v>
      </c>
      <c r="L807" s="50">
        <v>5.1639999999999997</v>
      </c>
      <c r="M807" s="66">
        <v>1.7100000000000001E-2</v>
      </c>
      <c r="N807" s="57">
        <v>134.874</v>
      </c>
      <c r="O807" s="75">
        <v>6.3E-2</v>
      </c>
      <c r="P807" s="96"/>
      <c r="Q807" s="93"/>
      <c r="R807" s="93"/>
      <c r="S807" s="93"/>
      <c r="T807" s="93"/>
    </row>
    <row r="808" spans="1:20" ht="14.25" customHeight="1" x14ac:dyDescent="0.35">
      <c r="A808" s="1">
        <v>2022</v>
      </c>
      <c r="B808" s="1" t="s">
        <v>25</v>
      </c>
      <c r="C808" s="1">
        <v>16</v>
      </c>
      <c r="D808" s="49">
        <v>106.063</v>
      </c>
      <c r="E808" s="50">
        <v>90.031000000000006</v>
      </c>
      <c r="F808" s="60">
        <v>76.95</v>
      </c>
      <c r="G808" s="61">
        <v>1742.5540000000001</v>
      </c>
      <c r="H808" s="62">
        <v>6.9</v>
      </c>
      <c r="I808" s="63">
        <v>2.4E-2</v>
      </c>
      <c r="J808" s="81">
        <v>9.1820000000000004</v>
      </c>
      <c r="K808" s="61">
        <v>37.301000000000002</v>
      </c>
      <c r="L808" s="62">
        <v>5.1710000000000003</v>
      </c>
      <c r="M808" s="66">
        <v>1.7000000000000001E-2</v>
      </c>
      <c r="N808" s="57">
        <v>132.643</v>
      </c>
      <c r="O808" s="80">
        <v>0.06</v>
      </c>
      <c r="P808" s="96"/>
      <c r="Q808" s="93"/>
      <c r="R808" s="93"/>
      <c r="S808" s="93"/>
      <c r="T808" s="93"/>
    </row>
    <row r="809" spans="1:20" ht="14.25" customHeight="1" x14ac:dyDescent="0.35">
      <c r="A809" s="1">
        <v>2022</v>
      </c>
      <c r="B809" s="1" t="s">
        <v>25</v>
      </c>
      <c r="C809" s="1">
        <v>17</v>
      </c>
      <c r="D809" s="49">
        <v>105.438</v>
      </c>
      <c r="E809" s="50">
        <v>89.375</v>
      </c>
      <c r="F809" s="60">
        <v>77.290999999999997</v>
      </c>
      <c r="G809" s="61">
        <v>1741.5229999999999</v>
      </c>
      <c r="H809" s="62">
        <v>6.9</v>
      </c>
      <c r="I809" s="63">
        <v>2.3E-2</v>
      </c>
      <c r="J809" s="68">
        <v>9.0129999999999999</v>
      </c>
      <c r="K809" s="65">
        <v>37.216999999999999</v>
      </c>
      <c r="L809" s="50">
        <v>5.1429999999999998</v>
      </c>
      <c r="M809" s="66">
        <v>1.7000000000000001E-2</v>
      </c>
      <c r="N809" s="57">
        <v>141.91</v>
      </c>
      <c r="O809" s="67">
        <v>5.8000000000000003E-2</v>
      </c>
      <c r="P809" s="96"/>
      <c r="Q809" s="93"/>
      <c r="R809" s="93"/>
      <c r="S809" s="93"/>
      <c r="T809" s="93"/>
    </row>
    <row r="810" spans="1:20" ht="14.25" customHeight="1" x14ac:dyDescent="0.35">
      <c r="A810" s="1">
        <v>2022</v>
      </c>
      <c r="B810" s="1" t="s">
        <v>25</v>
      </c>
      <c r="C810" s="1">
        <v>18</v>
      </c>
      <c r="D810" s="49">
        <v>104.10899999999999</v>
      </c>
      <c r="E810" s="50">
        <v>88.343999999999994</v>
      </c>
      <c r="F810" s="60">
        <v>77.262</v>
      </c>
      <c r="G810" s="61">
        <v>1734.7159999999999</v>
      </c>
      <c r="H810" s="62">
        <v>6.9</v>
      </c>
      <c r="I810" s="63">
        <v>2.4E-2</v>
      </c>
      <c r="J810" s="68">
        <v>8.9749999999999996</v>
      </c>
      <c r="K810" s="61">
        <v>36.692</v>
      </c>
      <c r="L810" s="62">
        <v>5.1459999999999999</v>
      </c>
      <c r="M810" s="66">
        <v>1.4999999999999999E-2</v>
      </c>
      <c r="N810" s="57">
        <v>140.85</v>
      </c>
      <c r="O810" s="67">
        <v>5.8999999999999997E-2</v>
      </c>
      <c r="P810" s="96"/>
      <c r="Q810" s="93"/>
      <c r="R810" s="93"/>
      <c r="S810" s="93"/>
      <c r="T810" s="93"/>
    </row>
    <row r="811" spans="1:20" ht="14.25" customHeight="1" x14ac:dyDescent="0.35">
      <c r="A811" s="1">
        <v>2022</v>
      </c>
      <c r="B811" s="1" t="s">
        <v>25</v>
      </c>
      <c r="C811" s="1">
        <v>19</v>
      </c>
      <c r="D811" s="49">
        <v>106.078</v>
      </c>
      <c r="E811" s="50">
        <v>90.031000000000006</v>
      </c>
      <c r="F811" s="60">
        <v>77.046000000000006</v>
      </c>
      <c r="G811" s="61">
        <v>1716.4190000000001</v>
      </c>
      <c r="H811" s="62">
        <v>6.9</v>
      </c>
      <c r="I811" s="63">
        <v>2.4E-2</v>
      </c>
      <c r="J811" s="68">
        <v>8.9830000000000005</v>
      </c>
      <c r="K811" s="65">
        <v>36.281999999999996</v>
      </c>
      <c r="L811" s="50">
        <v>5.1340000000000003</v>
      </c>
      <c r="M811" s="66">
        <v>1.4E-2</v>
      </c>
      <c r="N811" s="57">
        <v>144.80250000000001</v>
      </c>
      <c r="O811" s="67">
        <v>5.6000000000000001E-2</v>
      </c>
      <c r="P811" s="96"/>
      <c r="Q811" s="93"/>
      <c r="R811" s="93"/>
      <c r="S811" s="93"/>
      <c r="T811" s="93"/>
    </row>
    <row r="812" spans="1:20" ht="14.25" customHeight="1" x14ac:dyDescent="0.35">
      <c r="A812" s="1">
        <v>2022</v>
      </c>
      <c r="B812" s="1" t="s">
        <v>25</v>
      </c>
      <c r="C812" s="1">
        <v>20</v>
      </c>
      <c r="D812" s="49">
        <v>106.125</v>
      </c>
      <c r="E812" s="50">
        <v>89.968999999999994</v>
      </c>
      <c r="F812" s="60">
        <v>76.817999999999998</v>
      </c>
      <c r="G812" s="61">
        <v>1646.0250000000001</v>
      </c>
      <c r="H812" s="62">
        <v>6.9</v>
      </c>
      <c r="I812" s="63">
        <v>2.4E-2</v>
      </c>
      <c r="J812" s="68">
        <v>8.9619999999999997</v>
      </c>
      <c r="K812" s="65">
        <v>34.667999999999999</v>
      </c>
      <c r="L812" s="50">
        <v>5.1130000000000004</v>
      </c>
      <c r="M812" s="66">
        <v>1.4E-2</v>
      </c>
      <c r="N812" s="57">
        <v>151.59800000000001</v>
      </c>
      <c r="O812" s="67">
        <v>5.1999999999999998E-2</v>
      </c>
      <c r="P812" s="96"/>
      <c r="Q812" s="93"/>
      <c r="R812" s="93"/>
      <c r="S812" s="93"/>
      <c r="T812" s="93"/>
    </row>
    <row r="813" spans="1:20" ht="14.25" customHeight="1" x14ac:dyDescent="0.35">
      <c r="A813" s="1">
        <v>2022</v>
      </c>
      <c r="B813" s="1" t="s">
        <v>25</v>
      </c>
      <c r="C813" s="1">
        <v>21</v>
      </c>
      <c r="D813" s="49">
        <v>106.09399999999999</v>
      </c>
      <c r="E813" s="50">
        <v>90.031000000000006</v>
      </c>
      <c r="F813" s="60">
        <v>76.94</v>
      </c>
      <c r="G813" s="61">
        <v>1614.2190000000001</v>
      </c>
      <c r="H813" s="62">
        <v>6.9</v>
      </c>
      <c r="I813" s="63">
        <v>2.4E-2</v>
      </c>
      <c r="J813" s="68">
        <v>9.1419999999999995</v>
      </c>
      <c r="K813" s="65">
        <v>34.473999999999997</v>
      </c>
      <c r="L813" s="50">
        <v>5.1269999999999998</v>
      </c>
      <c r="M813" s="66">
        <v>1.4E-2</v>
      </c>
      <c r="N813" s="57">
        <v>146.78800000000001</v>
      </c>
      <c r="O813" s="67">
        <v>5.2999999999999999E-2</v>
      </c>
      <c r="P813" s="96"/>
      <c r="Q813" s="93"/>
      <c r="R813" s="93"/>
      <c r="S813" s="93"/>
      <c r="T813" s="93"/>
    </row>
    <row r="814" spans="1:20" ht="14.25" customHeight="1" x14ac:dyDescent="0.35">
      <c r="A814" s="1">
        <v>2022</v>
      </c>
      <c r="B814" s="1" t="s">
        <v>25</v>
      </c>
      <c r="C814" s="1">
        <v>22</v>
      </c>
      <c r="D814" s="49">
        <v>106.03100000000001</v>
      </c>
      <c r="E814" s="50">
        <v>89.906000000000006</v>
      </c>
      <c r="F814" s="60">
        <v>77.432000000000002</v>
      </c>
      <c r="G814" s="61">
        <v>1698.3920000000001</v>
      </c>
      <c r="H814" s="62">
        <v>6.9</v>
      </c>
      <c r="I814" s="63">
        <v>2.4E-2</v>
      </c>
      <c r="J814" s="68">
        <v>9.2639999999999993</v>
      </c>
      <c r="K814" s="61">
        <v>36.374000000000002</v>
      </c>
      <c r="L814" s="62">
        <v>5.1230000000000002</v>
      </c>
      <c r="M814" s="66">
        <v>1.4E-2</v>
      </c>
      <c r="N814" s="57">
        <v>148.10599999999999</v>
      </c>
      <c r="O814" s="67">
        <v>6.5000000000000002E-2</v>
      </c>
      <c r="P814" s="96"/>
      <c r="Q814" s="93"/>
      <c r="R814" s="93"/>
      <c r="S814" s="93"/>
      <c r="T814" s="93"/>
    </row>
    <row r="815" spans="1:20" ht="14.25" customHeight="1" x14ac:dyDescent="0.35">
      <c r="A815" s="1">
        <v>2022</v>
      </c>
      <c r="B815" s="1" t="s">
        <v>25</v>
      </c>
      <c r="C815" s="1">
        <v>23</v>
      </c>
      <c r="D815" s="49">
        <v>100.96899999999999</v>
      </c>
      <c r="E815" s="50">
        <v>85.531000000000006</v>
      </c>
      <c r="F815" s="60">
        <v>78.090999999999994</v>
      </c>
      <c r="G815" s="61">
        <v>1740.3910000000001</v>
      </c>
      <c r="H815" s="62">
        <v>6.9</v>
      </c>
      <c r="I815" s="63">
        <v>2.4E-2</v>
      </c>
      <c r="J815" s="68">
        <v>9.1199999999999992</v>
      </c>
      <c r="K815" s="65">
        <v>37.189</v>
      </c>
      <c r="L815" s="50">
        <v>5.0919999999999996</v>
      </c>
      <c r="M815" s="66">
        <v>1.4E-2</v>
      </c>
      <c r="N815" s="57">
        <v>159.761</v>
      </c>
      <c r="O815" s="67">
        <v>6.5000000000000002E-2</v>
      </c>
      <c r="P815" s="96"/>
      <c r="Q815" s="93"/>
      <c r="R815" s="93"/>
      <c r="S815" s="93"/>
      <c r="T815" s="93"/>
    </row>
    <row r="816" spans="1:20" ht="14.25" customHeight="1" x14ac:dyDescent="0.35">
      <c r="A816" s="1">
        <v>2022</v>
      </c>
      <c r="B816" s="1" t="s">
        <v>25</v>
      </c>
      <c r="C816" s="1">
        <v>24</v>
      </c>
      <c r="D816" s="49">
        <v>94.813000000000002</v>
      </c>
      <c r="E816" s="50">
        <v>80.343999999999994</v>
      </c>
      <c r="F816" s="60">
        <v>78.043999999999997</v>
      </c>
      <c r="G816" s="61">
        <v>1802.491</v>
      </c>
      <c r="H816" s="62">
        <v>6.9</v>
      </c>
      <c r="I816" s="63">
        <v>2.5000000000000001E-2</v>
      </c>
      <c r="J816" s="68">
        <v>9.0289999999999999</v>
      </c>
      <c r="K816" s="61">
        <v>38.027999999999999</v>
      </c>
      <c r="L816" s="62">
        <v>5.0750000000000002</v>
      </c>
      <c r="M816" s="66">
        <v>1.4E-2</v>
      </c>
      <c r="N816" s="57">
        <v>166.625</v>
      </c>
      <c r="O816" s="67">
        <v>6.7000000000000004E-2</v>
      </c>
      <c r="P816" s="96"/>
      <c r="Q816" s="93"/>
      <c r="R816" s="93"/>
      <c r="S816" s="93"/>
      <c r="T816" s="93"/>
    </row>
    <row r="817" spans="1:20" ht="14.25" customHeight="1" x14ac:dyDescent="0.35">
      <c r="A817" s="1">
        <v>2022</v>
      </c>
      <c r="B817" s="1" t="s">
        <v>25</v>
      </c>
      <c r="C817" s="1">
        <v>25</v>
      </c>
      <c r="D817" s="49">
        <v>108.125</v>
      </c>
      <c r="E817" s="50">
        <v>91.656000000000006</v>
      </c>
      <c r="F817" s="60">
        <v>77.716999999999999</v>
      </c>
      <c r="G817" s="61">
        <v>1774.124</v>
      </c>
      <c r="H817" s="62">
        <v>6.9009999999999998</v>
      </c>
      <c r="I817" s="63">
        <v>2.4E-2</v>
      </c>
      <c r="J817" s="68">
        <v>8.9589999999999996</v>
      </c>
      <c r="K817" s="65">
        <v>37.225000000000001</v>
      </c>
      <c r="L817" s="50">
        <v>5.0609999999999999</v>
      </c>
      <c r="M817" s="66">
        <v>1.4999999999999999E-2</v>
      </c>
      <c r="N817" s="57">
        <v>171.971</v>
      </c>
      <c r="O817" s="67">
        <v>6.9000000000000006E-2</v>
      </c>
      <c r="P817" s="96"/>
      <c r="Q817" s="93"/>
      <c r="R817" s="93"/>
      <c r="S817" s="93"/>
      <c r="T817" s="93"/>
    </row>
    <row r="818" spans="1:20" ht="14.25" customHeight="1" x14ac:dyDescent="0.35">
      <c r="A818" s="1">
        <v>2022</v>
      </c>
      <c r="B818" s="1" t="s">
        <v>25</v>
      </c>
      <c r="C818" s="1">
        <v>26</v>
      </c>
      <c r="D818" s="49">
        <v>111.547</v>
      </c>
      <c r="E818" s="50">
        <v>94.531000000000006</v>
      </c>
      <c r="F818" s="60">
        <v>77.566000000000003</v>
      </c>
      <c r="G818" s="61">
        <v>1760.5160000000001</v>
      </c>
      <c r="H818" s="62">
        <v>6.9</v>
      </c>
      <c r="I818" s="63">
        <v>2.4E-2</v>
      </c>
      <c r="J818" s="68">
        <v>8.9730000000000008</v>
      </c>
      <c r="K818" s="61">
        <v>36.853999999999999</v>
      </c>
      <c r="L818" s="62">
        <v>5.008</v>
      </c>
      <c r="M818" s="66">
        <v>1.4E-2</v>
      </c>
      <c r="N818" s="57">
        <v>193.08</v>
      </c>
      <c r="O818" s="67">
        <v>6.4000000000000001E-2</v>
      </c>
      <c r="P818" s="96"/>
      <c r="Q818" s="93"/>
      <c r="R818" s="93"/>
      <c r="S818" s="93"/>
      <c r="T818" s="93"/>
    </row>
    <row r="819" spans="1:20" ht="14.25" customHeight="1" x14ac:dyDescent="0.35">
      <c r="A819" s="1">
        <v>2022</v>
      </c>
      <c r="B819" s="1" t="s">
        <v>25</v>
      </c>
      <c r="C819" s="1">
        <v>27</v>
      </c>
      <c r="D819" s="49">
        <v>108.75</v>
      </c>
      <c r="E819" s="50">
        <v>92.313000000000002</v>
      </c>
      <c r="F819" s="60">
        <v>77.284000000000006</v>
      </c>
      <c r="G819" s="61">
        <v>1699.5889999999999</v>
      </c>
      <c r="H819" s="62">
        <v>6.9</v>
      </c>
      <c r="I819" s="63">
        <v>2.4E-2</v>
      </c>
      <c r="J819" s="68">
        <v>9.0790000000000006</v>
      </c>
      <c r="K819" s="65">
        <v>35.258000000000003</v>
      </c>
      <c r="L819" s="50">
        <v>5.0149999999999997</v>
      </c>
      <c r="M819" s="66">
        <v>1.4E-2</v>
      </c>
      <c r="N819" s="57">
        <v>190.39599999999999</v>
      </c>
      <c r="O819" s="67">
        <v>5.8000000000000003E-2</v>
      </c>
      <c r="P819" s="96"/>
      <c r="Q819" s="93"/>
      <c r="R819" s="93"/>
      <c r="S819" s="93"/>
      <c r="T819" s="93"/>
    </row>
    <row r="820" spans="1:20" ht="14.25" customHeight="1" x14ac:dyDescent="0.35">
      <c r="A820" s="1">
        <v>2022</v>
      </c>
      <c r="B820" s="1" t="s">
        <v>25</v>
      </c>
      <c r="C820" s="1">
        <v>28</v>
      </c>
      <c r="D820" s="49">
        <v>105.422</v>
      </c>
      <c r="E820" s="50">
        <v>89.531000000000006</v>
      </c>
      <c r="F820" s="60">
        <v>76.591999999999999</v>
      </c>
      <c r="G820" s="61">
        <v>1619.4929999999999</v>
      </c>
      <c r="H820" s="62">
        <v>6.9</v>
      </c>
      <c r="I820" s="63">
        <v>2.5000000000000001E-2</v>
      </c>
      <c r="J820" s="76">
        <v>9.0850000000000009</v>
      </c>
      <c r="K820" s="61">
        <v>33.226999999999997</v>
      </c>
      <c r="L820" s="62">
        <v>5.0209999999999999</v>
      </c>
      <c r="M820" s="66">
        <v>1.4E-2</v>
      </c>
      <c r="N820" s="57">
        <v>188.24299999999999</v>
      </c>
      <c r="O820" s="67">
        <v>5.1999999999999998E-2</v>
      </c>
      <c r="P820" s="96"/>
      <c r="Q820" s="93"/>
      <c r="R820" s="93"/>
      <c r="S820" s="93"/>
      <c r="T820" s="93"/>
    </row>
    <row r="821" spans="1:20" ht="14.25" customHeight="1" x14ac:dyDescent="0.35">
      <c r="A821" s="1">
        <v>2022</v>
      </c>
      <c r="B821" s="1" t="s">
        <v>25</v>
      </c>
      <c r="C821" s="1">
        <v>29</v>
      </c>
      <c r="D821" s="49">
        <v>105.75</v>
      </c>
      <c r="E821" s="50">
        <v>89.906000000000006</v>
      </c>
      <c r="F821" s="83">
        <v>76.682000000000002</v>
      </c>
      <c r="G821" s="69">
        <v>1658.415</v>
      </c>
      <c r="H821" s="50">
        <v>6.9</v>
      </c>
      <c r="I821" s="66">
        <v>2.5999999999999999E-2</v>
      </c>
      <c r="J821" s="117">
        <v>9.202</v>
      </c>
      <c r="K821" s="61">
        <v>34</v>
      </c>
      <c r="L821" s="62">
        <v>5.0199999999999996</v>
      </c>
      <c r="M821" s="66">
        <v>1.4E-2</v>
      </c>
      <c r="N821" s="57">
        <v>187.95699999999999</v>
      </c>
      <c r="O821" s="67">
        <v>5.3999999999999999E-2</v>
      </c>
      <c r="P821" s="96"/>
      <c r="Q821" s="93"/>
      <c r="R821" s="93"/>
      <c r="S821" s="93"/>
      <c r="T821" s="93"/>
    </row>
    <row r="822" spans="1:20" ht="14.25" customHeight="1" x14ac:dyDescent="0.35">
      <c r="A822" s="1">
        <v>2022</v>
      </c>
      <c r="B822" s="1" t="s">
        <v>25</v>
      </c>
      <c r="C822" s="1">
        <v>30</v>
      </c>
      <c r="D822" s="49">
        <v>108.90600000000001</v>
      </c>
      <c r="E822" s="50">
        <v>92.593999999999994</v>
      </c>
      <c r="F822" s="83">
        <v>77.143000000000001</v>
      </c>
      <c r="G822" s="69">
        <v>1748.77</v>
      </c>
      <c r="H822" s="50">
        <v>6.9</v>
      </c>
      <c r="I822" s="66">
        <v>2.5000000000000001E-2</v>
      </c>
      <c r="J822" s="117">
        <v>9.2080000000000002</v>
      </c>
      <c r="K822" s="61">
        <v>35.578000000000003</v>
      </c>
      <c r="L822" s="62">
        <v>4.9960000000000004</v>
      </c>
      <c r="M822" s="66">
        <v>1.4E-2</v>
      </c>
      <c r="N822" s="57">
        <v>198.477</v>
      </c>
      <c r="O822" s="67">
        <v>5.8000000000000003E-2</v>
      </c>
      <c r="P822" s="96"/>
      <c r="Q822" s="93"/>
      <c r="R822" s="93"/>
      <c r="S822" s="93"/>
      <c r="T822" s="93"/>
    </row>
    <row r="823" spans="1:20" ht="14.25" customHeight="1" x14ac:dyDescent="0.35">
      <c r="A823" s="1">
        <v>2022</v>
      </c>
      <c r="B823" s="1" t="s">
        <v>25</v>
      </c>
      <c r="C823" s="1">
        <v>31</v>
      </c>
      <c r="D823" s="104">
        <v>108.71899999999999</v>
      </c>
      <c r="E823" s="105">
        <v>92.375</v>
      </c>
      <c r="F823" s="118">
        <v>77.103999999999999</v>
      </c>
      <c r="G823" s="119">
        <v>1796.384</v>
      </c>
      <c r="H823" s="120">
        <v>6.9</v>
      </c>
      <c r="I823" s="121">
        <v>2.5999999999999999E-2</v>
      </c>
      <c r="J823" s="122">
        <v>9.3149999999999995</v>
      </c>
      <c r="K823" s="65">
        <v>37.085999999999999</v>
      </c>
      <c r="L823" s="50">
        <v>5.0119999999999996</v>
      </c>
      <c r="M823" s="66">
        <v>1.4E-2</v>
      </c>
      <c r="N823" s="57">
        <v>192.16300000000001</v>
      </c>
      <c r="O823" s="67">
        <v>0.06</v>
      </c>
      <c r="P823" s="96"/>
      <c r="Q823" s="93"/>
      <c r="R823" s="93"/>
      <c r="S823" s="93"/>
      <c r="T823" s="93"/>
    </row>
    <row r="824" spans="1:20" ht="14.25" customHeight="1" x14ac:dyDescent="0.35">
      <c r="A824" s="1">
        <v>2022</v>
      </c>
      <c r="B824" s="1" t="s">
        <v>26</v>
      </c>
      <c r="C824" s="1">
        <v>1</v>
      </c>
      <c r="D824" s="49">
        <v>108.98399999999999</v>
      </c>
      <c r="E824" s="50">
        <v>92.593999999999994</v>
      </c>
      <c r="F824" s="51">
        <v>77.67</v>
      </c>
      <c r="G824" s="52">
        <v>1777.172</v>
      </c>
      <c r="H824" s="53">
        <v>6.9</v>
      </c>
      <c r="I824" s="54">
        <v>2.5000000000000001E-2</v>
      </c>
      <c r="J824" s="59">
        <v>9.0540000000000003</v>
      </c>
      <c r="K824" s="52">
        <v>37.704000000000001</v>
      </c>
      <c r="L824" s="55">
        <v>5.0490000000000004</v>
      </c>
      <c r="M824" s="56">
        <v>1.4E-2</v>
      </c>
      <c r="N824" s="57">
        <v>176.63399999999999</v>
      </c>
      <c r="O824" s="58">
        <v>6.6000000000000003E-2</v>
      </c>
      <c r="P824" s="96"/>
      <c r="Q824" s="93"/>
      <c r="R824" s="93"/>
      <c r="S824" s="93"/>
      <c r="T824" s="93"/>
    </row>
    <row r="825" spans="1:20" ht="14.25" customHeight="1" x14ac:dyDescent="0.35">
      <c r="A825" s="1">
        <v>2022</v>
      </c>
      <c r="B825" s="1" t="s">
        <v>26</v>
      </c>
      <c r="C825" s="1">
        <v>2</v>
      </c>
      <c r="D825" s="49">
        <v>105.78100000000001</v>
      </c>
      <c r="E825" s="50">
        <v>90.031000000000006</v>
      </c>
      <c r="F825" s="60">
        <v>77.34</v>
      </c>
      <c r="G825" s="61">
        <v>1749.585</v>
      </c>
      <c r="H825" s="62">
        <v>6.9</v>
      </c>
      <c r="I825" s="63">
        <v>2.5999999999999999E-2</v>
      </c>
      <c r="J825" s="68">
        <v>9.0670000000000002</v>
      </c>
      <c r="K825" s="65">
        <v>36.536999999999999</v>
      </c>
      <c r="L825" s="50">
        <v>5.0519999999999996</v>
      </c>
      <c r="M825" s="66">
        <v>1.4E-2</v>
      </c>
      <c r="N825" s="57">
        <v>174.69399999999999</v>
      </c>
      <c r="O825" s="67">
        <v>6.7000000000000004E-2</v>
      </c>
      <c r="P825" s="96"/>
      <c r="Q825" s="93"/>
      <c r="R825" s="93"/>
      <c r="S825" s="93"/>
      <c r="T825" s="93"/>
    </row>
    <row r="826" spans="1:20" ht="14.25" customHeight="1" x14ac:dyDescent="0.35">
      <c r="A826" s="1">
        <v>2022</v>
      </c>
      <c r="B826" s="1" t="s">
        <v>26</v>
      </c>
      <c r="C826" s="1">
        <v>3</v>
      </c>
      <c r="D826" s="49">
        <v>105.75</v>
      </c>
      <c r="E826" s="50">
        <v>89.875</v>
      </c>
      <c r="F826" s="60">
        <v>77.331999999999994</v>
      </c>
      <c r="G826" s="61">
        <v>1668.9739999999999</v>
      </c>
      <c r="H826" s="62">
        <v>6.9</v>
      </c>
      <c r="I826" s="63">
        <v>2.8000000000000001E-2</v>
      </c>
      <c r="J826" s="68">
        <v>8.81</v>
      </c>
      <c r="K826" s="65">
        <v>34.418999999999997</v>
      </c>
      <c r="L826" s="50">
        <v>5.0510000000000002</v>
      </c>
      <c r="M826" s="66">
        <v>1.4E-2</v>
      </c>
      <c r="N826" s="57">
        <v>175.24799999999999</v>
      </c>
      <c r="O826" s="67">
        <v>5.6000000000000001E-2</v>
      </c>
      <c r="P826" s="96"/>
      <c r="Q826" s="93"/>
      <c r="R826" s="93"/>
      <c r="S826" s="93"/>
      <c r="T826" s="93"/>
    </row>
    <row r="827" spans="1:20" ht="14.25" customHeight="1" x14ac:dyDescent="0.35">
      <c r="A827" s="1">
        <v>2022</v>
      </c>
      <c r="B827" s="1" t="s">
        <v>26</v>
      </c>
      <c r="C827" s="1">
        <v>4</v>
      </c>
      <c r="D827" s="49">
        <v>105.84399999999999</v>
      </c>
      <c r="E827" s="50">
        <v>89.968999999999994</v>
      </c>
      <c r="F827" s="60">
        <v>77.400000000000006</v>
      </c>
      <c r="G827" s="61">
        <v>1608.8889999999999</v>
      </c>
      <c r="H827" s="62">
        <v>6.9</v>
      </c>
      <c r="I827" s="63">
        <v>3.2000000000000001E-2</v>
      </c>
      <c r="J827" s="68">
        <v>8.9559999999999995</v>
      </c>
      <c r="K827" s="65">
        <v>33.189</v>
      </c>
      <c r="L827" s="50">
        <v>5.0609999999999999</v>
      </c>
      <c r="M827" s="66">
        <v>1.4E-2</v>
      </c>
      <c r="N827" s="57">
        <v>170.84700000000001</v>
      </c>
      <c r="O827" s="67">
        <v>5.8000000000000003E-2</v>
      </c>
      <c r="P827" s="96"/>
      <c r="Q827" s="93"/>
      <c r="R827" s="93"/>
      <c r="S827" s="93"/>
      <c r="T827" s="93"/>
    </row>
    <row r="828" spans="1:20" ht="14.25" customHeight="1" x14ac:dyDescent="0.35">
      <c r="A828" s="1">
        <v>2022</v>
      </c>
      <c r="B828" s="1" t="s">
        <v>26</v>
      </c>
      <c r="C828" s="1">
        <v>5</v>
      </c>
      <c r="D828" s="49">
        <v>105.828</v>
      </c>
      <c r="E828" s="50">
        <v>90.031000000000006</v>
      </c>
      <c r="F828" s="60">
        <v>77.97</v>
      </c>
      <c r="G828" s="61">
        <v>1720.6089999999999</v>
      </c>
      <c r="H828" s="62">
        <v>6.9</v>
      </c>
      <c r="I828" s="63">
        <v>3.1E-2</v>
      </c>
      <c r="J828" s="68">
        <v>9.0839999999999996</v>
      </c>
      <c r="K828" s="65">
        <v>34.804000000000002</v>
      </c>
      <c r="L828" s="50">
        <v>5.0540000000000003</v>
      </c>
      <c r="M828" s="66">
        <v>1.4E-2</v>
      </c>
      <c r="N828" s="57">
        <v>173.55500000000001</v>
      </c>
      <c r="O828" s="67">
        <v>6.5000000000000002E-2</v>
      </c>
      <c r="P828" s="96"/>
      <c r="Q828" s="93"/>
      <c r="R828" s="93"/>
      <c r="S828" s="93"/>
      <c r="T828" s="93"/>
    </row>
    <row r="829" spans="1:20" ht="14.25" customHeight="1" x14ac:dyDescent="0.35">
      <c r="A829" s="1">
        <v>2022</v>
      </c>
      <c r="B829" s="1" t="s">
        <v>26</v>
      </c>
      <c r="C829" s="1">
        <v>6</v>
      </c>
      <c r="D829" s="49">
        <v>105.84399999999999</v>
      </c>
      <c r="E829" s="50">
        <v>90</v>
      </c>
      <c r="F829" s="60">
        <v>78.545000000000002</v>
      </c>
      <c r="G829" s="61">
        <v>1761.069</v>
      </c>
      <c r="H829" s="62">
        <v>6.9009999999999998</v>
      </c>
      <c r="I829" s="63">
        <v>2.5999999999999999E-2</v>
      </c>
      <c r="J829" s="68">
        <v>8.827</v>
      </c>
      <c r="K829" s="65">
        <v>36.279000000000003</v>
      </c>
      <c r="L829" s="50">
        <v>5.0460000000000003</v>
      </c>
      <c r="M829" s="66">
        <v>1.4E-2</v>
      </c>
      <c r="N829" s="57">
        <v>177.154</v>
      </c>
      <c r="O829" s="67">
        <v>5.8000000000000003E-2</v>
      </c>
      <c r="P829" s="96"/>
      <c r="Q829" s="93"/>
      <c r="R829" s="93"/>
      <c r="S829" s="93"/>
      <c r="T829" s="93"/>
    </row>
    <row r="830" spans="1:20" ht="14.25" customHeight="1" x14ac:dyDescent="0.35">
      <c r="A830" s="1">
        <v>2022</v>
      </c>
      <c r="B830" s="1" t="s">
        <v>26</v>
      </c>
      <c r="C830" s="1">
        <v>7</v>
      </c>
      <c r="D830" s="49">
        <v>98.108999999999995</v>
      </c>
      <c r="E830" s="50">
        <v>83.343999999999994</v>
      </c>
      <c r="F830" s="60">
        <v>79.204999999999998</v>
      </c>
      <c r="G830" s="61">
        <v>1779.2929999999999</v>
      </c>
      <c r="H830" s="62">
        <v>6.9</v>
      </c>
      <c r="I830" s="63">
        <v>2.5999999999999999E-2</v>
      </c>
      <c r="J830" s="68">
        <v>9.2490000000000006</v>
      </c>
      <c r="K830" s="65">
        <v>38.276000000000003</v>
      </c>
      <c r="L830" s="50">
        <v>4.952</v>
      </c>
      <c r="M830" s="66">
        <v>1.4E-2</v>
      </c>
      <c r="N830" s="57">
        <v>227.71299999999999</v>
      </c>
      <c r="O830" s="67">
        <v>5.7000000000000002E-2</v>
      </c>
      <c r="P830" s="96"/>
      <c r="Q830" s="93"/>
      <c r="R830" s="93"/>
      <c r="S830" s="93"/>
      <c r="T830" s="93"/>
    </row>
    <row r="831" spans="1:20" ht="14.25" customHeight="1" x14ac:dyDescent="0.35">
      <c r="A831" s="1">
        <v>2022</v>
      </c>
      <c r="B831" s="1" t="s">
        <v>26</v>
      </c>
      <c r="C831" s="1">
        <v>8</v>
      </c>
      <c r="D831" s="49">
        <v>111.76600000000001</v>
      </c>
      <c r="E831" s="50">
        <v>94.968999999999994</v>
      </c>
      <c r="F831" s="60">
        <v>79.591999999999999</v>
      </c>
      <c r="G831" s="69">
        <v>1769.229</v>
      </c>
      <c r="H831" s="62">
        <v>6.9</v>
      </c>
      <c r="I831" s="63">
        <v>2.5000000000000001E-2</v>
      </c>
      <c r="J831" s="71">
        <v>9.0340000000000007</v>
      </c>
      <c r="K831" s="65">
        <v>37.976999999999997</v>
      </c>
      <c r="L831" s="50">
        <v>4.8529999999999998</v>
      </c>
      <c r="M831" s="66">
        <v>1.4E-2</v>
      </c>
      <c r="N831" s="57">
        <v>276.41399999999999</v>
      </c>
      <c r="O831" s="70">
        <v>7.8E-2</v>
      </c>
      <c r="P831" s="96"/>
      <c r="Q831" s="93"/>
      <c r="R831" s="93"/>
      <c r="S831" s="93"/>
      <c r="T831" s="93"/>
    </row>
    <row r="832" spans="1:20" ht="14.25" customHeight="1" x14ac:dyDescent="0.35">
      <c r="A832" s="1">
        <v>2022</v>
      </c>
      <c r="B832" s="1" t="s">
        <v>26</v>
      </c>
      <c r="C832" s="1">
        <v>9</v>
      </c>
      <c r="D832" s="49">
        <v>110.46899999999999</v>
      </c>
      <c r="E832" s="50">
        <v>93.906000000000006</v>
      </c>
      <c r="F832" s="60">
        <v>79.093999999999994</v>
      </c>
      <c r="G832" s="61">
        <v>1764.19</v>
      </c>
      <c r="H832" s="62">
        <v>6.9</v>
      </c>
      <c r="I832" s="63">
        <v>2.4E-2</v>
      </c>
      <c r="J832" s="68">
        <v>9.1479999999999997</v>
      </c>
      <c r="K832" s="65">
        <v>36.991999999999997</v>
      </c>
      <c r="L832" s="50">
        <v>4.8780000000000001</v>
      </c>
      <c r="M832" s="66">
        <v>1.4E-2</v>
      </c>
      <c r="N832" s="57">
        <v>261.14699999999999</v>
      </c>
      <c r="O832" s="67">
        <v>6.9000000000000006E-2</v>
      </c>
      <c r="P832" s="96"/>
      <c r="Q832" s="93"/>
      <c r="R832" s="93"/>
      <c r="S832" s="93"/>
      <c r="T832" s="93"/>
    </row>
    <row r="833" spans="1:20" ht="14.25" customHeight="1" x14ac:dyDescent="0.35">
      <c r="A833" s="1">
        <v>2022</v>
      </c>
      <c r="B833" s="1" t="s">
        <v>26</v>
      </c>
      <c r="C833" s="1">
        <v>10</v>
      </c>
      <c r="D833" s="49">
        <v>103.53100000000001</v>
      </c>
      <c r="E833" s="50">
        <v>87.813000000000002</v>
      </c>
      <c r="F833" s="72">
        <v>78.337000000000003</v>
      </c>
      <c r="G833" s="61">
        <v>1684.9059999999999</v>
      </c>
      <c r="H833" s="62">
        <v>6.9</v>
      </c>
      <c r="I833" s="63">
        <v>2.3E-2</v>
      </c>
      <c r="J833" s="76">
        <v>8.86</v>
      </c>
      <c r="K833" s="65">
        <v>36.024999999999999</v>
      </c>
      <c r="L833" s="50">
        <v>4.9000000000000004</v>
      </c>
      <c r="M833" s="74">
        <v>1.4E-2</v>
      </c>
      <c r="N833" s="57">
        <v>248.53200000000001</v>
      </c>
      <c r="O833" s="75">
        <v>5.6000000000000001E-2</v>
      </c>
      <c r="P833" s="96"/>
      <c r="Q833" s="93"/>
      <c r="R833" s="93"/>
      <c r="S833" s="93"/>
      <c r="T833" s="93"/>
    </row>
    <row r="834" spans="1:20" ht="14.25" customHeight="1" x14ac:dyDescent="0.35">
      <c r="A834" s="1">
        <v>2022</v>
      </c>
      <c r="B834" s="1" t="s">
        <v>26</v>
      </c>
      <c r="C834" s="1">
        <v>11</v>
      </c>
      <c r="D834" s="49">
        <v>100.25</v>
      </c>
      <c r="E834" s="50">
        <v>85</v>
      </c>
      <c r="F834" s="72">
        <v>77.98</v>
      </c>
      <c r="G834" s="61">
        <v>1640.7180000000001</v>
      </c>
      <c r="H834" s="62">
        <v>6.9</v>
      </c>
      <c r="I834" s="63">
        <v>2.3E-2</v>
      </c>
      <c r="J834" s="76">
        <v>8.86</v>
      </c>
      <c r="K834" s="65">
        <v>35.591000000000001</v>
      </c>
      <c r="L834" s="50">
        <v>4.9180000000000001</v>
      </c>
      <c r="M834" s="74">
        <v>1.4E-2</v>
      </c>
      <c r="N834" s="57">
        <v>237.94499999999999</v>
      </c>
      <c r="O834" s="75">
        <v>4.8000000000000001E-2</v>
      </c>
      <c r="P834" s="96"/>
      <c r="Q834" s="93"/>
      <c r="R834" s="93"/>
      <c r="S834" s="93"/>
      <c r="T834" s="93"/>
    </row>
    <row r="835" spans="1:20" ht="14.25" customHeight="1" x14ac:dyDescent="0.35">
      <c r="A835" s="1">
        <v>2022</v>
      </c>
      <c r="B835" s="1" t="s">
        <v>26</v>
      </c>
      <c r="C835" s="1">
        <v>12</v>
      </c>
      <c r="D835" s="49">
        <v>100.23399999999999</v>
      </c>
      <c r="E835" s="50">
        <v>85</v>
      </c>
      <c r="F835" s="72">
        <v>77.450999999999993</v>
      </c>
      <c r="G835" s="61">
        <v>1741.788</v>
      </c>
      <c r="H835" s="62">
        <v>6.9</v>
      </c>
      <c r="I835" s="63">
        <v>2.4E-2</v>
      </c>
      <c r="J835" s="76">
        <v>8.8620000000000001</v>
      </c>
      <c r="K835" s="65">
        <v>37.121000000000002</v>
      </c>
      <c r="L835" s="50">
        <v>4.9000000000000004</v>
      </c>
      <c r="M835" s="74">
        <v>1.4E-2</v>
      </c>
      <c r="N835" s="57">
        <v>247.41300000000001</v>
      </c>
      <c r="O835" s="75">
        <v>5.2999999999999999E-2</v>
      </c>
      <c r="P835" s="96"/>
      <c r="Q835" s="93"/>
      <c r="R835" s="93"/>
      <c r="S835" s="93"/>
      <c r="T835" s="93"/>
    </row>
    <row r="836" spans="1:20" ht="14.25" customHeight="1" x14ac:dyDescent="0.35">
      <c r="A836" s="1">
        <v>2022</v>
      </c>
      <c r="B836" s="1" t="s">
        <v>26</v>
      </c>
      <c r="C836" s="1">
        <v>13</v>
      </c>
      <c r="D836" s="49">
        <v>97.75</v>
      </c>
      <c r="E836" s="50">
        <v>82.75</v>
      </c>
      <c r="F836" s="78">
        <v>77.540999999999997</v>
      </c>
      <c r="G836" s="61">
        <v>1782.6669999999999</v>
      </c>
      <c r="H836" s="62">
        <v>6.9</v>
      </c>
      <c r="I836" s="63">
        <v>2.4E-2</v>
      </c>
      <c r="J836" s="81">
        <v>8.6959999999999997</v>
      </c>
      <c r="K836" s="65">
        <v>38.463999999999999</v>
      </c>
      <c r="L836" s="50">
        <v>4.9210000000000003</v>
      </c>
      <c r="M836" s="66">
        <v>1.4E-2</v>
      </c>
      <c r="N836" s="57">
        <v>236.322</v>
      </c>
      <c r="O836" s="80">
        <v>5.8999999999999997E-2</v>
      </c>
      <c r="P836" s="96"/>
      <c r="Q836" s="93"/>
      <c r="R836" s="93"/>
      <c r="S836" s="93"/>
      <c r="T836" s="93"/>
    </row>
    <row r="837" spans="1:20" ht="14.25" customHeight="1" x14ac:dyDescent="0.35">
      <c r="A837" s="1">
        <v>2022</v>
      </c>
      <c r="B837" s="1" t="s">
        <v>26</v>
      </c>
      <c r="C837" s="1">
        <v>14</v>
      </c>
      <c r="D837" s="49">
        <v>104.828</v>
      </c>
      <c r="E837" s="50">
        <v>88.968999999999994</v>
      </c>
      <c r="F837" s="60">
        <v>77.936000000000007</v>
      </c>
      <c r="G837" s="61">
        <v>1800.7429999999999</v>
      </c>
      <c r="H837" s="62">
        <v>6.9</v>
      </c>
      <c r="I837" s="63">
        <v>2.4E-2</v>
      </c>
      <c r="J837" s="81">
        <v>8.6590000000000007</v>
      </c>
      <c r="K837" s="82">
        <v>39.529000000000003</v>
      </c>
      <c r="L837" s="50">
        <v>4.9109999999999996</v>
      </c>
      <c r="M837" s="66">
        <v>1.4E-2</v>
      </c>
      <c r="N837" s="57">
        <v>241.61199999999999</v>
      </c>
      <c r="O837" s="80">
        <v>6.2E-2</v>
      </c>
      <c r="P837" s="96"/>
      <c r="Q837" s="93"/>
      <c r="R837" s="93"/>
      <c r="S837" s="93"/>
      <c r="T837" s="93"/>
    </row>
    <row r="838" spans="1:20" ht="14.25" customHeight="1" x14ac:dyDescent="0.35">
      <c r="A838" s="1">
        <v>2022</v>
      </c>
      <c r="B838" s="1" t="s">
        <v>26</v>
      </c>
      <c r="C838" s="1">
        <v>15</v>
      </c>
      <c r="D838" s="49">
        <v>104.172</v>
      </c>
      <c r="E838" s="50">
        <v>88.468999999999994</v>
      </c>
      <c r="F838" s="60">
        <v>78.221000000000004</v>
      </c>
      <c r="G838" s="61">
        <v>1798.5930000000001</v>
      </c>
      <c r="H838" s="62">
        <v>6.9</v>
      </c>
      <c r="I838" s="63">
        <v>2.3E-2</v>
      </c>
      <c r="J838" s="76">
        <v>8.8089999999999993</v>
      </c>
      <c r="K838" s="65">
        <v>39.518999999999998</v>
      </c>
      <c r="L838" s="50">
        <v>5.0629999999999997</v>
      </c>
      <c r="M838" s="66">
        <v>1.4E-2</v>
      </c>
      <c r="N838" s="57">
        <v>177.01499999999999</v>
      </c>
      <c r="O838" s="75">
        <v>6.5000000000000002E-2</v>
      </c>
      <c r="P838" s="96"/>
      <c r="Q838" s="93"/>
      <c r="R838" s="93"/>
      <c r="S838" s="93"/>
      <c r="T838" s="93"/>
    </row>
    <row r="839" spans="1:20" ht="14.25" customHeight="1" x14ac:dyDescent="0.35">
      <c r="A839" s="1">
        <v>2022</v>
      </c>
      <c r="B839" s="1" t="s">
        <v>26</v>
      </c>
      <c r="C839" s="1">
        <v>16</v>
      </c>
      <c r="D839" s="49">
        <v>82.375</v>
      </c>
      <c r="E839" s="50">
        <v>69.813000000000002</v>
      </c>
      <c r="F839" s="60">
        <v>78.093999999999994</v>
      </c>
      <c r="G839" s="61">
        <v>1776.2239999999999</v>
      </c>
      <c r="H839" s="62">
        <v>6.9</v>
      </c>
      <c r="I839" s="63">
        <v>2.5000000000000001E-2</v>
      </c>
      <c r="J839" s="81">
        <v>8.7159999999999993</v>
      </c>
      <c r="K839" s="61">
        <v>38.866999999999997</v>
      </c>
      <c r="L839" s="62">
        <v>5.1310000000000002</v>
      </c>
      <c r="M839" s="66">
        <v>1.4E-2</v>
      </c>
      <c r="N839" s="57">
        <v>145.49</v>
      </c>
      <c r="O839" s="80">
        <v>4.8000000000000001E-2</v>
      </c>
      <c r="P839" s="96"/>
      <c r="Q839" s="93"/>
      <c r="R839" s="93"/>
      <c r="S839" s="93"/>
      <c r="T839" s="93"/>
    </row>
    <row r="840" spans="1:20" ht="14.25" customHeight="1" x14ac:dyDescent="0.35">
      <c r="A840" s="1">
        <v>2022</v>
      </c>
      <c r="B840" s="1" t="s">
        <v>26</v>
      </c>
      <c r="C840" s="1">
        <v>17</v>
      </c>
      <c r="D840" s="49">
        <v>10.968999999999999</v>
      </c>
      <c r="E840" s="50">
        <v>9.1560000000000006</v>
      </c>
      <c r="F840" s="60">
        <v>78.400000000000006</v>
      </c>
      <c r="G840" s="61">
        <v>1710</v>
      </c>
      <c r="H840" s="62">
        <v>6.9</v>
      </c>
      <c r="I840" s="63">
        <v>0.03</v>
      </c>
      <c r="J840" s="68">
        <v>9.15</v>
      </c>
      <c r="K840" s="65">
        <v>45</v>
      </c>
      <c r="L840" s="50">
        <v>5.15</v>
      </c>
      <c r="M840" s="66">
        <v>1.9E-2</v>
      </c>
      <c r="N840" s="57">
        <v>140</v>
      </c>
      <c r="O840" s="67">
        <v>5.6000000000000001E-2</v>
      </c>
      <c r="P840" s="96"/>
      <c r="Q840" s="93"/>
      <c r="R840" s="93"/>
      <c r="S840" s="93"/>
      <c r="T840" s="93"/>
    </row>
    <row r="841" spans="1:20" ht="14.25" customHeight="1" x14ac:dyDescent="0.35">
      <c r="A841" s="1">
        <v>2022</v>
      </c>
      <c r="B841" s="1" t="s">
        <v>26</v>
      </c>
      <c r="C841" s="1">
        <v>18</v>
      </c>
      <c r="D841" s="49">
        <v>0</v>
      </c>
      <c r="E841" s="50">
        <v>0</v>
      </c>
      <c r="F841" s="123"/>
      <c r="G841" s="124"/>
      <c r="H841" s="125"/>
      <c r="I841" s="126"/>
      <c r="J841" s="127"/>
      <c r="K841" s="124"/>
      <c r="L841" s="125"/>
      <c r="M841" s="128"/>
      <c r="N841" s="129"/>
      <c r="O841" s="130"/>
      <c r="P841" s="96"/>
      <c r="Q841" s="93"/>
      <c r="R841" s="93"/>
      <c r="S841" s="93"/>
      <c r="T841" s="93"/>
    </row>
    <row r="842" spans="1:20" ht="14.25" customHeight="1" x14ac:dyDescent="0.35">
      <c r="A842" s="1">
        <v>2022</v>
      </c>
      <c r="B842" s="1" t="s">
        <v>26</v>
      </c>
      <c r="C842" s="1">
        <v>19</v>
      </c>
      <c r="D842" s="49">
        <v>0</v>
      </c>
      <c r="E842" s="50">
        <v>0</v>
      </c>
      <c r="F842" s="123"/>
      <c r="G842" s="124"/>
      <c r="H842" s="125"/>
      <c r="I842" s="126"/>
      <c r="J842" s="127"/>
      <c r="K842" s="124"/>
      <c r="L842" s="125"/>
      <c r="M842" s="128"/>
      <c r="N842" s="129"/>
      <c r="O842" s="130"/>
      <c r="P842" s="96"/>
      <c r="Q842" s="93"/>
      <c r="R842" s="93"/>
      <c r="S842" s="93"/>
      <c r="T842" s="93"/>
    </row>
    <row r="843" spans="1:20" ht="14.25" customHeight="1" x14ac:dyDescent="0.35">
      <c r="A843" s="1">
        <v>2022</v>
      </c>
      <c r="B843" s="1" t="s">
        <v>26</v>
      </c>
      <c r="C843" s="1">
        <v>20</v>
      </c>
      <c r="D843" s="49">
        <v>0</v>
      </c>
      <c r="E843" s="50">
        <v>0</v>
      </c>
      <c r="F843" s="123"/>
      <c r="G843" s="124"/>
      <c r="H843" s="125"/>
      <c r="I843" s="126"/>
      <c r="J843" s="127"/>
      <c r="K843" s="124"/>
      <c r="L843" s="125"/>
      <c r="M843" s="128"/>
      <c r="N843" s="129"/>
      <c r="O843" s="130"/>
      <c r="P843" s="96"/>
      <c r="Q843" s="93"/>
      <c r="R843" s="93"/>
      <c r="S843" s="93"/>
      <c r="T843" s="93"/>
    </row>
    <row r="844" spans="1:20" ht="14.25" customHeight="1" x14ac:dyDescent="0.35">
      <c r="A844" s="1">
        <v>2022</v>
      </c>
      <c r="B844" s="1" t="s">
        <v>26</v>
      </c>
      <c r="C844" s="1">
        <v>21</v>
      </c>
      <c r="D844" s="49">
        <v>0</v>
      </c>
      <c r="E844" s="50">
        <v>0</v>
      </c>
      <c r="F844" s="123"/>
      <c r="G844" s="124"/>
      <c r="H844" s="125"/>
      <c r="I844" s="126"/>
      <c r="J844" s="127"/>
      <c r="K844" s="124"/>
      <c r="L844" s="125"/>
      <c r="M844" s="128"/>
      <c r="N844" s="129"/>
      <c r="O844" s="130"/>
      <c r="P844" s="96"/>
      <c r="Q844" s="93"/>
      <c r="R844" s="93"/>
      <c r="S844" s="93"/>
      <c r="T844" s="93"/>
    </row>
    <row r="845" spans="1:20" ht="14.25" customHeight="1" x14ac:dyDescent="0.35">
      <c r="A845" s="1">
        <v>2022</v>
      </c>
      <c r="B845" s="1" t="s">
        <v>26</v>
      </c>
      <c r="C845" s="1">
        <v>22</v>
      </c>
      <c r="D845" s="49">
        <v>8.734</v>
      </c>
      <c r="E845" s="50">
        <v>7.1879999999999997</v>
      </c>
      <c r="F845" s="123"/>
      <c r="G845" s="124"/>
      <c r="H845" s="125"/>
      <c r="I845" s="126"/>
      <c r="J845" s="127"/>
      <c r="K845" s="124"/>
      <c r="L845" s="125"/>
      <c r="M845" s="128"/>
      <c r="N845" s="129"/>
      <c r="O845" s="130"/>
      <c r="P845" s="96"/>
      <c r="Q845" s="93"/>
      <c r="R845" s="93"/>
      <c r="S845" s="93"/>
      <c r="T845" s="93"/>
    </row>
    <row r="846" spans="1:20" ht="14.25" customHeight="1" x14ac:dyDescent="0.35">
      <c r="A846" s="1">
        <v>2022</v>
      </c>
      <c r="B846" s="1" t="s">
        <v>26</v>
      </c>
      <c r="C846" s="1">
        <v>23</v>
      </c>
      <c r="D846" s="49">
        <v>73.858999999999995</v>
      </c>
      <c r="E846" s="50">
        <v>62.813000000000002</v>
      </c>
      <c r="F846" s="60">
        <v>78.126999999999995</v>
      </c>
      <c r="G846" s="61">
        <v>1732.9459999999999</v>
      </c>
      <c r="H846" s="62">
        <v>6.9</v>
      </c>
      <c r="I846" s="63">
        <v>2.9000000000000001E-2</v>
      </c>
      <c r="J846" s="68">
        <v>9.3849999999999998</v>
      </c>
      <c r="K846" s="65">
        <v>39.058999999999997</v>
      </c>
      <c r="L846" s="50">
        <v>5.1509999999999998</v>
      </c>
      <c r="M846" s="66">
        <v>1.4E-2</v>
      </c>
      <c r="N846" s="57">
        <v>139.22399999999999</v>
      </c>
      <c r="O846" s="67">
        <v>6.2E-2</v>
      </c>
      <c r="P846" s="96"/>
      <c r="Q846" s="93"/>
      <c r="R846" s="93"/>
      <c r="S846" s="93"/>
      <c r="T846" s="93"/>
    </row>
    <row r="847" spans="1:20" ht="14.25" customHeight="1" x14ac:dyDescent="0.35">
      <c r="A847" s="1">
        <v>2022</v>
      </c>
      <c r="B847" s="1" t="s">
        <v>26</v>
      </c>
      <c r="C847" s="1">
        <v>24</v>
      </c>
      <c r="D847" s="49">
        <v>101.188</v>
      </c>
      <c r="E847" s="50">
        <v>85.906000000000006</v>
      </c>
      <c r="F847" s="60">
        <v>78.947000000000003</v>
      </c>
      <c r="G847" s="61">
        <v>1704.7860000000001</v>
      </c>
      <c r="H847" s="62">
        <v>6.9</v>
      </c>
      <c r="I847" s="63">
        <v>2.3E-2</v>
      </c>
      <c r="J847" s="68">
        <v>9.4719999999999995</v>
      </c>
      <c r="K847" s="61">
        <v>38.378</v>
      </c>
      <c r="L847" s="62">
        <v>5.09</v>
      </c>
      <c r="M847" s="66">
        <v>1.4E-2</v>
      </c>
      <c r="N847" s="57">
        <v>160.226</v>
      </c>
      <c r="O847" s="67">
        <v>5.8999999999999997E-2</v>
      </c>
      <c r="P847" s="96"/>
      <c r="Q847" s="93"/>
      <c r="R847" s="93"/>
      <c r="S847" s="93"/>
      <c r="T847" s="93"/>
    </row>
    <row r="848" spans="1:20" ht="14.25" customHeight="1" x14ac:dyDescent="0.35">
      <c r="A848" s="1">
        <v>2022</v>
      </c>
      <c r="B848" s="1" t="s">
        <v>26</v>
      </c>
      <c r="C848" s="1">
        <v>25</v>
      </c>
      <c r="D848" s="49">
        <v>96.546999999999997</v>
      </c>
      <c r="E848" s="50">
        <v>81.938000000000002</v>
      </c>
      <c r="F848" s="60">
        <v>79.16</v>
      </c>
      <c r="G848" s="61">
        <v>1653.7190000000001</v>
      </c>
      <c r="H848" s="62">
        <v>6.9</v>
      </c>
      <c r="I848" s="63">
        <v>2.3E-2</v>
      </c>
      <c r="J848" s="68">
        <v>9.3770000000000007</v>
      </c>
      <c r="K848" s="65">
        <v>36.295000000000002</v>
      </c>
      <c r="L848" s="50">
        <v>5.0599999999999996</v>
      </c>
      <c r="M848" s="66">
        <v>1.4E-2</v>
      </c>
      <c r="N848" s="57">
        <v>171.667</v>
      </c>
      <c r="O848" s="67">
        <v>0.06</v>
      </c>
      <c r="P848" s="96"/>
      <c r="Q848" s="93"/>
      <c r="R848" s="93"/>
      <c r="S848" s="93"/>
      <c r="T848" s="93"/>
    </row>
    <row r="849" spans="1:20" ht="14.25" customHeight="1" x14ac:dyDescent="0.35">
      <c r="A849" s="1">
        <v>2022</v>
      </c>
      <c r="B849" s="1" t="s">
        <v>26</v>
      </c>
      <c r="C849" s="1">
        <v>26</v>
      </c>
      <c r="D849" s="49">
        <v>98.046999999999997</v>
      </c>
      <c r="E849" s="50">
        <v>83.188000000000002</v>
      </c>
      <c r="F849" s="60">
        <v>79.102000000000004</v>
      </c>
      <c r="G849" s="61">
        <v>1749.0039999999999</v>
      </c>
      <c r="H849" s="62">
        <v>6.9</v>
      </c>
      <c r="I849" s="63">
        <v>2.3E-2</v>
      </c>
      <c r="J849" s="68">
        <v>9.5649999999999995</v>
      </c>
      <c r="K849" s="61">
        <v>37.738999999999997</v>
      </c>
      <c r="L849" s="62">
        <v>5.0670000000000002</v>
      </c>
      <c r="M849" s="66">
        <v>1.4E-2</v>
      </c>
      <c r="N849" s="57">
        <v>168.75299999999999</v>
      </c>
      <c r="O849" s="67">
        <v>6.5000000000000002E-2</v>
      </c>
      <c r="P849" s="96"/>
      <c r="Q849" s="93"/>
      <c r="R849" s="93"/>
      <c r="S849" s="93"/>
      <c r="T849" s="93"/>
    </row>
    <row r="850" spans="1:20" ht="14.25" customHeight="1" x14ac:dyDescent="0.35">
      <c r="A850" s="1">
        <v>2022</v>
      </c>
      <c r="B850" s="1" t="s">
        <v>26</v>
      </c>
      <c r="C850" s="1">
        <v>27</v>
      </c>
      <c r="D850" s="49">
        <v>107.797</v>
      </c>
      <c r="E850" s="50">
        <v>91.593999999999994</v>
      </c>
      <c r="F850" s="60">
        <v>79</v>
      </c>
      <c r="G850" s="61">
        <v>1770.7339999999999</v>
      </c>
      <c r="H850" s="62">
        <v>6.9</v>
      </c>
      <c r="I850" s="63">
        <v>2.3E-2</v>
      </c>
      <c r="J850" s="68">
        <v>9.2309999999999999</v>
      </c>
      <c r="K850" s="65">
        <v>38.28</v>
      </c>
      <c r="L850" s="50">
        <v>5.0759999999999996</v>
      </c>
      <c r="M850" s="66">
        <v>1.4E-2</v>
      </c>
      <c r="N850" s="57">
        <v>165.81299999999999</v>
      </c>
      <c r="O850" s="67">
        <v>5.8000000000000003E-2</v>
      </c>
      <c r="P850" s="96"/>
      <c r="Q850" s="93"/>
      <c r="R850" s="93"/>
      <c r="S850" s="93"/>
      <c r="T850" s="93"/>
    </row>
    <row r="851" spans="1:20" ht="14.25" customHeight="1" x14ac:dyDescent="0.35">
      <c r="A851" s="1">
        <v>2022</v>
      </c>
      <c r="B851" s="1" t="s">
        <v>26</v>
      </c>
      <c r="C851" s="1">
        <v>28</v>
      </c>
      <c r="D851" s="49">
        <v>104</v>
      </c>
      <c r="E851" s="50">
        <v>88.563000000000002</v>
      </c>
      <c r="F851" s="60">
        <v>78.846999999999994</v>
      </c>
      <c r="G851" s="61">
        <v>1762.8630000000001</v>
      </c>
      <c r="H851" s="62">
        <v>6.9</v>
      </c>
      <c r="I851" s="63">
        <v>2.3E-2</v>
      </c>
      <c r="J851" s="68">
        <v>9.1669999999999998</v>
      </c>
      <c r="K851" s="61">
        <v>38.697000000000003</v>
      </c>
      <c r="L851" s="62">
        <v>5.09</v>
      </c>
      <c r="M851" s="66">
        <v>1.4E-2</v>
      </c>
      <c r="N851" s="57">
        <v>160.124</v>
      </c>
      <c r="O851" s="67">
        <v>5.3999999999999999E-2</v>
      </c>
      <c r="P851" s="96"/>
      <c r="Q851" s="93"/>
      <c r="R851" s="93"/>
      <c r="S851" s="93"/>
      <c r="T851" s="93"/>
    </row>
    <row r="852" spans="1:20" ht="14.25" customHeight="1" x14ac:dyDescent="0.35">
      <c r="A852" s="1">
        <v>2022</v>
      </c>
      <c r="B852" s="1" t="s">
        <v>26</v>
      </c>
      <c r="C852" s="1">
        <v>29</v>
      </c>
      <c r="D852" s="49">
        <v>109.75</v>
      </c>
      <c r="E852" s="50">
        <v>93.593999999999994</v>
      </c>
      <c r="F852" s="83">
        <v>79.094999999999999</v>
      </c>
      <c r="G852" s="69">
        <v>1782.806</v>
      </c>
      <c r="H852" s="50">
        <v>6.9</v>
      </c>
      <c r="I852" s="66">
        <v>2.1999999999999999E-2</v>
      </c>
      <c r="J852" s="117">
        <v>9.2569999999999997</v>
      </c>
      <c r="K852" s="61">
        <v>39.128999999999998</v>
      </c>
      <c r="L852" s="62">
        <v>5.1449999999999996</v>
      </c>
      <c r="M852" s="66">
        <v>1.4E-2</v>
      </c>
      <c r="N852" s="57">
        <v>141.273</v>
      </c>
      <c r="O852" s="84">
        <v>5.8999999999999997E-2</v>
      </c>
      <c r="P852" s="96"/>
      <c r="Q852" s="93"/>
      <c r="R852" s="93"/>
      <c r="S852" s="93"/>
      <c r="T852" s="93"/>
    </row>
    <row r="853" spans="1:20" ht="14.25" customHeight="1" x14ac:dyDescent="0.35">
      <c r="A853" s="1">
        <v>2022</v>
      </c>
      <c r="B853" s="1" t="s">
        <v>26</v>
      </c>
      <c r="C853" s="1">
        <v>30</v>
      </c>
      <c r="D853" s="104">
        <v>108.813</v>
      </c>
      <c r="E853" s="105">
        <v>92.781000000000006</v>
      </c>
      <c r="F853" s="83">
        <v>79.283000000000001</v>
      </c>
      <c r="G853" s="69">
        <v>1749.047</v>
      </c>
      <c r="H853" s="50">
        <v>6.9</v>
      </c>
      <c r="I853" s="66">
        <v>2.1999999999999999E-2</v>
      </c>
      <c r="J853" s="117">
        <v>9.3989999999999991</v>
      </c>
      <c r="K853" s="61">
        <v>37.356999999999999</v>
      </c>
      <c r="L853" s="62">
        <v>5.1529999999999996</v>
      </c>
      <c r="M853" s="66">
        <v>1.4E-2</v>
      </c>
      <c r="N853" s="57">
        <v>138.64400000000001</v>
      </c>
      <c r="O853" s="84">
        <v>6.5000000000000002E-2</v>
      </c>
      <c r="P853" s="96"/>
      <c r="Q853" s="93"/>
      <c r="R853" s="93"/>
      <c r="S853" s="93"/>
      <c r="T853" s="93"/>
    </row>
    <row r="854" spans="1:20" ht="14.25" customHeight="1" x14ac:dyDescent="0.35">
      <c r="A854" s="1">
        <v>2022</v>
      </c>
      <c r="B854" s="1" t="s">
        <v>27</v>
      </c>
      <c r="C854" s="1">
        <v>1</v>
      </c>
      <c r="D854" s="49">
        <v>105.51600000000001</v>
      </c>
      <c r="E854" s="50">
        <v>89.968999999999994</v>
      </c>
      <c r="F854" s="51">
        <v>79.152000000000001</v>
      </c>
      <c r="G854" s="52">
        <v>1673.816</v>
      </c>
      <c r="H854" s="53">
        <v>6.9</v>
      </c>
      <c r="I854" s="54">
        <v>2.1999999999999999E-2</v>
      </c>
      <c r="J854" s="59">
        <v>9.5419999999999998</v>
      </c>
      <c r="K854" s="52">
        <v>36.225000000000001</v>
      </c>
      <c r="L854" s="55">
        <v>5.1680000000000001</v>
      </c>
      <c r="M854" s="56">
        <v>1.4E-2</v>
      </c>
      <c r="N854" s="57">
        <v>134.02000000000001</v>
      </c>
      <c r="O854" s="58">
        <v>6.2E-2</v>
      </c>
      <c r="P854" s="96"/>
      <c r="Q854" s="93"/>
      <c r="R854" s="93"/>
      <c r="S854" s="93"/>
      <c r="T854" s="93"/>
    </row>
    <row r="855" spans="1:20" ht="14.25" customHeight="1" x14ac:dyDescent="0.35">
      <c r="A855" s="1">
        <v>2022</v>
      </c>
      <c r="B855" s="1" t="s">
        <v>27</v>
      </c>
      <c r="C855" s="1">
        <v>2</v>
      </c>
      <c r="D855" s="49">
        <v>105.125</v>
      </c>
      <c r="E855" s="50">
        <v>89.406000000000006</v>
      </c>
      <c r="F855" s="60">
        <v>78.981999999999999</v>
      </c>
      <c r="G855" s="61">
        <v>1630.318</v>
      </c>
      <c r="H855" s="62">
        <v>6.9</v>
      </c>
      <c r="I855" s="63">
        <v>2.1999999999999999E-2</v>
      </c>
      <c r="J855" s="68">
        <v>9.68</v>
      </c>
      <c r="K855" s="65">
        <v>34.478999999999999</v>
      </c>
      <c r="L855" s="50">
        <v>5.1680000000000001</v>
      </c>
      <c r="M855" s="66">
        <v>1.4E-2</v>
      </c>
      <c r="N855" s="57">
        <v>133.90299999999999</v>
      </c>
      <c r="O855" s="67">
        <v>6.3E-2</v>
      </c>
      <c r="P855" s="96"/>
      <c r="Q855" s="93"/>
      <c r="R855" s="93"/>
      <c r="S855" s="93"/>
      <c r="T855" s="93"/>
    </row>
    <row r="856" spans="1:20" ht="14.25" customHeight="1" x14ac:dyDescent="0.35">
      <c r="A856" s="1">
        <v>2022</v>
      </c>
      <c r="B856" s="1" t="s">
        <v>27</v>
      </c>
      <c r="C856" s="1">
        <v>3</v>
      </c>
      <c r="D856" s="49">
        <v>106.98399999999999</v>
      </c>
      <c r="E856" s="50">
        <v>90.875</v>
      </c>
      <c r="F856" s="60">
        <v>79.147999999999996</v>
      </c>
      <c r="G856" s="61">
        <v>1726.729</v>
      </c>
      <c r="H856" s="62">
        <v>6.9</v>
      </c>
      <c r="I856" s="63">
        <v>2.1999999999999999E-2</v>
      </c>
      <c r="J856" s="68">
        <v>9.6240000000000006</v>
      </c>
      <c r="K856" s="65">
        <v>36.472999999999999</v>
      </c>
      <c r="L856" s="50">
        <v>5.1589999999999998</v>
      </c>
      <c r="M856" s="66">
        <v>1.4E-2</v>
      </c>
      <c r="N856" s="57">
        <v>136.672</v>
      </c>
      <c r="O856" s="67">
        <v>7.1999999999999995E-2</v>
      </c>
      <c r="P856" s="96"/>
      <c r="Q856" s="93"/>
      <c r="R856" s="93"/>
      <c r="S856" s="93"/>
      <c r="T856" s="93"/>
    </row>
    <row r="857" spans="1:20" ht="14.25" customHeight="1" x14ac:dyDescent="0.35">
      <c r="A857" s="1">
        <v>2022</v>
      </c>
      <c r="B857" s="1" t="s">
        <v>27</v>
      </c>
      <c r="C857" s="1">
        <v>4</v>
      </c>
      <c r="D857" s="49">
        <v>106.09399999999999</v>
      </c>
      <c r="E857" s="50">
        <v>90</v>
      </c>
      <c r="F857" s="60">
        <v>79.608999999999995</v>
      </c>
      <c r="G857" s="61">
        <v>1772.384</v>
      </c>
      <c r="H857" s="62">
        <v>6.9</v>
      </c>
      <c r="I857" s="63">
        <v>2.1999999999999999E-2</v>
      </c>
      <c r="J857" s="68">
        <v>9.2409999999999997</v>
      </c>
      <c r="K857" s="65">
        <v>38.286999999999999</v>
      </c>
      <c r="L857" s="50">
        <v>5.1539999999999999</v>
      </c>
      <c r="M857" s="66">
        <v>1.4E-2</v>
      </c>
      <c r="N857" s="57">
        <v>138.18100000000001</v>
      </c>
      <c r="O857" s="67">
        <v>6.5000000000000002E-2</v>
      </c>
      <c r="P857" s="96"/>
      <c r="Q857" s="93"/>
      <c r="R857" s="93"/>
      <c r="S857" s="93"/>
      <c r="T857" s="93"/>
    </row>
    <row r="858" spans="1:20" ht="14.25" customHeight="1" x14ac:dyDescent="0.35">
      <c r="A858" s="1">
        <v>2022</v>
      </c>
      <c r="B858" s="1" t="s">
        <v>27</v>
      </c>
      <c r="C858" s="1">
        <v>5</v>
      </c>
      <c r="D858" s="49">
        <v>105.047</v>
      </c>
      <c r="E858" s="50">
        <v>89</v>
      </c>
      <c r="F858" s="60">
        <v>79.894000000000005</v>
      </c>
      <c r="G858" s="61">
        <v>1755.7059999999999</v>
      </c>
      <c r="H858" s="62">
        <v>6.9</v>
      </c>
      <c r="I858" s="63">
        <v>2.1999999999999999E-2</v>
      </c>
      <c r="J858" s="68">
        <v>9.1679999999999993</v>
      </c>
      <c r="K858" s="65">
        <v>38.186</v>
      </c>
      <c r="L858" s="50">
        <v>5.149</v>
      </c>
      <c r="M858" s="66">
        <v>1.4E-2</v>
      </c>
      <c r="N858" s="57">
        <v>139.476</v>
      </c>
      <c r="O858" s="67">
        <v>5.8999999999999997E-2</v>
      </c>
      <c r="P858" s="96"/>
      <c r="Q858" s="93"/>
      <c r="R858" s="93"/>
      <c r="S858" s="93"/>
      <c r="T858" s="93"/>
    </row>
    <row r="859" spans="1:20" ht="14.25" customHeight="1" x14ac:dyDescent="0.35">
      <c r="A859" s="1">
        <v>2022</v>
      </c>
      <c r="B859" s="1" t="s">
        <v>27</v>
      </c>
      <c r="C859" s="1">
        <v>6</v>
      </c>
      <c r="D859" s="49">
        <v>107.89100000000001</v>
      </c>
      <c r="E859" s="50">
        <v>91.438000000000002</v>
      </c>
      <c r="F859" s="60">
        <v>79.751000000000005</v>
      </c>
      <c r="G859" s="61">
        <v>1739.6289999999999</v>
      </c>
      <c r="H859" s="62">
        <v>6.9</v>
      </c>
      <c r="I859" s="63">
        <v>3.7999999999999999E-2</v>
      </c>
      <c r="J859" s="68">
        <v>8.8810000000000002</v>
      </c>
      <c r="K859" s="65">
        <v>37.494</v>
      </c>
      <c r="L859" s="50">
        <v>5.13</v>
      </c>
      <c r="M859" s="66">
        <v>1.4E-2</v>
      </c>
      <c r="N859" s="57">
        <v>146</v>
      </c>
      <c r="O859" s="67">
        <v>5.2999999999999999E-2</v>
      </c>
      <c r="P859" s="96"/>
      <c r="Q859" s="93"/>
      <c r="R859" s="93"/>
      <c r="S859" s="93"/>
      <c r="T859" s="93"/>
    </row>
    <row r="860" spans="1:20" ht="14.25" customHeight="1" x14ac:dyDescent="0.35">
      <c r="A860" s="1">
        <v>2022</v>
      </c>
      <c r="B860" s="1" t="s">
        <v>27</v>
      </c>
      <c r="C860" s="1">
        <v>7</v>
      </c>
      <c r="D860" s="49">
        <v>108.71899999999999</v>
      </c>
      <c r="E860" s="50">
        <v>92.188000000000002</v>
      </c>
      <c r="F860" s="60">
        <v>79.789000000000001</v>
      </c>
      <c r="G860" s="61">
        <v>1750.58</v>
      </c>
      <c r="H860" s="62">
        <v>6.9</v>
      </c>
      <c r="I860" s="63">
        <v>5.2999999999999999E-2</v>
      </c>
      <c r="J860" s="68">
        <v>8.9779999999999998</v>
      </c>
      <c r="K860" s="65">
        <v>37.6</v>
      </c>
      <c r="L860" s="50">
        <v>5.1239999999999997</v>
      </c>
      <c r="M860" s="66">
        <v>1.4E-2</v>
      </c>
      <c r="N860" s="57">
        <v>148.536</v>
      </c>
      <c r="O860" s="67">
        <v>5.3999999999999999E-2</v>
      </c>
      <c r="P860" s="96"/>
      <c r="Q860" s="93"/>
      <c r="R860" s="93"/>
      <c r="S860" s="93"/>
      <c r="T860" s="93"/>
    </row>
    <row r="861" spans="1:20" ht="14.25" customHeight="1" x14ac:dyDescent="0.35">
      <c r="A861" s="1">
        <v>2022</v>
      </c>
      <c r="B861" s="1" t="s">
        <v>27</v>
      </c>
      <c r="C861" s="1">
        <v>8</v>
      </c>
      <c r="D861" s="49">
        <v>106.188</v>
      </c>
      <c r="E861" s="50">
        <v>89.968999999999994</v>
      </c>
      <c r="F861" s="60">
        <v>79.445999999999998</v>
      </c>
      <c r="G861" s="69">
        <v>1666.748</v>
      </c>
      <c r="H861" s="62">
        <v>6.9</v>
      </c>
      <c r="I861" s="63">
        <v>5.1999999999999998E-2</v>
      </c>
      <c r="J861" s="71">
        <v>8.8460000000000001</v>
      </c>
      <c r="K861" s="65">
        <v>35.194000000000003</v>
      </c>
      <c r="L861" s="50">
        <v>5.1159999999999997</v>
      </c>
      <c r="M861" s="66">
        <v>1.4E-2</v>
      </c>
      <c r="N861" s="57">
        <v>151.137</v>
      </c>
      <c r="O861" s="70">
        <v>4.9000000000000002E-2</v>
      </c>
      <c r="P861" s="96"/>
      <c r="Q861" s="93"/>
      <c r="R861" s="93"/>
      <c r="S861" s="93"/>
      <c r="T861" s="93"/>
    </row>
    <row r="862" spans="1:20" ht="14.25" customHeight="1" x14ac:dyDescent="0.35">
      <c r="A862" s="1">
        <v>2022</v>
      </c>
      <c r="B862" s="1" t="s">
        <v>27</v>
      </c>
      <c r="C862" s="1">
        <v>9</v>
      </c>
      <c r="D862" s="49">
        <v>105.5</v>
      </c>
      <c r="E862" s="50">
        <v>89.531000000000006</v>
      </c>
      <c r="F862" s="60">
        <v>78.924000000000007</v>
      </c>
      <c r="G862" s="61">
        <v>1638.2190000000001</v>
      </c>
      <c r="H862" s="62">
        <v>6.9</v>
      </c>
      <c r="I862" s="63">
        <v>5.2999999999999999E-2</v>
      </c>
      <c r="J862" s="68">
        <v>9.1240000000000006</v>
      </c>
      <c r="K862" s="65">
        <v>35.933</v>
      </c>
      <c r="L862" s="50">
        <v>5.13</v>
      </c>
      <c r="M862" s="66">
        <v>1.4E-2</v>
      </c>
      <c r="N862" s="57">
        <v>146.42400000000001</v>
      </c>
      <c r="O862" s="67">
        <v>4.9000000000000002E-2</v>
      </c>
      <c r="P862" s="96"/>
      <c r="Q862" s="93"/>
      <c r="R862" s="93"/>
      <c r="S862" s="93"/>
      <c r="T862" s="93"/>
    </row>
    <row r="863" spans="1:20" ht="14.25" customHeight="1" x14ac:dyDescent="0.35">
      <c r="A863" s="1">
        <v>2022</v>
      </c>
      <c r="B863" s="1" t="s">
        <v>27</v>
      </c>
      <c r="C863" s="1">
        <v>10</v>
      </c>
      <c r="D863" s="49">
        <v>105.703</v>
      </c>
      <c r="E863" s="50">
        <v>89.688000000000002</v>
      </c>
      <c r="F863" s="72">
        <v>78.944999999999993</v>
      </c>
      <c r="G863" s="61">
        <v>1758.404</v>
      </c>
      <c r="H863" s="62">
        <v>6.9</v>
      </c>
      <c r="I863" s="63">
        <v>5.2999999999999999E-2</v>
      </c>
      <c r="J863" s="76">
        <v>9.5410000000000004</v>
      </c>
      <c r="K863" s="65">
        <v>37.561999999999998</v>
      </c>
      <c r="L863" s="50">
        <v>5.13</v>
      </c>
      <c r="M863" s="74">
        <v>1.4E-2</v>
      </c>
      <c r="N863" s="57">
        <v>146.20099999999999</v>
      </c>
      <c r="O863" s="75">
        <v>5.8999999999999997E-2</v>
      </c>
      <c r="P863" s="96"/>
      <c r="Q863" s="93"/>
      <c r="R863" s="93"/>
      <c r="S863" s="93"/>
      <c r="T863" s="93"/>
    </row>
    <row r="864" spans="1:20" ht="14.25" customHeight="1" x14ac:dyDescent="0.35">
      <c r="A864" s="1">
        <v>2022</v>
      </c>
      <c r="B864" s="1" t="s">
        <v>27</v>
      </c>
      <c r="C864" s="1">
        <v>11</v>
      </c>
      <c r="D864" s="49">
        <v>106.03100000000001</v>
      </c>
      <c r="E864" s="50">
        <v>90.031000000000006</v>
      </c>
      <c r="F864" s="72">
        <v>78.941000000000003</v>
      </c>
      <c r="G864" s="61">
        <v>1801.1949999999999</v>
      </c>
      <c r="H864" s="62">
        <v>6.9</v>
      </c>
      <c r="I864" s="63">
        <v>5.3999999999999999E-2</v>
      </c>
      <c r="J864" s="76">
        <v>9.1880000000000006</v>
      </c>
      <c r="K864" s="65">
        <v>37.521000000000001</v>
      </c>
      <c r="L864" s="50">
        <v>5.1120000000000001</v>
      </c>
      <c r="M864" s="74">
        <v>1.4E-2</v>
      </c>
      <c r="N864" s="57">
        <v>152.464</v>
      </c>
      <c r="O864" s="75">
        <v>5.7000000000000002E-2</v>
      </c>
      <c r="P864" s="96"/>
      <c r="Q864" s="93"/>
      <c r="R864" s="93"/>
      <c r="S864" s="93"/>
      <c r="T864" s="93"/>
    </row>
    <row r="865" spans="1:20" ht="14.25" customHeight="1" x14ac:dyDescent="0.35">
      <c r="A865" s="1">
        <v>2022</v>
      </c>
      <c r="B865" s="1" t="s">
        <v>27</v>
      </c>
      <c r="C865" s="1">
        <v>12</v>
      </c>
      <c r="D865" s="49">
        <v>102.797</v>
      </c>
      <c r="E865" s="50">
        <v>87.25</v>
      </c>
      <c r="F865" s="72">
        <v>79.492000000000004</v>
      </c>
      <c r="G865" s="61">
        <v>1786.7739999999999</v>
      </c>
      <c r="H865" s="62">
        <v>6.9</v>
      </c>
      <c r="I865" s="63">
        <v>5.2999999999999999E-2</v>
      </c>
      <c r="J865" s="76">
        <v>9.2110000000000003</v>
      </c>
      <c r="K865" s="65">
        <v>36.972999999999999</v>
      </c>
      <c r="L865" s="50">
        <v>5.0979999999999999</v>
      </c>
      <c r="M865" s="74">
        <v>1.4E-2</v>
      </c>
      <c r="N865" s="57">
        <v>157.55000000000001</v>
      </c>
      <c r="O865" s="75">
        <v>5.6000000000000001E-2</v>
      </c>
      <c r="P865" s="96"/>
      <c r="Q865" s="93"/>
      <c r="R865" s="93"/>
      <c r="S865" s="93"/>
      <c r="T865" s="93"/>
    </row>
    <row r="866" spans="1:20" ht="14.25" customHeight="1" x14ac:dyDescent="0.35">
      <c r="A866" s="1">
        <v>2022</v>
      </c>
      <c r="B866" s="1" t="s">
        <v>27</v>
      </c>
      <c r="C866" s="1">
        <v>13</v>
      </c>
      <c r="D866" s="49">
        <v>111.063</v>
      </c>
      <c r="E866" s="50">
        <v>94.406000000000006</v>
      </c>
      <c r="F866" s="78">
        <v>80.076999999999998</v>
      </c>
      <c r="G866" s="61">
        <v>1790.7070000000001</v>
      </c>
      <c r="H866" s="62">
        <v>6.9</v>
      </c>
      <c r="I866" s="63">
        <v>3.3000000000000002E-2</v>
      </c>
      <c r="J866" s="81">
        <v>8.8829999999999991</v>
      </c>
      <c r="K866" s="65">
        <v>38.593000000000004</v>
      </c>
      <c r="L866" s="50">
        <v>5.0880000000000001</v>
      </c>
      <c r="M866" s="66">
        <v>1.2999999999999999E-2</v>
      </c>
      <c r="N866" s="57">
        <v>162.00200000000001</v>
      </c>
      <c r="O866" s="80">
        <v>5.3999999999999999E-2</v>
      </c>
      <c r="P866" s="96"/>
      <c r="Q866" s="93"/>
      <c r="R866" s="93"/>
      <c r="S866" s="93"/>
      <c r="T866" s="93"/>
    </row>
    <row r="867" spans="1:20" ht="14.25" customHeight="1" x14ac:dyDescent="0.35">
      <c r="A867" s="1">
        <v>2022</v>
      </c>
      <c r="B867" s="1" t="s">
        <v>27</v>
      </c>
      <c r="C867" s="1">
        <v>14</v>
      </c>
      <c r="D867" s="49">
        <v>103.328</v>
      </c>
      <c r="E867" s="50">
        <v>87.843999999999994</v>
      </c>
      <c r="F867" s="60">
        <v>80.515000000000001</v>
      </c>
      <c r="G867" s="61">
        <v>1785.5740000000001</v>
      </c>
      <c r="H867" s="62">
        <v>6.9</v>
      </c>
      <c r="I867" s="63">
        <v>2.4E-2</v>
      </c>
      <c r="J867" s="81">
        <v>9.15</v>
      </c>
      <c r="K867" s="82">
        <v>37.759</v>
      </c>
      <c r="L867" s="50">
        <v>5.1159999999999997</v>
      </c>
      <c r="M867" s="66">
        <v>1.4E-2</v>
      </c>
      <c r="N867" s="57">
        <v>150.84399999999999</v>
      </c>
      <c r="O867" s="80">
        <v>5.6000000000000001E-2</v>
      </c>
      <c r="P867" s="96"/>
      <c r="Q867" s="93"/>
      <c r="R867" s="93"/>
      <c r="S867" s="93"/>
      <c r="T867" s="93"/>
    </row>
    <row r="868" spans="1:20" ht="14.25" customHeight="1" x14ac:dyDescent="0.35">
      <c r="A868" s="1">
        <v>2022</v>
      </c>
      <c r="B868" s="1" t="s">
        <v>27</v>
      </c>
      <c r="C868" s="1">
        <v>15</v>
      </c>
      <c r="D868" s="49">
        <v>106</v>
      </c>
      <c r="E868" s="50">
        <v>90</v>
      </c>
      <c r="F868" s="60">
        <v>80.367000000000004</v>
      </c>
      <c r="G868" s="61">
        <v>1732.913</v>
      </c>
      <c r="H868" s="62">
        <v>6.9</v>
      </c>
      <c r="I868" s="63">
        <v>2.4E-2</v>
      </c>
      <c r="J868" s="76">
        <v>9.3179999999999996</v>
      </c>
      <c r="K868" s="65">
        <v>37.863999999999997</v>
      </c>
      <c r="L868" s="50">
        <v>5.1280000000000001</v>
      </c>
      <c r="M868" s="66">
        <v>1.4E-2</v>
      </c>
      <c r="N868" s="57">
        <v>146.666</v>
      </c>
      <c r="O868" s="75">
        <v>5.6000000000000001E-2</v>
      </c>
      <c r="P868" s="96"/>
      <c r="Q868" s="93"/>
      <c r="R868" s="93"/>
      <c r="S868" s="93"/>
      <c r="T868" s="93"/>
    </row>
    <row r="869" spans="1:20" ht="14.25" customHeight="1" x14ac:dyDescent="0.35">
      <c r="A869" s="1">
        <v>2022</v>
      </c>
      <c r="B869" s="1" t="s">
        <v>27</v>
      </c>
      <c r="C869" s="1">
        <v>16</v>
      </c>
      <c r="D869" s="49">
        <v>105.797</v>
      </c>
      <c r="E869" s="50">
        <v>90</v>
      </c>
      <c r="F869" s="60">
        <v>80.096000000000004</v>
      </c>
      <c r="G869" s="61">
        <v>1676.9359999999999</v>
      </c>
      <c r="H869" s="62">
        <v>6.9</v>
      </c>
      <c r="I869" s="63">
        <v>2.4E-2</v>
      </c>
      <c r="J869" s="81">
        <v>9.4280000000000008</v>
      </c>
      <c r="K869" s="61">
        <v>37.417999999999999</v>
      </c>
      <c r="L869" s="62">
        <v>5.1429999999999998</v>
      </c>
      <c r="M869" s="66">
        <v>1.4E-2</v>
      </c>
      <c r="N869" s="57">
        <v>142.15100000000001</v>
      </c>
      <c r="O869" s="80">
        <v>5.6000000000000001E-2</v>
      </c>
      <c r="P869" s="96"/>
      <c r="Q869" s="93"/>
      <c r="R869" s="93"/>
      <c r="S869" s="93"/>
      <c r="T869" s="93"/>
    </row>
    <row r="870" spans="1:20" ht="14.25" customHeight="1" x14ac:dyDescent="0.35">
      <c r="A870" s="1">
        <v>2022</v>
      </c>
      <c r="B870" s="1" t="s">
        <v>27</v>
      </c>
      <c r="C870" s="1">
        <v>17</v>
      </c>
      <c r="D870" s="49">
        <v>105.938</v>
      </c>
      <c r="E870" s="50">
        <v>89.968999999999994</v>
      </c>
      <c r="F870" s="60">
        <v>80.049000000000007</v>
      </c>
      <c r="G870" s="61">
        <v>1742.2619999999999</v>
      </c>
      <c r="H870" s="62">
        <v>6.9</v>
      </c>
      <c r="I870" s="63">
        <v>2.4E-2</v>
      </c>
      <c r="J870" s="68">
        <v>9.3889999999999993</v>
      </c>
      <c r="K870" s="65">
        <v>37.902000000000001</v>
      </c>
      <c r="L870" s="50">
        <v>5.141</v>
      </c>
      <c r="M870" s="66">
        <v>1.4E-2</v>
      </c>
      <c r="N870" s="57">
        <v>142.87700000000001</v>
      </c>
      <c r="O870" s="67">
        <v>5.8000000000000003E-2</v>
      </c>
      <c r="P870" s="96"/>
      <c r="Q870" s="93"/>
      <c r="R870" s="93"/>
      <c r="S870" s="93"/>
      <c r="T870" s="93"/>
    </row>
    <row r="871" spans="1:20" ht="14.25" customHeight="1" x14ac:dyDescent="0.35">
      <c r="A871" s="1">
        <v>2022</v>
      </c>
      <c r="B871" s="1" t="s">
        <v>27</v>
      </c>
      <c r="C871" s="1">
        <v>18</v>
      </c>
      <c r="D871" s="49">
        <v>105.953</v>
      </c>
      <c r="E871" s="50">
        <v>89.968999999999994</v>
      </c>
      <c r="F871" s="60">
        <v>80.135000000000005</v>
      </c>
      <c r="G871" s="61">
        <v>1791.7629999999999</v>
      </c>
      <c r="H871" s="62">
        <v>6.9</v>
      </c>
      <c r="I871" s="63">
        <v>2.5000000000000001E-2</v>
      </c>
      <c r="J871" s="68">
        <v>9.1859999999999999</v>
      </c>
      <c r="K871" s="61">
        <v>38.017000000000003</v>
      </c>
      <c r="L871" s="62">
        <v>5.12</v>
      </c>
      <c r="M871" s="66">
        <v>1.4E-2</v>
      </c>
      <c r="N871" s="57">
        <v>149.958</v>
      </c>
      <c r="O871" s="67">
        <v>5.6000000000000001E-2</v>
      </c>
      <c r="P871" s="96"/>
      <c r="Q871" s="93"/>
      <c r="R871" s="93"/>
      <c r="S871" s="93"/>
      <c r="T871" s="93"/>
    </row>
    <row r="872" spans="1:20" ht="14.25" customHeight="1" x14ac:dyDescent="0.35">
      <c r="A872" s="1">
        <v>2022</v>
      </c>
      <c r="B872" s="1" t="s">
        <v>27</v>
      </c>
      <c r="C872" s="1">
        <v>19</v>
      </c>
      <c r="D872" s="49">
        <v>103.938</v>
      </c>
      <c r="E872" s="50">
        <v>88.218999999999994</v>
      </c>
      <c r="F872" s="60">
        <v>80.090999999999994</v>
      </c>
      <c r="G872" s="61">
        <v>1768.1469999999999</v>
      </c>
      <c r="H872" s="62">
        <v>6.9</v>
      </c>
      <c r="I872" s="63">
        <v>2.5000000000000001E-2</v>
      </c>
      <c r="J872" s="68">
        <v>9.1210000000000004</v>
      </c>
      <c r="K872" s="65">
        <v>37.274000000000001</v>
      </c>
      <c r="L872" s="50">
        <v>5.1100000000000003</v>
      </c>
      <c r="M872" s="66">
        <v>1.4E-2</v>
      </c>
      <c r="N872" s="57">
        <v>152.75899999999999</v>
      </c>
      <c r="O872" s="67">
        <v>5.3999999999999999E-2</v>
      </c>
      <c r="P872" s="96"/>
      <c r="Q872" s="93"/>
      <c r="R872" s="93"/>
      <c r="S872" s="93"/>
      <c r="T872" s="93"/>
    </row>
    <row r="873" spans="1:20" ht="14.25" customHeight="1" x14ac:dyDescent="0.35">
      <c r="A873" s="1">
        <v>2022</v>
      </c>
      <c r="B873" s="1" t="s">
        <v>27</v>
      </c>
      <c r="C873" s="1">
        <v>20</v>
      </c>
      <c r="D873" s="49">
        <v>106.313</v>
      </c>
      <c r="E873" s="50">
        <v>90.281000000000006</v>
      </c>
      <c r="F873" s="60">
        <v>79.775000000000006</v>
      </c>
      <c r="G873" s="61">
        <v>1811.694</v>
      </c>
      <c r="H873" s="62">
        <v>6.9</v>
      </c>
      <c r="I873" s="63">
        <v>2.4E-2</v>
      </c>
      <c r="J873" s="68">
        <v>9.0609999999999999</v>
      </c>
      <c r="K873" s="61">
        <v>36.500999999999998</v>
      </c>
      <c r="L873" s="62">
        <v>5.1120000000000001</v>
      </c>
      <c r="M873" s="66">
        <v>1.4E-2</v>
      </c>
      <c r="N873" s="57">
        <v>153.41</v>
      </c>
      <c r="O873" s="67">
        <v>5.3999999999999999E-2</v>
      </c>
      <c r="P873" s="96"/>
      <c r="Q873" s="93"/>
      <c r="R873" s="93"/>
      <c r="S873" s="93"/>
      <c r="T873" s="93"/>
    </row>
    <row r="874" spans="1:20" ht="14.25" customHeight="1" x14ac:dyDescent="0.35">
      <c r="A874" s="1">
        <v>2022</v>
      </c>
      <c r="B874" s="1" t="s">
        <v>27</v>
      </c>
      <c r="C874" s="1">
        <v>21</v>
      </c>
      <c r="D874" s="49">
        <v>108.25</v>
      </c>
      <c r="E874" s="50">
        <v>91.906000000000006</v>
      </c>
      <c r="F874" s="60">
        <v>80.087000000000003</v>
      </c>
      <c r="G874" s="61">
        <v>1816.894</v>
      </c>
      <c r="H874" s="62">
        <v>6.9009999999999998</v>
      </c>
      <c r="I874" s="63">
        <v>2.4E-2</v>
      </c>
      <c r="J874" s="68">
        <v>8.9939999999999998</v>
      </c>
      <c r="K874" s="65">
        <v>38.241</v>
      </c>
      <c r="L874" s="50">
        <v>5.0999999999999996</v>
      </c>
      <c r="M874" s="66">
        <v>1.4E-2</v>
      </c>
      <c r="N874" s="57">
        <v>156.398</v>
      </c>
      <c r="O874" s="67">
        <v>5.2999999999999999E-2</v>
      </c>
      <c r="P874" s="96"/>
      <c r="Q874" s="93"/>
      <c r="R874" s="93"/>
      <c r="S874" s="93"/>
      <c r="T874" s="93"/>
    </row>
    <row r="875" spans="1:20" ht="14.25" customHeight="1" x14ac:dyDescent="0.35">
      <c r="A875" s="1">
        <v>2022</v>
      </c>
      <c r="B875" s="1" t="s">
        <v>27</v>
      </c>
      <c r="C875" s="1">
        <v>22</v>
      </c>
      <c r="D875" s="49">
        <v>107.203</v>
      </c>
      <c r="E875" s="50">
        <v>90.938000000000002</v>
      </c>
      <c r="F875" s="60">
        <v>80.113</v>
      </c>
      <c r="G875" s="61">
        <v>1742.2829999999999</v>
      </c>
      <c r="H875" s="62">
        <v>6.899</v>
      </c>
      <c r="I875" s="63">
        <v>2.3E-2</v>
      </c>
      <c r="J875" s="68">
        <v>8.8019999999999996</v>
      </c>
      <c r="K875" s="61">
        <v>37.720999999999997</v>
      </c>
      <c r="L875" s="62">
        <v>5.0679999999999996</v>
      </c>
      <c r="M875" s="66">
        <v>1.4E-2</v>
      </c>
      <c r="N875" s="57">
        <v>168.48</v>
      </c>
      <c r="O875" s="67">
        <v>4.9000000000000002E-2</v>
      </c>
      <c r="P875" s="96"/>
      <c r="Q875" s="93"/>
      <c r="R875" s="93"/>
      <c r="S875" s="93"/>
      <c r="T875" s="93"/>
    </row>
    <row r="876" spans="1:20" ht="14.25" customHeight="1" x14ac:dyDescent="0.35">
      <c r="A876" s="1">
        <v>2022</v>
      </c>
      <c r="B876" s="1" t="s">
        <v>27</v>
      </c>
      <c r="C876" s="1">
        <v>23</v>
      </c>
      <c r="D876" s="49">
        <v>103.563</v>
      </c>
      <c r="E876" s="50">
        <v>87.906000000000006</v>
      </c>
      <c r="F876" s="60">
        <v>79.751999999999995</v>
      </c>
      <c r="G876" s="61">
        <v>1683.6859999999999</v>
      </c>
      <c r="H876" s="62">
        <v>6.9</v>
      </c>
      <c r="I876" s="63">
        <v>2.4E-2</v>
      </c>
      <c r="J876" s="68">
        <v>9.0660000000000007</v>
      </c>
      <c r="K876" s="65">
        <v>35.926000000000002</v>
      </c>
      <c r="L876" s="50">
        <v>5.0670000000000002</v>
      </c>
      <c r="M876" s="66">
        <v>1.4E-2</v>
      </c>
      <c r="N876" s="57">
        <v>169.191</v>
      </c>
      <c r="O876" s="67">
        <v>0.05</v>
      </c>
      <c r="P876" s="96"/>
      <c r="Q876" s="93"/>
      <c r="R876" s="93"/>
      <c r="S876" s="93"/>
      <c r="T876" s="93"/>
    </row>
    <row r="877" spans="1:20" ht="14.25" customHeight="1" x14ac:dyDescent="0.35">
      <c r="A877" s="1">
        <v>2022</v>
      </c>
      <c r="B877" s="1" t="s">
        <v>27</v>
      </c>
      <c r="C877" s="1">
        <v>24</v>
      </c>
      <c r="D877" s="49">
        <v>104.688</v>
      </c>
      <c r="E877" s="50">
        <v>88.843999999999994</v>
      </c>
      <c r="F877" s="60">
        <v>80.075999999999993</v>
      </c>
      <c r="G877" s="61">
        <v>1787.0219999999999</v>
      </c>
      <c r="H877" s="62">
        <v>6.9</v>
      </c>
      <c r="I877" s="63">
        <v>2.4E-2</v>
      </c>
      <c r="J877" s="68">
        <v>9.3810000000000002</v>
      </c>
      <c r="K877" s="61">
        <v>37.686</v>
      </c>
      <c r="L877" s="62">
        <v>5.0679999999999996</v>
      </c>
      <c r="M877" s="66">
        <v>1.4E-2</v>
      </c>
      <c r="N877" s="57">
        <v>168.417</v>
      </c>
      <c r="O877" s="67">
        <v>5.8999999999999997E-2</v>
      </c>
      <c r="P877" s="96"/>
      <c r="Q877" s="93"/>
      <c r="R877" s="93"/>
      <c r="S877" s="93"/>
      <c r="T877" s="93"/>
    </row>
    <row r="878" spans="1:20" ht="14.25" customHeight="1" x14ac:dyDescent="0.35">
      <c r="A878" s="1">
        <v>2022</v>
      </c>
      <c r="B878" s="1" t="s">
        <v>27</v>
      </c>
      <c r="C878" s="1">
        <v>25</v>
      </c>
      <c r="D878" s="49">
        <v>106.98399999999999</v>
      </c>
      <c r="E878" s="50">
        <v>91</v>
      </c>
      <c r="F878" s="60">
        <v>80.319999999999993</v>
      </c>
      <c r="G878" s="61">
        <v>1812.9559999999999</v>
      </c>
      <c r="H878" s="62">
        <v>6.9</v>
      </c>
      <c r="I878" s="63">
        <v>2.4E-2</v>
      </c>
      <c r="J878" s="68">
        <v>9.1</v>
      </c>
      <c r="K878" s="65">
        <v>37.119</v>
      </c>
      <c r="L878" s="50">
        <v>5.101</v>
      </c>
      <c r="M878" s="66">
        <v>1.4E-2</v>
      </c>
      <c r="N878" s="57">
        <v>158.429</v>
      </c>
      <c r="O878" s="67">
        <v>0.06</v>
      </c>
      <c r="P878" s="96"/>
      <c r="Q878" s="93"/>
      <c r="R878" s="93"/>
      <c r="S878" s="93"/>
      <c r="T878" s="93"/>
    </row>
    <row r="879" spans="1:20" ht="14.25" customHeight="1" x14ac:dyDescent="0.35">
      <c r="A879" s="1">
        <v>2022</v>
      </c>
      <c r="B879" s="1" t="s">
        <v>27</v>
      </c>
      <c r="C879" s="1">
        <v>26</v>
      </c>
      <c r="D879" s="49">
        <v>110.422</v>
      </c>
      <c r="E879" s="50">
        <v>93.968999999999994</v>
      </c>
      <c r="F879" s="60">
        <v>80.495999999999995</v>
      </c>
      <c r="G879" s="61">
        <v>1800.1869999999999</v>
      </c>
      <c r="H879" s="62">
        <v>6.9</v>
      </c>
      <c r="I879" s="63">
        <v>2.5000000000000001E-2</v>
      </c>
      <c r="J879" s="68">
        <v>8.8689999999999998</v>
      </c>
      <c r="K879" s="61">
        <v>36.182000000000002</v>
      </c>
      <c r="L879" s="62">
        <v>5.1420000000000003</v>
      </c>
      <c r="M879" s="66">
        <v>1.4E-2</v>
      </c>
      <c r="N879" s="57">
        <v>142.852</v>
      </c>
      <c r="O879" s="67">
        <v>5.8999999999999997E-2</v>
      </c>
      <c r="P879" s="96"/>
      <c r="Q879" s="93"/>
      <c r="R879" s="93"/>
      <c r="S879" s="93"/>
      <c r="T879" s="93"/>
    </row>
    <row r="880" spans="1:20" ht="14.25" customHeight="1" x14ac:dyDescent="0.35">
      <c r="A880" s="1">
        <v>2022</v>
      </c>
      <c r="B880" s="1" t="s">
        <v>27</v>
      </c>
      <c r="C880" s="1">
        <v>27</v>
      </c>
      <c r="D880" s="49">
        <v>110.40600000000001</v>
      </c>
      <c r="E880" s="50">
        <v>93.968999999999994</v>
      </c>
      <c r="F880" s="60">
        <v>80.373000000000005</v>
      </c>
      <c r="G880" s="61">
        <v>1765.4860000000001</v>
      </c>
      <c r="H880" s="62">
        <v>6.9</v>
      </c>
      <c r="I880" s="63">
        <v>2.4E-2</v>
      </c>
      <c r="J880" s="68">
        <v>8.91</v>
      </c>
      <c r="K880" s="65">
        <v>35.485999999999997</v>
      </c>
      <c r="L880" s="50">
        <v>5.1520000000000001</v>
      </c>
      <c r="M880" s="66">
        <v>1.4999999999999999E-2</v>
      </c>
      <c r="N880" s="57">
        <v>139.15899999999999</v>
      </c>
      <c r="O880" s="67">
        <v>6.4000000000000001E-2</v>
      </c>
      <c r="P880" s="96"/>
      <c r="Q880" s="93"/>
      <c r="R880" s="93"/>
      <c r="S880" s="93"/>
      <c r="T880" s="93"/>
    </row>
    <row r="881" spans="1:20" ht="14.25" customHeight="1" x14ac:dyDescent="0.35">
      <c r="A881" s="1">
        <v>2022</v>
      </c>
      <c r="B881" s="1" t="s">
        <v>27</v>
      </c>
      <c r="C881" s="1">
        <v>28</v>
      </c>
      <c r="D881" s="49">
        <v>109.60899999999999</v>
      </c>
      <c r="E881" s="50">
        <v>93.343999999999994</v>
      </c>
      <c r="F881" s="60">
        <v>80.066999999999993</v>
      </c>
      <c r="G881" s="61">
        <v>1698.5989999999999</v>
      </c>
      <c r="H881" s="62">
        <v>6.9</v>
      </c>
      <c r="I881" s="63">
        <v>2.4E-2</v>
      </c>
      <c r="J881" s="68">
        <v>8.9860000000000007</v>
      </c>
      <c r="K881" s="61">
        <v>34.509</v>
      </c>
      <c r="L881" s="62">
        <v>5.1479999999999997</v>
      </c>
      <c r="M881" s="66">
        <v>1.6E-2</v>
      </c>
      <c r="N881" s="57">
        <v>140.61699999999999</v>
      </c>
      <c r="O881" s="67">
        <v>5.8999999999999997E-2</v>
      </c>
      <c r="P881" s="96"/>
      <c r="Q881" s="93"/>
      <c r="R881" s="93"/>
      <c r="S881" s="93"/>
      <c r="T881" s="93"/>
    </row>
    <row r="882" spans="1:20" ht="14.25" customHeight="1" x14ac:dyDescent="0.35">
      <c r="A882" s="1">
        <v>2022</v>
      </c>
      <c r="B882" s="1" t="s">
        <v>27</v>
      </c>
      <c r="C882" s="1">
        <v>29</v>
      </c>
      <c r="D882" s="49">
        <v>106.10899999999999</v>
      </c>
      <c r="E882" s="50">
        <v>90.281000000000006</v>
      </c>
      <c r="F882" s="83">
        <v>80.335999999999999</v>
      </c>
      <c r="G882" s="69">
        <v>1649.6610000000001</v>
      </c>
      <c r="H882" s="50">
        <v>6.9</v>
      </c>
      <c r="I882" s="66">
        <v>2.5000000000000001E-2</v>
      </c>
      <c r="J882" s="117">
        <v>8.859</v>
      </c>
      <c r="K882" s="61">
        <v>35.292999999999999</v>
      </c>
      <c r="L882" s="62">
        <v>5.1619999999999999</v>
      </c>
      <c r="M882" s="66">
        <v>1.6E-2</v>
      </c>
      <c r="N882" s="57">
        <v>136.422</v>
      </c>
      <c r="O882" s="84">
        <v>5.3999999999999999E-2</v>
      </c>
      <c r="P882" s="96"/>
      <c r="Q882" s="93"/>
      <c r="R882" s="93"/>
      <c r="S882" s="93"/>
      <c r="T882" s="93"/>
    </row>
    <row r="883" spans="1:20" ht="14.25" customHeight="1" x14ac:dyDescent="0.35">
      <c r="A883" s="1">
        <v>2022</v>
      </c>
      <c r="B883" s="1" t="s">
        <v>27</v>
      </c>
      <c r="C883" s="1">
        <v>30</v>
      </c>
      <c r="D883" s="49">
        <v>105.90600000000001</v>
      </c>
      <c r="E883" s="50">
        <v>89.968999999999994</v>
      </c>
      <c r="F883" s="83">
        <v>80.284999999999997</v>
      </c>
      <c r="G883" s="69">
        <v>1569.5350000000001</v>
      </c>
      <c r="H883" s="50">
        <v>6.9</v>
      </c>
      <c r="I883" s="66">
        <v>2.5000000000000001E-2</v>
      </c>
      <c r="J883" s="117">
        <v>8.7219999999999995</v>
      </c>
      <c r="K883" s="61">
        <v>33.985999999999997</v>
      </c>
      <c r="L883" s="62">
        <v>5.1619999999999999</v>
      </c>
      <c r="M883" s="66">
        <v>1.6E-2</v>
      </c>
      <c r="N883" s="57">
        <v>135.94900000000001</v>
      </c>
      <c r="O883" s="84">
        <v>5.0999999999999997E-2</v>
      </c>
      <c r="P883" s="96"/>
      <c r="Q883" s="93"/>
      <c r="R883" s="93"/>
      <c r="S883" s="93"/>
      <c r="T883" s="93"/>
    </row>
    <row r="884" spans="1:20" ht="14.25" customHeight="1" x14ac:dyDescent="0.35">
      <c r="A884" s="1">
        <v>2022</v>
      </c>
      <c r="B884" s="1" t="s">
        <v>27</v>
      </c>
      <c r="C884" s="1">
        <v>31</v>
      </c>
      <c r="D884" s="104">
        <v>106.46899999999999</v>
      </c>
      <c r="E884" s="105">
        <v>88.781000000000006</v>
      </c>
      <c r="F884" s="87">
        <v>80.319000000000003</v>
      </c>
      <c r="G884" s="88">
        <v>1526.9770000000001</v>
      </c>
      <c r="H884" s="89">
        <v>6.9</v>
      </c>
      <c r="I884" s="90">
        <v>2.5000000000000001E-2</v>
      </c>
      <c r="J884" s="131">
        <v>8.8610000000000007</v>
      </c>
      <c r="K884" s="61">
        <v>32.084000000000003</v>
      </c>
      <c r="L884" s="64">
        <v>5.1749999999999998</v>
      </c>
      <c r="M884" s="66">
        <v>1.6E-2</v>
      </c>
      <c r="N884" s="57">
        <v>132.17599999999999</v>
      </c>
      <c r="O884" s="66">
        <v>5.1999999999999998E-2</v>
      </c>
      <c r="P884" s="96"/>
      <c r="Q884" s="93"/>
      <c r="R884" s="93"/>
      <c r="S884" s="93"/>
      <c r="T884" s="93"/>
    </row>
    <row r="885" spans="1:20" ht="14.25" customHeight="1" x14ac:dyDescent="0.35">
      <c r="A885" s="1">
        <v>2022</v>
      </c>
      <c r="B885" s="1" t="s">
        <v>28</v>
      </c>
      <c r="C885" s="1">
        <v>1</v>
      </c>
      <c r="D885" s="49">
        <v>108.23399999999999</v>
      </c>
      <c r="E885" s="50">
        <v>90.125</v>
      </c>
      <c r="F885" s="51">
        <v>80.759</v>
      </c>
      <c r="G885" s="52">
        <v>1652.8979999999999</v>
      </c>
      <c r="H885" s="53">
        <v>6.9</v>
      </c>
      <c r="I885" s="54">
        <v>2.5999999999999999E-2</v>
      </c>
      <c r="J885" s="59">
        <v>8.9619999999999997</v>
      </c>
      <c r="K885" s="52">
        <v>34.366999999999997</v>
      </c>
      <c r="L885" s="55">
        <v>5.16</v>
      </c>
      <c r="M885" s="56">
        <v>1.6E-2</v>
      </c>
      <c r="N885" s="57">
        <v>136.33099999999999</v>
      </c>
      <c r="O885" s="58">
        <v>6.6000000000000003E-2</v>
      </c>
      <c r="P885" s="96"/>
      <c r="Q885" s="93"/>
      <c r="R885" s="93"/>
      <c r="S885" s="93"/>
      <c r="T885" s="93"/>
    </row>
    <row r="886" spans="1:20" ht="14.25" customHeight="1" x14ac:dyDescent="0.35">
      <c r="A886" s="1">
        <v>2022</v>
      </c>
      <c r="B886" s="1" t="s">
        <v>28</v>
      </c>
      <c r="C886" s="1">
        <v>2</v>
      </c>
      <c r="D886" s="49">
        <v>108.34399999999999</v>
      </c>
      <c r="E886" s="50">
        <v>91.313000000000002</v>
      </c>
      <c r="F886" s="60">
        <v>80.742000000000004</v>
      </c>
      <c r="G886" s="61">
        <v>1680.816</v>
      </c>
      <c r="H886" s="62">
        <v>6.9</v>
      </c>
      <c r="I886" s="63">
        <v>2.7E-2</v>
      </c>
      <c r="J886" s="68">
        <v>9</v>
      </c>
      <c r="K886" s="65">
        <v>35.100999999999999</v>
      </c>
      <c r="L886" s="50">
        <v>5.1509999999999998</v>
      </c>
      <c r="M886" s="66">
        <v>1.6E-2</v>
      </c>
      <c r="N886" s="57">
        <v>139.27799999999999</v>
      </c>
      <c r="O886" s="67">
        <v>6.7000000000000004E-2</v>
      </c>
      <c r="P886" s="96"/>
      <c r="Q886" s="93"/>
      <c r="R886" s="93"/>
      <c r="S886" s="93"/>
      <c r="T886" s="93"/>
    </row>
    <row r="887" spans="1:20" ht="14.25" customHeight="1" x14ac:dyDescent="0.35">
      <c r="A887" s="1">
        <v>2022</v>
      </c>
      <c r="B887" s="1" t="s">
        <v>28</v>
      </c>
      <c r="C887" s="1">
        <v>3</v>
      </c>
      <c r="D887" s="49">
        <v>110.40600000000001</v>
      </c>
      <c r="E887" s="50">
        <v>93.813000000000002</v>
      </c>
      <c r="F887" s="60">
        <v>80.691000000000003</v>
      </c>
      <c r="G887" s="61">
        <v>1686</v>
      </c>
      <c r="H887" s="62">
        <v>6.9</v>
      </c>
      <c r="I887" s="63">
        <v>2.9000000000000001E-2</v>
      </c>
      <c r="J887" s="68">
        <v>8.7829999999999995</v>
      </c>
      <c r="K887" s="65">
        <v>32.566000000000003</v>
      </c>
      <c r="L887" s="50">
        <v>5.1050000000000004</v>
      </c>
      <c r="M887" s="66">
        <v>1.4999999999999999E-2</v>
      </c>
      <c r="N887" s="57">
        <v>154.30500000000001</v>
      </c>
      <c r="O887" s="67">
        <v>6.0999999999999999E-2</v>
      </c>
      <c r="P887" s="96"/>
      <c r="Q887" s="93"/>
      <c r="R887" s="93"/>
      <c r="S887" s="93"/>
      <c r="T887" s="93"/>
    </row>
    <row r="888" spans="1:20" ht="14.25" customHeight="1" x14ac:dyDescent="0.35">
      <c r="A888" s="1">
        <v>2022</v>
      </c>
      <c r="B888" s="1" t="s">
        <v>28</v>
      </c>
      <c r="C888" s="1">
        <v>4</v>
      </c>
      <c r="D888" s="49">
        <v>109.90600000000001</v>
      </c>
      <c r="E888" s="50">
        <v>93.375</v>
      </c>
      <c r="F888" s="60">
        <v>80.858000000000004</v>
      </c>
      <c r="G888" s="61">
        <v>1674.43</v>
      </c>
      <c r="H888" s="62">
        <v>6.9</v>
      </c>
      <c r="I888" s="63">
        <v>2.5999999999999999E-2</v>
      </c>
      <c r="J888" s="68">
        <v>8.6760000000000002</v>
      </c>
      <c r="K888" s="65">
        <v>33.368000000000002</v>
      </c>
      <c r="L888" s="50">
        <v>5.1479999999999997</v>
      </c>
      <c r="M888" s="66">
        <v>1.4999999999999999E-2</v>
      </c>
      <c r="N888" s="57">
        <v>140.88800000000001</v>
      </c>
      <c r="O888" s="67">
        <v>5.7000000000000002E-2</v>
      </c>
      <c r="P888" s="96"/>
      <c r="Q888" s="93"/>
      <c r="R888" s="93"/>
      <c r="S888" s="93"/>
      <c r="T888" s="93"/>
    </row>
    <row r="889" spans="1:20" ht="14.25" customHeight="1" x14ac:dyDescent="0.35">
      <c r="A889" s="1">
        <v>2022</v>
      </c>
      <c r="B889" s="1" t="s">
        <v>28</v>
      </c>
      <c r="C889" s="1">
        <v>5</v>
      </c>
      <c r="D889" s="49">
        <v>107.563</v>
      </c>
      <c r="E889" s="50">
        <v>91.343999999999994</v>
      </c>
      <c r="F889" s="60">
        <v>81.040000000000006</v>
      </c>
      <c r="G889" s="61">
        <v>1602.825</v>
      </c>
      <c r="H889" s="62">
        <v>6.9</v>
      </c>
      <c r="I889" s="63">
        <v>2.4E-2</v>
      </c>
      <c r="J889" s="68">
        <v>8.76</v>
      </c>
      <c r="K889" s="65">
        <v>32.027000000000001</v>
      </c>
      <c r="L889" s="50">
        <v>5.18</v>
      </c>
      <c r="M889" s="66">
        <v>1.6E-2</v>
      </c>
      <c r="N889" s="57">
        <v>130.48599999999999</v>
      </c>
      <c r="O889" s="67">
        <v>5.1999999999999998E-2</v>
      </c>
      <c r="P889" s="96"/>
      <c r="Q889" s="93"/>
      <c r="R889" s="93"/>
      <c r="S889" s="93"/>
      <c r="T889" s="93"/>
    </row>
    <row r="890" spans="1:20" ht="14.25" customHeight="1" x14ac:dyDescent="0.35">
      <c r="A890" s="1">
        <v>2022</v>
      </c>
      <c r="B890" s="1" t="s">
        <v>28</v>
      </c>
      <c r="C890" s="1">
        <v>6</v>
      </c>
      <c r="D890" s="49">
        <v>106.03100000000001</v>
      </c>
      <c r="E890" s="50">
        <v>89.968999999999994</v>
      </c>
      <c r="F890" s="60">
        <v>81.171000000000006</v>
      </c>
      <c r="G890" s="61">
        <v>1547.8430000000001</v>
      </c>
      <c r="H890" s="62">
        <v>6.9</v>
      </c>
      <c r="I890" s="63">
        <v>2.5000000000000001E-2</v>
      </c>
      <c r="J890" s="68">
        <v>8.8160000000000007</v>
      </c>
      <c r="K890" s="65">
        <v>31.954999999999998</v>
      </c>
      <c r="L890" s="50">
        <v>5.1920000000000002</v>
      </c>
      <c r="M890" s="66">
        <v>1.6E-2</v>
      </c>
      <c r="N890" s="57">
        <v>127.051</v>
      </c>
      <c r="O890" s="67">
        <v>5.5E-2</v>
      </c>
      <c r="P890" s="96"/>
      <c r="Q890" s="93"/>
      <c r="R890" s="93"/>
      <c r="S890" s="93"/>
      <c r="T890" s="93"/>
    </row>
    <row r="891" spans="1:20" ht="14.25" customHeight="1" x14ac:dyDescent="0.35">
      <c r="A891" s="1">
        <v>2022</v>
      </c>
      <c r="B891" s="1" t="s">
        <v>28</v>
      </c>
      <c r="C891" s="1">
        <v>7</v>
      </c>
      <c r="D891" s="49">
        <v>105.938</v>
      </c>
      <c r="E891" s="50">
        <v>90</v>
      </c>
      <c r="F891" s="60">
        <v>81.429000000000002</v>
      </c>
      <c r="G891" s="61">
        <v>1623.002</v>
      </c>
      <c r="H891" s="62">
        <v>6.9</v>
      </c>
      <c r="I891" s="63">
        <v>2.4E-2</v>
      </c>
      <c r="J891" s="68">
        <v>9.1010000000000009</v>
      </c>
      <c r="K891" s="65">
        <v>33.564</v>
      </c>
      <c r="L891" s="50">
        <v>5.1950000000000003</v>
      </c>
      <c r="M891" s="66">
        <v>1.6E-2</v>
      </c>
      <c r="N891" s="57">
        <v>125.983</v>
      </c>
      <c r="O891" s="67">
        <v>6.4000000000000001E-2</v>
      </c>
      <c r="P891" s="96"/>
      <c r="Q891" s="93"/>
      <c r="R891" s="93"/>
      <c r="S891" s="93"/>
      <c r="T891" s="93"/>
    </row>
    <row r="892" spans="1:20" ht="14.25" customHeight="1" x14ac:dyDescent="0.35">
      <c r="A892" s="1">
        <v>2022</v>
      </c>
      <c r="B892" s="1" t="s">
        <v>28</v>
      </c>
      <c r="C892" s="1">
        <v>8</v>
      </c>
      <c r="D892" s="49">
        <v>38.484000000000002</v>
      </c>
      <c r="E892" s="50">
        <v>32.719000000000001</v>
      </c>
      <c r="F892" s="60">
        <v>80.730999999999995</v>
      </c>
      <c r="G892" s="69">
        <v>1686.546</v>
      </c>
      <c r="H892" s="62">
        <v>6.9390000000000001</v>
      </c>
      <c r="I892" s="63">
        <v>2.8000000000000001E-2</v>
      </c>
      <c r="J892" s="71">
        <v>9.02</v>
      </c>
      <c r="K892" s="65">
        <v>40.216999999999999</v>
      </c>
      <c r="L892" s="50">
        <v>5.3479999999999999</v>
      </c>
      <c r="M892" s="66">
        <v>1.9E-2</v>
      </c>
      <c r="N892" s="57">
        <v>98.76</v>
      </c>
      <c r="O892" s="70">
        <v>7.4999999999999997E-2</v>
      </c>
      <c r="P892" s="96"/>
      <c r="Q892" s="93"/>
      <c r="R892" s="93"/>
      <c r="S892" s="93"/>
      <c r="T892" s="93"/>
    </row>
    <row r="893" spans="1:20" ht="14.25" customHeight="1" x14ac:dyDescent="0.35">
      <c r="A893" s="1">
        <v>2022</v>
      </c>
      <c r="B893" s="1" t="s">
        <v>28</v>
      </c>
      <c r="C893" s="1">
        <v>9</v>
      </c>
      <c r="D893" s="49">
        <v>99.016000000000005</v>
      </c>
      <c r="E893" s="50">
        <v>84.438000000000002</v>
      </c>
      <c r="F893" s="60">
        <v>81.706999999999994</v>
      </c>
      <c r="G893" s="61">
        <v>1676.577</v>
      </c>
      <c r="H893" s="62">
        <v>6.9</v>
      </c>
      <c r="I893" s="63">
        <v>2.4E-2</v>
      </c>
      <c r="J893" s="68">
        <v>8.8379999999999992</v>
      </c>
      <c r="K893" s="65">
        <v>32.319000000000003</v>
      </c>
      <c r="L893" s="50">
        <v>5.1820000000000004</v>
      </c>
      <c r="M893" s="66">
        <v>1.6E-2</v>
      </c>
      <c r="N893" s="57">
        <v>129.88800000000001</v>
      </c>
      <c r="O893" s="67">
        <v>6.5000000000000002E-2</v>
      </c>
      <c r="P893" s="96"/>
      <c r="Q893" s="93"/>
      <c r="R893" s="93"/>
      <c r="S893" s="93"/>
      <c r="T893" s="93"/>
    </row>
    <row r="894" spans="1:20" ht="14.25" customHeight="1" x14ac:dyDescent="0.35">
      <c r="A894" s="1">
        <v>2022</v>
      </c>
      <c r="B894" s="1" t="s">
        <v>28</v>
      </c>
      <c r="C894" s="1">
        <v>10</v>
      </c>
      <c r="D894" s="49">
        <v>111.15600000000001</v>
      </c>
      <c r="E894" s="50">
        <v>94.563000000000002</v>
      </c>
      <c r="F894" s="72">
        <v>81.655000000000001</v>
      </c>
      <c r="G894" s="61">
        <v>1657.2360000000001</v>
      </c>
      <c r="H894" s="62">
        <v>6.9</v>
      </c>
      <c r="I894" s="63">
        <v>2.3E-2</v>
      </c>
      <c r="J894" s="76">
        <v>8.6150000000000002</v>
      </c>
      <c r="K894" s="65">
        <v>34.798999999999999</v>
      </c>
      <c r="L894" s="50">
        <v>5.3129999999999997</v>
      </c>
      <c r="M894" s="74">
        <v>1.6E-2</v>
      </c>
      <c r="N894" s="57">
        <v>100.253</v>
      </c>
      <c r="O894" s="75">
        <v>6.0999999999999999E-2</v>
      </c>
      <c r="P894" s="96"/>
      <c r="Q894" s="93"/>
      <c r="R894" s="93"/>
      <c r="S894" s="93"/>
      <c r="T894" s="93"/>
    </row>
    <row r="895" spans="1:20" ht="14.25" customHeight="1" x14ac:dyDescent="0.35">
      <c r="A895" s="1">
        <v>2022</v>
      </c>
      <c r="B895" s="1" t="s">
        <v>28</v>
      </c>
      <c r="C895" s="1">
        <v>11</v>
      </c>
      <c r="D895" s="49">
        <v>110.28100000000001</v>
      </c>
      <c r="E895" s="50">
        <v>93.875</v>
      </c>
      <c r="F895" s="72">
        <v>81.811000000000007</v>
      </c>
      <c r="G895" s="61">
        <v>1636.65</v>
      </c>
      <c r="H895" s="62">
        <v>6.9</v>
      </c>
      <c r="I895" s="63">
        <v>2.3E-2</v>
      </c>
      <c r="J895" s="76">
        <v>8.5589999999999993</v>
      </c>
      <c r="K895" s="65">
        <v>33.768000000000001</v>
      </c>
      <c r="L895" s="50">
        <v>5.391</v>
      </c>
      <c r="M895" s="74">
        <v>1.6E-2</v>
      </c>
      <c r="N895" s="57">
        <v>80.290000000000006</v>
      </c>
      <c r="O895" s="75">
        <v>5.8000000000000003E-2</v>
      </c>
      <c r="P895" s="96"/>
      <c r="Q895" s="93"/>
      <c r="R895" s="93"/>
      <c r="S895" s="93"/>
      <c r="T895" s="93"/>
    </row>
    <row r="896" spans="1:20" ht="14.25" customHeight="1" x14ac:dyDescent="0.35">
      <c r="A896" s="1">
        <v>2022</v>
      </c>
      <c r="B896" s="1" t="s">
        <v>28</v>
      </c>
      <c r="C896" s="1">
        <v>12</v>
      </c>
      <c r="D896" s="49">
        <v>105.813</v>
      </c>
      <c r="E896" s="50">
        <v>89.968999999999994</v>
      </c>
      <c r="F896" s="72">
        <v>81.762</v>
      </c>
      <c r="G896" s="61">
        <v>1589.1980000000001</v>
      </c>
      <c r="H896" s="62">
        <v>6.9</v>
      </c>
      <c r="I896" s="63">
        <v>2.3E-2</v>
      </c>
      <c r="J896" s="76">
        <v>8.5020000000000007</v>
      </c>
      <c r="K896" s="65">
        <v>33.487000000000002</v>
      </c>
      <c r="L896" s="50">
        <v>5.3949999999999996</v>
      </c>
      <c r="M896" s="74">
        <v>1.6E-2</v>
      </c>
      <c r="N896" s="57">
        <v>79.61</v>
      </c>
      <c r="O896" s="75">
        <v>5.5E-2</v>
      </c>
      <c r="P896" s="96"/>
      <c r="Q896" s="93"/>
      <c r="R896" s="93"/>
      <c r="S896" s="93"/>
      <c r="T896" s="93"/>
    </row>
    <row r="897" spans="1:20" ht="14.25" customHeight="1" x14ac:dyDescent="0.35">
      <c r="A897" s="1">
        <v>2022</v>
      </c>
      <c r="B897" s="1" t="s">
        <v>28</v>
      </c>
      <c r="C897" s="1">
        <v>13</v>
      </c>
      <c r="D897" s="49">
        <v>105.828</v>
      </c>
      <c r="E897" s="50">
        <v>90</v>
      </c>
      <c r="F897" s="78">
        <v>81.555999999999997</v>
      </c>
      <c r="G897" s="61">
        <v>1563.4749999999999</v>
      </c>
      <c r="H897" s="62">
        <v>6.9</v>
      </c>
      <c r="I897" s="63">
        <v>2.4E-2</v>
      </c>
      <c r="J897" s="81">
        <v>8.6440000000000001</v>
      </c>
      <c r="K897" s="65">
        <v>33.725999999999999</v>
      </c>
      <c r="L897" s="50">
        <v>5.415</v>
      </c>
      <c r="M897" s="66">
        <v>1.6E-2</v>
      </c>
      <c r="N897" s="57">
        <v>76.102999999999994</v>
      </c>
      <c r="O897" s="80">
        <v>5.5E-2</v>
      </c>
      <c r="P897" s="96"/>
      <c r="Q897" s="93"/>
      <c r="R897" s="93"/>
      <c r="S897" s="93"/>
      <c r="T897" s="93"/>
    </row>
    <row r="898" spans="1:20" ht="14.25" customHeight="1" x14ac:dyDescent="0.35">
      <c r="A898" s="1">
        <v>2022</v>
      </c>
      <c r="B898" s="1" t="s">
        <v>28</v>
      </c>
      <c r="C898" s="1">
        <v>14</v>
      </c>
      <c r="D898" s="49">
        <v>105.85899999999999</v>
      </c>
      <c r="E898" s="50">
        <v>89.875</v>
      </c>
      <c r="F898" s="60">
        <v>81.974000000000004</v>
      </c>
      <c r="G898" s="61">
        <v>1641.0360000000001</v>
      </c>
      <c r="H898" s="62">
        <v>6.9</v>
      </c>
      <c r="I898" s="63">
        <v>2.4E-2</v>
      </c>
      <c r="J898" s="81">
        <v>8.8620000000000001</v>
      </c>
      <c r="K898" s="82">
        <v>35.475999999999999</v>
      </c>
      <c r="L898" s="50">
        <v>5.4210000000000003</v>
      </c>
      <c r="M898" s="66">
        <v>1.6E-2</v>
      </c>
      <c r="N898" s="57">
        <v>74.733000000000004</v>
      </c>
      <c r="O898" s="80">
        <v>6.3E-2</v>
      </c>
      <c r="P898" s="96"/>
      <c r="Q898" s="93"/>
      <c r="R898" s="93"/>
      <c r="S898" s="93"/>
      <c r="T898" s="93"/>
    </row>
    <row r="899" spans="1:20" ht="14.25" customHeight="1" x14ac:dyDescent="0.35">
      <c r="A899" s="1">
        <v>2022</v>
      </c>
      <c r="B899" s="1" t="s">
        <v>28</v>
      </c>
      <c r="C899" s="1">
        <v>15</v>
      </c>
      <c r="D899" s="49">
        <v>106.328</v>
      </c>
      <c r="E899" s="50">
        <v>90.313000000000002</v>
      </c>
      <c r="F899" s="60">
        <v>82.23</v>
      </c>
      <c r="G899" s="61">
        <v>1694.2180000000001</v>
      </c>
      <c r="H899" s="62">
        <v>6.9</v>
      </c>
      <c r="I899" s="63">
        <v>2.4E-2</v>
      </c>
      <c r="J899" s="76">
        <v>8.6110000000000007</v>
      </c>
      <c r="K899" s="65">
        <v>36.521000000000001</v>
      </c>
      <c r="L899" s="50">
        <v>5.4139999999999997</v>
      </c>
      <c r="M899" s="66">
        <v>1.6E-2</v>
      </c>
      <c r="N899" s="57">
        <v>76.19</v>
      </c>
      <c r="O899" s="75">
        <v>6.2E-2</v>
      </c>
      <c r="P899" s="96"/>
      <c r="Q899" s="93"/>
      <c r="R899" s="93"/>
      <c r="S899" s="93"/>
      <c r="T899" s="93"/>
    </row>
    <row r="900" spans="1:20" ht="14.25" customHeight="1" x14ac:dyDescent="0.35">
      <c r="A900" s="1">
        <v>2022</v>
      </c>
      <c r="B900" s="1" t="s">
        <v>28</v>
      </c>
      <c r="C900" s="1">
        <v>16</v>
      </c>
      <c r="D900" s="49">
        <v>112.453</v>
      </c>
      <c r="E900" s="50">
        <v>95.593999999999994</v>
      </c>
      <c r="F900" s="60">
        <v>82.046999999999997</v>
      </c>
      <c r="G900" s="61">
        <v>1680.3820000000001</v>
      </c>
      <c r="H900" s="62">
        <v>6.9</v>
      </c>
      <c r="I900" s="63">
        <v>2.5000000000000001E-2</v>
      </c>
      <c r="J900" s="81">
        <v>9.0039999999999996</v>
      </c>
      <c r="K900" s="61">
        <v>36.018000000000001</v>
      </c>
      <c r="L900" s="62">
        <v>5.4240000000000004</v>
      </c>
      <c r="M900" s="66">
        <v>1.6E-2</v>
      </c>
      <c r="N900" s="57">
        <v>74.153999999999996</v>
      </c>
      <c r="O900" s="80">
        <v>7.0000000000000007E-2</v>
      </c>
      <c r="P900" s="96"/>
      <c r="Q900" s="93"/>
      <c r="R900" s="93"/>
      <c r="S900" s="93"/>
      <c r="T900" s="93"/>
    </row>
    <row r="901" spans="1:20" ht="14.25" customHeight="1" x14ac:dyDescent="0.35">
      <c r="A901" s="1">
        <v>2022</v>
      </c>
      <c r="B901" s="1" t="s">
        <v>28</v>
      </c>
      <c r="C901" s="1">
        <v>17</v>
      </c>
      <c r="D901" s="49">
        <v>113.5</v>
      </c>
      <c r="E901" s="50">
        <v>96.5</v>
      </c>
      <c r="F901" s="60">
        <v>82.034000000000006</v>
      </c>
      <c r="G901" s="61">
        <v>1686.498</v>
      </c>
      <c r="H901" s="62">
        <v>6.9</v>
      </c>
      <c r="I901" s="63">
        <v>2.4E-2</v>
      </c>
      <c r="J901" s="68">
        <v>8.4030000000000005</v>
      </c>
      <c r="K901" s="65">
        <v>36.972999999999999</v>
      </c>
      <c r="L901" s="50">
        <v>5.3440000000000003</v>
      </c>
      <c r="M901" s="66">
        <v>1.6E-2</v>
      </c>
      <c r="N901" s="57">
        <v>89.674000000000007</v>
      </c>
      <c r="O901" s="67">
        <v>5.8000000000000003E-2</v>
      </c>
      <c r="P901" s="96"/>
      <c r="Q901" s="93"/>
      <c r="R901" s="93"/>
      <c r="S901" s="93"/>
      <c r="T901" s="93"/>
    </row>
    <row r="902" spans="1:20" ht="14.25" customHeight="1" x14ac:dyDescent="0.35">
      <c r="A902" s="1">
        <v>2022</v>
      </c>
      <c r="B902" s="1" t="s">
        <v>28</v>
      </c>
      <c r="C902" s="1">
        <v>18</v>
      </c>
      <c r="D902" s="49">
        <v>112.5</v>
      </c>
      <c r="E902" s="50">
        <v>95.656000000000006</v>
      </c>
      <c r="F902" s="60">
        <v>82.031000000000006</v>
      </c>
      <c r="G902" s="61">
        <v>1668.8610000000001</v>
      </c>
      <c r="H902" s="62">
        <v>6.9</v>
      </c>
      <c r="I902" s="63">
        <v>2.4E-2</v>
      </c>
      <c r="J902" s="68">
        <v>8.4740000000000002</v>
      </c>
      <c r="K902" s="61">
        <v>37.287999999999997</v>
      </c>
      <c r="L902" s="62">
        <v>5.2619999999999996</v>
      </c>
      <c r="M902" s="66">
        <v>1.6E-2</v>
      </c>
      <c r="N902" s="57">
        <v>107.806</v>
      </c>
      <c r="O902" s="67">
        <v>5.8000000000000003E-2</v>
      </c>
      <c r="P902" s="96"/>
      <c r="Q902" s="93"/>
      <c r="R902" s="93"/>
      <c r="S902" s="93"/>
      <c r="T902" s="93"/>
    </row>
    <row r="903" spans="1:20" ht="14.25" customHeight="1" x14ac:dyDescent="0.35">
      <c r="A903" s="1">
        <v>2022</v>
      </c>
      <c r="B903" s="1" t="s">
        <v>28</v>
      </c>
      <c r="C903" s="1">
        <v>19</v>
      </c>
      <c r="D903" s="49">
        <v>109.828</v>
      </c>
      <c r="E903" s="50">
        <v>93.375</v>
      </c>
      <c r="F903" s="60">
        <v>81.965000000000003</v>
      </c>
      <c r="G903" s="61">
        <v>1599.1510000000001</v>
      </c>
      <c r="H903" s="62">
        <v>6.9</v>
      </c>
      <c r="I903" s="63">
        <v>2.4E-2</v>
      </c>
      <c r="J903" s="68">
        <v>8.3620000000000001</v>
      </c>
      <c r="K903" s="65">
        <v>35.979999999999997</v>
      </c>
      <c r="L903" s="50">
        <v>5.2640000000000002</v>
      </c>
      <c r="M903" s="66">
        <v>1.6E-2</v>
      </c>
      <c r="N903" s="57">
        <v>107.47199999999999</v>
      </c>
      <c r="O903" s="67">
        <v>5.2999999999999999E-2</v>
      </c>
      <c r="P903" s="96"/>
      <c r="Q903" s="93"/>
      <c r="R903" s="93"/>
      <c r="S903" s="93"/>
      <c r="T903" s="93"/>
    </row>
    <row r="904" spans="1:20" ht="14.25" customHeight="1" x14ac:dyDescent="0.35">
      <c r="A904" s="1">
        <v>2022</v>
      </c>
      <c r="B904" s="1" t="s">
        <v>28</v>
      </c>
      <c r="C904" s="1">
        <v>20</v>
      </c>
      <c r="D904" s="49">
        <v>101.58</v>
      </c>
      <c r="E904" s="50">
        <v>86.406000000000006</v>
      </c>
      <c r="F904" s="60">
        <v>82.36</v>
      </c>
      <c r="G904" s="61">
        <v>1567.807</v>
      </c>
      <c r="H904" s="62">
        <v>6.9</v>
      </c>
      <c r="I904" s="63">
        <v>2.4E-2</v>
      </c>
      <c r="J904" s="68">
        <v>8.6</v>
      </c>
      <c r="K904" s="61">
        <v>36.957000000000001</v>
      </c>
      <c r="L904" s="62">
        <v>5.2709999999999999</v>
      </c>
      <c r="M904" s="66">
        <v>1.6E-2</v>
      </c>
      <c r="N904" s="57">
        <v>106.029</v>
      </c>
      <c r="O904" s="67">
        <v>0.05</v>
      </c>
      <c r="P904" s="96"/>
      <c r="Q904" s="93"/>
      <c r="R904" s="93"/>
      <c r="S904" s="93"/>
      <c r="T904" s="93"/>
    </row>
    <row r="905" spans="1:20" ht="14.25" customHeight="1" x14ac:dyDescent="0.35">
      <c r="A905" s="1">
        <v>2022</v>
      </c>
      <c r="B905" s="1" t="s">
        <v>28</v>
      </c>
      <c r="C905" s="1">
        <v>21</v>
      </c>
      <c r="D905" s="49">
        <v>95.921999999999997</v>
      </c>
      <c r="E905" s="50">
        <v>81.625</v>
      </c>
      <c r="F905" s="60">
        <v>82.605000000000004</v>
      </c>
      <c r="G905" s="61">
        <v>1635.7449999999999</v>
      </c>
      <c r="H905" s="62">
        <v>6.9</v>
      </c>
      <c r="I905" s="63">
        <v>2.5000000000000001E-2</v>
      </c>
      <c r="J905" s="68">
        <v>9.1470000000000002</v>
      </c>
      <c r="K905" s="65">
        <v>38.548000000000002</v>
      </c>
      <c r="L905" s="50">
        <v>5.2880000000000003</v>
      </c>
      <c r="M905" s="66">
        <v>1.6E-2</v>
      </c>
      <c r="N905" s="57">
        <v>101.44199999999999</v>
      </c>
      <c r="O905" s="67">
        <v>5.2999999999999999E-2</v>
      </c>
      <c r="P905" s="96"/>
      <c r="Q905" s="93"/>
      <c r="R905" s="93"/>
      <c r="S905" s="93"/>
      <c r="T905" s="93"/>
    </row>
    <row r="906" spans="1:20" ht="14.25" customHeight="1" x14ac:dyDescent="0.35">
      <c r="A906" s="1">
        <v>2022</v>
      </c>
      <c r="B906" s="1" t="s">
        <v>28</v>
      </c>
      <c r="C906" s="1">
        <v>22</v>
      </c>
      <c r="D906" s="49">
        <v>98.343999999999994</v>
      </c>
      <c r="E906" s="50">
        <v>83.593999999999994</v>
      </c>
      <c r="F906" s="60">
        <v>82.918999999999997</v>
      </c>
      <c r="G906" s="61">
        <v>1662.2059999999999</v>
      </c>
      <c r="H906" s="62">
        <v>6.9</v>
      </c>
      <c r="I906" s="63">
        <v>2.4E-2</v>
      </c>
      <c r="J906" s="68">
        <v>8.8480000000000008</v>
      </c>
      <c r="K906" s="61">
        <v>39.662999999999997</v>
      </c>
      <c r="L906" s="62">
        <v>5.29</v>
      </c>
      <c r="M906" s="66">
        <v>1.6E-2</v>
      </c>
      <c r="N906" s="57">
        <v>100.878</v>
      </c>
      <c r="O906" s="67">
        <v>0.05</v>
      </c>
      <c r="P906" s="96"/>
      <c r="Q906" s="93"/>
      <c r="R906" s="93"/>
      <c r="S906" s="93"/>
      <c r="T906" s="93"/>
    </row>
    <row r="907" spans="1:20" ht="14.25" customHeight="1" x14ac:dyDescent="0.35">
      <c r="A907" s="1">
        <v>2022</v>
      </c>
      <c r="B907" s="1" t="s">
        <v>28</v>
      </c>
      <c r="C907" s="1">
        <v>23</v>
      </c>
      <c r="D907" s="49">
        <v>99.483999999999995</v>
      </c>
      <c r="E907" s="50">
        <v>84.593999999999994</v>
      </c>
      <c r="F907" s="60">
        <v>83.084999999999994</v>
      </c>
      <c r="G907" s="61">
        <v>1673.6210000000001</v>
      </c>
      <c r="H907" s="62">
        <v>6.9</v>
      </c>
      <c r="I907" s="63">
        <v>2.5000000000000001E-2</v>
      </c>
      <c r="J907" s="68">
        <v>9.0519999999999996</v>
      </c>
      <c r="K907" s="65">
        <v>39.951999999999998</v>
      </c>
      <c r="L907" s="50">
        <v>5.274</v>
      </c>
      <c r="M907" s="66">
        <v>1.6E-2</v>
      </c>
      <c r="N907" s="57">
        <v>105.67400000000001</v>
      </c>
      <c r="O907" s="67">
        <v>5.8000000000000003E-2</v>
      </c>
      <c r="P907" s="96"/>
      <c r="Q907" s="93"/>
      <c r="R907" s="93"/>
      <c r="S907" s="93"/>
      <c r="T907" s="93"/>
    </row>
    <row r="908" spans="1:20" ht="14.25" customHeight="1" x14ac:dyDescent="0.35">
      <c r="A908" s="1">
        <v>2022</v>
      </c>
      <c r="B908" s="1" t="s">
        <v>28</v>
      </c>
      <c r="C908" s="1">
        <v>24</v>
      </c>
      <c r="D908" s="49">
        <v>99.828000000000003</v>
      </c>
      <c r="E908" s="50">
        <v>84.938000000000002</v>
      </c>
      <c r="F908" s="60">
        <v>82.98</v>
      </c>
      <c r="G908" s="61">
        <v>1636.963</v>
      </c>
      <c r="H908" s="62">
        <v>6.9</v>
      </c>
      <c r="I908" s="63">
        <v>2.4E-2</v>
      </c>
      <c r="J908" s="68">
        <v>8.484</v>
      </c>
      <c r="K908" s="61">
        <v>38.899000000000001</v>
      </c>
      <c r="L908" s="62">
        <v>5.2590000000000003</v>
      </c>
      <c r="M908" s="66">
        <v>1.6E-2</v>
      </c>
      <c r="N908" s="57">
        <v>108.809</v>
      </c>
      <c r="O908" s="67">
        <v>6.5000000000000002E-2</v>
      </c>
      <c r="P908" s="96"/>
      <c r="Q908" s="93"/>
      <c r="R908" s="93"/>
      <c r="S908" s="93"/>
      <c r="T908" s="93"/>
    </row>
    <row r="909" spans="1:20" ht="14.25" customHeight="1" x14ac:dyDescent="0.35">
      <c r="A909" s="1">
        <v>2022</v>
      </c>
      <c r="B909" s="1" t="s">
        <v>28</v>
      </c>
      <c r="C909" s="1">
        <v>25</v>
      </c>
      <c r="D909" s="49">
        <v>94.108999999999995</v>
      </c>
      <c r="E909" s="50">
        <v>80.031000000000006</v>
      </c>
      <c r="F909" s="60">
        <v>82.888000000000005</v>
      </c>
      <c r="G909" s="61">
        <v>1593.606</v>
      </c>
      <c r="H909" s="62">
        <v>6.9</v>
      </c>
      <c r="I909" s="63">
        <v>2.4E-2</v>
      </c>
      <c r="J909" s="68">
        <v>8.4600000000000009</v>
      </c>
      <c r="K909" s="65">
        <v>37.497999999999998</v>
      </c>
      <c r="L909" s="50">
        <v>5.2370000000000001</v>
      </c>
      <c r="M909" s="66">
        <v>1.6E-2</v>
      </c>
      <c r="N909" s="57">
        <v>114.642</v>
      </c>
      <c r="O909" s="67">
        <v>6.2E-2</v>
      </c>
      <c r="P909" s="96"/>
      <c r="Q909" s="93"/>
      <c r="R909" s="93"/>
      <c r="S909" s="93"/>
      <c r="T909" s="93"/>
    </row>
    <row r="910" spans="1:20" ht="14.25" customHeight="1" x14ac:dyDescent="0.35">
      <c r="A910" s="1">
        <v>2022</v>
      </c>
      <c r="B910" s="1" t="s">
        <v>28</v>
      </c>
      <c r="C910" s="1">
        <v>26</v>
      </c>
      <c r="D910" s="49">
        <v>94.08</v>
      </c>
      <c r="E910" s="50">
        <v>79.968999999999994</v>
      </c>
      <c r="F910" s="60">
        <v>82.908000000000001</v>
      </c>
      <c r="G910" s="61">
        <v>1544.1880000000001</v>
      </c>
      <c r="H910" s="62">
        <v>6.9</v>
      </c>
      <c r="I910" s="63">
        <v>2.4E-2</v>
      </c>
      <c r="J910" s="68">
        <v>8.3439999999999994</v>
      </c>
      <c r="K910" s="61">
        <v>36.826999999999998</v>
      </c>
      <c r="L910" s="62">
        <v>5.242</v>
      </c>
      <c r="M910" s="66">
        <v>1.6E-2</v>
      </c>
      <c r="N910" s="57">
        <v>113.381</v>
      </c>
      <c r="O910" s="67">
        <v>5.6000000000000001E-2</v>
      </c>
      <c r="P910" s="96"/>
      <c r="Q910" s="93"/>
      <c r="R910" s="93"/>
      <c r="S910" s="93"/>
      <c r="T910" s="93"/>
    </row>
    <row r="911" spans="1:20" ht="14.25" customHeight="1" x14ac:dyDescent="0.35">
      <c r="A911" s="1">
        <v>2022</v>
      </c>
      <c r="B911" s="1" t="s">
        <v>28</v>
      </c>
      <c r="C911" s="1">
        <v>27</v>
      </c>
      <c r="D911" s="49">
        <v>96.891000000000005</v>
      </c>
      <c r="E911" s="50">
        <v>82.406000000000006</v>
      </c>
      <c r="F911" s="60">
        <v>82.855999999999995</v>
      </c>
      <c r="G911" s="61">
        <v>1516.26</v>
      </c>
      <c r="H911" s="62">
        <v>6.9</v>
      </c>
      <c r="I911" s="63">
        <v>2.4E-2</v>
      </c>
      <c r="J911" s="68">
        <v>8.6679999999999993</v>
      </c>
      <c r="K911" s="65">
        <v>36.719000000000001</v>
      </c>
      <c r="L911" s="50">
        <v>5.28</v>
      </c>
      <c r="M911" s="66">
        <v>1.6E-2</v>
      </c>
      <c r="N911" s="57">
        <v>103.486</v>
      </c>
      <c r="O911" s="67">
        <v>5.8999999999999997E-2</v>
      </c>
      <c r="P911" s="96"/>
      <c r="Q911" s="93"/>
      <c r="R911" s="93"/>
      <c r="S911" s="93"/>
      <c r="T911" s="93"/>
    </row>
    <row r="912" spans="1:20" ht="14.25" customHeight="1" x14ac:dyDescent="0.35">
      <c r="A912" s="1">
        <v>2022</v>
      </c>
      <c r="B912" s="1" t="s">
        <v>28</v>
      </c>
      <c r="C912" s="1">
        <v>28</v>
      </c>
      <c r="D912" s="49">
        <v>101.797</v>
      </c>
      <c r="E912" s="50">
        <v>86.25</v>
      </c>
      <c r="F912" s="60">
        <v>83.251999999999995</v>
      </c>
      <c r="G912" s="61">
        <v>1600.5920000000001</v>
      </c>
      <c r="H912" s="62">
        <v>6.9</v>
      </c>
      <c r="I912" s="63">
        <v>2.4E-2</v>
      </c>
      <c r="J912" s="68">
        <v>8.8160000000000007</v>
      </c>
      <c r="K912" s="61">
        <v>38.914999999999999</v>
      </c>
      <c r="L912" s="62">
        <v>5.2759999999999998</v>
      </c>
      <c r="M912" s="66">
        <v>1.6E-2</v>
      </c>
      <c r="N912" s="57">
        <v>104.259</v>
      </c>
      <c r="O912" s="67">
        <v>6.5000000000000002E-2</v>
      </c>
      <c r="P912" s="96"/>
      <c r="Q912" s="93"/>
      <c r="R912" s="93"/>
      <c r="S912" s="93"/>
      <c r="T912" s="93"/>
    </row>
    <row r="913" spans="1:20" ht="14.25" customHeight="1" x14ac:dyDescent="0.35">
      <c r="A913" s="1">
        <v>2022</v>
      </c>
      <c r="B913" s="1" t="s">
        <v>28</v>
      </c>
      <c r="C913" s="1">
        <v>29</v>
      </c>
      <c r="D913" s="49">
        <v>106.438</v>
      </c>
      <c r="E913" s="50">
        <v>89.843999999999994</v>
      </c>
      <c r="F913" s="83">
        <v>83.45</v>
      </c>
      <c r="G913" s="69">
        <v>1646.578</v>
      </c>
      <c r="H913" s="50">
        <v>6.9</v>
      </c>
      <c r="I913" s="66">
        <v>2.5000000000000001E-2</v>
      </c>
      <c r="J913" s="117">
        <v>8.6470000000000002</v>
      </c>
      <c r="K913" s="61">
        <v>39.881999999999998</v>
      </c>
      <c r="L913" s="62">
        <v>5.2880000000000003</v>
      </c>
      <c r="M913" s="66">
        <v>1.6E-2</v>
      </c>
      <c r="N913" s="57">
        <v>101.73699999999999</v>
      </c>
      <c r="O913" s="84">
        <v>6.5000000000000002E-2</v>
      </c>
      <c r="P913" s="96"/>
      <c r="Q913" s="93"/>
      <c r="R913" s="93"/>
      <c r="S913" s="93"/>
      <c r="T913" s="93"/>
    </row>
    <row r="914" spans="1:20" ht="14.25" customHeight="1" x14ac:dyDescent="0.35">
      <c r="A914" s="1">
        <v>2022</v>
      </c>
      <c r="B914" s="1" t="s">
        <v>28</v>
      </c>
      <c r="C914" s="1">
        <v>30</v>
      </c>
      <c r="D914" s="104">
        <v>105.14100000000001</v>
      </c>
      <c r="E914" s="105">
        <v>88.843999999999994</v>
      </c>
      <c r="F914" s="83">
        <v>83.489000000000004</v>
      </c>
      <c r="G914" s="69">
        <v>1650.837</v>
      </c>
      <c r="H914" s="50">
        <v>6.9</v>
      </c>
      <c r="I914" s="66">
        <v>2.5999999999999999E-2</v>
      </c>
      <c r="J914" s="117">
        <v>8.8569999999999993</v>
      </c>
      <c r="K914" s="61">
        <v>38.841999999999999</v>
      </c>
      <c r="L914" s="62">
        <v>5.2169999999999996</v>
      </c>
      <c r="M914" s="66">
        <v>1.6E-2</v>
      </c>
      <c r="N914" s="57">
        <v>121.28</v>
      </c>
      <c r="O914" s="84">
        <v>6.4000000000000001E-2</v>
      </c>
      <c r="P914" s="96"/>
      <c r="Q914" s="93"/>
      <c r="R914" s="93"/>
      <c r="S914" s="93"/>
      <c r="T914" s="93"/>
    </row>
    <row r="915" spans="1:20" ht="14.25" customHeight="1" x14ac:dyDescent="0.35">
      <c r="A915" s="1">
        <v>2022</v>
      </c>
      <c r="B915" s="1" t="s">
        <v>29</v>
      </c>
      <c r="C915" s="1">
        <v>1</v>
      </c>
      <c r="D915" s="49">
        <v>112.76600000000001</v>
      </c>
      <c r="E915" s="50">
        <v>95.313000000000002</v>
      </c>
      <c r="F915" s="51">
        <v>83.403999999999996</v>
      </c>
      <c r="G915" s="52">
        <v>1650.6610000000001</v>
      </c>
      <c r="H915" s="53">
        <v>6.9</v>
      </c>
      <c r="I915" s="54">
        <v>2.5000000000000001E-2</v>
      </c>
      <c r="J915" s="59">
        <v>8.5340000000000007</v>
      </c>
      <c r="K915" s="52">
        <v>37.253999999999998</v>
      </c>
      <c r="L915" s="55">
        <v>5.1360000000000001</v>
      </c>
      <c r="M915" s="56">
        <v>1.6E-2</v>
      </c>
      <c r="N915" s="57">
        <v>144.26599999999999</v>
      </c>
      <c r="O915" s="58">
        <v>6.2E-2</v>
      </c>
      <c r="P915" s="96"/>
      <c r="Q915" s="93"/>
      <c r="R915" s="93"/>
      <c r="S915" s="93"/>
      <c r="T915" s="93"/>
    </row>
    <row r="916" spans="1:20" ht="14.25" customHeight="1" x14ac:dyDescent="0.35">
      <c r="A916" s="1">
        <v>2022</v>
      </c>
      <c r="B916" s="1" t="s">
        <v>29</v>
      </c>
      <c r="C916" s="1">
        <v>2</v>
      </c>
      <c r="D916" s="49">
        <v>111.938</v>
      </c>
      <c r="E916" s="50">
        <v>94.718999999999994</v>
      </c>
      <c r="F916" s="60">
        <v>83.262</v>
      </c>
      <c r="G916" s="61">
        <v>1639.742</v>
      </c>
      <c r="H916" s="62">
        <v>6.9</v>
      </c>
      <c r="I916" s="63">
        <v>2.5000000000000001E-2</v>
      </c>
      <c r="J916" s="68">
        <v>8.6229999999999993</v>
      </c>
      <c r="K916" s="65">
        <v>36.161000000000001</v>
      </c>
      <c r="L916" s="50">
        <v>5.12</v>
      </c>
      <c r="M916" s="66">
        <v>1.6E-2</v>
      </c>
      <c r="N916" s="57">
        <v>149.38900000000001</v>
      </c>
      <c r="O916" s="67">
        <v>5.7000000000000002E-2</v>
      </c>
      <c r="P916" s="96"/>
      <c r="Q916" s="93"/>
      <c r="R916" s="93"/>
      <c r="S916" s="93"/>
      <c r="T916" s="93"/>
    </row>
    <row r="917" spans="1:20" ht="14.25" customHeight="1" x14ac:dyDescent="0.35">
      <c r="A917" s="1">
        <v>2022</v>
      </c>
      <c r="B917" s="1" t="s">
        <v>29</v>
      </c>
      <c r="C917" s="1">
        <v>3</v>
      </c>
      <c r="D917" s="49">
        <v>107.23399999999999</v>
      </c>
      <c r="E917" s="50">
        <v>90.688000000000002</v>
      </c>
      <c r="F917" s="60">
        <v>82.957999999999998</v>
      </c>
      <c r="G917" s="61">
        <v>1574.7</v>
      </c>
      <c r="H917" s="62">
        <v>6.9</v>
      </c>
      <c r="I917" s="63">
        <v>2.5999999999999999E-2</v>
      </c>
      <c r="J917" s="68">
        <v>8.4369999999999994</v>
      </c>
      <c r="K917" s="65">
        <v>33.75</v>
      </c>
      <c r="L917" s="50">
        <v>5.117</v>
      </c>
      <c r="M917" s="66">
        <v>1.6E-2</v>
      </c>
      <c r="N917" s="57">
        <v>150.59800000000001</v>
      </c>
      <c r="O917" s="67">
        <v>5.0999999999999997E-2</v>
      </c>
      <c r="P917" s="96"/>
      <c r="Q917" s="93"/>
      <c r="R917" s="93"/>
      <c r="S917" s="93"/>
      <c r="T917" s="93"/>
    </row>
    <row r="918" spans="1:20" ht="14.25" customHeight="1" x14ac:dyDescent="0.35">
      <c r="A918" s="1">
        <v>2022</v>
      </c>
      <c r="B918" s="1" t="s">
        <v>29</v>
      </c>
      <c r="C918" s="1">
        <v>4</v>
      </c>
      <c r="D918" s="49">
        <v>106.34399999999999</v>
      </c>
      <c r="E918" s="50">
        <v>90.031000000000006</v>
      </c>
      <c r="F918" s="60">
        <v>82.706999999999994</v>
      </c>
      <c r="G918" s="61">
        <v>1523.904</v>
      </c>
      <c r="H918" s="62">
        <v>6.9</v>
      </c>
      <c r="I918" s="63">
        <v>2.5999999999999999E-2</v>
      </c>
      <c r="J918" s="68">
        <v>8.39</v>
      </c>
      <c r="K918" s="65">
        <v>32.593000000000004</v>
      </c>
      <c r="L918" s="50">
        <v>5.1239999999999997</v>
      </c>
      <c r="M918" s="66">
        <v>1.6E-2</v>
      </c>
      <c r="N918" s="57">
        <v>147.88999999999999</v>
      </c>
      <c r="O918" s="67">
        <v>4.9000000000000002E-2</v>
      </c>
      <c r="P918" s="96"/>
      <c r="Q918" s="93"/>
      <c r="R918" s="93"/>
      <c r="S918" s="93"/>
      <c r="T918" s="93"/>
    </row>
    <row r="919" spans="1:20" ht="14.25" customHeight="1" x14ac:dyDescent="0.35">
      <c r="A919" s="1">
        <v>2022</v>
      </c>
      <c r="B919" s="1" t="s">
        <v>29</v>
      </c>
      <c r="C919" s="1">
        <v>5</v>
      </c>
      <c r="D919" s="49">
        <v>106.375</v>
      </c>
      <c r="E919" s="50">
        <v>89.968999999999994</v>
      </c>
      <c r="F919" s="60">
        <v>82.959000000000003</v>
      </c>
      <c r="G919" s="61">
        <v>1527.173</v>
      </c>
      <c r="H919" s="62">
        <v>6.9</v>
      </c>
      <c r="I919" s="63">
        <v>2.8000000000000001E-2</v>
      </c>
      <c r="J919" s="68">
        <v>8.4459999999999997</v>
      </c>
      <c r="K919" s="65">
        <v>34.438000000000002</v>
      </c>
      <c r="L919" s="50">
        <v>5.141</v>
      </c>
      <c r="M919" s="66">
        <v>1.5800000000000002E-2</v>
      </c>
      <c r="N919" s="57">
        <v>142.81399999999999</v>
      </c>
      <c r="O919" s="67">
        <v>5.1299999999999998E-2</v>
      </c>
      <c r="P919" s="96"/>
      <c r="Q919" s="93"/>
      <c r="R919" s="93"/>
      <c r="S919" s="93"/>
      <c r="T919" s="93"/>
    </row>
    <row r="920" spans="1:20" ht="14.25" customHeight="1" x14ac:dyDescent="0.35">
      <c r="A920" s="1">
        <v>2022</v>
      </c>
      <c r="B920" s="1" t="s">
        <v>29</v>
      </c>
      <c r="C920" s="1">
        <v>6</v>
      </c>
      <c r="D920" s="49">
        <v>106.73399999999999</v>
      </c>
      <c r="E920" s="50">
        <v>90.188000000000002</v>
      </c>
      <c r="F920" s="60">
        <v>83.361999999999995</v>
      </c>
      <c r="G920" s="61">
        <v>1608.825</v>
      </c>
      <c r="H920" s="62">
        <v>6.9</v>
      </c>
      <c r="I920" s="63">
        <v>2.9000000000000001E-2</v>
      </c>
      <c r="J920" s="68">
        <v>8.9420000000000002</v>
      </c>
      <c r="K920" s="65">
        <v>36.905000000000001</v>
      </c>
      <c r="L920" s="50">
        <v>5.1369999999999996</v>
      </c>
      <c r="M920" s="66">
        <v>1.6E-2</v>
      </c>
      <c r="N920" s="57">
        <v>143.36699999999999</v>
      </c>
      <c r="O920" s="67">
        <v>5.8000000000000003E-2</v>
      </c>
      <c r="P920" s="96"/>
      <c r="Q920" s="93"/>
      <c r="R920" s="93"/>
      <c r="S920" s="93"/>
      <c r="T920" s="93"/>
    </row>
    <row r="921" spans="1:20" ht="14.25" customHeight="1" x14ac:dyDescent="0.35">
      <c r="A921" s="1">
        <v>2022</v>
      </c>
      <c r="B921" s="1" t="s">
        <v>29</v>
      </c>
      <c r="C921" s="1">
        <v>7</v>
      </c>
      <c r="D921" s="49">
        <v>103.78100000000001</v>
      </c>
      <c r="E921" s="50">
        <v>87.781000000000006</v>
      </c>
      <c r="F921" s="60">
        <v>83.537000000000006</v>
      </c>
      <c r="G921" s="61">
        <v>1644.069</v>
      </c>
      <c r="H921" s="62">
        <v>6.9</v>
      </c>
      <c r="I921" s="63">
        <v>3.1E-2</v>
      </c>
      <c r="J921" s="68">
        <v>8.8889999999999993</v>
      </c>
      <c r="K921" s="65">
        <v>35.411999999999999</v>
      </c>
      <c r="L921" s="50">
        <v>5.12</v>
      </c>
      <c r="M921" s="66">
        <v>1.6E-2</v>
      </c>
      <c r="N921" s="57">
        <v>149.53899999999999</v>
      </c>
      <c r="O921" s="67">
        <v>5.5E-2</v>
      </c>
      <c r="P921" s="96"/>
      <c r="Q921" s="93"/>
      <c r="R921" s="93"/>
      <c r="S921" s="93"/>
      <c r="T921" s="93"/>
    </row>
    <row r="922" spans="1:20" ht="14.25" customHeight="1" x14ac:dyDescent="0.35">
      <c r="A922" s="1">
        <v>2022</v>
      </c>
      <c r="B922" s="1" t="s">
        <v>29</v>
      </c>
      <c r="C922" s="1">
        <v>8</v>
      </c>
      <c r="D922" s="49">
        <v>105.03100000000001</v>
      </c>
      <c r="E922" s="50">
        <v>88.813000000000002</v>
      </c>
      <c r="F922" s="60">
        <v>83.536000000000001</v>
      </c>
      <c r="G922" s="69">
        <v>1651.501</v>
      </c>
      <c r="H922" s="62">
        <v>6.9</v>
      </c>
      <c r="I922" s="63">
        <v>0.03</v>
      </c>
      <c r="J922" s="71">
        <v>8.7829999999999995</v>
      </c>
      <c r="K922" s="65">
        <v>36.372999999999998</v>
      </c>
      <c r="L922" s="50">
        <v>5.157</v>
      </c>
      <c r="M922" s="66">
        <v>1.6E-2</v>
      </c>
      <c r="N922" s="57">
        <v>137.84399999999999</v>
      </c>
      <c r="O922" s="70">
        <v>5.2999999999999999E-2</v>
      </c>
      <c r="P922" s="96"/>
      <c r="Q922" s="93"/>
      <c r="R922" s="93"/>
      <c r="S922" s="93"/>
      <c r="T922" s="93"/>
    </row>
    <row r="923" spans="1:20" ht="14.25" customHeight="1" x14ac:dyDescent="0.35">
      <c r="A923" s="1">
        <v>2022</v>
      </c>
      <c r="B923" s="1" t="s">
        <v>29</v>
      </c>
      <c r="C923" s="1">
        <v>9</v>
      </c>
      <c r="D923" s="49">
        <v>108.188</v>
      </c>
      <c r="E923" s="50">
        <v>91.563000000000002</v>
      </c>
      <c r="F923" s="60">
        <v>83.667000000000002</v>
      </c>
      <c r="G923" s="61">
        <v>1636.1569999999999</v>
      </c>
      <c r="H923" s="62">
        <v>6.9</v>
      </c>
      <c r="I923" s="63">
        <v>2.7E-2</v>
      </c>
      <c r="J923" s="68">
        <v>8.6530000000000005</v>
      </c>
      <c r="K923" s="65">
        <v>35.326999999999998</v>
      </c>
      <c r="L923" s="50">
        <v>5.1609999999999996</v>
      </c>
      <c r="M923" s="66">
        <v>1.6E-2</v>
      </c>
      <c r="N923" s="57">
        <v>135.84200000000001</v>
      </c>
      <c r="O923" s="67">
        <v>5.0999999999999997E-2</v>
      </c>
      <c r="P923" s="96"/>
      <c r="Q923" s="93"/>
      <c r="R923" s="93"/>
      <c r="S923" s="93"/>
      <c r="T923" s="93"/>
    </row>
    <row r="924" spans="1:20" ht="14.25" customHeight="1" x14ac:dyDescent="0.35">
      <c r="A924" s="1">
        <v>2022</v>
      </c>
      <c r="B924" s="1" t="s">
        <v>29</v>
      </c>
      <c r="C924" s="1">
        <v>10</v>
      </c>
      <c r="D924" s="49">
        <v>106.328</v>
      </c>
      <c r="E924" s="50">
        <v>90</v>
      </c>
      <c r="F924" s="72">
        <v>83.697000000000003</v>
      </c>
      <c r="G924" s="61">
        <v>1581.894</v>
      </c>
      <c r="H924" s="62">
        <v>6.9</v>
      </c>
      <c r="I924" s="63">
        <v>2.5000000000000001E-2</v>
      </c>
      <c r="J924" s="76">
        <v>8.5920000000000005</v>
      </c>
      <c r="K924" s="65">
        <v>33.548999999999999</v>
      </c>
      <c r="L924" s="50">
        <v>5.1379999999999999</v>
      </c>
      <c r="M924" s="74">
        <v>1.6E-2</v>
      </c>
      <c r="N924" s="57">
        <v>143.63499999999999</v>
      </c>
      <c r="O924" s="75">
        <v>4.7E-2</v>
      </c>
      <c r="P924" s="96"/>
      <c r="Q924" s="93"/>
      <c r="R924" s="93"/>
      <c r="S924" s="93"/>
      <c r="T924" s="93"/>
    </row>
    <row r="925" spans="1:20" ht="14.25" customHeight="1" x14ac:dyDescent="0.35">
      <c r="A925" s="1">
        <v>2022</v>
      </c>
      <c r="B925" s="1" t="s">
        <v>29</v>
      </c>
      <c r="C925" s="1">
        <v>11</v>
      </c>
      <c r="D925" s="49">
        <v>100.313</v>
      </c>
      <c r="E925" s="50">
        <v>84.781000000000006</v>
      </c>
      <c r="F925" s="72">
        <v>83.316000000000003</v>
      </c>
      <c r="G925" s="61">
        <v>1551.5540000000001</v>
      </c>
      <c r="H925" s="62">
        <v>6.9</v>
      </c>
      <c r="I925" s="63">
        <v>2.5999999999999999E-2</v>
      </c>
      <c r="J925" s="76">
        <v>8.9239999999999995</v>
      </c>
      <c r="K925" s="65">
        <v>37.954999999999998</v>
      </c>
      <c r="L925" s="50">
        <v>5.173</v>
      </c>
      <c r="M925" s="74">
        <v>1.6E-2</v>
      </c>
      <c r="N925" s="57">
        <v>132.28399999999999</v>
      </c>
      <c r="O925" s="75">
        <v>5.5E-2</v>
      </c>
      <c r="P925" s="96"/>
      <c r="Q925" s="93"/>
      <c r="R925" s="93"/>
      <c r="S925" s="93"/>
      <c r="T925" s="93"/>
    </row>
    <row r="926" spans="1:20" ht="14.25" customHeight="1" x14ac:dyDescent="0.35">
      <c r="A926" s="1">
        <v>2022</v>
      </c>
      <c r="B926" s="1" t="s">
        <v>29</v>
      </c>
      <c r="C926" s="1">
        <v>12</v>
      </c>
      <c r="D926" s="49">
        <v>72.016000000000005</v>
      </c>
      <c r="E926" s="50">
        <v>60.844000000000001</v>
      </c>
      <c r="F926" s="72">
        <v>83.378</v>
      </c>
      <c r="G926" s="61">
        <v>1618.443</v>
      </c>
      <c r="H926" s="62">
        <v>6.9</v>
      </c>
      <c r="I926" s="63">
        <v>2.5999999999999999E-2</v>
      </c>
      <c r="J926" s="76">
        <v>9.33</v>
      </c>
      <c r="K926" s="65">
        <v>41.323999999999998</v>
      </c>
      <c r="L926" s="50">
        <v>5.1980000000000004</v>
      </c>
      <c r="M926" s="74">
        <v>1.6E-2</v>
      </c>
      <c r="N926" s="57">
        <v>124.59699999999999</v>
      </c>
      <c r="O926" s="75">
        <v>6.3E-2</v>
      </c>
      <c r="P926" s="96"/>
      <c r="Q926" s="93"/>
      <c r="R926" s="93"/>
      <c r="S926" s="93"/>
      <c r="T926" s="93"/>
    </row>
    <row r="927" spans="1:20" ht="14.25" customHeight="1" x14ac:dyDescent="0.35">
      <c r="A927" s="1">
        <v>2022</v>
      </c>
      <c r="B927" s="1" t="s">
        <v>29</v>
      </c>
      <c r="C927" s="1">
        <v>13</v>
      </c>
      <c r="D927" s="49">
        <v>68.813000000000002</v>
      </c>
      <c r="E927" s="50">
        <v>58.063000000000002</v>
      </c>
      <c r="F927" s="78">
        <v>83.507000000000005</v>
      </c>
      <c r="G927" s="61">
        <v>1689.655</v>
      </c>
      <c r="H927" s="62">
        <v>6.9</v>
      </c>
      <c r="I927" s="63">
        <v>2.5000000000000001E-2</v>
      </c>
      <c r="J927" s="81">
        <v>8.9009999999999998</v>
      </c>
      <c r="K927" s="65">
        <v>40.268999999999998</v>
      </c>
      <c r="L927" s="50">
        <v>5.181</v>
      </c>
      <c r="M927" s="66">
        <v>1.6E-2</v>
      </c>
      <c r="N927" s="57">
        <v>129.964</v>
      </c>
      <c r="O927" s="80">
        <v>6.6000000000000003E-2</v>
      </c>
      <c r="P927" s="96"/>
      <c r="Q927" s="93"/>
      <c r="R927" s="93"/>
      <c r="S927" s="93"/>
      <c r="T927" s="93"/>
    </row>
    <row r="928" spans="1:20" ht="14.25" customHeight="1" x14ac:dyDescent="0.35">
      <c r="A928" s="1">
        <v>2022</v>
      </c>
      <c r="B928" s="1" t="s">
        <v>29</v>
      </c>
      <c r="C928" s="1">
        <v>14</v>
      </c>
      <c r="D928" s="49">
        <v>67.938000000000002</v>
      </c>
      <c r="E928" s="50">
        <v>57.530999999999999</v>
      </c>
      <c r="F928" s="60">
        <v>83.603999999999999</v>
      </c>
      <c r="G928" s="61">
        <v>1681.664</v>
      </c>
      <c r="H928" s="62">
        <v>6.9</v>
      </c>
      <c r="I928" s="63">
        <v>2.5000000000000001E-2</v>
      </c>
      <c r="J928" s="81">
        <v>8.73</v>
      </c>
      <c r="K928" s="82">
        <v>46.703000000000003</v>
      </c>
      <c r="L928" s="50">
        <v>5.2320000000000002</v>
      </c>
      <c r="M928" s="66">
        <v>1.9E-2</v>
      </c>
      <c r="N928" s="57">
        <v>115.497</v>
      </c>
      <c r="O928" s="80">
        <v>7.1999999999999995E-2</v>
      </c>
      <c r="P928" s="96"/>
      <c r="Q928" s="93"/>
      <c r="R928" s="93"/>
      <c r="S928" s="93"/>
      <c r="T928" s="93"/>
    </row>
    <row r="929" spans="1:20" ht="14.25" customHeight="1" x14ac:dyDescent="0.35">
      <c r="A929" s="1">
        <v>2022</v>
      </c>
      <c r="B929" s="1" t="s">
        <v>29</v>
      </c>
      <c r="C929" s="1">
        <v>15</v>
      </c>
      <c r="D929" s="49">
        <v>94.531000000000006</v>
      </c>
      <c r="E929" s="50">
        <v>80.031000000000006</v>
      </c>
      <c r="F929" s="60">
        <v>83.766999999999996</v>
      </c>
      <c r="G929" s="61">
        <v>1696.17</v>
      </c>
      <c r="H929" s="62">
        <v>6.9</v>
      </c>
      <c r="I929" s="63">
        <v>2.4E-2</v>
      </c>
      <c r="J929" s="76">
        <v>8.3559999999999999</v>
      </c>
      <c r="K929" s="65">
        <v>46.332999999999998</v>
      </c>
      <c r="L929" s="50">
        <v>5.2830000000000004</v>
      </c>
      <c r="M929" s="66">
        <v>1.6E-2</v>
      </c>
      <c r="N929" s="57">
        <v>103.151</v>
      </c>
      <c r="O929" s="75">
        <v>0.06</v>
      </c>
      <c r="P929" s="96"/>
      <c r="Q929" s="93"/>
      <c r="R929" s="93"/>
      <c r="S929" s="93"/>
      <c r="T929" s="93"/>
    </row>
    <row r="930" spans="1:20" ht="14.25" customHeight="1" x14ac:dyDescent="0.35">
      <c r="A930" s="1">
        <v>2022</v>
      </c>
      <c r="B930" s="1" t="s">
        <v>29</v>
      </c>
      <c r="C930" s="1">
        <v>16</v>
      </c>
      <c r="D930" s="49">
        <v>94.516000000000005</v>
      </c>
      <c r="E930" s="50">
        <v>79.968999999999994</v>
      </c>
      <c r="F930" s="60">
        <v>83.945999999999998</v>
      </c>
      <c r="G930" s="61">
        <v>1650.65</v>
      </c>
      <c r="H930" s="62">
        <v>6.9</v>
      </c>
      <c r="I930" s="63">
        <v>2.5000000000000001E-2</v>
      </c>
      <c r="J930" s="81">
        <v>8.3930000000000007</v>
      </c>
      <c r="K930" s="61">
        <v>45.837000000000003</v>
      </c>
      <c r="L930" s="62">
        <v>5.3150000000000004</v>
      </c>
      <c r="M930" s="66">
        <v>1.6E-2</v>
      </c>
      <c r="N930" s="57">
        <v>95.382000000000005</v>
      </c>
      <c r="O930" s="80">
        <v>5.7000000000000002E-2</v>
      </c>
      <c r="P930" s="96"/>
      <c r="Q930" s="93"/>
      <c r="R930" s="93"/>
      <c r="S930" s="93"/>
      <c r="T930" s="93"/>
    </row>
    <row r="931" spans="1:20" ht="14.25" customHeight="1" x14ac:dyDescent="0.35">
      <c r="A931" s="1">
        <v>2022</v>
      </c>
      <c r="B931" s="1" t="s">
        <v>29</v>
      </c>
      <c r="C931" s="1">
        <v>17</v>
      </c>
      <c r="D931" s="49">
        <v>99.656000000000006</v>
      </c>
      <c r="E931" s="50">
        <v>84.281000000000006</v>
      </c>
      <c r="F931" s="60">
        <v>84.004000000000005</v>
      </c>
      <c r="G931" s="61">
        <v>1571.7760000000001</v>
      </c>
      <c r="H931" s="62">
        <v>6.9</v>
      </c>
      <c r="I931" s="63">
        <v>2.4E-2</v>
      </c>
      <c r="J931" s="68">
        <v>8.2880000000000003</v>
      </c>
      <c r="K931" s="65">
        <v>45.746000000000002</v>
      </c>
      <c r="L931" s="50">
        <v>5.3140000000000001</v>
      </c>
      <c r="M931" s="66">
        <v>1.7999999999999999E-2</v>
      </c>
      <c r="N931" s="57">
        <v>95.582999999999998</v>
      </c>
      <c r="O931" s="67">
        <v>5.3999999999999999E-2</v>
      </c>
      <c r="P931" s="96"/>
      <c r="Q931" s="93"/>
      <c r="R931" s="93"/>
      <c r="S931" s="93"/>
      <c r="T931" s="93"/>
    </row>
    <row r="932" spans="1:20" ht="14.25" customHeight="1" x14ac:dyDescent="0.35">
      <c r="A932" s="1">
        <v>2022</v>
      </c>
      <c r="B932" s="1" t="s">
        <v>29</v>
      </c>
      <c r="C932" s="1">
        <v>18</v>
      </c>
      <c r="D932" s="49">
        <v>97.516000000000005</v>
      </c>
      <c r="E932" s="50">
        <v>82.438000000000002</v>
      </c>
      <c r="F932" s="60">
        <v>84.128</v>
      </c>
      <c r="G932" s="61">
        <v>1538.4290000000001</v>
      </c>
      <c r="H932" s="62">
        <v>6.9</v>
      </c>
      <c r="I932" s="63">
        <v>2.4E-2</v>
      </c>
      <c r="J932" s="68">
        <v>8.2270000000000003</v>
      </c>
      <c r="K932" s="61">
        <v>44.51</v>
      </c>
      <c r="L932" s="62">
        <v>5.3170000000000002</v>
      </c>
      <c r="M932" s="66">
        <v>1.6E-2</v>
      </c>
      <c r="N932" s="57">
        <v>95.051000000000002</v>
      </c>
      <c r="O932" s="67">
        <v>5.2999999999999999E-2</v>
      </c>
      <c r="P932" s="96"/>
      <c r="Q932" s="93"/>
      <c r="R932" s="93"/>
      <c r="S932" s="93"/>
      <c r="T932" s="93"/>
    </row>
    <row r="933" spans="1:20" ht="14.25" customHeight="1" x14ac:dyDescent="0.35">
      <c r="A933" s="1">
        <v>2022</v>
      </c>
      <c r="B933" s="1" t="s">
        <v>29</v>
      </c>
      <c r="C933" s="1">
        <v>19</v>
      </c>
      <c r="D933" s="49">
        <v>94.906000000000006</v>
      </c>
      <c r="E933" s="50">
        <v>80.313000000000002</v>
      </c>
      <c r="F933" s="60">
        <v>84.409000000000006</v>
      </c>
      <c r="G933" s="61">
        <v>1622.894</v>
      </c>
      <c r="H933" s="62">
        <v>6.9</v>
      </c>
      <c r="I933" s="63">
        <v>2.5000000000000001E-2</v>
      </c>
      <c r="J933" s="68">
        <v>8.5120000000000005</v>
      </c>
      <c r="K933" s="65">
        <v>45.594999999999999</v>
      </c>
      <c r="L933" s="50">
        <v>5.2939999999999996</v>
      </c>
      <c r="M933" s="66">
        <v>1.6E-2</v>
      </c>
      <c r="N933" s="57">
        <v>100.57</v>
      </c>
      <c r="O933" s="67">
        <v>5.7000000000000002E-2</v>
      </c>
      <c r="P933" s="96"/>
      <c r="Q933" s="93"/>
      <c r="R933" s="93"/>
      <c r="S933" s="93"/>
      <c r="T933" s="93"/>
    </row>
    <row r="934" spans="1:20" ht="14.25" customHeight="1" x14ac:dyDescent="0.35">
      <c r="A934" s="1">
        <v>2022</v>
      </c>
      <c r="B934" s="1" t="s">
        <v>29</v>
      </c>
      <c r="C934" s="1">
        <v>20</v>
      </c>
      <c r="D934" s="49">
        <v>101.5</v>
      </c>
      <c r="E934" s="50">
        <v>85.906000000000006</v>
      </c>
      <c r="F934" s="60">
        <v>84.52</v>
      </c>
      <c r="G934" s="61">
        <v>1661.79</v>
      </c>
      <c r="H934" s="62">
        <v>6.9</v>
      </c>
      <c r="I934" s="63">
        <v>2.5000000000000001E-2</v>
      </c>
      <c r="J934" s="68">
        <v>8.4550000000000001</v>
      </c>
      <c r="K934" s="61">
        <v>45.554000000000002</v>
      </c>
      <c r="L934" s="62">
        <v>5.2949999999999999</v>
      </c>
      <c r="M934" s="66">
        <v>1.6E-2</v>
      </c>
      <c r="N934" s="57">
        <v>99.774000000000001</v>
      </c>
      <c r="O934" s="67">
        <v>6.2E-2</v>
      </c>
      <c r="P934" s="96"/>
      <c r="Q934" s="93"/>
      <c r="R934" s="93"/>
      <c r="S934" s="93"/>
      <c r="T934" s="93"/>
    </row>
    <row r="935" spans="1:20" ht="14.25" customHeight="1" x14ac:dyDescent="0.35">
      <c r="A935" s="1">
        <v>2022</v>
      </c>
      <c r="B935" s="1" t="s">
        <v>29</v>
      </c>
      <c r="C935" s="1">
        <v>21</v>
      </c>
      <c r="D935" s="49">
        <v>108.65600000000001</v>
      </c>
      <c r="E935" s="50">
        <v>91.875</v>
      </c>
      <c r="F935" s="60">
        <v>84.382000000000005</v>
      </c>
      <c r="G935" s="61">
        <v>1655.547</v>
      </c>
      <c r="H935" s="62">
        <v>6.9</v>
      </c>
      <c r="I935" s="63">
        <v>2.5999999999999999E-2</v>
      </c>
      <c r="J935" s="68">
        <v>8.4060000000000006</v>
      </c>
      <c r="K935" s="65">
        <v>45.417000000000002</v>
      </c>
      <c r="L935" s="50">
        <v>5.298</v>
      </c>
      <c r="M935" s="66">
        <v>1.7000000000000001E-2</v>
      </c>
      <c r="N935" s="57">
        <v>99.343000000000004</v>
      </c>
      <c r="O935" s="67">
        <v>6.0999999999999999E-2</v>
      </c>
      <c r="P935" s="96"/>
      <c r="Q935" s="93"/>
      <c r="R935" s="93"/>
      <c r="S935" s="93"/>
      <c r="T935" s="93"/>
    </row>
    <row r="936" spans="1:20" ht="14.25" customHeight="1" x14ac:dyDescent="0.35">
      <c r="A936" s="1">
        <v>2022</v>
      </c>
      <c r="B936" s="1" t="s">
        <v>29</v>
      </c>
      <c r="C936" s="1">
        <v>22</v>
      </c>
      <c r="D936" s="49">
        <v>111.828</v>
      </c>
      <c r="E936" s="50">
        <v>94.5</v>
      </c>
      <c r="F936" s="60">
        <v>84.361999999999995</v>
      </c>
      <c r="G936" s="61">
        <v>1665.8820000000001</v>
      </c>
      <c r="H936" s="62">
        <v>6.9</v>
      </c>
      <c r="I936" s="63">
        <v>2.4E-2</v>
      </c>
      <c r="J936" s="68">
        <v>8.2550000000000008</v>
      </c>
      <c r="K936" s="61">
        <v>46.122</v>
      </c>
      <c r="L936" s="62">
        <v>5.3380000000000001</v>
      </c>
      <c r="M936" s="66">
        <v>1.4999999999999999E-2</v>
      </c>
      <c r="N936" s="57">
        <v>90.775999999999996</v>
      </c>
      <c r="O936" s="67">
        <v>5.8999999999999997E-2</v>
      </c>
      <c r="P936" s="96"/>
      <c r="Q936" s="93"/>
      <c r="R936" s="93"/>
      <c r="S936" s="93"/>
      <c r="T936" s="93"/>
    </row>
    <row r="937" spans="1:20" ht="14.25" customHeight="1" x14ac:dyDescent="0.35">
      <c r="A937" s="1">
        <v>2022</v>
      </c>
      <c r="B937" s="1" t="s">
        <v>29</v>
      </c>
      <c r="C937" s="1">
        <v>23</v>
      </c>
      <c r="D937" s="49">
        <v>112.39100000000001</v>
      </c>
      <c r="E937" s="50">
        <v>95</v>
      </c>
      <c r="F937" s="60">
        <v>84.376000000000005</v>
      </c>
      <c r="G937" s="61">
        <v>1628.79</v>
      </c>
      <c r="H937" s="62">
        <v>6.9</v>
      </c>
      <c r="I937" s="63">
        <v>2.5000000000000001E-2</v>
      </c>
      <c r="J937" s="68">
        <v>8.3580000000000005</v>
      </c>
      <c r="K937" s="65">
        <v>44.526000000000003</v>
      </c>
      <c r="L937" s="50">
        <v>5.3520000000000003</v>
      </c>
      <c r="M937" s="66">
        <v>1.4E-2</v>
      </c>
      <c r="N937" s="57">
        <v>87.271000000000001</v>
      </c>
      <c r="O937" s="67">
        <v>5.6000000000000001E-2</v>
      </c>
      <c r="P937" s="96"/>
      <c r="Q937" s="93"/>
      <c r="R937" s="93"/>
      <c r="S937" s="93"/>
      <c r="T937" s="93"/>
    </row>
    <row r="938" spans="1:20" ht="14.25" customHeight="1" x14ac:dyDescent="0.35">
      <c r="A938" s="1">
        <v>2022</v>
      </c>
      <c r="B938" s="1" t="s">
        <v>29</v>
      </c>
      <c r="C938" s="1">
        <v>24</v>
      </c>
      <c r="D938" s="49">
        <v>108.84399999999999</v>
      </c>
      <c r="E938" s="50">
        <v>91.968999999999994</v>
      </c>
      <c r="F938" s="60">
        <v>84.248999999999995</v>
      </c>
      <c r="G938" s="61">
        <v>1573.425</v>
      </c>
      <c r="H938" s="62">
        <v>6.9</v>
      </c>
      <c r="I938" s="63">
        <v>2.5000000000000001E-2</v>
      </c>
      <c r="J938" s="68">
        <v>8.4179999999999993</v>
      </c>
      <c r="K938" s="61">
        <v>44.561</v>
      </c>
      <c r="L938" s="62">
        <v>5.3689999999999998</v>
      </c>
      <c r="M938" s="66">
        <v>1.4E-2</v>
      </c>
      <c r="N938" s="57">
        <v>84.236000000000004</v>
      </c>
      <c r="O938" s="67">
        <v>5.5E-2</v>
      </c>
      <c r="P938" s="96"/>
      <c r="Q938" s="93"/>
      <c r="R938" s="93"/>
      <c r="S938" s="93"/>
      <c r="T938" s="93"/>
    </row>
    <row r="939" spans="1:20" ht="14.25" customHeight="1" x14ac:dyDescent="0.35">
      <c r="A939" s="1">
        <v>2022</v>
      </c>
      <c r="B939" s="1" t="s">
        <v>29</v>
      </c>
      <c r="C939" s="1">
        <v>25</v>
      </c>
      <c r="D939" s="49">
        <v>95.313000000000002</v>
      </c>
      <c r="E939" s="50">
        <v>80.593999999999994</v>
      </c>
      <c r="F939" s="60">
        <v>84.19</v>
      </c>
      <c r="G939" s="61">
        <v>1513.7190000000001</v>
      </c>
      <c r="H939" s="62">
        <v>6.9</v>
      </c>
      <c r="I939" s="63">
        <v>2.5000000000000001E-2</v>
      </c>
      <c r="J939" s="68">
        <v>8.2560000000000002</v>
      </c>
      <c r="K939" s="65">
        <v>42.56</v>
      </c>
      <c r="L939" s="50">
        <v>5.38</v>
      </c>
      <c r="M939" s="66">
        <v>1.4E-2</v>
      </c>
      <c r="N939" s="57">
        <v>82.155000000000001</v>
      </c>
      <c r="O939" s="67">
        <v>5.5E-2</v>
      </c>
      <c r="P939" s="96"/>
      <c r="Q939" s="93"/>
      <c r="R939" s="93"/>
      <c r="S939" s="93"/>
      <c r="T939" s="93"/>
    </row>
    <row r="940" spans="1:20" ht="14.25" customHeight="1" x14ac:dyDescent="0.35">
      <c r="A940" s="1">
        <v>2022</v>
      </c>
      <c r="B940" s="1" t="s">
        <v>29</v>
      </c>
      <c r="C940" s="1">
        <v>26</v>
      </c>
      <c r="D940" s="49">
        <v>103.53100000000001</v>
      </c>
      <c r="E940" s="50">
        <v>87.593999999999994</v>
      </c>
      <c r="F940" s="60">
        <v>84.38</v>
      </c>
      <c r="G940" s="61">
        <v>1596.095</v>
      </c>
      <c r="H940" s="62">
        <v>6.9</v>
      </c>
      <c r="I940" s="63">
        <v>2.5999999999999999E-2</v>
      </c>
      <c r="J940" s="68">
        <v>8.1419999999999995</v>
      </c>
      <c r="K940" s="61">
        <v>43.765999999999998</v>
      </c>
      <c r="L940" s="62">
        <v>5.3449999999999998</v>
      </c>
      <c r="M940" s="66">
        <v>1.4E-2</v>
      </c>
      <c r="N940" s="57">
        <v>88.835999999999999</v>
      </c>
      <c r="O940" s="67">
        <v>6.2E-2</v>
      </c>
      <c r="P940" s="96"/>
      <c r="Q940" s="93"/>
      <c r="R940" s="93"/>
      <c r="S940" s="93"/>
      <c r="T940" s="93"/>
    </row>
    <row r="941" spans="1:20" ht="14.25" customHeight="1" x14ac:dyDescent="0.35">
      <c r="A941" s="1">
        <v>2022</v>
      </c>
      <c r="B941" s="1" t="s">
        <v>29</v>
      </c>
      <c r="C941" s="1">
        <v>27</v>
      </c>
      <c r="D941" s="49">
        <v>109.453</v>
      </c>
      <c r="E941" s="50">
        <v>92.563000000000002</v>
      </c>
      <c r="F941" s="60">
        <v>84.438000000000002</v>
      </c>
      <c r="G941" s="61">
        <v>1642.771</v>
      </c>
      <c r="H941" s="62">
        <v>6.9</v>
      </c>
      <c r="I941" s="63">
        <v>2.5999999999999999E-2</v>
      </c>
      <c r="J941" s="68">
        <v>8.2650000000000006</v>
      </c>
      <c r="K941" s="65">
        <v>44.988</v>
      </c>
      <c r="L941" s="50">
        <v>5.33</v>
      </c>
      <c r="M941" s="66">
        <v>1.4E-2</v>
      </c>
      <c r="N941" s="57">
        <v>92.05</v>
      </c>
      <c r="O941" s="67">
        <v>5.7000000000000002E-2</v>
      </c>
      <c r="P941" s="96"/>
      <c r="Q941" s="93"/>
      <c r="R941" s="93"/>
      <c r="S941" s="93"/>
      <c r="T941" s="93"/>
    </row>
    <row r="942" spans="1:20" ht="14.25" customHeight="1" x14ac:dyDescent="0.35">
      <c r="A942" s="1">
        <v>2022</v>
      </c>
      <c r="B942" s="1" t="s">
        <v>29</v>
      </c>
      <c r="C942" s="1">
        <v>28</v>
      </c>
      <c r="D942" s="49">
        <v>112.172</v>
      </c>
      <c r="E942" s="50">
        <v>94.843999999999994</v>
      </c>
      <c r="F942" s="60">
        <v>84.641000000000005</v>
      </c>
      <c r="G942" s="61">
        <v>1665.2170000000001</v>
      </c>
      <c r="H942" s="62">
        <v>6.9</v>
      </c>
      <c r="I942" s="63">
        <v>2.5999999999999999E-2</v>
      </c>
      <c r="J942" s="68">
        <v>8.3610000000000007</v>
      </c>
      <c r="K942" s="61">
        <v>45.332000000000001</v>
      </c>
      <c r="L942" s="62">
        <v>5.4139999999999997</v>
      </c>
      <c r="M942" s="66">
        <v>1.4999999999999999E-2</v>
      </c>
      <c r="N942" s="57">
        <v>76.945999999999998</v>
      </c>
      <c r="O942" s="67">
        <v>5.7000000000000002E-2</v>
      </c>
      <c r="P942" s="96"/>
      <c r="Q942" s="93"/>
      <c r="R942" s="93"/>
      <c r="S942" s="93"/>
      <c r="T942" s="93"/>
    </row>
    <row r="943" spans="1:20" ht="14.25" customHeight="1" x14ac:dyDescent="0.35">
      <c r="A943" s="1">
        <v>2022</v>
      </c>
      <c r="B943" s="1" t="s">
        <v>29</v>
      </c>
      <c r="C943" s="1">
        <v>29</v>
      </c>
      <c r="D943" s="49">
        <v>112.188</v>
      </c>
      <c r="E943" s="50">
        <v>95</v>
      </c>
      <c r="F943" s="83">
        <v>84.491</v>
      </c>
      <c r="G943" s="69">
        <v>1651.518</v>
      </c>
      <c r="H943" s="50">
        <v>6.9</v>
      </c>
      <c r="I943" s="66">
        <v>2.5999999999999999E-2</v>
      </c>
      <c r="J943" s="117">
        <v>8.1739999999999995</v>
      </c>
      <c r="K943" s="61">
        <v>44.298000000000002</v>
      </c>
      <c r="L943" s="62">
        <v>5.4850000000000003</v>
      </c>
      <c r="M943" s="66">
        <v>1.4E-2</v>
      </c>
      <c r="N943" s="57">
        <v>64.596999999999994</v>
      </c>
      <c r="O943" s="84">
        <v>5.7000000000000002E-2</v>
      </c>
      <c r="P943" s="96"/>
      <c r="Q943" s="93"/>
      <c r="R943" s="93"/>
      <c r="S943" s="93"/>
      <c r="T943" s="93"/>
    </row>
    <row r="944" spans="1:20" ht="14.25" customHeight="1" x14ac:dyDescent="0.35">
      <c r="A944" s="1">
        <v>2022</v>
      </c>
      <c r="B944" s="1" t="s">
        <v>29</v>
      </c>
      <c r="C944" s="1">
        <v>30</v>
      </c>
      <c r="D944" s="49">
        <v>110.953</v>
      </c>
      <c r="E944" s="50">
        <v>93.875</v>
      </c>
      <c r="F944" s="83">
        <v>84.608000000000004</v>
      </c>
      <c r="G944" s="69">
        <v>1636.385</v>
      </c>
      <c r="H944" s="50">
        <v>6.9</v>
      </c>
      <c r="I944" s="66">
        <v>2.7E-2</v>
      </c>
      <c r="J944" s="117">
        <v>8.0850000000000009</v>
      </c>
      <c r="K944" s="61">
        <v>43.89</v>
      </c>
      <c r="L944" s="62">
        <v>5.4950000000000001</v>
      </c>
      <c r="M944" s="66">
        <v>1.4E-2</v>
      </c>
      <c r="N944" s="57">
        <v>63.21</v>
      </c>
      <c r="O944" s="84">
        <v>5.5E-2</v>
      </c>
      <c r="P944" s="96"/>
      <c r="Q944" s="93"/>
      <c r="R944" s="93"/>
      <c r="S944" s="93"/>
      <c r="T944" s="93"/>
    </row>
    <row r="945" spans="1:20" ht="14.25" customHeight="1" x14ac:dyDescent="0.35">
      <c r="A945" s="1">
        <v>2022</v>
      </c>
      <c r="B945" s="1" t="s">
        <v>29</v>
      </c>
      <c r="C945" s="1">
        <v>31</v>
      </c>
      <c r="D945" s="104">
        <v>111.51600000000001</v>
      </c>
      <c r="E945" s="105">
        <v>94.313000000000002</v>
      </c>
      <c r="F945" s="87">
        <v>84.638000000000005</v>
      </c>
      <c r="G945" s="88">
        <v>1579.085</v>
      </c>
      <c r="H945" s="89">
        <v>6.9</v>
      </c>
      <c r="I945" s="90">
        <v>2.7E-2</v>
      </c>
      <c r="J945" s="131">
        <v>7.9859999999999998</v>
      </c>
      <c r="K945" s="61">
        <v>43.970999999999997</v>
      </c>
      <c r="L945" s="64">
        <v>5.5010000000000003</v>
      </c>
      <c r="M945" s="66">
        <v>1.4E-2</v>
      </c>
      <c r="N945" s="57">
        <v>62.167000000000002</v>
      </c>
      <c r="O945" s="66">
        <v>5.2999999999999999E-2</v>
      </c>
      <c r="P945" s="96"/>
      <c r="Q945" s="93"/>
      <c r="R945" s="93"/>
      <c r="S945" s="93"/>
      <c r="T945" s="93"/>
    </row>
    <row r="946" spans="1:20" ht="14.25" customHeight="1" x14ac:dyDescent="0.35">
      <c r="A946" s="1">
        <v>2022</v>
      </c>
      <c r="B946" s="1" t="s">
        <v>30</v>
      </c>
      <c r="C946" s="1">
        <v>1</v>
      </c>
      <c r="D946" s="49">
        <v>84.641000000000005</v>
      </c>
      <c r="E946" s="50">
        <v>71.313000000000002</v>
      </c>
      <c r="F946" s="51">
        <v>84.677000000000007</v>
      </c>
      <c r="G946" s="52">
        <v>1546.21</v>
      </c>
      <c r="H946" s="53">
        <v>6.891</v>
      </c>
      <c r="I946" s="54">
        <v>4.9000000000000002E-2</v>
      </c>
      <c r="J946" s="59">
        <v>8.1859999999999999</v>
      </c>
      <c r="K946" s="52">
        <v>48.33</v>
      </c>
      <c r="L946" s="55">
        <v>5.53</v>
      </c>
      <c r="M946" s="56">
        <v>1.4999999999999999E-2</v>
      </c>
      <c r="N946" s="57">
        <v>58.728000000000002</v>
      </c>
      <c r="O946" s="58">
        <v>5.8000000000000003E-2</v>
      </c>
      <c r="P946" s="96"/>
      <c r="Q946" s="93"/>
      <c r="R946" s="93"/>
      <c r="S946" s="93"/>
      <c r="T946" s="93"/>
    </row>
    <row r="947" spans="1:20" ht="14.25" customHeight="1" x14ac:dyDescent="0.35">
      <c r="A947" s="1">
        <v>2022</v>
      </c>
      <c r="B947" s="1" t="s">
        <v>30</v>
      </c>
      <c r="C947" s="1">
        <v>2</v>
      </c>
      <c r="D947" s="49">
        <v>94.671999999999997</v>
      </c>
      <c r="E947" s="50">
        <v>79.938000000000002</v>
      </c>
      <c r="F947" s="60">
        <v>84.864000000000004</v>
      </c>
      <c r="G947" s="61">
        <v>1623.48</v>
      </c>
      <c r="H947" s="62">
        <v>6.9</v>
      </c>
      <c r="I947" s="63">
        <v>3.1E-2</v>
      </c>
      <c r="J947" s="68">
        <v>8.32</v>
      </c>
      <c r="K947" s="65">
        <v>45.1</v>
      </c>
      <c r="L947" s="50">
        <v>5.5179999999999998</v>
      </c>
      <c r="M947" s="66">
        <v>1.4E-2</v>
      </c>
      <c r="N947" s="57">
        <v>59.767000000000003</v>
      </c>
      <c r="O947" s="67">
        <v>0.06</v>
      </c>
      <c r="P947" s="96"/>
      <c r="Q947" s="93"/>
      <c r="R947" s="93"/>
      <c r="S947" s="93"/>
      <c r="T947" s="93"/>
    </row>
    <row r="948" spans="1:20" ht="14.25" customHeight="1" x14ac:dyDescent="0.35">
      <c r="A948" s="1">
        <v>2022</v>
      </c>
      <c r="B948" s="1" t="s">
        <v>30</v>
      </c>
      <c r="C948" s="1">
        <v>3</v>
      </c>
      <c r="D948" s="49">
        <v>95.421999999999997</v>
      </c>
      <c r="E948" s="50">
        <v>80.531000000000006</v>
      </c>
      <c r="F948" s="60">
        <v>84.85</v>
      </c>
      <c r="G948" s="61">
        <v>1674.7660000000001</v>
      </c>
      <c r="H948" s="62">
        <v>6.9</v>
      </c>
      <c r="I948" s="63">
        <v>2.9000000000000001E-2</v>
      </c>
      <c r="J948" s="68">
        <v>8.1709999999999994</v>
      </c>
      <c r="K948" s="65">
        <v>50.265000000000001</v>
      </c>
      <c r="L948" s="50">
        <v>5.5350000000000001</v>
      </c>
      <c r="M948" s="66">
        <v>1.4E-2</v>
      </c>
      <c r="N948" s="57">
        <v>57.412999999999997</v>
      </c>
      <c r="O948" s="67">
        <v>6.4000000000000001E-2</v>
      </c>
      <c r="P948" s="96"/>
      <c r="Q948" s="93"/>
      <c r="R948" s="93"/>
      <c r="S948" s="93"/>
      <c r="T948" s="93"/>
    </row>
    <row r="949" spans="1:20" ht="14.25" customHeight="1" x14ac:dyDescent="0.35">
      <c r="A949" s="1">
        <v>2022</v>
      </c>
      <c r="B949" s="1" t="s">
        <v>30</v>
      </c>
      <c r="C949" s="1">
        <v>4</v>
      </c>
      <c r="D949" s="49">
        <v>91.406000000000006</v>
      </c>
      <c r="E949" s="50">
        <v>77.031000000000006</v>
      </c>
      <c r="F949" s="60">
        <v>84.92</v>
      </c>
      <c r="G949" s="61">
        <v>1673.5239999999999</v>
      </c>
      <c r="H949" s="62">
        <v>6.9</v>
      </c>
      <c r="I949" s="63">
        <v>2.8000000000000001E-2</v>
      </c>
      <c r="J949" s="68">
        <v>8.3339999999999996</v>
      </c>
      <c r="K949" s="65">
        <v>49.149000000000001</v>
      </c>
      <c r="L949" s="50">
        <v>5.5389999999999997</v>
      </c>
      <c r="M949" s="66">
        <v>1.4E-2</v>
      </c>
      <c r="N949" s="57">
        <v>56.945999999999998</v>
      </c>
      <c r="O949" s="67">
        <v>6.6000000000000003E-2</v>
      </c>
      <c r="P949" s="96"/>
      <c r="Q949" s="93"/>
      <c r="R949" s="93"/>
      <c r="S949" s="93"/>
      <c r="T949" s="93"/>
    </row>
    <row r="950" spans="1:20" ht="14.25" customHeight="1" x14ac:dyDescent="0.35">
      <c r="A950" s="1">
        <v>2022</v>
      </c>
      <c r="B950" s="1" t="s">
        <v>30</v>
      </c>
      <c r="C950" s="1">
        <v>5</v>
      </c>
      <c r="D950" s="49">
        <v>94.858999999999995</v>
      </c>
      <c r="E950" s="50">
        <v>80.125</v>
      </c>
      <c r="F950" s="60">
        <v>85.206000000000003</v>
      </c>
      <c r="G950" s="61">
        <v>1670.5060000000001</v>
      </c>
      <c r="H950" s="62">
        <v>6.9</v>
      </c>
      <c r="I950" s="63">
        <v>2.5000000000000001E-2</v>
      </c>
      <c r="J950" s="68">
        <v>8.1170000000000009</v>
      </c>
      <c r="K950" s="65">
        <v>48.433</v>
      </c>
      <c r="L950" s="50">
        <v>5.4560000000000004</v>
      </c>
      <c r="M950" s="66">
        <v>1.4999999999999999E-2</v>
      </c>
      <c r="N950" s="57">
        <v>69.558000000000007</v>
      </c>
      <c r="O950" s="67">
        <v>6.0999999999999999E-2</v>
      </c>
      <c r="P950" s="96"/>
      <c r="Q950" s="93"/>
      <c r="R950" s="93"/>
      <c r="S950" s="93"/>
      <c r="T950" s="93"/>
    </row>
    <row r="951" spans="1:20" ht="14.25" customHeight="1" x14ac:dyDescent="0.35">
      <c r="A951" s="1">
        <v>2022</v>
      </c>
      <c r="B951" s="1" t="s">
        <v>30</v>
      </c>
      <c r="C951" s="1">
        <v>6</v>
      </c>
      <c r="D951" s="49">
        <v>100.688</v>
      </c>
      <c r="E951" s="50">
        <v>85</v>
      </c>
      <c r="F951" s="60">
        <v>85.015000000000001</v>
      </c>
      <c r="G951" s="61">
        <v>1649.856</v>
      </c>
      <c r="H951" s="62">
        <v>6.9</v>
      </c>
      <c r="I951" s="63">
        <v>2.7E-2</v>
      </c>
      <c r="J951" s="68">
        <v>7.9939999999999998</v>
      </c>
      <c r="K951" s="65">
        <v>49.029000000000003</v>
      </c>
      <c r="L951" s="50">
        <v>5.4189999999999996</v>
      </c>
      <c r="M951" s="66">
        <v>1.4E-2</v>
      </c>
      <c r="N951" s="57">
        <v>75.430999999999997</v>
      </c>
      <c r="O951" s="67">
        <v>5.8999999999999997E-2</v>
      </c>
      <c r="P951" s="96"/>
      <c r="Q951" s="93"/>
      <c r="R951" s="93"/>
      <c r="S951" s="93"/>
      <c r="T951" s="93"/>
    </row>
    <row r="952" spans="1:20" ht="14.25" customHeight="1" x14ac:dyDescent="0.35">
      <c r="A952" s="1">
        <v>2022</v>
      </c>
      <c r="B952" s="1" t="s">
        <v>30</v>
      </c>
      <c r="C952" s="1">
        <v>7</v>
      </c>
      <c r="D952" s="49">
        <v>100.60899999999999</v>
      </c>
      <c r="E952" s="50">
        <v>85</v>
      </c>
      <c r="F952" s="60">
        <v>84.941000000000003</v>
      </c>
      <c r="G952" s="61">
        <v>1589.8330000000001</v>
      </c>
      <c r="H952" s="62">
        <v>6.9</v>
      </c>
      <c r="I952" s="63">
        <v>2.5999999999999999E-2</v>
      </c>
      <c r="J952" s="68">
        <v>7.8289999999999997</v>
      </c>
      <c r="K952" s="65">
        <v>48.329000000000001</v>
      </c>
      <c r="L952" s="50">
        <v>5.4470000000000001</v>
      </c>
      <c r="M952" s="66">
        <v>1.4E-2</v>
      </c>
      <c r="N952" s="57">
        <v>70.218999999999994</v>
      </c>
      <c r="O952" s="67">
        <v>5.2999999999999999E-2</v>
      </c>
      <c r="P952" s="96"/>
      <c r="Q952" s="93"/>
      <c r="R952" s="93"/>
      <c r="S952" s="93"/>
      <c r="T952" s="93"/>
    </row>
    <row r="953" spans="1:20" ht="14.25" customHeight="1" x14ac:dyDescent="0.35">
      <c r="A953" s="1">
        <v>2022</v>
      </c>
      <c r="B953" s="1" t="s">
        <v>30</v>
      </c>
      <c r="C953" s="1">
        <v>8</v>
      </c>
      <c r="D953" s="49">
        <v>102.59399999999999</v>
      </c>
      <c r="E953" s="50">
        <v>86.625</v>
      </c>
      <c r="F953" s="60">
        <v>85.093000000000004</v>
      </c>
      <c r="G953" s="69">
        <v>1578.9880000000001</v>
      </c>
      <c r="H953" s="62">
        <v>6.9</v>
      </c>
      <c r="I953" s="63">
        <v>2.5000000000000001E-2</v>
      </c>
      <c r="J953" s="71">
        <v>7.8780000000000001</v>
      </c>
      <c r="K953" s="65">
        <v>47.343000000000004</v>
      </c>
      <c r="L953" s="50">
        <v>5.4539999999999997</v>
      </c>
      <c r="M953" s="66">
        <v>1.4E-2</v>
      </c>
      <c r="N953" s="57">
        <v>69.373000000000005</v>
      </c>
      <c r="O953" s="70">
        <v>5.5E-2</v>
      </c>
      <c r="P953" s="96"/>
      <c r="Q953" s="93"/>
      <c r="R953" s="93"/>
      <c r="S953" s="93"/>
      <c r="T953" s="93"/>
    </row>
    <row r="954" spans="1:20" ht="14.25" customHeight="1" x14ac:dyDescent="0.35">
      <c r="A954" s="1">
        <v>2022</v>
      </c>
      <c r="B954" s="1" t="s">
        <v>30</v>
      </c>
      <c r="C954" s="1">
        <v>9</v>
      </c>
      <c r="D954" s="49">
        <v>104.66</v>
      </c>
      <c r="E954" s="50">
        <v>88.44</v>
      </c>
      <c r="F954" s="60">
        <v>85.5</v>
      </c>
      <c r="G954" s="61">
        <v>1637</v>
      </c>
      <c r="H954" s="62">
        <v>6.9</v>
      </c>
      <c r="I954" s="63">
        <v>2.5000000000000001E-2</v>
      </c>
      <c r="J954" s="68">
        <v>8.06</v>
      </c>
      <c r="K954" s="65">
        <v>49</v>
      </c>
      <c r="L954" s="50">
        <v>5.44</v>
      </c>
      <c r="M954" s="66">
        <v>1.4E-2</v>
      </c>
      <c r="N954" s="57">
        <v>71</v>
      </c>
      <c r="O954" s="67">
        <v>6.2E-2</v>
      </c>
      <c r="P954" s="96"/>
      <c r="Q954" s="93"/>
      <c r="R954" s="93"/>
      <c r="S954" s="93"/>
      <c r="T954" s="93"/>
    </row>
    <row r="955" spans="1:20" ht="14.25" customHeight="1" x14ac:dyDescent="0.35">
      <c r="A955" s="1">
        <v>2022</v>
      </c>
      <c r="B955" s="1" t="s">
        <v>30</v>
      </c>
      <c r="C955" s="1">
        <v>10</v>
      </c>
      <c r="D955" s="49">
        <v>103.688</v>
      </c>
      <c r="E955" s="50">
        <v>87.625</v>
      </c>
      <c r="F955" s="72">
        <v>85.757999999999996</v>
      </c>
      <c r="G955" s="61">
        <v>1677.3510000000001</v>
      </c>
      <c r="H955" s="62">
        <v>6.9</v>
      </c>
      <c r="I955" s="63">
        <v>2.5999999999999999E-2</v>
      </c>
      <c r="J955" s="76">
        <v>8.25</v>
      </c>
      <c r="K955" s="65">
        <v>51.893999999999998</v>
      </c>
      <c r="L955" s="50">
        <v>5.444</v>
      </c>
      <c r="M955" s="74">
        <v>1.4E-2</v>
      </c>
      <c r="N955" s="57">
        <v>71.019000000000005</v>
      </c>
      <c r="O955" s="75">
        <v>6.2E-2</v>
      </c>
      <c r="P955" s="96"/>
      <c r="Q955" s="93"/>
      <c r="R955" s="93"/>
      <c r="S955" s="93"/>
      <c r="T955" s="93"/>
    </row>
    <row r="956" spans="1:20" ht="14.25" customHeight="1" x14ac:dyDescent="0.35">
      <c r="A956" s="1">
        <v>2022</v>
      </c>
      <c r="B956" s="1" t="s">
        <v>30</v>
      </c>
      <c r="C956" s="1">
        <v>11</v>
      </c>
      <c r="D956" s="49">
        <v>110.48399999999999</v>
      </c>
      <c r="E956" s="50">
        <v>93.563000000000002</v>
      </c>
      <c r="F956" s="72">
        <v>85.665999999999997</v>
      </c>
      <c r="G956" s="61">
        <v>1702.8630000000001</v>
      </c>
      <c r="H956" s="62">
        <v>6.9</v>
      </c>
      <c r="I956" s="63">
        <v>2.5999999999999999E-2</v>
      </c>
      <c r="J956" s="76">
        <v>8.6199999999999992</v>
      </c>
      <c r="K956" s="65">
        <v>52.63</v>
      </c>
      <c r="L956" s="50">
        <v>5.4829999999999997</v>
      </c>
      <c r="M956" s="74">
        <v>1.4999999999999999E-2</v>
      </c>
      <c r="N956" s="57">
        <v>65.347999999999999</v>
      </c>
      <c r="O956" s="75">
        <v>0.06</v>
      </c>
      <c r="P956" s="96"/>
      <c r="Q956" s="93"/>
      <c r="R956" s="93"/>
      <c r="S956" s="93"/>
      <c r="T956" s="93"/>
    </row>
    <row r="957" spans="1:20" ht="14.25" customHeight="1" x14ac:dyDescent="0.35">
      <c r="A957" s="1">
        <v>2022</v>
      </c>
      <c r="B957" s="1" t="s">
        <v>30</v>
      </c>
      <c r="C957" s="1">
        <v>12</v>
      </c>
      <c r="D957" s="49">
        <v>110.39100000000001</v>
      </c>
      <c r="E957" s="50">
        <v>93.5</v>
      </c>
      <c r="F957" s="72">
        <v>85.462000000000003</v>
      </c>
      <c r="G957" s="61">
        <v>1737.501</v>
      </c>
      <c r="H957" s="62">
        <v>6.9</v>
      </c>
      <c r="I957" s="63">
        <v>2.5000000000000001E-2</v>
      </c>
      <c r="J957" s="76">
        <v>8.3810000000000002</v>
      </c>
      <c r="K957" s="65">
        <v>54.603000000000002</v>
      </c>
      <c r="L957" s="50">
        <v>5.5119999999999996</v>
      </c>
      <c r="M957" s="74">
        <v>1.4E-2</v>
      </c>
      <c r="N957" s="57">
        <v>60.756</v>
      </c>
      <c r="O957" s="75">
        <v>5.7000000000000002E-2</v>
      </c>
      <c r="P957" s="96"/>
      <c r="Q957" s="93"/>
      <c r="R957" s="93"/>
      <c r="S957" s="93"/>
      <c r="T957" s="93"/>
    </row>
    <row r="958" spans="1:20" ht="14.25" customHeight="1" x14ac:dyDescent="0.35">
      <c r="A958" s="1">
        <v>2022</v>
      </c>
      <c r="B958" s="1" t="s">
        <v>30</v>
      </c>
      <c r="C958" s="1">
        <v>13</v>
      </c>
      <c r="D958" s="49">
        <v>106.875</v>
      </c>
      <c r="E958" s="50">
        <v>90.531000000000006</v>
      </c>
      <c r="F958" s="78">
        <v>85.474999999999994</v>
      </c>
      <c r="G958" s="61">
        <v>1757.8109999999999</v>
      </c>
      <c r="H958" s="62">
        <v>6.9</v>
      </c>
      <c r="I958" s="63">
        <v>2.5999999999999999E-2</v>
      </c>
      <c r="J958" s="81">
        <v>8.2579999999999991</v>
      </c>
      <c r="K958" s="65">
        <v>56.04</v>
      </c>
      <c r="L958" s="50">
        <v>5.532</v>
      </c>
      <c r="M958" s="66">
        <v>1.4E-2</v>
      </c>
      <c r="N958" s="57">
        <v>57.777000000000001</v>
      </c>
      <c r="O958" s="80">
        <v>5.7000000000000002E-2</v>
      </c>
      <c r="P958" s="96"/>
      <c r="Q958" s="93"/>
      <c r="R958" s="93"/>
      <c r="S958" s="93"/>
      <c r="T958" s="93"/>
    </row>
    <row r="959" spans="1:20" ht="14.25" customHeight="1" x14ac:dyDescent="0.35">
      <c r="A959" s="1">
        <v>2022</v>
      </c>
      <c r="B959" s="1" t="s">
        <v>30</v>
      </c>
      <c r="C959" s="1">
        <v>14</v>
      </c>
      <c r="D959" s="49">
        <v>106.297</v>
      </c>
      <c r="E959" s="50">
        <v>90</v>
      </c>
      <c r="F959" s="60">
        <v>85.566999999999993</v>
      </c>
      <c r="G959" s="61">
        <v>1687.6590000000001</v>
      </c>
      <c r="H959" s="62">
        <v>6.9</v>
      </c>
      <c r="I959" s="63">
        <v>2.8000000000000001E-2</v>
      </c>
      <c r="J959" s="81">
        <v>8.1150000000000002</v>
      </c>
      <c r="K959" s="82">
        <v>51.026000000000003</v>
      </c>
      <c r="L959" s="50">
        <v>5.5129999999999999</v>
      </c>
      <c r="M959" s="66">
        <v>1.4E-2</v>
      </c>
      <c r="N959" s="57">
        <v>60.45</v>
      </c>
      <c r="O959" s="80">
        <v>5.0999999999999997E-2</v>
      </c>
      <c r="P959" s="96"/>
      <c r="Q959" s="93"/>
      <c r="R959" s="93"/>
      <c r="S959" s="93"/>
      <c r="T959" s="93"/>
    </row>
    <row r="960" spans="1:20" ht="14.25" customHeight="1" x14ac:dyDescent="0.35">
      <c r="A960" s="1">
        <v>2022</v>
      </c>
      <c r="B960" s="1" t="s">
        <v>30</v>
      </c>
      <c r="C960" s="1">
        <v>15</v>
      </c>
      <c r="D960" s="49">
        <v>106.328</v>
      </c>
      <c r="E960" s="50">
        <v>89.938000000000002</v>
      </c>
      <c r="F960" s="60">
        <v>85.349000000000004</v>
      </c>
      <c r="G960" s="61">
        <v>1648.6369999999999</v>
      </c>
      <c r="H960" s="62">
        <v>6.9</v>
      </c>
      <c r="I960" s="63">
        <v>2.7E-2</v>
      </c>
      <c r="J960" s="76">
        <v>8.3480000000000008</v>
      </c>
      <c r="K960" s="65">
        <v>52.307000000000002</v>
      </c>
      <c r="L960" s="50">
        <v>5.53</v>
      </c>
      <c r="M960" s="66">
        <v>1.4999999999999999E-2</v>
      </c>
      <c r="N960" s="57">
        <v>58.405000000000001</v>
      </c>
      <c r="O960" s="75">
        <v>5.5E-2</v>
      </c>
      <c r="P960" s="96"/>
      <c r="Q960" s="93"/>
      <c r="R960" s="93"/>
      <c r="S960" s="93"/>
      <c r="T960" s="93"/>
    </row>
    <row r="961" spans="1:20" ht="14.25" customHeight="1" x14ac:dyDescent="0.35">
      <c r="A961" s="1">
        <v>2022</v>
      </c>
      <c r="B961" s="1" t="s">
        <v>30</v>
      </c>
      <c r="C961" s="1">
        <v>16</v>
      </c>
      <c r="D961" s="49">
        <v>106.25</v>
      </c>
      <c r="E961" s="50">
        <v>89.781000000000006</v>
      </c>
      <c r="F961" s="60">
        <v>85.41</v>
      </c>
      <c r="G961" s="61">
        <v>1726.057</v>
      </c>
      <c r="H961" s="62">
        <v>6.9</v>
      </c>
      <c r="I961" s="63">
        <v>2.7E-2</v>
      </c>
      <c r="J961" s="81">
        <v>8.5519999999999996</v>
      </c>
      <c r="K961" s="61">
        <v>54.68</v>
      </c>
      <c r="L961" s="62">
        <v>5.5359999999999996</v>
      </c>
      <c r="M961" s="66">
        <v>1.4E-2</v>
      </c>
      <c r="N961" s="57">
        <v>57.316000000000003</v>
      </c>
      <c r="O961" s="80">
        <v>6.6000000000000003E-2</v>
      </c>
      <c r="P961" s="96"/>
      <c r="Q961" s="93"/>
      <c r="R961" s="93"/>
      <c r="S961" s="93"/>
      <c r="T961" s="93"/>
    </row>
    <row r="962" spans="1:20" ht="14.25" customHeight="1" x14ac:dyDescent="0.35">
      <c r="A962" s="1">
        <v>2022</v>
      </c>
      <c r="B962" s="1" t="s">
        <v>30</v>
      </c>
      <c r="C962" s="1">
        <v>17</v>
      </c>
      <c r="D962" s="49">
        <v>108.328</v>
      </c>
      <c r="E962" s="50">
        <v>91.688000000000002</v>
      </c>
      <c r="F962" s="60">
        <v>85.518000000000001</v>
      </c>
      <c r="G962" s="61">
        <v>1773.163</v>
      </c>
      <c r="H962" s="62">
        <v>6.9</v>
      </c>
      <c r="I962" s="63">
        <v>2.5999999999999999E-2</v>
      </c>
      <c r="J962" s="68">
        <v>8.3339999999999996</v>
      </c>
      <c r="K962" s="65">
        <v>54.838999999999999</v>
      </c>
      <c r="L962" s="50">
        <v>5.5140000000000002</v>
      </c>
      <c r="M962" s="66">
        <v>1.4E-2</v>
      </c>
      <c r="N962" s="57">
        <v>60.503</v>
      </c>
      <c r="O962" s="67">
        <v>7.2999999999999995E-2</v>
      </c>
      <c r="P962" s="96"/>
      <c r="Q962" s="93"/>
      <c r="R962" s="93"/>
      <c r="S962" s="93"/>
      <c r="T962" s="93"/>
    </row>
    <row r="963" spans="1:20" ht="14.25" customHeight="1" x14ac:dyDescent="0.35">
      <c r="A963" s="1">
        <v>2022</v>
      </c>
      <c r="B963" s="1" t="s">
        <v>30</v>
      </c>
      <c r="C963" s="1">
        <v>18</v>
      </c>
      <c r="D963" s="49">
        <v>112.01600000000001</v>
      </c>
      <c r="E963" s="50">
        <v>94.843999999999994</v>
      </c>
      <c r="F963" s="60">
        <v>85.3</v>
      </c>
      <c r="G963" s="61">
        <v>1773.2</v>
      </c>
      <c r="H963" s="62">
        <v>6.9</v>
      </c>
      <c r="I963" s="63">
        <v>2.5999999999999999E-2</v>
      </c>
      <c r="J963" s="68">
        <v>8.3480000000000008</v>
      </c>
      <c r="K963" s="61">
        <v>54.408999999999999</v>
      </c>
      <c r="L963" s="62">
        <v>5.5179999999999998</v>
      </c>
      <c r="M963" s="66">
        <v>1.4E-2</v>
      </c>
      <c r="N963" s="57">
        <v>59.6</v>
      </c>
      <c r="O963" s="67">
        <v>6.7000000000000004E-2</v>
      </c>
      <c r="P963" s="96"/>
      <c r="Q963" s="93"/>
      <c r="R963" s="93"/>
      <c r="S963" s="93"/>
      <c r="T963" s="93"/>
    </row>
    <row r="964" spans="1:20" ht="14.25" customHeight="1" x14ac:dyDescent="0.35">
      <c r="A964" s="1">
        <v>2022</v>
      </c>
      <c r="B964" s="1" t="s">
        <v>30</v>
      </c>
      <c r="C964" s="1">
        <v>19</v>
      </c>
      <c r="D964" s="49">
        <v>109.047</v>
      </c>
      <c r="E964" s="50">
        <v>92.218999999999994</v>
      </c>
      <c r="F964" s="60">
        <v>85.197999999999993</v>
      </c>
      <c r="G964" s="61">
        <v>1764.0740000000001</v>
      </c>
      <c r="H964" s="62">
        <v>6.9</v>
      </c>
      <c r="I964" s="63">
        <v>2.5000000000000001E-2</v>
      </c>
      <c r="J964" s="68">
        <v>8.2850000000000001</v>
      </c>
      <c r="K964" s="65">
        <v>56.658000000000001</v>
      </c>
      <c r="L964" s="50">
        <v>5.5229999999999997</v>
      </c>
      <c r="M964" s="66">
        <v>1.4999999999999999E-2</v>
      </c>
      <c r="N964" s="57">
        <v>59.259</v>
      </c>
      <c r="O964" s="67">
        <v>6.6000000000000003E-2</v>
      </c>
      <c r="P964" s="96"/>
      <c r="Q964" s="93"/>
      <c r="R964" s="93"/>
      <c r="S964" s="93"/>
      <c r="T964" s="93"/>
    </row>
    <row r="965" spans="1:20" ht="14.25" customHeight="1" x14ac:dyDescent="0.35">
      <c r="A965" s="1">
        <v>2022</v>
      </c>
      <c r="B965" s="1" t="s">
        <v>30</v>
      </c>
      <c r="C965" s="1">
        <v>20</v>
      </c>
      <c r="D965" s="49">
        <v>109.078</v>
      </c>
      <c r="E965" s="50">
        <v>92.25</v>
      </c>
      <c r="F965" s="60">
        <v>85.072000000000003</v>
      </c>
      <c r="G965" s="61">
        <v>1766.1890000000001</v>
      </c>
      <c r="H965" s="62">
        <v>6.9</v>
      </c>
      <c r="I965" s="63">
        <v>2.5000000000000001E-2</v>
      </c>
      <c r="J965" s="68">
        <v>8.2759999999999998</v>
      </c>
      <c r="K965" s="61">
        <v>55.71</v>
      </c>
      <c r="L965" s="62">
        <v>5.5380000000000003</v>
      </c>
      <c r="M965" s="66">
        <v>1.4999999999999999E-2</v>
      </c>
      <c r="N965" s="57">
        <v>57.128</v>
      </c>
      <c r="O965" s="67">
        <v>6.3E-2</v>
      </c>
      <c r="P965" s="96"/>
      <c r="Q965" s="93"/>
      <c r="R965" s="93"/>
      <c r="S965" s="93"/>
      <c r="T965" s="93"/>
    </row>
    <row r="966" spans="1:20" ht="14.25" customHeight="1" x14ac:dyDescent="0.35">
      <c r="A966" s="1">
        <v>2022</v>
      </c>
      <c r="B966" s="1" t="s">
        <v>30</v>
      </c>
      <c r="C966" s="1">
        <v>21</v>
      </c>
      <c r="D966" s="49">
        <v>106.65600000000001</v>
      </c>
      <c r="E966" s="50">
        <v>90.406000000000006</v>
      </c>
      <c r="F966" s="60">
        <v>84.850999999999999</v>
      </c>
      <c r="G966" s="61">
        <v>1692.059</v>
      </c>
      <c r="H966" s="62">
        <v>6.899</v>
      </c>
      <c r="I966" s="63">
        <v>2.5000000000000001E-2</v>
      </c>
      <c r="J966" s="68">
        <v>8.1969999999999992</v>
      </c>
      <c r="K966" s="65">
        <v>51.984999999999999</v>
      </c>
      <c r="L966" s="50">
        <v>5.5519999999999996</v>
      </c>
      <c r="M966" s="66">
        <v>1.4999999999999999E-2</v>
      </c>
      <c r="N966" s="57">
        <v>55.31</v>
      </c>
      <c r="O966" s="67">
        <v>5.8999999999999997E-2</v>
      </c>
      <c r="P966" s="96"/>
      <c r="Q966" s="93"/>
      <c r="R966" s="93"/>
      <c r="S966" s="93"/>
      <c r="T966" s="93"/>
    </row>
    <row r="967" spans="1:20" ht="14.25" customHeight="1" x14ac:dyDescent="0.35">
      <c r="A967" s="1">
        <v>2022</v>
      </c>
      <c r="B967" s="1" t="s">
        <v>30</v>
      </c>
      <c r="C967" s="1">
        <v>22</v>
      </c>
      <c r="D967" s="49">
        <v>105.625</v>
      </c>
      <c r="E967" s="50">
        <v>89.906000000000006</v>
      </c>
      <c r="F967" s="60">
        <v>85.105999999999995</v>
      </c>
      <c r="G967" s="61">
        <v>1645.671</v>
      </c>
      <c r="H967" s="62">
        <v>6.9</v>
      </c>
      <c r="I967" s="63">
        <v>2.5000000000000001E-2</v>
      </c>
      <c r="J967" s="68">
        <v>8.3079999999999998</v>
      </c>
      <c r="K967" s="61">
        <v>52.110999999999997</v>
      </c>
      <c r="L967" s="62">
        <v>5.5570000000000004</v>
      </c>
      <c r="M967" s="66">
        <v>1.4999999999999999E-2</v>
      </c>
      <c r="N967" s="57">
        <v>54.584000000000003</v>
      </c>
      <c r="O967" s="67">
        <v>6.0999999999999999E-2</v>
      </c>
      <c r="P967" s="96"/>
      <c r="Q967" s="93"/>
      <c r="R967" s="93"/>
      <c r="S967" s="93"/>
      <c r="T967" s="93"/>
    </row>
    <row r="968" spans="1:20" ht="14.25" customHeight="1" x14ac:dyDescent="0.35">
      <c r="A968" s="1">
        <v>2022</v>
      </c>
      <c r="B968" s="1" t="s">
        <v>30</v>
      </c>
      <c r="C968" s="1">
        <v>23</v>
      </c>
      <c r="D968" s="49">
        <v>105.76600000000001</v>
      </c>
      <c r="E968" s="50">
        <v>89.968999999999994</v>
      </c>
      <c r="F968" s="60">
        <v>85.236000000000004</v>
      </c>
      <c r="G968" s="61">
        <v>1717.961</v>
      </c>
      <c r="H968" s="62">
        <v>6.9</v>
      </c>
      <c r="I968" s="63">
        <v>2.5000000000000001E-2</v>
      </c>
      <c r="J968" s="68">
        <v>8.4949999999999992</v>
      </c>
      <c r="K968" s="65">
        <v>53.927999999999997</v>
      </c>
      <c r="L968" s="50">
        <v>5.5529999999999999</v>
      </c>
      <c r="M968" s="66">
        <v>1.4999999999999999E-2</v>
      </c>
      <c r="N968" s="57">
        <v>55.133000000000003</v>
      </c>
      <c r="O968" s="67">
        <v>6.7000000000000004E-2</v>
      </c>
      <c r="P968" s="96"/>
      <c r="Q968" s="93"/>
      <c r="R968" s="93"/>
      <c r="S968" s="93"/>
      <c r="T968" s="93"/>
    </row>
    <row r="969" spans="1:20" ht="14.25" customHeight="1" x14ac:dyDescent="0.35">
      <c r="A969" s="1">
        <v>2022</v>
      </c>
      <c r="B969" s="1" t="s">
        <v>30</v>
      </c>
      <c r="C969" s="1">
        <v>24</v>
      </c>
      <c r="D969" s="49">
        <v>107.34399999999999</v>
      </c>
      <c r="E969" s="50">
        <v>91.093999999999994</v>
      </c>
      <c r="F969" s="60">
        <v>85.5</v>
      </c>
      <c r="G969" s="61">
        <v>1769.336</v>
      </c>
      <c r="H969" s="62">
        <v>6.9</v>
      </c>
      <c r="I969" s="63">
        <v>2.5999999999999999E-2</v>
      </c>
      <c r="J969" s="68">
        <v>8.4039999999999999</v>
      </c>
      <c r="K969" s="61">
        <v>55.037999999999997</v>
      </c>
      <c r="L969" s="62">
        <v>5.5549999999999997</v>
      </c>
      <c r="M969" s="66">
        <v>1.4999999999999999E-2</v>
      </c>
      <c r="N969" s="57">
        <v>54.801000000000002</v>
      </c>
      <c r="O969" s="67">
        <v>7.0999999999999994E-2</v>
      </c>
      <c r="P969" s="96"/>
      <c r="Q969" s="93"/>
      <c r="R969" s="93"/>
      <c r="S969" s="93"/>
      <c r="T969" s="93"/>
    </row>
    <row r="970" spans="1:20" ht="14.25" customHeight="1" x14ac:dyDescent="0.35">
      <c r="A970" s="1">
        <v>2022</v>
      </c>
      <c r="B970" s="1" t="s">
        <v>30</v>
      </c>
      <c r="C970" s="1">
        <v>25</v>
      </c>
      <c r="D970" s="49">
        <v>107.89100000000001</v>
      </c>
      <c r="E970" s="50">
        <v>91.218999999999994</v>
      </c>
      <c r="F970" s="60">
        <v>85.581999999999994</v>
      </c>
      <c r="G970" s="61">
        <v>1782.0340000000001</v>
      </c>
      <c r="H970" s="62">
        <v>6.9</v>
      </c>
      <c r="I970" s="63">
        <v>2.5999999999999999E-2</v>
      </c>
      <c r="J970" s="68">
        <v>8.2759999999999998</v>
      </c>
      <c r="K970" s="65">
        <v>54.83</v>
      </c>
      <c r="L970" s="50">
        <v>5.5549999999999997</v>
      </c>
      <c r="M970" s="66">
        <v>1.4999999999999999E-2</v>
      </c>
      <c r="N970" s="57">
        <v>54.753999999999998</v>
      </c>
      <c r="O970" s="67">
        <v>6.8000000000000005E-2</v>
      </c>
      <c r="P970" s="96"/>
      <c r="Q970" s="93"/>
      <c r="R970" s="93"/>
      <c r="S970" s="93"/>
      <c r="T970" s="93"/>
    </row>
    <row r="971" spans="1:20" ht="14.25" customHeight="1" x14ac:dyDescent="0.35">
      <c r="A971" s="1">
        <v>2022</v>
      </c>
      <c r="B971" s="1" t="s">
        <v>30</v>
      </c>
      <c r="C971" s="1">
        <v>26</v>
      </c>
      <c r="D971" s="49">
        <v>108.23399999999999</v>
      </c>
      <c r="E971" s="50">
        <v>91.468999999999994</v>
      </c>
      <c r="F971" s="60">
        <v>85.676000000000002</v>
      </c>
      <c r="G971" s="61">
        <v>1779.703</v>
      </c>
      <c r="H971" s="62">
        <v>6.9</v>
      </c>
      <c r="I971" s="63">
        <v>2.5999999999999999E-2</v>
      </c>
      <c r="J971" s="68">
        <v>8.2669999999999995</v>
      </c>
      <c r="K971" s="61">
        <v>55.110999999999997</v>
      </c>
      <c r="L971" s="62">
        <v>5.4950000000000001</v>
      </c>
      <c r="M971" s="66">
        <v>1.4999999999999999E-2</v>
      </c>
      <c r="N971" s="57">
        <v>62.899000000000001</v>
      </c>
      <c r="O971" s="67">
        <v>6.6000000000000003E-2</v>
      </c>
      <c r="P971" s="96"/>
      <c r="Q971" s="93"/>
      <c r="R971" s="93"/>
      <c r="S971" s="93"/>
      <c r="T971" s="93"/>
    </row>
    <row r="972" spans="1:20" ht="14.25" customHeight="1" x14ac:dyDescent="0.35">
      <c r="A972" s="1">
        <v>2022</v>
      </c>
      <c r="B972" s="1" t="s">
        <v>30</v>
      </c>
      <c r="C972" s="1">
        <v>27</v>
      </c>
      <c r="D972" s="49">
        <v>109.23399999999999</v>
      </c>
      <c r="E972" s="50">
        <v>92.625</v>
      </c>
      <c r="F972" s="60">
        <v>85.447999999999993</v>
      </c>
      <c r="G972" s="61">
        <v>1696.4110000000001</v>
      </c>
      <c r="H972" s="62">
        <v>6.9</v>
      </c>
      <c r="I972" s="63">
        <v>2.5999999999999999E-2</v>
      </c>
      <c r="J972" s="68">
        <v>8.5920000000000005</v>
      </c>
      <c r="K972" s="65">
        <v>50.975000000000001</v>
      </c>
      <c r="L972" s="50">
        <v>5.4729999999999999</v>
      </c>
      <c r="M972" s="66">
        <v>1.4999999999999999E-2</v>
      </c>
      <c r="N972" s="57">
        <v>66.135000000000005</v>
      </c>
      <c r="O972" s="67">
        <v>6.5000000000000002E-2</v>
      </c>
      <c r="P972" s="96"/>
      <c r="Q972" s="93"/>
      <c r="R972" s="93"/>
      <c r="S972" s="93"/>
      <c r="T972" s="93"/>
    </row>
    <row r="973" spans="1:20" ht="14.25" customHeight="1" x14ac:dyDescent="0.35">
      <c r="A973" s="1">
        <v>2022</v>
      </c>
      <c r="B973" s="1" t="s">
        <v>30</v>
      </c>
      <c r="C973" s="1">
        <v>28</v>
      </c>
      <c r="D973" s="49">
        <v>108.03100000000001</v>
      </c>
      <c r="E973" s="50">
        <v>91.625</v>
      </c>
      <c r="F973" s="60">
        <v>85.257000000000005</v>
      </c>
      <c r="G973" s="61">
        <v>1612.423</v>
      </c>
      <c r="H973" s="62">
        <v>6.9</v>
      </c>
      <c r="I973" s="63">
        <v>2.7E-2</v>
      </c>
      <c r="J973" s="68">
        <v>8.3829999999999991</v>
      </c>
      <c r="K973" s="61">
        <v>48.563000000000002</v>
      </c>
      <c r="L973" s="62">
        <v>5.476</v>
      </c>
      <c r="M973" s="66">
        <v>1.4999999999999999E-2</v>
      </c>
      <c r="N973" s="57">
        <v>65.757000000000005</v>
      </c>
      <c r="O973" s="67">
        <v>5.8000000000000003E-2</v>
      </c>
      <c r="P973" s="96"/>
      <c r="Q973" s="93"/>
      <c r="R973" s="93"/>
      <c r="S973" s="93"/>
      <c r="T973" s="93"/>
    </row>
    <row r="974" spans="1:20" ht="14.25" customHeight="1" x14ac:dyDescent="0.35">
      <c r="A974" s="1">
        <v>2022</v>
      </c>
      <c r="B974" s="1" t="s">
        <v>30</v>
      </c>
      <c r="C974" s="1">
        <v>29</v>
      </c>
      <c r="D974" s="49">
        <v>109.01600000000001</v>
      </c>
      <c r="E974" s="50">
        <v>92.25</v>
      </c>
      <c r="F974" s="83">
        <v>85.173000000000002</v>
      </c>
      <c r="G974" s="69">
        <v>1603.67</v>
      </c>
      <c r="H974" s="50">
        <v>6.9</v>
      </c>
      <c r="I974" s="66">
        <v>2.5999999999999999E-2</v>
      </c>
      <c r="J974" s="117">
        <v>8.4540000000000006</v>
      </c>
      <c r="K974" s="61">
        <v>49.808999999999997</v>
      </c>
      <c r="L974" s="62">
        <v>5.4909999999999997</v>
      </c>
      <c r="M974" s="66">
        <v>1.4999999999999999E-2</v>
      </c>
      <c r="N974" s="57">
        <v>63.453000000000003</v>
      </c>
      <c r="O974" s="84">
        <v>0.06</v>
      </c>
      <c r="P974" s="96"/>
      <c r="Q974" s="93"/>
      <c r="R974" s="93"/>
      <c r="S974" s="93"/>
      <c r="T974" s="93"/>
    </row>
    <row r="975" spans="1:20" ht="14.25" customHeight="1" x14ac:dyDescent="0.35">
      <c r="A975" s="1">
        <v>2022</v>
      </c>
      <c r="B975" s="1" t="s">
        <v>30</v>
      </c>
      <c r="C975" s="1">
        <v>30</v>
      </c>
      <c r="D975" s="49">
        <v>112.14100000000001</v>
      </c>
      <c r="E975" s="50">
        <v>94.75</v>
      </c>
      <c r="F975" s="83">
        <v>85.563000000000002</v>
      </c>
      <c r="G975" s="69">
        <v>1703.627</v>
      </c>
      <c r="H975" s="50">
        <v>6.9</v>
      </c>
      <c r="I975" s="66">
        <v>2.7E-2</v>
      </c>
      <c r="J975" s="117">
        <v>8.6709999999999994</v>
      </c>
      <c r="K975" s="61">
        <v>52.972999999999999</v>
      </c>
      <c r="L975" s="62">
        <v>5.4790000000000001</v>
      </c>
      <c r="M975" s="66">
        <v>1.4999999999999999E-2</v>
      </c>
      <c r="N975" s="57">
        <v>65.474999999999994</v>
      </c>
      <c r="O975" s="84">
        <v>6.4000000000000001E-2</v>
      </c>
      <c r="P975" s="96"/>
      <c r="Q975" s="93"/>
      <c r="R975" s="93"/>
      <c r="S975" s="93"/>
      <c r="T975" s="93"/>
    </row>
    <row r="976" spans="1:20" ht="14.25" customHeight="1" x14ac:dyDescent="0.35">
      <c r="A976" s="1">
        <v>2022</v>
      </c>
      <c r="B976" s="1" t="s">
        <v>30</v>
      </c>
      <c r="C976" s="1">
        <v>31</v>
      </c>
      <c r="D976" s="104">
        <v>102.453</v>
      </c>
      <c r="E976" s="105">
        <v>86.438000000000002</v>
      </c>
      <c r="F976" s="87">
        <v>85.831999999999994</v>
      </c>
      <c r="G976" s="88">
        <v>1772.114</v>
      </c>
      <c r="H976" s="89">
        <v>6.9</v>
      </c>
      <c r="I976" s="90">
        <v>0.03</v>
      </c>
      <c r="J976" s="131">
        <v>8.6430000000000007</v>
      </c>
      <c r="K976" s="61">
        <v>55.51</v>
      </c>
      <c r="L976" s="64">
        <v>5.4640000000000004</v>
      </c>
      <c r="M976" s="66">
        <v>1.4999999999999999E-2</v>
      </c>
      <c r="N976" s="57">
        <v>68.227000000000004</v>
      </c>
      <c r="O976" s="66">
        <v>6.7000000000000004E-2</v>
      </c>
      <c r="P976" s="96"/>
      <c r="Q976" s="93"/>
      <c r="R976" s="93"/>
      <c r="S976" s="93"/>
      <c r="T976" s="93"/>
    </row>
    <row r="977" spans="1:20" ht="14.25" customHeight="1" x14ac:dyDescent="0.35">
      <c r="A977" s="1">
        <v>2022</v>
      </c>
      <c r="B977" s="1" t="s">
        <v>31</v>
      </c>
      <c r="C977" s="1">
        <v>1</v>
      </c>
      <c r="D977" s="49">
        <v>109.60899999999999</v>
      </c>
      <c r="E977" s="50">
        <v>92.593999999999994</v>
      </c>
      <c r="F977" s="51">
        <v>85.847999999999999</v>
      </c>
      <c r="G977" s="52">
        <v>1821.3610000000001</v>
      </c>
      <c r="H977" s="53">
        <v>6.9</v>
      </c>
      <c r="I977" s="54">
        <v>3.2000000000000001E-2</v>
      </c>
      <c r="J977" s="59">
        <v>8.66</v>
      </c>
      <c r="K977" s="52">
        <v>59.77</v>
      </c>
      <c r="L977" s="55">
        <v>5.5</v>
      </c>
      <c r="M977" s="56">
        <v>1.4999999999999999E-2</v>
      </c>
      <c r="N977" s="57">
        <v>62.401000000000003</v>
      </c>
      <c r="O977" s="58">
        <v>7.0999999999999994E-2</v>
      </c>
      <c r="P977" s="96"/>
      <c r="Q977" s="93"/>
      <c r="R977" s="93"/>
      <c r="S977" s="93"/>
      <c r="T977" s="93"/>
    </row>
    <row r="978" spans="1:20" ht="14.25" customHeight="1" x14ac:dyDescent="0.35">
      <c r="A978" s="1">
        <v>2022</v>
      </c>
      <c r="B978" s="1" t="s">
        <v>31</v>
      </c>
      <c r="C978" s="1">
        <v>2</v>
      </c>
      <c r="D978" s="49">
        <v>108.09399999999999</v>
      </c>
      <c r="E978" s="50">
        <v>91.313000000000002</v>
      </c>
      <c r="F978" s="60">
        <v>86.046999999999997</v>
      </c>
      <c r="G978" s="61">
        <v>1794.8879999999999</v>
      </c>
      <c r="H978" s="62">
        <v>6.9</v>
      </c>
      <c r="I978" s="63">
        <v>3.6999999999999998E-2</v>
      </c>
      <c r="J978" s="76">
        <v>8.4220000000000006</v>
      </c>
      <c r="K978" s="65">
        <v>59.241</v>
      </c>
      <c r="L978" s="50">
        <v>5.4550000000000001</v>
      </c>
      <c r="M978" s="66">
        <v>1.4999999999999999E-2</v>
      </c>
      <c r="N978" s="57">
        <v>69.319000000000003</v>
      </c>
      <c r="O978" s="67">
        <v>7.0000000000000007E-2</v>
      </c>
      <c r="P978" s="96"/>
      <c r="Q978" s="93"/>
      <c r="R978" s="93"/>
      <c r="S978" s="93"/>
      <c r="T978" s="93"/>
    </row>
    <row r="979" spans="1:20" ht="14.25" customHeight="1" x14ac:dyDescent="0.35">
      <c r="A979" s="1">
        <v>2022</v>
      </c>
      <c r="B979" s="1" t="s">
        <v>31</v>
      </c>
      <c r="C979" s="1">
        <v>3</v>
      </c>
      <c r="D979" s="49">
        <v>105.15600000000001</v>
      </c>
      <c r="E979" s="50">
        <v>88.906000000000006</v>
      </c>
      <c r="F979" s="60">
        <v>86.224000000000004</v>
      </c>
      <c r="G979" s="61">
        <v>1723.345</v>
      </c>
      <c r="H979" s="62">
        <v>6.9</v>
      </c>
      <c r="I979" s="63">
        <v>2.5999999999999999E-2</v>
      </c>
      <c r="J979" s="76">
        <v>8.7739999999999991</v>
      </c>
      <c r="K979" s="65">
        <v>54.481999999999999</v>
      </c>
      <c r="L979" s="50">
        <v>5.44</v>
      </c>
      <c r="M979" s="66">
        <v>1.4999999999999999E-2</v>
      </c>
      <c r="N979" s="57">
        <v>71.674000000000007</v>
      </c>
      <c r="O979" s="67">
        <v>7.1999999999999995E-2</v>
      </c>
      <c r="P979" s="96"/>
      <c r="Q979" s="93"/>
      <c r="R979" s="93"/>
      <c r="S979" s="93"/>
      <c r="T979" s="93"/>
    </row>
    <row r="980" spans="1:20" ht="14.25" customHeight="1" x14ac:dyDescent="0.35">
      <c r="A980" s="1">
        <v>2022</v>
      </c>
      <c r="B980" s="1" t="s">
        <v>31</v>
      </c>
      <c r="C980" s="1">
        <v>4</v>
      </c>
      <c r="D980" s="49">
        <v>104.078</v>
      </c>
      <c r="E980" s="50">
        <v>87.968999999999994</v>
      </c>
      <c r="F980" s="60">
        <v>86.26</v>
      </c>
      <c r="G980" s="61">
        <v>1617.01</v>
      </c>
      <c r="H980" s="62">
        <v>6.9</v>
      </c>
      <c r="I980" s="63">
        <v>2.5000000000000001E-2</v>
      </c>
      <c r="J980" s="76">
        <v>8.2420000000000009</v>
      </c>
      <c r="K980" s="65">
        <v>52.951000000000001</v>
      </c>
      <c r="L980" s="50">
        <v>5.4290000000000003</v>
      </c>
      <c r="M980" s="66">
        <v>1.4999999999999999E-2</v>
      </c>
      <c r="N980" s="57">
        <v>73.590999999999994</v>
      </c>
      <c r="O980" s="67">
        <v>6.5000000000000002E-2</v>
      </c>
      <c r="P980" s="96"/>
      <c r="Q980" s="93"/>
      <c r="R980" s="93"/>
      <c r="S980" s="93"/>
      <c r="T980" s="93"/>
    </row>
    <row r="981" spans="1:20" ht="14.25" customHeight="1" x14ac:dyDescent="0.35">
      <c r="A981" s="1">
        <v>2022</v>
      </c>
      <c r="B981" s="1" t="s">
        <v>31</v>
      </c>
      <c r="C981" s="1">
        <v>5</v>
      </c>
      <c r="D981" s="49">
        <v>87.578000000000003</v>
      </c>
      <c r="E981" s="50">
        <v>74</v>
      </c>
      <c r="F981" s="60">
        <v>86.287999999999997</v>
      </c>
      <c r="G981" s="61">
        <v>1580.9580000000001</v>
      </c>
      <c r="H981" s="62">
        <v>6.9</v>
      </c>
      <c r="I981" s="63">
        <v>2.8000000000000001E-2</v>
      </c>
      <c r="J981" s="76">
        <v>8.0719999999999992</v>
      </c>
      <c r="K981" s="65">
        <v>53.941000000000003</v>
      </c>
      <c r="L981" s="50">
        <v>5.45</v>
      </c>
      <c r="M981" s="66">
        <v>1.6E-2</v>
      </c>
      <c r="N981" s="57">
        <v>70.081000000000003</v>
      </c>
      <c r="O981" s="67">
        <v>6.4000000000000001E-2</v>
      </c>
      <c r="P981" s="96"/>
      <c r="Q981" s="93"/>
      <c r="R981" s="93"/>
      <c r="S981" s="93"/>
      <c r="T981" s="93"/>
    </row>
    <row r="982" spans="1:20" ht="14.25" customHeight="1" x14ac:dyDescent="0.35">
      <c r="A982" s="1">
        <v>2022</v>
      </c>
      <c r="B982" s="1" t="s">
        <v>31</v>
      </c>
      <c r="C982" s="1">
        <v>6</v>
      </c>
      <c r="D982" s="49">
        <v>82.453000000000003</v>
      </c>
      <c r="E982" s="50">
        <v>69.468999999999994</v>
      </c>
      <c r="F982" s="60">
        <v>86.037999999999997</v>
      </c>
      <c r="G982" s="61">
        <v>1567.7750000000001</v>
      </c>
      <c r="H982" s="62">
        <v>6.8879999999999999</v>
      </c>
      <c r="I982" s="63">
        <v>2.5999999999999999E-2</v>
      </c>
      <c r="J982" s="76">
        <v>8.2249999999999996</v>
      </c>
      <c r="K982" s="65">
        <v>57.534999999999997</v>
      </c>
      <c r="L982" s="50">
        <v>5.4779999999999998</v>
      </c>
      <c r="M982" s="66">
        <v>1.6E-2</v>
      </c>
      <c r="N982" s="57">
        <v>65.918999999999997</v>
      </c>
      <c r="O982" s="67">
        <v>6.9000000000000006E-2</v>
      </c>
      <c r="P982" s="96"/>
      <c r="Q982" s="93"/>
      <c r="R982" s="93"/>
      <c r="S982" s="93"/>
      <c r="T982" s="93"/>
    </row>
    <row r="983" spans="1:20" ht="14.25" customHeight="1" x14ac:dyDescent="0.35">
      <c r="A983" s="1">
        <v>2022</v>
      </c>
      <c r="B983" s="1" t="s">
        <v>31</v>
      </c>
      <c r="C983" s="1">
        <v>7</v>
      </c>
      <c r="D983" s="49">
        <v>68.016000000000005</v>
      </c>
      <c r="E983" s="50">
        <v>57.219000000000001</v>
      </c>
      <c r="F983" s="60">
        <v>86.388000000000005</v>
      </c>
      <c r="G983" s="61">
        <v>1712.674</v>
      </c>
      <c r="H983" s="62">
        <v>6.899</v>
      </c>
      <c r="I983" s="63">
        <v>2.4E-2</v>
      </c>
      <c r="J983" s="76">
        <v>8.532</v>
      </c>
      <c r="K983" s="65">
        <v>69.802999999999997</v>
      </c>
      <c r="L983" s="50">
        <v>5.52</v>
      </c>
      <c r="M983" s="66">
        <v>1.7999999999999999E-2</v>
      </c>
      <c r="N983" s="57">
        <v>60.61</v>
      </c>
      <c r="O983" s="67">
        <v>7.6999999999999999E-2</v>
      </c>
      <c r="P983" s="96"/>
      <c r="Q983" s="93"/>
      <c r="R983" s="93"/>
      <c r="S983" s="93"/>
      <c r="T983" s="93"/>
    </row>
    <row r="984" spans="1:20" ht="14.25" customHeight="1" x14ac:dyDescent="0.35">
      <c r="A984" s="1">
        <v>2022</v>
      </c>
      <c r="B984" s="1" t="s">
        <v>31</v>
      </c>
      <c r="C984" s="1">
        <v>8</v>
      </c>
      <c r="D984" s="49">
        <v>99.5</v>
      </c>
      <c r="E984" s="50">
        <v>83.968999999999994</v>
      </c>
      <c r="F984" s="60">
        <v>86.762</v>
      </c>
      <c r="G984" s="69">
        <v>1770.835</v>
      </c>
      <c r="H984" s="62">
        <v>6.9</v>
      </c>
      <c r="I984" s="63">
        <v>2.5000000000000001E-2</v>
      </c>
      <c r="J984" s="132">
        <v>8.7720000000000002</v>
      </c>
      <c r="K984" s="65">
        <v>58.621000000000002</v>
      </c>
      <c r="L984" s="50">
        <v>5.476</v>
      </c>
      <c r="M984" s="66">
        <v>1.6E-2</v>
      </c>
      <c r="N984" s="57">
        <v>66.165000000000006</v>
      </c>
      <c r="O984" s="70">
        <v>7.9000000000000001E-2</v>
      </c>
      <c r="P984" s="96"/>
      <c r="Q984" s="93"/>
      <c r="R984" s="93"/>
      <c r="S984" s="93"/>
      <c r="T984" s="93"/>
    </row>
    <row r="985" spans="1:20" ht="14.25" customHeight="1" x14ac:dyDescent="0.35">
      <c r="A985" s="1">
        <v>2022</v>
      </c>
      <c r="B985" s="1" t="s">
        <v>31</v>
      </c>
      <c r="C985" s="1">
        <v>9</v>
      </c>
      <c r="D985" s="49">
        <v>104.875</v>
      </c>
      <c r="E985" s="50">
        <v>88.688000000000002</v>
      </c>
      <c r="F985" s="60">
        <v>86.623000000000005</v>
      </c>
      <c r="G985" s="61">
        <v>1785.7719999999999</v>
      </c>
      <c r="H985" s="62">
        <v>6.9</v>
      </c>
      <c r="I985" s="63">
        <v>2.5999999999999999E-2</v>
      </c>
      <c r="J985" s="76">
        <v>8.3140000000000001</v>
      </c>
      <c r="K985" s="65">
        <v>59.21</v>
      </c>
      <c r="L985" s="50">
        <v>5.4470000000000001</v>
      </c>
      <c r="M985" s="66">
        <v>1.4999999999999999E-2</v>
      </c>
      <c r="N985" s="57">
        <v>73.269000000000005</v>
      </c>
      <c r="O985" s="67">
        <v>7.3999999999999996E-2</v>
      </c>
      <c r="P985" s="96"/>
      <c r="Q985" s="93"/>
      <c r="R985" s="93"/>
      <c r="S985" s="93"/>
      <c r="T985" s="93"/>
    </row>
    <row r="986" spans="1:20" ht="14.25" customHeight="1" x14ac:dyDescent="0.35">
      <c r="A986" s="1">
        <v>2022</v>
      </c>
      <c r="B986" s="1" t="s">
        <v>31</v>
      </c>
      <c r="C986" s="1">
        <v>10</v>
      </c>
      <c r="D986" s="49">
        <v>106.75</v>
      </c>
      <c r="E986" s="50">
        <v>90.25</v>
      </c>
      <c r="F986" s="72">
        <v>86.075000000000003</v>
      </c>
      <c r="G986" s="61">
        <v>1724.7070000000001</v>
      </c>
      <c r="H986" s="62">
        <v>6.9</v>
      </c>
      <c r="I986" s="63">
        <v>2.4E-2</v>
      </c>
      <c r="J986" s="76">
        <v>8.7509999999999994</v>
      </c>
      <c r="K986" s="65">
        <v>55.74</v>
      </c>
      <c r="L986" s="50">
        <v>5.5490000000000004</v>
      </c>
      <c r="M986" s="74">
        <v>1.4999999999999999E-2</v>
      </c>
      <c r="N986" s="57">
        <v>55.779000000000003</v>
      </c>
      <c r="O986" s="75">
        <v>6.9000000000000006E-2</v>
      </c>
      <c r="P986" s="96"/>
      <c r="Q986" s="93"/>
      <c r="R986" s="93"/>
      <c r="S986" s="93"/>
      <c r="T986" s="93"/>
    </row>
    <row r="987" spans="1:20" ht="14.25" customHeight="1" x14ac:dyDescent="0.35">
      <c r="A987" s="1">
        <v>2022</v>
      </c>
      <c r="B987" s="1" t="s">
        <v>31</v>
      </c>
      <c r="C987" s="1">
        <v>11</v>
      </c>
      <c r="D987" s="49">
        <v>106.40600000000001</v>
      </c>
      <c r="E987" s="50">
        <v>90.093999999999994</v>
      </c>
      <c r="F987" s="72">
        <v>86.591999999999999</v>
      </c>
      <c r="G987" s="61">
        <v>1611.0050000000001</v>
      </c>
      <c r="H987" s="62">
        <v>6.9</v>
      </c>
      <c r="I987" s="63">
        <v>2.4E-2</v>
      </c>
      <c r="J987" s="76">
        <v>8.2240000000000002</v>
      </c>
      <c r="K987" s="65">
        <v>48.712000000000003</v>
      </c>
      <c r="L987" s="50">
        <v>5.4960000000000004</v>
      </c>
      <c r="M987" s="74">
        <v>1.4999999999999999E-2</v>
      </c>
      <c r="N987" s="57">
        <v>63.338000000000001</v>
      </c>
      <c r="O987" s="75">
        <v>6.0999999999999999E-2</v>
      </c>
      <c r="P987" s="96"/>
      <c r="Q987" s="93"/>
      <c r="R987" s="93"/>
      <c r="S987" s="93"/>
      <c r="T987" s="93"/>
    </row>
    <row r="988" spans="1:20" ht="14.25" customHeight="1" x14ac:dyDescent="0.35">
      <c r="A988" s="1">
        <v>2022</v>
      </c>
      <c r="B988" s="1" t="s">
        <v>31</v>
      </c>
      <c r="C988" s="1">
        <v>12</v>
      </c>
      <c r="D988" s="49">
        <v>107.828</v>
      </c>
      <c r="E988" s="50">
        <v>91.218999999999994</v>
      </c>
      <c r="F988" s="72">
        <v>86.492999999999995</v>
      </c>
      <c r="G988" s="61">
        <v>1581.4570000000001</v>
      </c>
      <c r="H988" s="62">
        <v>6.9</v>
      </c>
      <c r="I988" s="63">
        <v>2.3E-2</v>
      </c>
      <c r="J988" s="76">
        <v>7.9630000000000001</v>
      </c>
      <c r="K988" s="65">
        <v>48.606000000000002</v>
      </c>
      <c r="L988" s="50">
        <v>5.4539999999999997</v>
      </c>
      <c r="M988" s="74">
        <v>1.4999999999999999E-2</v>
      </c>
      <c r="N988" s="57">
        <v>71.061000000000007</v>
      </c>
      <c r="O988" s="75">
        <v>0.06</v>
      </c>
      <c r="P988" s="96"/>
      <c r="Q988" s="93"/>
      <c r="R988" s="93"/>
      <c r="S988" s="93"/>
      <c r="T988" s="93"/>
    </row>
    <row r="989" spans="1:20" ht="14.25" customHeight="1" x14ac:dyDescent="0.35">
      <c r="A989" s="1">
        <v>2022</v>
      </c>
      <c r="B989" s="1" t="s">
        <v>31</v>
      </c>
      <c r="C989" s="1">
        <v>13</v>
      </c>
      <c r="D989" s="49">
        <v>108.5</v>
      </c>
      <c r="E989" s="50">
        <v>91.813000000000002</v>
      </c>
      <c r="F989" s="78">
        <v>85.956999999999994</v>
      </c>
      <c r="G989" s="61">
        <v>1687.6289999999999</v>
      </c>
      <c r="H989" s="62">
        <v>6.9</v>
      </c>
      <c r="I989" s="63">
        <v>2.3E-2</v>
      </c>
      <c r="J989" s="81">
        <v>8.1229999999999993</v>
      </c>
      <c r="K989" s="65">
        <v>52.463999999999999</v>
      </c>
      <c r="L989" s="50">
        <v>5.4790000000000001</v>
      </c>
      <c r="M989" s="66">
        <v>1.4999999999999999E-2</v>
      </c>
      <c r="N989" s="57">
        <v>66.503</v>
      </c>
      <c r="O989" s="80">
        <v>6.4000000000000001E-2</v>
      </c>
      <c r="P989" s="96"/>
      <c r="Q989" s="93"/>
      <c r="R989" s="93"/>
      <c r="S989" s="93"/>
      <c r="T989" s="93"/>
    </row>
    <row r="990" spans="1:20" ht="14.25" customHeight="1" x14ac:dyDescent="0.35">
      <c r="A990" s="1">
        <v>2022</v>
      </c>
      <c r="B990" s="1" t="s">
        <v>31</v>
      </c>
      <c r="C990" s="1">
        <v>14</v>
      </c>
      <c r="D990" s="49">
        <v>105.98399999999999</v>
      </c>
      <c r="E990" s="50">
        <v>89.718999999999994</v>
      </c>
      <c r="F990" s="60">
        <v>85.891999999999996</v>
      </c>
      <c r="G990" s="61">
        <v>1771.4960000000001</v>
      </c>
      <c r="H990" s="62">
        <v>6.9</v>
      </c>
      <c r="I990" s="63">
        <v>2.4E-2</v>
      </c>
      <c r="J990" s="81">
        <v>8.4269999999999996</v>
      </c>
      <c r="K990" s="82">
        <v>54.783999999999999</v>
      </c>
      <c r="L990" s="50">
        <v>5.5259999999999998</v>
      </c>
      <c r="M990" s="66">
        <v>1.4999999999999999E-2</v>
      </c>
      <c r="N990" s="57">
        <v>58.579000000000001</v>
      </c>
      <c r="O990" s="80">
        <v>6.9000000000000006E-2</v>
      </c>
      <c r="P990" s="96"/>
      <c r="Q990" s="93"/>
      <c r="R990" s="93"/>
      <c r="S990" s="93"/>
      <c r="T990" s="93"/>
    </row>
    <row r="991" spans="1:20" ht="14.25" customHeight="1" x14ac:dyDescent="0.35">
      <c r="A991" s="1">
        <v>2022</v>
      </c>
      <c r="B991" s="1" t="s">
        <v>31</v>
      </c>
      <c r="C991" s="1">
        <v>15</v>
      </c>
      <c r="D991" s="49">
        <v>109.39100000000001</v>
      </c>
      <c r="E991" s="50">
        <v>92.563000000000002</v>
      </c>
      <c r="F991" s="60">
        <v>85.774000000000001</v>
      </c>
      <c r="G991" s="61">
        <v>1755.973</v>
      </c>
      <c r="H991" s="62">
        <v>6.9</v>
      </c>
      <c r="I991" s="63">
        <v>2.4E-2</v>
      </c>
      <c r="J991" s="76">
        <v>8.7759999999999998</v>
      </c>
      <c r="K991" s="65">
        <v>53.585999999999999</v>
      </c>
      <c r="L991" s="50">
        <v>5.5259999999999998</v>
      </c>
      <c r="M991" s="66">
        <v>1.4999999999999999E-2</v>
      </c>
      <c r="N991" s="57">
        <v>58.505000000000003</v>
      </c>
      <c r="O991" s="75">
        <v>6.6000000000000003E-2</v>
      </c>
      <c r="P991" s="96"/>
      <c r="Q991" s="93"/>
      <c r="R991" s="93"/>
      <c r="S991" s="93"/>
      <c r="T991" s="93"/>
    </row>
    <row r="992" spans="1:20" ht="14.25" customHeight="1" x14ac:dyDescent="0.35">
      <c r="A992" s="1">
        <v>2022</v>
      </c>
      <c r="B992" s="1" t="s">
        <v>31</v>
      </c>
      <c r="C992" s="1">
        <v>16</v>
      </c>
      <c r="D992" s="49">
        <v>110.313</v>
      </c>
      <c r="E992" s="50">
        <v>93.313000000000002</v>
      </c>
      <c r="F992" s="60">
        <v>85.468999999999994</v>
      </c>
      <c r="G992" s="61">
        <v>1704.029</v>
      </c>
      <c r="H992" s="62">
        <v>6.9</v>
      </c>
      <c r="I992" s="63">
        <v>2.5000000000000001E-2</v>
      </c>
      <c r="J992" s="81">
        <v>8.4749999999999996</v>
      </c>
      <c r="K992" s="61">
        <v>53.140999999999998</v>
      </c>
      <c r="L992" s="62">
        <v>5.4939999999999998</v>
      </c>
      <c r="M992" s="66">
        <v>1.4999999999999999E-2</v>
      </c>
      <c r="N992" s="57">
        <v>63.186</v>
      </c>
      <c r="O992" s="80">
        <v>6.5000000000000002E-2</v>
      </c>
      <c r="P992" s="96"/>
      <c r="Q992" s="93"/>
      <c r="R992" s="93"/>
      <c r="S992" s="93"/>
      <c r="T992" s="93"/>
    </row>
    <row r="993" spans="1:20" ht="14.25" customHeight="1" x14ac:dyDescent="0.35">
      <c r="A993" s="1">
        <v>2022</v>
      </c>
      <c r="B993" s="1" t="s">
        <v>31</v>
      </c>
      <c r="C993" s="1">
        <v>17</v>
      </c>
      <c r="D993" s="49">
        <v>109.90600000000001</v>
      </c>
      <c r="E993" s="50">
        <v>93</v>
      </c>
      <c r="F993" s="60">
        <v>85.287000000000006</v>
      </c>
      <c r="G993" s="61">
        <v>1692.463</v>
      </c>
      <c r="H993" s="62">
        <v>6.9</v>
      </c>
      <c r="I993" s="63">
        <v>2.4E-2</v>
      </c>
      <c r="J993" s="68">
        <v>8.5239999999999991</v>
      </c>
      <c r="K993" s="65">
        <v>52.078000000000003</v>
      </c>
      <c r="L993" s="50">
        <v>5.4630000000000001</v>
      </c>
      <c r="M993" s="66">
        <v>1.4999999999999999E-2</v>
      </c>
      <c r="N993" s="57">
        <v>67.855999999999995</v>
      </c>
      <c r="O993" s="67">
        <v>6.2E-2</v>
      </c>
      <c r="P993" s="96"/>
      <c r="Q993" s="93"/>
      <c r="R993" s="93"/>
      <c r="S993" s="93"/>
      <c r="T993" s="93"/>
    </row>
    <row r="994" spans="1:20" ht="14.25" customHeight="1" x14ac:dyDescent="0.35">
      <c r="A994" s="1">
        <v>2022</v>
      </c>
      <c r="B994" s="1" t="s">
        <v>31</v>
      </c>
      <c r="C994" s="1">
        <v>18</v>
      </c>
      <c r="D994" s="49">
        <v>106.98399999999999</v>
      </c>
      <c r="E994" s="50">
        <v>90.5</v>
      </c>
      <c r="F994" s="60">
        <v>85.070999999999998</v>
      </c>
      <c r="G994" s="61">
        <v>1608.1859999999999</v>
      </c>
      <c r="H994" s="62">
        <v>6.9</v>
      </c>
      <c r="I994" s="63">
        <v>2.4E-2</v>
      </c>
      <c r="J994" s="68">
        <v>8.4060000000000006</v>
      </c>
      <c r="K994" s="61">
        <v>47.813000000000002</v>
      </c>
      <c r="L994" s="62">
        <v>5.4740000000000002</v>
      </c>
      <c r="M994" s="66">
        <v>1.4999999999999999E-2</v>
      </c>
      <c r="N994" s="57">
        <v>65.966999999999999</v>
      </c>
      <c r="O994" s="67">
        <v>5.6000000000000001E-2</v>
      </c>
      <c r="P994" s="96"/>
      <c r="Q994" s="93"/>
      <c r="R994" s="93"/>
      <c r="S994" s="93"/>
      <c r="T994" s="93"/>
    </row>
    <row r="995" spans="1:20" ht="14.25" customHeight="1" x14ac:dyDescent="0.35">
      <c r="A995" s="1">
        <v>2022</v>
      </c>
      <c r="B995" s="1" t="s">
        <v>31</v>
      </c>
      <c r="C995" s="1">
        <v>19</v>
      </c>
      <c r="D995" s="49">
        <v>100.203</v>
      </c>
      <c r="E995" s="50">
        <v>84.531000000000006</v>
      </c>
      <c r="F995" s="60">
        <v>84.92</v>
      </c>
      <c r="G995" s="61">
        <v>1603.999</v>
      </c>
      <c r="H995" s="62">
        <v>6.9</v>
      </c>
      <c r="I995" s="63">
        <v>2.5000000000000001E-2</v>
      </c>
      <c r="J995" s="68">
        <v>8.5649999999999995</v>
      </c>
      <c r="K995" s="65">
        <v>49.502000000000002</v>
      </c>
      <c r="L995" s="50">
        <v>5.4560000000000004</v>
      </c>
      <c r="M995" s="66">
        <v>1.4999999999999999E-2</v>
      </c>
      <c r="N995" s="57">
        <v>69.406999999999996</v>
      </c>
      <c r="O995" s="67">
        <v>6.0999999999999999E-2</v>
      </c>
      <c r="P995" s="96"/>
      <c r="Q995" s="93"/>
      <c r="R995" s="93"/>
      <c r="S995" s="93"/>
      <c r="T995" s="93"/>
    </row>
    <row r="996" spans="1:20" ht="14.25" customHeight="1" x14ac:dyDescent="0.35">
      <c r="A996" s="1">
        <v>2022</v>
      </c>
      <c r="B996" s="1" t="s">
        <v>31</v>
      </c>
      <c r="C996" s="1">
        <v>20</v>
      </c>
      <c r="D996" s="49">
        <v>3.266</v>
      </c>
      <c r="E996" s="50">
        <v>2.6560000000000001</v>
      </c>
      <c r="F996" s="60">
        <v>79.844999999999999</v>
      </c>
      <c r="G996" s="61">
        <v>1731.972</v>
      </c>
      <c r="H996" s="62">
        <v>6.8849999999999998</v>
      </c>
      <c r="I996" s="63">
        <v>6.3E-2</v>
      </c>
      <c r="J996" s="68">
        <v>8.8000000000000007</v>
      </c>
      <c r="K996" s="61">
        <v>57.66</v>
      </c>
      <c r="L996" s="62">
        <v>5.9379999999999997</v>
      </c>
      <c r="M996" s="66">
        <v>2.5999999999999999E-2</v>
      </c>
      <c r="N996" s="57">
        <v>31.614000000000001</v>
      </c>
      <c r="O996" s="67">
        <v>0</v>
      </c>
      <c r="P996" s="96"/>
      <c r="Q996" s="93"/>
      <c r="R996" s="93"/>
      <c r="S996" s="93"/>
      <c r="T996" s="93"/>
    </row>
    <row r="997" spans="1:20" ht="14.25" customHeight="1" x14ac:dyDescent="0.35">
      <c r="A997" s="1">
        <v>2022</v>
      </c>
      <c r="B997" s="1" t="s">
        <v>31</v>
      </c>
      <c r="C997" s="1">
        <v>21</v>
      </c>
      <c r="D997" s="49">
        <v>77.858999999999995</v>
      </c>
      <c r="E997" s="50">
        <v>66</v>
      </c>
      <c r="F997" s="60">
        <v>84.989000000000004</v>
      </c>
      <c r="G997" s="61">
        <v>1726.373</v>
      </c>
      <c r="H997" s="62">
        <v>6.9</v>
      </c>
      <c r="I997" s="63">
        <v>2.5999999999999999E-2</v>
      </c>
      <c r="J997" s="68">
        <v>8.7370000000000001</v>
      </c>
      <c r="K997" s="65">
        <v>41.917000000000002</v>
      </c>
      <c r="L997" s="50">
        <v>5.43</v>
      </c>
      <c r="M997" s="66">
        <v>1.7999999999999999E-2</v>
      </c>
      <c r="N997" s="57">
        <v>73.399000000000001</v>
      </c>
      <c r="O997" s="67">
        <v>6.9000000000000006E-2</v>
      </c>
      <c r="P997" s="96"/>
      <c r="Q997" s="93"/>
      <c r="R997" s="93"/>
      <c r="S997" s="93"/>
      <c r="T997" s="93"/>
    </row>
    <row r="998" spans="1:20" ht="14.25" customHeight="1" x14ac:dyDescent="0.35">
      <c r="A998" s="1">
        <v>2022</v>
      </c>
      <c r="B998" s="1" t="s">
        <v>31</v>
      </c>
      <c r="C998" s="1">
        <v>22</v>
      </c>
      <c r="D998" s="49">
        <v>86.391000000000005</v>
      </c>
      <c r="E998" s="50">
        <v>73.063000000000002</v>
      </c>
      <c r="F998" s="60">
        <v>85.263000000000005</v>
      </c>
      <c r="G998" s="61">
        <v>1761.269</v>
      </c>
      <c r="H998" s="62">
        <v>6.9</v>
      </c>
      <c r="I998" s="63">
        <v>2.5000000000000001E-2</v>
      </c>
      <c r="J998" s="68">
        <v>9.1270000000000007</v>
      </c>
      <c r="K998" s="61">
        <v>48.073</v>
      </c>
      <c r="L998" s="62">
        <v>5.4349999999999996</v>
      </c>
      <c r="M998" s="66">
        <v>1.4999999999999999E-2</v>
      </c>
      <c r="N998" s="57">
        <v>72.591999999999999</v>
      </c>
      <c r="O998" s="67">
        <v>0.08</v>
      </c>
      <c r="P998" s="96"/>
      <c r="Q998" s="93"/>
      <c r="R998" s="93"/>
      <c r="S998" s="93"/>
      <c r="T998" s="93"/>
    </row>
    <row r="999" spans="1:20" ht="14.25" customHeight="1" x14ac:dyDescent="0.35">
      <c r="A999" s="1">
        <v>2022</v>
      </c>
      <c r="B999" s="1" t="s">
        <v>31</v>
      </c>
      <c r="C999" s="1">
        <v>23</v>
      </c>
      <c r="D999" s="49">
        <v>94.375</v>
      </c>
      <c r="E999" s="50">
        <v>79.531000000000006</v>
      </c>
      <c r="F999" s="60">
        <v>85.382999999999996</v>
      </c>
      <c r="G999" s="61">
        <v>1779.576</v>
      </c>
      <c r="H999" s="62">
        <v>6.9</v>
      </c>
      <c r="I999" s="63">
        <v>2.5999999999999999E-2</v>
      </c>
      <c r="J999" s="68">
        <v>8.3940000000000001</v>
      </c>
      <c r="K999" s="65">
        <v>53.386000000000003</v>
      </c>
      <c r="L999" s="50">
        <v>5.367</v>
      </c>
      <c r="M999" s="66">
        <v>1.4999999999999999E-2</v>
      </c>
      <c r="N999" s="57">
        <v>84.757000000000005</v>
      </c>
      <c r="O999" s="67">
        <v>6.8000000000000005E-2</v>
      </c>
      <c r="P999" s="96"/>
      <c r="Q999" s="93"/>
      <c r="R999" s="93"/>
      <c r="S999" s="93"/>
      <c r="T999" s="93"/>
    </row>
    <row r="1000" spans="1:20" ht="14.25" customHeight="1" x14ac:dyDescent="0.35">
      <c r="A1000" s="1">
        <v>2022</v>
      </c>
      <c r="B1000" s="1" t="s">
        <v>31</v>
      </c>
      <c r="C1000" s="1">
        <v>24</v>
      </c>
      <c r="D1000" s="49">
        <v>99.468999999999994</v>
      </c>
      <c r="E1000" s="50">
        <v>83.875</v>
      </c>
      <c r="F1000" s="60">
        <v>85.468000000000004</v>
      </c>
      <c r="G1000" s="61">
        <v>1731.5129999999999</v>
      </c>
      <c r="H1000" s="62">
        <v>6.9</v>
      </c>
      <c r="I1000" s="63">
        <v>2.5000000000000001E-2</v>
      </c>
      <c r="J1000" s="68">
        <v>8.3079999999999998</v>
      </c>
      <c r="K1000" s="61">
        <v>47.923000000000002</v>
      </c>
      <c r="L1000" s="62">
        <v>5.3259999999999996</v>
      </c>
      <c r="M1000" s="66">
        <v>1.4999999999999999E-2</v>
      </c>
      <c r="N1000" s="57">
        <v>92.891000000000005</v>
      </c>
      <c r="O1000" s="67">
        <v>6.2E-2</v>
      </c>
      <c r="P1000" s="96"/>
      <c r="Q1000" s="93"/>
      <c r="R1000" s="93"/>
      <c r="S1000" s="93"/>
      <c r="T1000" s="93"/>
    </row>
    <row r="1001" spans="1:20" ht="14.25" customHeight="1" x14ac:dyDescent="0.35">
      <c r="A1001" s="1">
        <v>2022</v>
      </c>
      <c r="B1001" s="1" t="s">
        <v>31</v>
      </c>
      <c r="C1001" s="1">
        <v>25</v>
      </c>
      <c r="D1001" s="49">
        <v>98.766000000000005</v>
      </c>
      <c r="E1001" s="50">
        <v>83.25</v>
      </c>
      <c r="F1001" s="60">
        <v>85.430999999999997</v>
      </c>
      <c r="G1001" s="61">
        <v>1629.009</v>
      </c>
      <c r="H1001" s="62">
        <v>6.9</v>
      </c>
      <c r="I1001" s="63">
        <v>2.4E-2</v>
      </c>
      <c r="J1001" s="68">
        <v>8.2509999999999994</v>
      </c>
      <c r="K1001" s="65">
        <v>43.771999999999998</v>
      </c>
      <c r="L1001" s="50">
        <v>5.3040000000000003</v>
      </c>
      <c r="M1001" s="66">
        <v>1.4999999999999999E-2</v>
      </c>
      <c r="N1001" s="57">
        <v>97.629800000000003</v>
      </c>
      <c r="O1001" s="67">
        <v>5.7000000000000002E-2</v>
      </c>
      <c r="P1001" s="96"/>
      <c r="Q1001" s="93"/>
      <c r="R1001" s="93"/>
      <c r="S1001" s="93"/>
      <c r="T1001" s="93"/>
    </row>
    <row r="1002" spans="1:20" ht="14.25" customHeight="1" x14ac:dyDescent="0.35">
      <c r="A1002" s="1">
        <v>2022</v>
      </c>
      <c r="B1002" s="1" t="s">
        <v>31</v>
      </c>
      <c r="C1002" s="1">
        <v>26</v>
      </c>
      <c r="D1002" s="49">
        <v>98.203000000000003</v>
      </c>
      <c r="E1002" s="50">
        <v>82.531000000000006</v>
      </c>
      <c r="F1002" s="60">
        <v>85.436000000000007</v>
      </c>
      <c r="G1002" s="61">
        <v>1623.1959999999999</v>
      </c>
      <c r="H1002" s="62">
        <v>6.9</v>
      </c>
      <c r="I1002" s="63">
        <v>2.5000000000000001E-2</v>
      </c>
      <c r="J1002" s="68">
        <v>8.3940000000000001</v>
      </c>
      <c r="K1002" s="61">
        <v>43.006999999999998</v>
      </c>
      <c r="L1002" s="62">
        <v>5.3109999999999999</v>
      </c>
      <c r="M1002" s="66">
        <v>1.4999999999999999E-2</v>
      </c>
      <c r="N1002" s="57">
        <v>96.027000000000001</v>
      </c>
      <c r="O1002" s="67">
        <v>0.06</v>
      </c>
      <c r="P1002" s="96"/>
      <c r="Q1002" s="93"/>
      <c r="R1002" s="93"/>
      <c r="S1002" s="93"/>
      <c r="T1002" s="93"/>
    </row>
    <row r="1003" spans="1:20" ht="14.25" customHeight="1" x14ac:dyDescent="0.35">
      <c r="A1003" s="1">
        <v>2022</v>
      </c>
      <c r="B1003" s="1" t="s">
        <v>31</v>
      </c>
      <c r="C1003" s="1">
        <v>27</v>
      </c>
      <c r="D1003" s="49">
        <v>96.156000000000006</v>
      </c>
      <c r="E1003" s="50">
        <v>80.625</v>
      </c>
      <c r="F1003" s="60">
        <v>85.573999999999998</v>
      </c>
      <c r="G1003" s="61">
        <v>1736.5719999999999</v>
      </c>
      <c r="H1003" s="62">
        <v>6.9</v>
      </c>
      <c r="I1003" s="63">
        <v>2.5999999999999999E-2</v>
      </c>
      <c r="J1003" s="68">
        <v>8.5519999999999996</v>
      </c>
      <c r="K1003" s="65">
        <v>43.356000000000002</v>
      </c>
      <c r="L1003" s="50">
        <v>5.2949999999999999</v>
      </c>
      <c r="M1003" s="66">
        <v>1.4999999999999999E-2</v>
      </c>
      <c r="N1003" s="57">
        <v>99.745000000000005</v>
      </c>
      <c r="O1003" s="67">
        <v>5.7000000000000002E-2</v>
      </c>
      <c r="P1003" s="96"/>
      <c r="Q1003" s="93"/>
      <c r="R1003" s="93"/>
      <c r="S1003" s="93"/>
      <c r="T1003" s="93"/>
    </row>
    <row r="1004" spans="1:20" ht="14.25" customHeight="1" x14ac:dyDescent="0.35">
      <c r="A1004" s="1">
        <v>2022</v>
      </c>
      <c r="B1004" s="1" t="s">
        <v>31</v>
      </c>
      <c r="C1004" s="1">
        <v>28</v>
      </c>
      <c r="D1004" s="49">
        <v>96.796999999999997</v>
      </c>
      <c r="E1004" s="50">
        <v>81.25</v>
      </c>
      <c r="F1004" s="60">
        <v>85.567999999999998</v>
      </c>
      <c r="G1004" s="61">
        <v>1784.6669999999999</v>
      </c>
      <c r="H1004" s="62">
        <v>6.9</v>
      </c>
      <c r="I1004" s="63">
        <v>2.7E-2</v>
      </c>
      <c r="J1004" s="68">
        <v>8.34</v>
      </c>
      <c r="K1004" s="61">
        <v>43.616999999999997</v>
      </c>
      <c r="L1004" s="62">
        <v>5.25</v>
      </c>
      <c r="M1004" s="66">
        <v>1.4999999999999999E-2</v>
      </c>
      <c r="N1004" s="57">
        <v>110.825</v>
      </c>
      <c r="O1004" s="67">
        <v>5.7000000000000002E-2</v>
      </c>
      <c r="P1004" s="96"/>
      <c r="Q1004" s="93"/>
      <c r="R1004" s="93"/>
      <c r="S1004" s="93"/>
      <c r="T1004" s="93"/>
    </row>
    <row r="1005" spans="1:20" ht="14.25" customHeight="1" x14ac:dyDescent="0.35">
      <c r="A1005" s="1">
        <v>2022</v>
      </c>
      <c r="B1005" s="1" t="s">
        <v>31</v>
      </c>
      <c r="C1005" s="1">
        <v>29</v>
      </c>
      <c r="D1005" s="49">
        <v>99.25</v>
      </c>
      <c r="E1005" s="50">
        <v>83.218999999999994</v>
      </c>
      <c r="F1005" s="83">
        <v>85.403000000000006</v>
      </c>
      <c r="G1005" s="69">
        <v>1766.3240000000001</v>
      </c>
      <c r="H1005" s="50">
        <v>6.9</v>
      </c>
      <c r="I1005" s="66">
        <v>2.7E-2</v>
      </c>
      <c r="J1005" s="117">
        <v>8.1300000000000008</v>
      </c>
      <c r="K1005" s="61">
        <v>43.942999999999998</v>
      </c>
      <c r="L1005" s="62">
        <v>5.2110000000000003</v>
      </c>
      <c r="M1005" s="66">
        <v>1.4999999999999999E-2</v>
      </c>
      <c r="N1005" s="57">
        <v>120.867</v>
      </c>
      <c r="O1005" s="84">
        <v>5.8999999999999997E-2</v>
      </c>
      <c r="P1005" s="96"/>
      <c r="Q1005" s="93"/>
      <c r="R1005" s="93"/>
      <c r="S1005" s="93"/>
      <c r="T1005" s="93"/>
    </row>
    <row r="1006" spans="1:20" ht="14.25" customHeight="1" x14ac:dyDescent="0.35">
      <c r="A1006" s="1">
        <v>2022</v>
      </c>
      <c r="B1006" s="1" t="s">
        <v>31</v>
      </c>
      <c r="C1006" s="1">
        <v>30</v>
      </c>
      <c r="D1006" s="104">
        <v>101.875</v>
      </c>
      <c r="E1006" s="105">
        <v>85.656000000000006</v>
      </c>
      <c r="F1006" s="83">
        <v>85.004000000000005</v>
      </c>
      <c r="G1006" s="69">
        <v>1742.3989999999999</v>
      </c>
      <c r="H1006" s="50">
        <v>6.899</v>
      </c>
      <c r="I1006" s="66">
        <v>3.1E-2</v>
      </c>
      <c r="J1006" s="117">
        <v>8.1890000000000001</v>
      </c>
      <c r="K1006" s="61">
        <v>44.390999999999998</v>
      </c>
      <c r="L1006" s="62">
        <v>5.2430000000000003</v>
      </c>
      <c r="M1006" s="66">
        <v>1.4999999999999999E-2</v>
      </c>
      <c r="N1006" s="57">
        <v>113.492</v>
      </c>
      <c r="O1006" s="84">
        <v>5.7000000000000002E-2</v>
      </c>
      <c r="P1006" s="96"/>
      <c r="Q1006" s="93"/>
      <c r="R1006" s="93"/>
      <c r="S1006" s="93"/>
      <c r="T1006" s="93"/>
    </row>
    <row r="1007" spans="1:20" ht="14.25" customHeight="1" x14ac:dyDescent="0.35">
      <c r="A1007" s="1">
        <v>2022</v>
      </c>
      <c r="B1007" s="1" t="s">
        <v>32</v>
      </c>
      <c r="C1007" s="1">
        <v>1</v>
      </c>
      <c r="D1007" s="12">
        <v>103.98399999999999</v>
      </c>
      <c r="E1007" s="13">
        <v>87.938000000000002</v>
      </c>
      <c r="F1007" s="51">
        <v>84.724000000000004</v>
      </c>
      <c r="G1007" s="52">
        <v>1693.693</v>
      </c>
      <c r="H1007" s="53">
        <v>6.9</v>
      </c>
      <c r="I1007" s="54">
        <v>2.9000000000000001E-2</v>
      </c>
      <c r="J1007" s="59">
        <v>8.32</v>
      </c>
      <c r="K1007" s="52">
        <v>47.554000000000002</v>
      </c>
      <c r="L1007" s="55">
        <v>5.2850000000000001</v>
      </c>
      <c r="M1007" s="54">
        <v>1.4999999999999999E-2</v>
      </c>
      <c r="N1007" s="57">
        <v>102.024</v>
      </c>
      <c r="O1007" s="58">
        <v>6.0999999999999999E-2</v>
      </c>
      <c r="P1007" s="96"/>
      <c r="Q1007" s="93"/>
      <c r="R1007" s="93"/>
      <c r="S1007" s="93"/>
      <c r="T1007" s="93"/>
    </row>
    <row r="1008" spans="1:20" ht="14.25" customHeight="1" x14ac:dyDescent="0.35">
      <c r="A1008" s="1">
        <v>2022</v>
      </c>
      <c r="B1008" s="1" t="s">
        <v>32</v>
      </c>
      <c r="C1008" s="1">
        <v>2</v>
      </c>
      <c r="D1008" s="12">
        <v>106.438</v>
      </c>
      <c r="E1008" s="13">
        <v>90</v>
      </c>
      <c r="F1008" s="60">
        <v>84.533000000000001</v>
      </c>
      <c r="G1008" s="61">
        <v>1618.433</v>
      </c>
      <c r="H1008" s="62">
        <v>6.9</v>
      </c>
      <c r="I1008" s="63">
        <v>2.7E-2</v>
      </c>
      <c r="J1008" s="68">
        <v>8.4359999999999999</v>
      </c>
      <c r="K1008" s="65">
        <v>46.052</v>
      </c>
      <c r="L1008" s="50">
        <v>5.2850000000000001</v>
      </c>
      <c r="M1008" s="63">
        <v>1.4999999999999999E-2</v>
      </c>
      <c r="N1008" s="57">
        <v>102.158</v>
      </c>
      <c r="O1008" s="67">
        <v>0.06</v>
      </c>
      <c r="P1008" s="96"/>
      <c r="Q1008" s="93"/>
      <c r="R1008" s="93"/>
      <c r="S1008" s="93"/>
      <c r="T1008" s="93"/>
    </row>
    <row r="1009" spans="1:20" ht="14.25" customHeight="1" x14ac:dyDescent="0.35">
      <c r="A1009" s="1">
        <v>2022</v>
      </c>
      <c r="B1009" s="1" t="s">
        <v>32</v>
      </c>
      <c r="C1009" s="1">
        <v>3</v>
      </c>
      <c r="D1009" s="12">
        <v>104.98399999999999</v>
      </c>
      <c r="E1009" s="13">
        <v>88.843999999999994</v>
      </c>
      <c r="F1009" s="60">
        <v>84.551000000000002</v>
      </c>
      <c r="G1009" s="61">
        <v>1593.7650000000001</v>
      </c>
      <c r="H1009" s="62">
        <v>6.9</v>
      </c>
      <c r="I1009" s="63">
        <v>2.8000000000000001E-2</v>
      </c>
      <c r="J1009" s="68">
        <v>8.5350000000000001</v>
      </c>
      <c r="K1009" s="65">
        <v>43.432000000000002</v>
      </c>
      <c r="L1009" s="50">
        <v>5.2789999999999999</v>
      </c>
      <c r="M1009" s="63">
        <v>1.4999999999999999E-2</v>
      </c>
      <c r="N1009" s="57">
        <v>103.295</v>
      </c>
      <c r="O1009" s="67">
        <v>5.8500000000000003E-2</v>
      </c>
      <c r="P1009" s="96"/>
      <c r="Q1009" s="93"/>
      <c r="R1009" s="93"/>
      <c r="S1009" s="93"/>
      <c r="T1009" s="93"/>
    </row>
    <row r="1010" spans="1:20" ht="14.25" customHeight="1" x14ac:dyDescent="0.35">
      <c r="A1010" s="1">
        <v>2022</v>
      </c>
      <c r="B1010" s="1" t="s">
        <v>32</v>
      </c>
      <c r="C1010" s="1">
        <v>4</v>
      </c>
      <c r="D1010" s="12">
        <v>78.483999999999995</v>
      </c>
      <c r="E1010" s="13">
        <v>66.406000000000006</v>
      </c>
      <c r="F1010" s="60">
        <v>84.796999999999997</v>
      </c>
      <c r="G1010" s="61">
        <v>1712.82</v>
      </c>
      <c r="H1010" s="62">
        <v>6.9</v>
      </c>
      <c r="I1010" s="63">
        <v>3.3000000000000002E-2</v>
      </c>
      <c r="J1010" s="68">
        <v>8.85</v>
      </c>
      <c r="K1010" s="65">
        <v>41.262</v>
      </c>
      <c r="L1010" s="50">
        <v>5.26</v>
      </c>
      <c r="M1010" s="63">
        <v>1.4999999999999999E-2</v>
      </c>
      <c r="N1010" s="57">
        <v>108.875</v>
      </c>
      <c r="O1010" s="67">
        <v>6.6000000000000003E-2</v>
      </c>
      <c r="P1010" s="96"/>
      <c r="Q1010" s="93"/>
      <c r="R1010" s="93"/>
      <c r="S1010" s="93"/>
      <c r="T1010" s="93"/>
    </row>
    <row r="1011" spans="1:20" ht="14.25" customHeight="1" x14ac:dyDescent="0.35">
      <c r="A1011" s="1">
        <v>2022</v>
      </c>
      <c r="B1011" s="1" t="s">
        <v>32</v>
      </c>
      <c r="C1011" s="1">
        <v>5</v>
      </c>
      <c r="D1011" s="12">
        <v>103.625</v>
      </c>
      <c r="E1011" s="13">
        <v>87.843999999999994</v>
      </c>
      <c r="F1011" s="60">
        <v>84.988</v>
      </c>
      <c r="G1011" s="61">
        <v>1741.652</v>
      </c>
      <c r="H1011" s="62">
        <v>6.9</v>
      </c>
      <c r="I1011" s="63">
        <v>2.9000000000000001E-2</v>
      </c>
      <c r="J1011" s="68">
        <v>8.6069999999999993</v>
      </c>
      <c r="K1011" s="65">
        <v>45.316000000000003</v>
      </c>
      <c r="L1011" s="50">
        <v>5.2720000000000002</v>
      </c>
      <c r="M1011" s="63">
        <v>1.4999999999999999E-2</v>
      </c>
      <c r="N1011" s="57">
        <v>105.081</v>
      </c>
      <c r="O1011" s="67">
        <v>7.1999999999999995E-2</v>
      </c>
      <c r="P1011" s="96"/>
      <c r="Q1011" s="93"/>
      <c r="R1011" s="93"/>
      <c r="S1011" s="93"/>
      <c r="T1011" s="93"/>
    </row>
    <row r="1012" spans="1:20" ht="14.25" customHeight="1" x14ac:dyDescent="0.35">
      <c r="A1012" s="1">
        <v>2022</v>
      </c>
      <c r="B1012" s="1" t="s">
        <v>32</v>
      </c>
      <c r="C1012" s="1">
        <v>6</v>
      </c>
      <c r="D1012" s="12">
        <v>104.125</v>
      </c>
      <c r="E1012" s="13">
        <v>87.938000000000002</v>
      </c>
      <c r="F1012" s="60">
        <v>85</v>
      </c>
      <c r="G1012" s="61">
        <v>1755.164</v>
      </c>
      <c r="H1012" s="62">
        <v>6.9</v>
      </c>
      <c r="I1012" s="63">
        <v>2.9000000000000001E-2</v>
      </c>
      <c r="J1012" s="68">
        <v>9.1790000000000003</v>
      </c>
      <c r="K1012" s="65">
        <v>44.475000000000001</v>
      </c>
      <c r="L1012" s="50">
        <v>5.2839999999999998</v>
      </c>
      <c r="M1012" s="63">
        <v>1.4999999999999999E-2</v>
      </c>
      <c r="N1012" s="57">
        <v>102.542</v>
      </c>
      <c r="O1012" s="67">
        <v>9.7000000000000003E-2</v>
      </c>
      <c r="P1012" s="96"/>
      <c r="Q1012" s="93"/>
      <c r="R1012" s="93"/>
      <c r="S1012" s="93"/>
      <c r="T1012" s="93"/>
    </row>
    <row r="1013" spans="1:20" ht="14.25" customHeight="1" x14ac:dyDescent="0.35">
      <c r="A1013" s="1">
        <v>2022</v>
      </c>
      <c r="B1013" s="1" t="s">
        <v>32</v>
      </c>
      <c r="C1013" s="1">
        <v>7</v>
      </c>
      <c r="D1013" s="12">
        <v>106.125</v>
      </c>
      <c r="E1013" s="13">
        <v>89.313000000000002</v>
      </c>
      <c r="F1013" s="60">
        <v>85.027000000000001</v>
      </c>
      <c r="G1013" s="61">
        <v>1728.3209999999999</v>
      </c>
      <c r="H1013" s="62">
        <v>6.8890000000000002</v>
      </c>
      <c r="I1013" s="63">
        <v>4.2000000000000003E-2</v>
      </c>
      <c r="J1013" s="68">
        <v>8.4459999999999997</v>
      </c>
      <c r="K1013" s="65">
        <v>41.756</v>
      </c>
      <c r="L1013" s="50">
        <v>5.2439999999999998</v>
      </c>
      <c r="M1013" s="63">
        <v>2.8000000000000001E-2</v>
      </c>
      <c r="N1013" s="57">
        <v>112.26900000000001</v>
      </c>
      <c r="O1013" s="67">
        <v>6.3E-2</v>
      </c>
      <c r="P1013" s="96"/>
      <c r="Q1013" s="93"/>
      <c r="R1013" s="93"/>
      <c r="S1013" s="93"/>
      <c r="T1013" s="93"/>
    </row>
    <row r="1014" spans="1:20" ht="14.25" customHeight="1" x14ac:dyDescent="0.35">
      <c r="A1014" s="1">
        <v>2022</v>
      </c>
      <c r="B1014" s="1" t="s">
        <v>32</v>
      </c>
      <c r="C1014" s="1">
        <v>8</v>
      </c>
      <c r="D1014" s="12">
        <v>106.64100000000001</v>
      </c>
      <c r="E1014" s="13">
        <v>89.75</v>
      </c>
      <c r="F1014" s="60">
        <v>84.867000000000004</v>
      </c>
      <c r="G1014" s="69">
        <v>1677.671</v>
      </c>
      <c r="H1014" s="62">
        <v>6.9</v>
      </c>
      <c r="I1014" s="63">
        <v>2.8000000000000001E-2</v>
      </c>
      <c r="J1014" s="71">
        <v>8.827</v>
      </c>
      <c r="K1014" s="65">
        <v>37.107999999999997</v>
      </c>
      <c r="L1014" s="50">
        <v>5.2359999999999998</v>
      </c>
      <c r="M1014" s="63">
        <v>1.4999999999999999E-2</v>
      </c>
      <c r="N1014" s="57">
        <v>114.46</v>
      </c>
      <c r="O1014" s="70">
        <v>7.3999999999999996E-2</v>
      </c>
      <c r="P1014" s="96"/>
      <c r="Q1014" s="93"/>
      <c r="R1014" s="93"/>
      <c r="S1014" s="93"/>
      <c r="T1014" s="93"/>
    </row>
    <row r="1015" spans="1:20" ht="14.25" customHeight="1" x14ac:dyDescent="0.35">
      <c r="A1015" s="1">
        <v>2022</v>
      </c>
      <c r="B1015" s="1" t="s">
        <v>32</v>
      </c>
      <c r="C1015" s="1">
        <v>9</v>
      </c>
      <c r="D1015" s="12">
        <v>106.73399999999999</v>
      </c>
      <c r="E1015" s="13">
        <v>89.906000000000006</v>
      </c>
      <c r="F1015" s="60">
        <v>84.731999999999999</v>
      </c>
      <c r="G1015" s="61">
        <v>1602.385</v>
      </c>
      <c r="H1015" s="62">
        <v>6.9</v>
      </c>
      <c r="I1015" s="63">
        <v>2.5000000000000001E-2</v>
      </c>
      <c r="J1015" s="68">
        <v>8.6460000000000008</v>
      </c>
      <c r="K1015" s="65">
        <v>36.176000000000002</v>
      </c>
      <c r="L1015" s="50">
        <v>5.2510000000000003</v>
      </c>
      <c r="M1015" s="63">
        <v>1.4999999999999999E-2</v>
      </c>
      <c r="N1015" s="57">
        <v>110.81</v>
      </c>
      <c r="O1015" s="67">
        <v>5.8000000000000003E-2</v>
      </c>
      <c r="P1015" s="96"/>
      <c r="Q1015" s="93"/>
      <c r="R1015" s="93"/>
      <c r="S1015" s="93"/>
      <c r="T1015" s="93"/>
    </row>
    <row r="1016" spans="1:20" ht="14.25" customHeight="1" x14ac:dyDescent="0.35">
      <c r="A1016" s="1">
        <v>2022</v>
      </c>
      <c r="B1016" s="1" t="s">
        <v>32</v>
      </c>
      <c r="C1016" s="1">
        <v>10</v>
      </c>
      <c r="D1016" s="12">
        <v>106.89100000000001</v>
      </c>
      <c r="E1016" s="13">
        <v>89.813000000000002</v>
      </c>
      <c r="F1016" s="72">
        <v>84.456000000000003</v>
      </c>
      <c r="G1016" s="61">
        <v>1604.8119999999999</v>
      </c>
      <c r="H1016" s="62">
        <v>6.9</v>
      </c>
      <c r="I1016" s="63">
        <v>2.5999999999999999E-2</v>
      </c>
      <c r="J1016" s="76">
        <v>8.8759999999999994</v>
      </c>
      <c r="K1016" s="65">
        <v>41.328000000000003</v>
      </c>
      <c r="L1016" s="50">
        <v>5.2839999999999998</v>
      </c>
      <c r="M1016" s="110">
        <v>1.4999999999999999E-2</v>
      </c>
      <c r="N1016" s="57">
        <v>102.386</v>
      </c>
      <c r="O1016" s="75">
        <v>5.8000000000000003E-2</v>
      </c>
      <c r="P1016" s="96"/>
      <c r="Q1016" s="93"/>
      <c r="R1016" s="93"/>
      <c r="S1016" s="93"/>
      <c r="T1016" s="93"/>
    </row>
    <row r="1017" spans="1:20" ht="14.25" customHeight="1" x14ac:dyDescent="0.35">
      <c r="A1017" s="1">
        <v>2022</v>
      </c>
      <c r="B1017" s="1" t="s">
        <v>32</v>
      </c>
      <c r="C1017" s="1">
        <v>11</v>
      </c>
      <c r="D1017" s="12">
        <v>107.21899999999999</v>
      </c>
      <c r="E1017" s="13">
        <v>89.968999999999994</v>
      </c>
      <c r="F1017" s="72">
        <v>84.174000000000007</v>
      </c>
      <c r="G1017" s="61">
        <v>1716.229</v>
      </c>
      <c r="H1017" s="62">
        <v>6.9</v>
      </c>
      <c r="I1017" s="63">
        <v>2.7E-2</v>
      </c>
      <c r="J1017" s="76">
        <v>9.01</v>
      </c>
      <c r="K1017" s="65">
        <v>44.825000000000003</v>
      </c>
      <c r="L1017" s="50">
        <v>5.2919999999999998</v>
      </c>
      <c r="M1017" s="110">
        <v>1.4999999999999999E-2</v>
      </c>
      <c r="N1017" s="57">
        <v>100.554</v>
      </c>
      <c r="O1017" s="75">
        <v>6.5000000000000002E-2</v>
      </c>
      <c r="P1017" s="96"/>
      <c r="Q1017" s="93"/>
      <c r="R1017" s="93"/>
      <c r="S1017" s="93"/>
      <c r="T1017" s="93"/>
    </row>
    <row r="1018" spans="1:20" ht="14.25" customHeight="1" x14ac:dyDescent="0.35">
      <c r="A1018" s="1">
        <v>2022</v>
      </c>
      <c r="B1018" s="1" t="s">
        <v>32</v>
      </c>
      <c r="C1018" s="1">
        <v>12</v>
      </c>
      <c r="D1018" s="12">
        <v>107.047</v>
      </c>
      <c r="E1018" s="13">
        <v>89.781000000000006</v>
      </c>
      <c r="F1018" s="72">
        <v>84.525000000000006</v>
      </c>
      <c r="G1018" s="61">
        <v>1760.3789999999999</v>
      </c>
      <c r="H1018" s="62">
        <v>6.9</v>
      </c>
      <c r="I1018" s="63">
        <v>2.8000000000000001E-2</v>
      </c>
      <c r="J1018" s="76">
        <v>9.2189999999999994</v>
      </c>
      <c r="K1018" s="65">
        <v>44.734999999999999</v>
      </c>
      <c r="L1018" s="50">
        <v>5.2750000000000004</v>
      </c>
      <c r="M1018" s="110">
        <v>1.4999999999999999E-2</v>
      </c>
      <c r="N1018" s="57">
        <v>104.645</v>
      </c>
      <c r="O1018" s="75">
        <v>6.2E-2</v>
      </c>
      <c r="P1018" s="96"/>
      <c r="Q1018" s="93"/>
      <c r="R1018" s="93"/>
      <c r="S1018" s="93"/>
      <c r="T1018" s="93"/>
    </row>
    <row r="1019" spans="1:20" ht="14.25" customHeight="1" x14ac:dyDescent="0.35">
      <c r="A1019" s="1">
        <v>2022</v>
      </c>
      <c r="B1019" s="1" t="s">
        <v>32</v>
      </c>
      <c r="C1019" s="1">
        <v>13</v>
      </c>
      <c r="D1019" s="12">
        <v>94.156000000000006</v>
      </c>
      <c r="E1019" s="13">
        <v>78.906000000000006</v>
      </c>
      <c r="F1019" s="78">
        <v>84.078000000000003</v>
      </c>
      <c r="G1019" s="61">
        <v>1765.92</v>
      </c>
      <c r="H1019" s="62">
        <v>6.9</v>
      </c>
      <c r="I1019" s="63">
        <v>2.5999999999999999E-2</v>
      </c>
      <c r="J1019" s="81">
        <v>8.8949999999999996</v>
      </c>
      <c r="K1019" s="65">
        <v>39.871000000000002</v>
      </c>
      <c r="L1019" s="50">
        <v>5.2389999999999999</v>
      </c>
      <c r="M1019" s="63">
        <v>1.4999999999999999E-2</v>
      </c>
      <c r="N1019" s="57">
        <v>114.738</v>
      </c>
      <c r="O1019" s="80">
        <v>5.7000000000000002E-2</v>
      </c>
      <c r="P1019" s="96"/>
      <c r="Q1019" s="93"/>
      <c r="R1019" s="93"/>
      <c r="S1019" s="93"/>
      <c r="T1019" s="93"/>
    </row>
    <row r="1020" spans="1:20" ht="14.25" customHeight="1" x14ac:dyDescent="0.35">
      <c r="A1020" s="1">
        <v>2022</v>
      </c>
      <c r="B1020" s="1" t="s">
        <v>32</v>
      </c>
      <c r="C1020" s="1">
        <v>14</v>
      </c>
      <c r="D1020" s="12">
        <v>112.85899999999999</v>
      </c>
      <c r="E1020" s="13">
        <v>95</v>
      </c>
      <c r="F1020" s="60">
        <v>83.768000000000001</v>
      </c>
      <c r="G1020" s="61">
        <v>1749.4380000000001</v>
      </c>
      <c r="H1020" s="62">
        <v>6.9</v>
      </c>
      <c r="I1020" s="63">
        <v>2.5000000000000001E-2</v>
      </c>
      <c r="J1020" s="81">
        <v>8.5540000000000003</v>
      </c>
      <c r="K1020" s="82">
        <v>38.369</v>
      </c>
      <c r="L1020" s="50">
        <v>5.2539999999999996</v>
      </c>
      <c r="M1020" s="63">
        <v>1.4999999999999999E-2</v>
      </c>
      <c r="N1020" s="57">
        <v>110.24299999999999</v>
      </c>
      <c r="O1020" s="80">
        <v>5.5E-2</v>
      </c>
      <c r="P1020" s="96"/>
      <c r="Q1020" s="93"/>
      <c r="R1020" s="93"/>
      <c r="S1020" s="93"/>
      <c r="T1020" s="93"/>
    </row>
    <row r="1021" spans="1:20" ht="14.25" customHeight="1" x14ac:dyDescent="0.35">
      <c r="A1021" s="1">
        <v>2022</v>
      </c>
      <c r="B1021" s="1" t="s">
        <v>32</v>
      </c>
      <c r="C1021" s="1">
        <v>15</v>
      </c>
      <c r="D1021" s="12">
        <v>111.40600000000001</v>
      </c>
      <c r="E1021" s="13">
        <v>93.688000000000002</v>
      </c>
      <c r="F1021" s="60">
        <v>83.518000000000001</v>
      </c>
      <c r="G1021" s="61">
        <v>1692.9749999999999</v>
      </c>
      <c r="H1021" s="62">
        <v>6.9</v>
      </c>
      <c r="I1021" s="63">
        <v>2.3E-2</v>
      </c>
      <c r="J1021" s="76">
        <v>8.5359999999999996</v>
      </c>
      <c r="K1021" s="65">
        <v>35.658999999999999</v>
      </c>
      <c r="L1021" s="50">
        <v>5.2480000000000002</v>
      </c>
      <c r="M1021" s="63">
        <v>1.4E-2</v>
      </c>
      <c r="N1021" s="57">
        <v>111.96299999999999</v>
      </c>
      <c r="O1021" s="75">
        <v>5.3999999999999999E-2</v>
      </c>
      <c r="P1021" s="96"/>
      <c r="Q1021" s="93"/>
      <c r="R1021" s="93"/>
      <c r="S1021" s="93"/>
      <c r="T1021" s="93"/>
    </row>
    <row r="1022" spans="1:20" ht="14.25" customHeight="1" x14ac:dyDescent="0.35">
      <c r="A1022" s="1">
        <v>2022</v>
      </c>
      <c r="B1022" s="1" t="s">
        <v>32</v>
      </c>
      <c r="C1022" s="1">
        <v>16</v>
      </c>
      <c r="D1022" s="12">
        <v>109.84399999999999</v>
      </c>
      <c r="E1022" s="13">
        <v>92.375</v>
      </c>
      <c r="F1022" s="60">
        <v>83.290999999999997</v>
      </c>
      <c r="G1022" s="61">
        <v>1584.998</v>
      </c>
      <c r="H1022" s="62">
        <v>6.9</v>
      </c>
      <c r="I1022" s="63">
        <v>2.3E-2</v>
      </c>
      <c r="J1022" s="81">
        <v>8.7390000000000008</v>
      </c>
      <c r="K1022" s="61">
        <v>32.140999999999998</v>
      </c>
      <c r="L1022" s="62">
        <v>5.2439999999999998</v>
      </c>
      <c r="M1022" s="63">
        <v>1.4E-2</v>
      </c>
      <c r="N1022" s="57">
        <v>112.654</v>
      </c>
      <c r="O1022" s="80">
        <v>0.05</v>
      </c>
      <c r="P1022" s="96"/>
      <c r="Q1022" s="93"/>
      <c r="R1022" s="93"/>
      <c r="S1022" s="93"/>
      <c r="T1022" s="93"/>
    </row>
    <row r="1023" spans="1:20" ht="14.25" customHeight="1" x14ac:dyDescent="0.35">
      <c r="A1023" s="1">
        <v>2022</v>
      </c>
      <c r="B1023" s="1" t="s">
        <v>32</v>
      </c>
      <c r="C1023" s="1">
        <v>17</v>
      </c>
      <c r="D1023" s="12">
        <v>109.797</v>
      </c>
      <c r="E1023" s="13">
        <v>92.25</v>
      </c>
      <c r="F1023" s="60">
        <v>83.632999999999996</v>
      </c>
      <c r="G1023" s="61">
        <v>1576.14</v>
      </c>
      <c r="H1023" s="62">
        <v>6.9</v>
      </c>
      <c r="I1023" s="63">
        <v>2.1999999999999999E-2</v>
      </c>
      <c r="J1023" s="68">
        <v>8.8330000000000002</v>
      </c>
      <c r="K1023" s="65">
        <v>33.61</v>
      </c>
      <c r="L1023" s="50">
        <v>5.2439999999999998</v>
      </c>
      <c r="M1023" s="63">
        <v>1.4E-2</v>
      </c>
      <c r="N1023" s="57">
        <v>112.59</v>
      </c>
      <c r="O1023" s="67">
        <v>0.05</v>
      </c>
      <c r="P1023" s="96"/>
      <c r="Q1023" s="93"/>
      <c r="R1023" s="93"/>
      <c r="S1023" s="93"/>
      <c r="T1023" s="93"/>
    </row>
    <row r="1024" spans="1:20" ht="14.25" customHeight="1" x14ac:dyDescent="0.35">
      <c r="A1024" s="1">
        <v>2022</v>
      </c>
      <c r="B1024" s="1" t="s">
        <v>32</v>
      </c>
      <c r="C1024" s="1">
        <v>18</v>
      </c>
      <c r="D1024" s="12">
        <v>106.047</v>
      </c>
      <c r="E1024" s="13">
        <v>88.843999999999994</v>
      </c>
      <c r="F1024" s="60">
        <v>83.988</v>
      </c>
      <c r="G1024" s="61">
        <v>1685.81</v>
      </c>
      <c r="H1024" s="62">
        <v>6.9</v>
      </c>
      <c r="I1024" s="63">
        <v>2.3E-2</v>
      </c>
      <c r="J1024" s="68">
        <v>8.8309999999999995</v>
      </c>
      <c r="K1024" s="61">
        <v>40.366999999999997</v>
      </c>
      <c r="L1024" s="62">
        <v>5.2610000000000001</v>
      </c>
      <c r="M1024" s="63">
        <v>1.4E-2</v>
      </c>
      <c r="N1024" s="57">
        <v>108.42700000000001</v>
      </c>
      <c r="O1024" s="67">
        <v>6.9000000000000006E-2</v>
      </c>
      <c r="P1024" s="96"/>
      <c r="Q1024" s="93"/>
      <c r="R1024" s="93"/>
      <c r="S1024" s="93"/>
      <c r="T1024" s="93"/>
    </row>
    <row r="1025" spans="1:20" ht="14.25" customHeight="1" x14ac:dyDescent="0.35">
      <c r="A1025" s="1">
        <v>2022</v>
      </c>
      <c r="B1025" s="1" t="s">
        <v>32</v>
      </c>
      <c r="C1025" s="1">
        <v>19</v>
      </c>
      <c r="D1025" s="12">
        <v>108.813</v>
      </c>
      <c r="E1025" s="13">
        <v>91.156000000000006</v>
      </c>
      <c r="F1025" s="60">
        <v>84.506</v>
      </c>
      <c r="G1025" s="61">
        <v>1752.05</v>
      </c>
      <c r="H1025" s="62">
        <v>6.9</v>
      </c>
      <c r="I1025" s="63">
        <v>2.4E-2</v>
      </c>
      <c r="J1025" s="68">
        <v>8.6639999999999997</v>
      </c>
      <c r="K1025" s="65">
        <v>41.408000000000001</v>
      </c>
      <c r="L1025" s="50">
        <v>5.2729999999999997</v>
      </c>
      <c r="M1025" s="63">
        <v>1.4E-2</v>
      </c>
      <c r="N1025" s="57">
        <v>105.066</v>
      </c>
      <c r="O1025" s="67">
        <v>6.5000000000000002E-2</v>
      </c>
      <c r="P1025" s="96"/>
      <c r="Q1025" s="93"/>
      <c r="R1025" s="93"/>
      <c r="S1025" s="93"/>
      <c r="T1025" s="93"/>
    </row>
    <row r="1026" spans="1:20" ht="14.25" customHeight="1" x14ac:dyDescent="0.35">
      <c r="A1026" s="1">
        <v>2022</v>
      </c>
      <c r="B1026" s="1" t="s">
        <v>32</v>
      </c>
      <c r="C1026" s="1">
        <v>20</v>
      </c>
      <c r="D1026" s="12">
        <v>109.953</v>
      </c>
      <c r="E1026" s="13">
        <v>92.406000000000006</v>
      </c>
      <c r="F1026" s="60">
        <v>84.456999999999994</v>
      </c>
      <c r="G1026" s="61">
        <v>1756.951</v>
      </c>
      <c r="H1026" s="62">
        <v>6.9</v>
      </c>
      <c r="I1026" s="63">
        <v>2.4E-2</v>
      </c>
      <c r="J1026" s="68">
        <v>8.5980000000000008</v>
      </c>
      <c r="K1026" s="61">
        <v>42.671999999999997</v>
      </c>
      <c r="L1026" s="62">
        <v>5.2590000000000003</v>
      </c>
      <c r="M1026" s="63">
        <v>1.4E-2</v>
      </c>
      <c r="N1026" s="57">
        <v>109.105</v>
      </c>
      <c r="O1026" s="67">
        <v>6.0999999999999999E-2</v>
      </c>
      <c r="P1026" s="96"/>
      <c r="Q1026" s="93"/>
      <c r="R1026" s="93"/>
      <c r="S1026" s="93"/>
      <c r="T1026" s="93"/>
    </row>
    <row r="1027" spans="1:20" ht="14.25" customHeight="1" x14ac:dyDescent="0.35">
      <c r="A1027" s="1">
        <v>2022</v>
      </c>
      <c r="B1027" s="1" t="s">
        <v>32</v>
      </c>
      <c r="C1027" s="1">
        <v>21</v>
      </c>
      <c r="D1027" s="12">
        <v>112.73399999999999</v>
      </c>
      <c r="E1027" s="13">
        <v>94.968999999999994</v>
      </c>
      <c r="F1027" s="60">
        <v>83.867999999999995</v>
      </c>
      <c r="G1027" s="61">
        <v>1759.384</v>
      </c>
      <c r="H1027" s="62">
        <v>6.9</v>
      </c>
      <c r="I1027" s="63">
        <v>2.4E-2</v>
      </c>
      <c r="J1027" s="68">
        <v>8.5790000000000006</v>
      </c>
      <c r="K1027" s="65">
        <v>43.244999999999997</v>
      </c>
      <c r="L1027" s="50">
        <v>5.173</v>
      </c>
      <c r="M1027" s="63">
        <v>1.4999999999999999E-2</v>
      </c>
      <c r="N1027" s="57">
        <v>134.233</v>
      </c>
      <c r="O1027" s="67">
        <v>5.8000000000000003E-2</v>
      </c>
      <c r="P1027" s="96"/>
      <c r="Q1027" s="93"/>
      <c r="R1027" s="93"/>
      <c r="S1027" s="93"/>
      <c r="T1027" s="93"/>
    </row>
    <row r="1028" spans="1:20" ht="14.25" customHeight="1" x14ac:dyDescent="0.35">
      <c r="A1028" s="1">
        <v>2022</v>
      </c>
      <c r="B1028" s="1" t="s">
        <v>32</v>
      </c>
      <c r="C1028" s="1">
        <v>22</v>
      </c>
      <c r="D1028" s="12">
        <v>110.34399999999999</v>
      </c>
      <c r="E1028" s="13">
        <v>92.843999999999994</v>
      </c>
      <c r="F1028" s="60">
        <v>83.29</v>
      </c>
      <c r="G1028" s="61">
        <v>1733.5139999999999</v>
      </c>
      <c r="H1028" s="62">
        <v>6.9</v>
      </c>
      <c r="I1028" s="63">
        <v>2.4E-2</v>
      </c>
      <c r="J1028" s="68">
        <v>8.4920000000000009</v>
      </c>
      <c r="K1028" s="61">
        <v>43.652000000000001</v>
      </c>
      <c r="L1028" s="62">
        <v>5.1120000000000001</v>
      </c>
      <c r="M1028" s="63">
        <v>1.4E-2</v>
      </c>
      <c r="N1028" s="57">
        <v>152.989</v>
      </c>
      <c r="O1028" s="67">
        <v>5.6000000000000001E-2</v>
      </c>
      <c r="P1028" s="96"/>
      <c r="Q1028" s="93"/>
      <c r="R1028" s="93"/>
      <c r="S1028" s="93"/>
      <c r="T1028" s="93"/>
    </row>
    <row r="1029" spans="1:20" ht="14.25" customHeight="1" x14ac:dyDescent="0.35">
      <c r="A1029" s="1">
        <v>2022</v>
      </c>
      <c r="B1029" s="1" t="s">
        <v>32</v>
      </c>
      <c r="C1029" s="1">
        <v>23</v>
      </c>
      <c r="D1029" s="12">
        <v>110.438</v>
      </c>
      <c r="E1029" s="13">
        <v>92.718999999999994</v>
      </c>
      <c r="F1029" s="60">
        <v>82.858999999999995</v>
      </c>
      <c r="G1029" s="61">
        <v>1651.4480000000001</v>
      </c>
      <c r="H1029" s="62">
        <v>6.9</v>
      </c>
      <c r="I1029" s="63">
        <v>2.3E-2</v>
      </c>
      <c r="J1029" s="68">
        <v>8.4719999999999995</v>
      </c>
      <c r="K1029" s="65">
        <v>36.890999999999998</v>
      </c>
      <c r="L1029" s="50">
        <v>5.0970000000000004</v>
      </c>
      <c r="M1029" s="63">
        <v>1.4E-2</v>
      </c>
      <c r="N1029" s="57">
        <v>157.75299999999999</v>
      </c>
      <c r="O1029" s="67">
        <v>5.0999999999999997E-2</v>
      </c>
      <c r="P1029" s="96"/>
      <c r="Q1029" s="93"/>
      <c r="R1029" s="93"/>
      <c r="S1029" s="93"/>
      <c r="T1029" s="93"/>
    </row>
    <row r="1030" spans="1:20" ht="14.25" customHeight="1" x14ac:dyDescent="0.35">
      <c r="A1030" s="1">
        <v>2022</v>
      </c>
      <c r="B1030" s="1" t="s">
        <v>32</v>
      </c>
      <c r="C1030" s="1">
        <v>24</v>
      </c>
      <c r="D1030" s="12">
        <v>112.09399999999999</v>
      </c>
      <c r="E1030" s="13">
        <v>94.25</v>
      </c>
      <c r="F1030" s="60">
        <v>82.67</v>
      </c>
      <c r="G1030" s="61">
        <v>1624.6410000000001</v>
      </c>
      <c r="H1030" s="62">
        <v>6.9</v>
      </c>
      <c r="I1030" s="63">
        <v>2.3E-2</v>
      </c>
      <c r="J1030" s="68">
        <v>8.6460000000000008</v>
      </c>
      <c r="K1030" s="61">
        <v>33.558999999999997</v>
      </c>
      <c r="L1030" s="62">
        <v>5.0650000000000004</v>
      </c>
      <c r="M1030" s="63">
        <v>1.4999999999999999E-2</v>
      </c>
      <c r="N1030" s="57">
        <v>169.00800000000001</v>
      </c>
      <c r="O1030" s="67">
        <v>4.9000000000000002E-2</v>
      </c>
      <c r="P1030" s="96"/>
      <c r="Q1030" s="93"/>
      <c r="R1030" s="93"/>
      <c r="S1030" s="93"/>
      <c r="T1030" s="93"/>
    </row>
    <row r="1031" spans="1:20" ht="14.25" customHeight="1" x14ac:dyDescent="0.35">
      <c r="A1031" s="1">
        <v>2022</v>
      </c>
      <c r="B1031" s="1" t="s">
        <v>32</v>
      </c>
      <c r="C1031" s="1">
        <v>25</v>
      </c>
      <c r="D1031" s="12">
        <v>108.46899999999999</v>
      </c>
      <c r="E1031" s="13">
        <v>91.093999999999994</v>
      </c>
      <c r="F1031" s="60">
        <v>82.483000000000004</v>
      </c>
      <c r="G1031" s="61">
        <v>1739.0830000000001</v>
      </c>
      <c r="H1031" s="62">
        <v>6.9</v>
      </c>
      <c r="I1031" s="63">
        <v>2.4E-2</v>
      </c>
      <c r="J1031" s="68">
        <v>8.9160000000000004</v>
      </c>
      <c r="K1031" s="65">
        <v>37.265999999999998</v>
      </c>
      <c r="L1031" s="50">
        <v>5.069</v>
      </c>
      <c r="M1031" s="63">
        <v>1.4E-2</v>
      </c>
      <c r="N1031" s="57">
        <v>167.923</v>
      </c>
      <c r="O1031" s="67">
        <v>5.5E-2</v>
      </c>
      <c r="P1031" s="96"/>
      <c r="Q1031" s="93"/>
      <c r="R1031" s="93"/>
      <c r="S1031" s="93"/>
      <c r="T1031" s="93"/>
    </row>
    <row r="1032" spans="1:20" ht="14.25" customHeight="1" x14ac:dyDescent="0.35">
      <c r="A1032" s="1">
        <v>2022</v>
      </c>
      <c r="B1032" s="1" t="s">
        <v>32</v>
      </c>
      <c r="C1032" s="1">
        <v>26</v>
      </c>
      <c r="D1032" s="12">
        <v>110.39100000000001</v>
      </c>
      <c r="E1032" s="13">
        <v>92.718999999999994</v>
      </c>
      <c r="F1032" s="60">
        <v>82.748000000000005</v>
      </c>
      <c r="G1032" s="61">
        <v>1814.57</v>
      </c>
      <c r="H1032" s="62">
        <v>6.9</v>
      </c>
      <c r="I1032" s="63">
        <v>2.5000000000000001E-2</v>
      </c>
      <c r="J1032" s="68">
        <v>8.5869999999999997</v>
      </c>
      <c r="K1032" s="61">
        <v>39.965000000000003</v>
      </c>
      <c r="L1032" s="62">
        <v>5.0759999999999996</v>
      </c>
      <c r="M1032" s="63">
        <v>1.4E-2</v>
      </c>
      <c r="N1032" s="57">
        <v>165.315</v>
      </c>
      <c r="O1032" s="67">
        <v>5.8999999999999997E-2</v>
      </c>
      <c r="P1032" s="96"/>
      <c r="Q1032" s="93"/>
      <c r="R1032" s="93"/>
      <c r="S1032" s="93"/>
      <c r="T1032" s="93"/>
    </row>
    <row r="1033" spans="1:20" ht="14.25" customHeight="1" x14ac:dyDescent="0.35">
      <c r="A1033" s="1">
        <v>2022</v>
      </c>
      <c r="B1033" s="1" t="s">
        <v>32</v>
      </c>
      <c r="C1033" s="1">
        <v>27</v>
      </c>
      <c r="D1033" s="12">
        <v>114.547</v>
      </c>
      <c r="E1033" s="13">
        <v>96.438000000000002</v>
      </c>
      <c r="F1033" s="60">
        <v>82.789000000000001</v>
      </c>
      <c r="G1033" s="61">
        <v>1802.473</v>
      </c>
      <c r="H1033" s="62">
        <v>6.9</v>
      </c>
      <c r="I1033" s="63">
        <v>2.5999999999999999E-2</v>
      </c>
      <c r="J1033" s="68">
        <v>8.3759999999999994</v>
      </c>
      <c r="K1033" s="65">
        <v>40.097999999999999</v>
      </c>
      <c r="L1033" s="50">
        <v>5.0780000000000003</v>
      </c>
      <c r="M1033" s="63">
        <v>1.4E-2</v>
      </c>
      <c r="N1033" s="57">
        <v>164.732</v>
      </c>
      <c r="O1033" s="67">
        <v>6.0999999999999999E-2</v>
      </c>
      <c r="P1033" s="96"/>
      <c r="Q1033" s="93"/>
      <c r="R1033" s="93"/>
      <c r="S1033" s="93"/>
      <c r="T1033" s="93"/>
    </row>
    <row r="1034" spans="1:20" ht="14.25" customHeight="1" x14ac:dyDescent="0.35">
      <c r="A1034" s="1">
        <v>2022</v>
      </c>
      <c r="B1034" s="1" t="s">
        <v>32</v>
      </c>
      <c r="C1034" s="1">
        <v>28</v>
      </c>
      <c r="D1034" s="12">
        <v>114.59399999999999</v>
      </c>
      <c r="E1034" s="13">
        <v>96.218999999999994</v>
      </c>
      <c r="F1034" s="60">
        <v>82.703000000000003</v>
      </c>
      <c r="G1034" s="61">
        <v>1810.298</v>
      </c>
      <c r="H1034" s="62">
        <v>6.9</v>
      </c>
      <c r="I1034" s="63">
        <v>2.7E-2</v>
      </c>
      <c r="J1034" s="68">
        <v>8.41</v>
      </c>
      <c r="K1034" s="61">
        <v>41.566000000000003</v>
      </c>
      <c r="L1034" s="62">
        <v>5.0529999999999999</v>
      </c>
      <c r="M1034" s="63">
        <v>1.4999999999999999E-2</v>
      </c>
      <c r="N1034" s="57">
        <v>175.916</v>
      </c>
      <c r="O1034" s="67">
        <v>5.5E-2</v>
      </c>
      <c r="P1034" s="96"/>
      <c r="Q1034" s="93"/>
      <c r="R1034" s="93"/>
      <c r="S1034" s="93"/>
      <c r="T1034" s="93"/>
    </row>
    <row r="1035" spans="1:20" ht="14.25" customHeight="1" x14ac:dyDescent="0.35">
      <c r="A1035" s="1">
        <v>2022</v>
      </c>
      <c r="B1035" s="1" t="s">
        <v>32</v>
      </c>
      <c r="C1035" s="1">
        <v>29</v>
      </c>
      <c r="D1035" s="12">
        <v>108.90600000000001</v>
      </c>
      <c r="E1035" s="13">
        <v>91.343999999999994</v>
      </c>
      <c r="F1035" s="83">
        <v>82.489000000000004</v>
      </c>
      <c r="G1035" s="69">
        <v>1778.88</v>
      </c>
      <c r="H1035" s="50">
        <v>6.9</v>
      </c>
      <c r="I1035" s="66">
        <v>2.5999999999999999E-2</v>
      </c>
      <c r="J1035" s="117">
        <v>8.5670000000000002</v>
      </c>
      <c r="K1035" s="61">
        <v>40.792000000000002</v>
      </c>
      <c r="L1035" s="62">
        <v>5.0199999999999996</v>
      </c>
      <c r="M1035" s="63">
        <v>1.4999999999999999E-2</v>
      </c>
      <c r="N1035" s="57">
        <v>188.31100000000001</v>
      </c>
      <c r="O1035" s="84">
        <v>5.5E-2</v>
      </c>
      <c r="P1035" s="96"/>
      <c r="Q1035" s="93"/>
      <c r="R1035" s="93"/>
      <c r="S1035" s="93"/>
      <c r="T1035" s="93"/>
    </row>
    <row r="1036" spans="1:20" ht="14.25" customHeight="1" x14ac:dyDescent="0.35">
      <c r="A1036" s="1">
        <v>2022</v>
      </c>
      <c r="B1036" s="1" t="s">
        <v>32</v>
      </c>
      <c r="C1036" s="1">
        <v>30</v>
      </c>
      <c r="D1036" s="12">
        <v>109.375</v>
      </c>
      <c r="E1036" s="13">
        <v>91.781000000000006</v>
      </c>
      <c r="F1036" s="83">
        <v>82.394999999999996</v>
      </c>
      <c r="G1036" s="69">
        <v>1722.2239999999999</v>
      </c>
      <c r="H1036" s="50">
        <v>6.9</v>
      </c>
      <c r="I1036" s="66">
        <v>2.5000000000000001E-2</v>
      </c>
      <c r="J1036" s="117">
        <v>8.41</v>
      </c>
      <c r="K1036" s="61">
        <v>38.667000000000002</v>
      </c>
      <c r="L1036" s="62">
        <v>5.0179999999999998</v>
      </c>
      <c r="M1036" s="63">
        <v>1.4999999999999999E-2</v>
      </c>
      <c r="N1036" s="57">
        <v>189.071</v>
      </c>
      <c r="O1036" s="84">
        <v>5.0999999999999997E-2</v>
      </c>
      <c r="P1036" s="96"/>
      <c r="Q1036" s="93"/>
      <c r="R1036" s="93"/>
      <c r="S1036" s="93"/>
      <c r="T1036" s="93"/>
    </row>
    <row r="1037" spans="1:20" ht="14.25" customHeight="1" x14ac:dyDescent="0.35">
      <c r="A1037" s="1">
        <v>2022</v>
      </c>
      <c r="B1037" s="1" t="s">
        <v>32</v>
      </c>
      <c r="C1037" s="1">
        <v>31</v>
      </c>
      <c r="D1037" s="85">
        <v>115.21899999999999</v>
      </c>
      <c r="E1037" s="86">
        <v>96.843999999999994</v>
      </c>
      <c r="F1037" s="87">
        <v>82.277000000000001</v>
      </c>
      <c r="G1037" s="88">
        <v>1672.5309999999999</v>
      </c>
      <c r="H1037" s="89">
        <v>6.9</v>
      </c>
      <c r="I1037" s="90">
        <v>2.5000000000000001E-2</v>
      </c>
      <c r="J1037" s="131">
        <v>8.6489999999999991</v>
      </c>
      <c r="K1037" s="61">
        <v>39.146999999999998</v>
      </c>
      <c r="L1037" s="64">
        <v>5.0389999999999997</v>
      </c>
      <c r="M1037" s="63">
        <v>1.4999999999999999E-2</v>
      </c>
      <c r="N1037" s="57">
        <v>179.708</v>
      </c>
      <c r="O1037" s="66">
        <v>5.1999999999999998E-2</v>
      </c>
      <c r="P1037" s="96"/>
      <c r="Q1037" s="93"/>
      <c r="R1037" s="93"/>
      <c r="S1037" s="93"/>
      <c r="T1037" s="93"/>
    </row>
    <row r="1038" spans="1:20" ht="14.25" customHeight="1" x14ac:dyDescent="0.35">
      <c r="A1038" s="1">
        <v>2022</v>
      </c>
      <c r="B1038" s="1" t="s">
        <v>33</v>
      </c>
      <c r="C1038" s="1">
        <v>1</v>
      </c>
      <c r="D1038" s="49">
        <v>109.172</v>
      </c>
      <c r="E1038" s="50">
        <v>91.781000000000006</v>
      </c>
      <c r="F1038" s="51">
        <v>82.14</v>
      </c>
      <c r="G1038" s="52">
        <v>1767.91</v>
      </c>
      <c r="H1038" s="53">
        <v>6.9009999999999998</v>
      </c>
      <c r="I1038" s="54">
        <v>2.5999999999999999E-2</v>
      </c>
      <c r="J1038" s="59">
        <v>8.8629999999999995</v>
      </c>
      <c r="K1038" s="52">
        <v>38.872</v>
      </c>
      <c r="L1038" s="55">
        <v>5.0339999999999998</v>
      </c>
      <c r="M1038" s="54">
        <v>1.4999999999999999E-2</v>
      </c>
      <c r="N1038" s="57">
        <v>182.38499999999999</v>
      </c>
      <c r="O1038" s="58">
        <v>5.8999999999999997E-2</v>
      </c>
      <c r="P1038" s="96"/>
      <c r="Q1038" s="93"/>
      <c r="R1038" s="93"/>
      <c r="S1038" s="93"/>
      <c r="T1038" s="93"/>
    </row>
    <row r="1039" spans="1:20" ht="14.25" customHeight="1" x14ac:dyDescent="0.35">
      <c r="A1039" s="1">
        <v>2022</v>
      </c>
      <c r="B1039" s="1" t="s">
        <v>33</v>
      </c>
      <c r="C1039" s="1">
        <v>2</v>
      </c>
      <c r="D1039" s="49">
        <v>113.14100000000001</v>
      </c>
      <c r="E1039" s="50">
        <v>95.438000000000002</v>
      </c>
      <c r="F1039" s="60">
        <v>81.734999999999999</v>
      </c>
      <c r="G1039" s="61">
        <v>1797.1510000000001</v>
      </c>
      <c r="H1039" s="62">
        <v>6.9</v>
      </c>
      <c r="I1039" s="63">
        <v>2.5000000000000001E-2</v>
      </c>
      <c r="J1039" s="68">
        <v>8.9139999999999997</v>
      </c>
      <c r="K1039" s="65">
        <v>41.192</v>
      </c>
      <c r="L1039" s="50">
        <v>5.0140000000000002</v>
      </c>
      <c r="M1039" s="63">
        <v>1.4999999999999999E-2</v>
      </c>
      <c r="N1039" s="57">
        <v>191.00299999999999</v>
      </c>
      <c r="O1039" s="67">
        <v>6.0999999999999999E-2</v>
      </c>
      <c r="P1039" s="96"/>
      <c r="Q1039" s="93"/>
      <c r="R1039" s="93"/>
      <c r="S1039" s="93"/>
      <c r="T1039" s="93"/>
    </row>
    <row r="1040" spans="1:20" ht="14.25" customHeight="1" x14ac:dyDescent="0.35">
      <c r="A1040" s="1">
        <v>2022</v>
      </c>
      <c r="B1040" s="1" t="s">
        <v>33</v>
      </c>
      <c r="C1040" s="1">
        <v>3</v>
      </c>
      <c r="D1040" s="49">
        <v>112.46899999999999</v>
      </c>
      <c r="E1040" s="50">
        <v>94.968999999999994</v>
      </c>
      <c r="F1040" s="60">
        <v>80.572999999999993</v>
      </c>
      <c r="G1040" s="61">
        <v>1800.2660000000001</v>
      </c>
      <c r="H1040" s="62">
        <v>6.9</v>
      </c>
      <c r="I1040" s="63">
        <v>2.7E-2</v>
      </c>
      <c r="J1040" s="68">
        <v>8.8629999999999995</v>
      </c>
      <c r="K1040" s="65">
        <v>40.948999999999998</v>
      </c>
      <c r="L1040" s="50">
        <v>5.0049999999999999</v>
      </c>
      <c r="M1040" s="63">
        <v>1.4999999999999999E-2</v>
      </c>
      <c r="N1040" s="57">
        <v>195.102</v>
      </c>
      <c r="O1040" s="67">
        <v>5.8000000000000003E-2</v>
      </c>
      <c r="P1040" s="96"/>
      <c r="Q1040" s="93"/>
      <c r="R1040" s="93"/>
      <c r="S1040" s="93"/>
      <c r="T1040" s="93"/>
    </row>
    <row r="1041" spans="1:20" ht="14.25" customHeight="1" x14ac:dyDescent="0.35">
      <c r="A1041" s="1">
        <v>2022</v>
      </c>
      <c r="B1041" s="1" t="s">
        <v>33</v>
      </c>
      <c r="C1041" s="1">
        <v>4</v>
      </c>
      <c r="D1041" s="49">
        <v>112.28100000000001</v>
      </c>
      <c r="E1041" s="50">
        <v>94.875</v>
      </c>
      <c r="F1041" s="60">
        <v>80.888000000000005</v>
      </c>
      <c r="G1041" s="61">
        <v>1810.604</v>
      </c>
      <c r="H1041" s="62">
        <v>6.9</v>
      </c>
      <c r="I1041" s="63">
        <v>2.7E-2</v>
      </c>
      <c r="J1041" s="68">
        <v>8.718</v>
      </c>
      <c r="K1041" s="65">
        <v>40.512999999999998</v>
      </c>
      <c r="L1041" s="50">
        <v>5.0119999999999996</v>
      </c>
      <c r="M1041" s="63">
        <v>1.4999999999999999E-2</v>
      </c>
      <c r="N1041" s="57">
        <v>192.3</v>
      </c>
      <c r="O1041" s="67">
        <v>5.6000000000000001E-2</v>
      </c>
      <c r="P1041" s="96"/>
      <c r="Q1041" s="93"/>
      <c r="R1041" s="93"/>
      <c r="S1041" s="93"/>
      <c r="T1041" s="93"/>
    </row>
    <row r="1042" spans="1:20" ht="14.25" customHeight="1" x14ac:dyDescent="0.35">
      <c r="A1042" s="1">
        <v>2022</v>
      </c>
      <c r="B1042" s="1" t="s">
        <v>33</v>
      </c>
      <c r="C1042" s="1">
        <v>5</v>
      </c>
      <c r="D1042" s="49">
        <v>110.797</v>
      </c>
      <c r="E1042" s="50">
        <v>93.563000000000002</v>
      </c>
      <c r="F1042" s="60">
        <v>80.759</v>
      </c>
      <c r="G1042" s="61">
        <v>1786.3330000000001</v>
      </c>
      <c r="H1042" s="62">
        <v>6.9</v>
      </c>
      <c r="I1042" s="63">
        <v>2.5999999999999999E-2</v>
      </c>
      <c r="J1042" s="68">
        <v>8.7430000000000003</v>
      </c>
      <c r="K1042" s="65">
        <v>40.451999999999998</v>
      </c>
      <c r="L1042" s="50">
        <v>4.9729999999999999</v>
      </c>
      <c r="M1042" s="63">
        <v>1.4999999999999999E-2</v>
      </c>
      <c r="N1042" s="57">
        <v>209.876</v>
      </c>
      <c r="O1042" s="67">
        <v>5.7000000000000002E-2</v>
      </c>
      <c r="P1042" s="96"/>
      <c r="Q1042" s="93"/>
      <c r="R1042" s="93"/>
      <c r="S1042" s="93"/>
      <c r="T1042" s="93"/>
    </row>
    <row r="1043" spans="1:20" ht="14.25" customHeight="1" x14ac:dyDescent="0.35">
      <c r="A1043" s="1">
        <v>2022</v>
      </c>
      <c r="B1043" s="1" t="s">
        <v>33</v>
      </c>
      <c r="C1043" s="1">
        <v>6</v>
      </c>
      <c r="D1043" s="49">
        <v>111.25</v>
      </c>
      <c r="E1043" s="50">
        <v>93.813000000000002</v>
      </c>
      <c r="F1043" s="60">
        <v>80.912000000000006</v>
      </c>
      <c r="G1043" s="61">
        <v>1706.4649999999999</v>
      </c>
      <c r="H1043" s="62">
        <v>6.9</v>
      </c>
      <c r="I1043" s="63">
        <v>2.5999999999999999E-2</v>
      </c>
      <c r="J1043" s="68">
        <v>8.75</v>
      </c>
      <c r="K1043" s="65">
        <v>38.695999999999998</v>
      </c>
      <c r="L1043" s="50">
        <v>4.9930000000000003</v>
      </c>
      <c r="M1043" s="63">
        <v>1.4999999999999999E-2</v>
      </c>
      <c r="N1043" s="57">
        <v>200.59299999999999</v>
      </c>
      <c r="O1043" s="67">
        <v>5.2999999999999999E-2</v>
      </c>
      <c r="P1043" s="96"/>
      <c r="Q1043" s="93"/>
      <c r="R1043" s="93"/>
      <c r="S1043" s="93"/>
      <c r="T1043" s="93"/>
    </row>
    <row r="1044" spans="1:20" ht="14.25" customHeight="1" x14ac:dyDescent="0.35">
      <c r="A1044" s="1">
        <v>2022</v>
      </c>
      <c r="B1044" s="1" t="s">
        <v>33</v>
      </c>
      <c r="C1044" s="1">
        <v>7</v>
      </c>
      <c r="D1044" s="49">
        <v>115.422</v>
      </c>
      <c r="E1044" s="50">
        <v>97.375</v>
      </c>
      <c r="F1044" s="60">
        <v>80.590999999999994</v>
      </c>
      <c r="G1044" s="61">
        <v>1661.02</v>
      </c>
      <c r="H1044" s="62">
        <v>6.9</v>
      </c>
      <c r="I1044" s="63">
        <v>2.5999999999999999E-2</v>
      </c>
      <c r="J1044" s="68">
        <v>8.6</v>
      </c>
      <c r="K1044" s="65">
        <v>40.847999999999999</v>
      </c>
      <c r="L1044" s="50">
        <v>5.0309999999999997</v>
      </c>
      <c r="M1044" s="63">
        <v>1.4999999999999999E-2</v>
      </c>
      <c r="N1044" s="57">
        <v>183.60900000000001</v>
      </c>
      <c r="O1044" s="67">
        <v>5.3999999999999999E-2</v>
      </c>
      <c r="P1044" s="96"/>
      <c r="Q1044" s="93"/>
      <c r="R1044" s="93"/>
      <c r="S1044" s="93"/>
      <c r="T1044" s="93"/>
    </row>
    <row r="1045" spans="1:20" ht="14.25" customHeight="1" x14ac:dyDescent="0.35">
      <c r="A1045" s="1">
        <v>2022</v>
      </c>
      <c r="B1045" s="1" t="s">
        <v>33</v>
      </c>
      <c r="C1045" s="1">
        <v>8</v>
      </c>
      <c r="D1045" s="49">
        <v>91.141000000000005</v>
      </c>
      <c r="E1045" s="50">
        <v>76.688000000000002</v>
      </c>
      <c r="F1045" s="60">
        <v>79.262</v>
      </c>
      <c r="G1045" s="69">
        <v>1706.932</v>
      </c>
      <c r="H1045" s="62">
        <v>6.9</v>
      </c>
      <c r="I1045" s="63">
        <v>3.5000000000000003E-2</v>
      </c>
      <c r="J1045" s="71">
        <v>8.5180000000000007</v>
      </c>
      <c r="K1045" s="65">
        <v>43.704000000000001</v>
      </c>
      <c r="L1045" s="50">
        <v>4.9989999999999997</v>
      </c>
      <c r="M1045" s="63">
        <v>1.4999999999999999E-2</v>
      </c>
      <c r="N1045" s="57">
        <v>190.81</v>
      </c>
      <c r="O1045" s="70">
        <v>6.0999999999999999E-2</v>
      </c>
      <c r="P1045" s="96"/>
      <c r="Q1045" s="93"/>
      <c r="R1045" s="93"/>
      <c r="S1045" s="93"/>
      <c r="T1045" s="93"/>
    </row>
    <row r="1046" spans="1:20" ht="14.25" customHeight="1" x14ac:dyDescent="0.35">
      <c r="A1046" s="1">
        <v>2022</v>
      </c>
      <c r="B1046" s="1" t="s">
        <v>33</v>
      </c>
      <c r="C1046" s="1">
        <v>9</v>
      </c>
      <c r="D1046" s="49">
        <v>118.672</v>
      </c>
      <c r="E1046" s="50">
        <v>100</v>
      </c>
      <c r="F1046" s="60">
        <v>79.262</v>
      </c>
      <c r="G1046" s="61">
        <v>1705.7270000000001</v>
      </c>
      <c r="H1046" s="62">
        <v>6.9</v>
      </c>
      <c r="I1046" s="63">
        <v>2.5999999999999999E-2</v>
      </c>
      <c r="J1046" s="68">
        <v>8.3740000000000006</v>
      </c>
      <c r="K1046" s="65">
        <v>43.366999999999997</v>
      </c>
      <c r="L1046" s="50">
        <v>5.0129999999999999</v>
      </c>
      <c r="M1046" s="63">
        <v>1.4999999999999999E-2</v>
      </c>
      <c r="N1046" s="57">
        <v>190.81</v>
      </c>
      <c r="O1046" s="67">
        <v>5.5E-2</v>
      </c>
      <c r="P1046" s="96"/>
      <c r="Q1046" s="93"/>
      <c r="R1046" s="93"/>
      <c r="S1046" s="93"/>
      <c r="T1046" s="93"/>
    </row>
    <row r="1047" spans="1:20" ht="14.25" customHeight="1" x14ac:dyDescent="0.35">
      <c r="A1047" s="1">
        <v>2022</v>
      </c>
      <c r="B1047" s="1" t="s">
        <v>33</v>
      </c>
      <c r="C1047" s="1">
        <v>10</v>
      </c>
      <c r="D1047" s="49">
        <v>118.10899999999999</v>
      </c>
      <c r="E1047" s="50">
        <v>99.218999999999994</v>
      </c>
      <c r="F1047" s="72">
        <v>79.581000000000003</v>
      </c>
      <c r="G1047" s="61">
        <v>1773.8119999999999</v>
      </c>
      <c r="H1047" s="62">
        <v>6.899</v>
      </c>
      <c r="I1047" s="63">
        <v>2.8000000000000001E-2</v>
      </c>
      <c r="J1047" s="76">
        <v>8.3610000000000007</v>
      </c>
      <c r="K1047" s="65">
        <v>43.893000000000001</v>
      </c>
      <c r="L1047" s="50">
        <v>5.0179999999999998</v>
      </c>
      <c r="M1047" s="110">
        <v>1.4999999999999999E-2</v>
      </c>
      <c r="N1047" s="57">
        <v>189.38900000000001</v>
      </c>
      <c r="O1047" s="75">
        <v>5.6000000000000001E-2</v>
      </c>
      <c r="P1047" s="96"/>
      <c r="Q1047" s="93"/>
      <c r="R1047" s="93"/>
      <c r="S1047" s="93"/>
      <c r="T1047" s="93"/>
    </row>
    <row r="1048" spans="1:20" ht="14.25" customHeight="1" x14ac:dyDescent="0.35">
      <c r="A1048" s="1">
        <v>2022</v>
      </c>
      <c r="B1048" s="1" t="s">
        <v>33</v>
      </c>
      <c r="C1048" s="1">
        <v>11</v>
      </c>
      <c r="D1048" s="49">
        <v>110.40600000000001</v>
      </c>
      <c r="E1048" s="50">
        <v>92.468999999999994</v>
      </c>
      <c r="F1048" s="72">
        <v>79.551000000000002</v>
      </c>
      <c r="G1048" s="61">
        <v>1786.703</v>
      </c>
      <c r="H1048" s="62">
        <v>6.9</v>
      </c>
      <c r="I1048" s="63">
        <v>2.9000000000000001E-2</v>
      </c>
      <c r="J1048" s="76">
        <v>8.2270000000000003</v>
      </c>
      <c r="K1048" s="65">
        <v>42.540999999999997</v>
      </c>
      <c r="L1048" s="50">
        <v>4.9939999999999998</v>
      </c>
      <c r="M1048" s="110">
        <v>1.4999999999999999E-2</v>
      </c>
      <c r="N1048" s="57">
        <v>200.31299999999999</v>
      </c>
      <c r="O1048" s="75">
        <v>5.2999999999999999E-2</v>
      </c>
      <c r="P1048" s="96"/>
      <c r="Q1048" s="93"/>
      <c r="R1048" s="93"/>
      <c r="S1048" s="93"/>
      <c r="T1048" s="93"/>
    </row>
    <row r="1049" spans="1:20" ht="14.25" customHeight="1" x14ac:dyDescent="0.35">
      <c r="A1049" s="1">
        <v>2022</v>
      </c>
      <c r="B1049" s="1" t="s">
        <v>33</v>
      </c>
      <c r="C1049" s="1">
        <v>12</v>
      </c>
      <c r="D1049" s="49">
        <v>111.828</v>
      </c>
      <c r="E1049" s="50">
        <v>93.593999999999994</v>
      </c>
      <c r="F1049" s="72">
        <v>79.403000000000006</v>
      </c>
      <c r="G1049" s="61">
        <v>1735.144</v>
      </c>
      <c r="H1049" s="62">
        <v>6.9</v>
      </c>
      <c r="I1049" s="63">
        <v>2.8000000000000001E-2</v>
      </c>
      <c r="J1049" s="76">
        <v>8.3360000000000003</v>
      </c>
      <c r="K1049" s="65">
        <v>41.078000000000003</v>
      </c>
      <c r="L1049" s="50">
        <v>4.9889999999999999</v>
      </c>
      <c r="M1049" s="110">
        <v>1.4999999999999999E-2</v>
      </c>
      <c r="N1049" s="57">
        <v>202.78299999999999</v>
      </c>
      <c r="O1049" s="75">
        <v>5.0999999999999997E-2</v>
      </c>
      <c r="P1049" s="96"/>
      <c r="Q1049" s="93"/>
      <c r="R1049" s="93"/>
      <c r="S1049" s="93"/>
      <c r="T1049" s="93"/>
    </row>
    <row r="1050" spans="1:20" ht="14.25" customHeight="1" x14ac:dyDescent="0.35">
      <c r="A1050" s="1">
        <v>2022</v>
      </c>
      <c r="B1050" s="1" t="s">
        <v>33</v>
      </c>
      <c r="C1050" s="1">
        <v>13</v>
      </c>
      <c r="D1050" s="49">
        <v>111.46899999999999</v>
      </c>
      <c r="E1050" s="50">
        <v>93.281000000000006</v>
      </c>
      <c r="F1050" s="78">
        <v>79.265000000000001</v>
      </c>
      <c r="G1050" s="61">
        <v>1651.9269999999999</v>
      </c>
      <c r="H1050" s="62">
        <v>6.9</v>
      </c>
      <c r="I1050" s="63">
        <v>2.8000000000000001E-2</v>
      </c>
      <c r="J1050" s="81">
        <v>8.18</v>
      </c>
      <c r="K1050" s="65">
        <v>38.405000000000001</v>
      </c>
      <c r="L1050" s="50">
        <v>4.9809999999999999</v>
      </c>
      <c r="M1050" s="63">
        <v>1.4999999999999999E-2</v>
      </c>
      <c r="N1050" s="57">
        <v>206.17500000000001</v>
      </c>
      <c r="O1050" s="80">
        <v>4.9000000000000002E-2</v>
      </c>
      <c r="P1050" s="96"/>
      <c r="Q1050" s="93"/>
      <c r="R1050" s="93"/>
      <c r="S1050" s="93"/>
      <c r="T1050" s="93"/>
    </row>
    <row r="1051" spans="1:20" ht="14.25" customHeight="1" x14ac:dyDescent="0.35">
      <c r="A1051" s="1">
        <v>2022</v>
      </c>
      <c r="B1051" s="1" t="s">
        <v>33</v>
      </c>
      <c r="C1051" s="1">
        <v>14</v>
      </c>
      <c r="D1051" s="49">
        <v>119.46899999999999</v>
      </c>
      <c r="E1051" s="50">
        <v>100</v>
      </c>
      <c r="F1051" s="60">
        <v>79.225999999999999</v>
      </c>
      <c r="G1051" s="61">
        <v>1617.1110000000001</v>
      </c>
      <c r="H1051" s="62">
        <v>6.8970000000000002</v>
      </c>
      <c r="I1051" s="63">
        <v>2.9000000000000001E-2</v>
      </c>
      <c r="J1051" s="81">
        <v>8.3800000000000008</v>
      </c>
      <c r="K1051" s="82">
        <v>37.738999999999997</v>
      </c>
      <c r="L1051" s="50">
        <v>4.9809999999999999</v>
      </c>
      <c r="M1051" s="63">
        <v>1.2999999999999999E-2</v>
      </c>
      <c r="N1051" s="57">
        <v>205.83</v>
      </c>
      <c r="O1051" s="80">
        <v>4.8000000000000001E-2</v>
      </c>
      <c r="P1051" s="96"/>
      <c r="Q1051" s="93"/>
      <c r="R1051" s="93"/>
      <c r="S1051" s="93"/>
      <c r="T1051" s="93"/>
    </row>
    <row r="1052" spans="1:20" ht="14.25" customHeight="1" x14ac:dyDescent="0.35">
      <c r="A1052" s="1">
        <v>2022</v>
      </c>
      <c r="B1052" s="1" t="s">
        <v>33</v>
      </c>
      <c r="C1052" s="1">
        <v>15</v>
      </c>
      <c r="D1052" s="49">
        <v>108.797</v>
      </c>
      <c r="E1052" s="50">
        <v>90.968999999999994</v>
      </c>
      <c r="F1052" s="60">
        <v>79.209999999999994</v>
      </c>
      <c r="G1052" s="61">
        <v>1729.0989999999999</v>
      </c>
      <c r="H1052" s="62">
        <v>6.8979999999999997</v>
      </c>
      <c r="I1052" s="63">
        <v>0.03</v>
      </c>
      <c r="J1052" s="76">
        <v>8.5389999999999997</v>
      </c>
      <c r="K1052" s="65">
        <v>37.804000000000002</v>
      </c>
      <c r="L1052" s="50">
        <v>4.9269999999999996</v>
      </c>
      <c r="M1052" s="63">
        <v>1.4999999999999999E-2</v>
      </c>
      <c r="N1052" s="57">
        <v>234.89099999999999</v>
      </c>
      <c r="O1052" s="75">
        <v>5.2999999999999999E-2</v>
      </c>
      <c r="P1052" s="96"/>
      <c r="Q1052" s="93"/>
      <c r="R1052" s="93"/>
      <c r="S1052" s="93"/>
      <c r="T1052" s="93"/>
    </row>
    <row r="1053" spans="1:20" ht="14.25" customHeight="1" x14ac:dyDescent="0.35">
      <c r="A1053" s="1">
        <v>2022</v>
      </c>
      <c r="B1053" s="1" t="s">
        <v>33</v>
      </c>
      <c r="C1053" s="1">
        <v>16</v>
      </c>
      <c r="D1053" s="49">
        <v>111.89100000000001</v>
      </c>
      <c r="E1053" s="50">
        <v>93.468999999999994</v>
      </c>
      <c r="F1053" s="60">
        <v>78.835999999999999</v>
      </c>
      <c r="G1053" s="61">
        <v>1771.8710000000001</v>
      </c>
      <c r="H1053" s="62">
        <v>6.9</v>
      </c>
      <c r="I1053" s="63">
        <v>3.1E-2</v>
      </c>
      <c r="J1053" s="81">
        <v>8.2940000000000005</v>
      </c>
      <c r="K1053" s="61">
        <v>40.195999999999998</v>
      </c>
      <c r="L1053" s="62">
        <v>4.931</v>
      </c>
      <c r="M1053" s="63">
        <v>1.4999999999999999E-2</v>
      </c>
      <c r="N1053" s="57">
        <v>230.797</v>
      </c>
      <c r="O1053" s="80">
        <v>5.1999999999999998E-2</v>
      </c>
      <c r="P1053" s="96"/>
      <c r="Q1053" s="93"/>
      <c r="R1053" s="93"/>
      <c r="S1053" s="93"/>
      <c r="T1053" s="93"/>
    </row>
    <row r="1054" spans="1:20" ht="14.25" customHeight="1" x14ac:dyDescent="0.35">
      <c r="A1054" s="1">
        <v>2022</v>
      </c>
      <c r="B1054" s="1" t="s">
        <v>33</v>
      </c>
      <c r="C1054" s="1">
        <v>17</v>
      </c>
      <c r="D1054" s="49">
        <v>111.01600000000001</v>
      </c>
      <c r="E1054" s="50">
        <v>92.75</v>
      </c>
      <c r="F1054" s="60">
        <v>79.08</v>
      </c>
      <c r="G1054" s="61">
        <v>1789.527</v>
      </c>
      <c r="H1054" s="62">
        <v>6.9</v>
      </c>
      <c r="I1054" s="63">
        <v>3.2000000000000001E-2</v>
      </c>
      <c r="J1054" s="68">
        <v>8.2959999999999994</v>
      </c>
      <c r="K1054" s="65">
        <v>41.847000000000001</v>
      </c>
      <c r="L1054" s="50">
        <v>4.915</v>
      </c>
      <c r="M1054" s="63">
        <v>1.4999999999999999E-2</v>
      </c>
      <c r="N1054" s="57">
        <v>240.547</v>
      </c>
      <c r="O1054" s="67">
        <v>5.6000000000000001E-2</v>
      </c>
      <c r="P1054" s="96"/>
      <c r="Q1054" s="93"/>
      <c r="R1054" s="93"/>
      <c r="S1054" s="93"/>
      <c r="T1054" s="93"/>
    </row>
    <row r="1055" spans="1:20" ht="14.25" customHeight="1" x14ac:dyDescent="0.35">
      <c r="A1055" s="1">
        <v>2022</v>
      </c>
      <c r="B1055" s="1" t="s">
        <v>33</v>
      </c>
      <c r="C1055" s="1">
        <v>18</v>
      </c>
      <c r="D1055" s="49">
        <v>115.125</v>
      </c>
      <c r="E1055" s="50">
        <v>96.218999999999994</v>
      </c>
      <c r="F1055" s="60">
        <v>79.066000000000003</v>
      </c>
      <c r="G1055" s="61">
        <v>1777.9839999999999</v>
      </c>
      <c r="H1055" s="62">
        <v>6.9</v>
      </c>
      <c r="I1055" s="63">
        <v>3.2000000000000001E-2</v>
      </c>
      <c r="J1055" s="68">
        <v>8.3819999999999997</v>
      </c>
      <c r="K1055" s="61">
        <v>40.494999999999997</v>
      </c>
      <c r="L1055" s="62">
        <v>5.0620000000000003</v>
      </c>
      <c r="M1055" s="63">
        <v>1.4999999999999999E-2</v>
      </c>
      <c r="N1055" s="57">
        <v>176.38200000000001</v>
      </c>
      <c r="O1055" s="67">
        <v>6.4000000000000001E-2</v>
      </c>
      <c r="P1055" s="96"/>
      <c r="Q1055" s="93"/>
      <c r="R1055" s="93"/>
      <c r="S1055" s="93"/>
      <c r="T1055" s="93"/>
    </row>
    <row r="1056" spans="1:20" ht="14.25" customHeight="1" x14ac:dyDescent="0.35">
      <c r="A1056" s="1">
        <v>2022</v>
      </c>
      <c r="B1056" s="1" t="s">
        <v>33</v>
      </c>
      <c r="C1056" s="1">
        <v>19</v>
      </c>
      <c r="D1056" s="49">
        <v>86.703000000000003</v>
      </c>
      <c r="E1056" s="50">
        <v>72.406000000000006</v>
      </c>
      <c r="F1056" s="60">
        <v>79.114999999999995</v>
      </c>
      <c r="G1056" s="61">
        <v>1689.836</v>
      </c>
      <c r="H1056" s="62">
        <v>6.8680000000000003</v>
      </c>
      <c r="I1056" s="63">
        <v>3.6999999999999998E-2</v>
      </c>
      <c r="J1056" s="68">
        <v>8.1449999999999996</v>
      </c>
      <c r="K1056" s="65">
        <v>37.100999999999999</v>
      </c>
      <c r="L1056" s="50">
        <v>5.1159999999999997</v>
      </c>
      <c r="M1056" s="63">
        <v>1.4999999999999999E-2</v>
      </c>
      <c r="N1056" s="57">
        <v>151.17599999999999</v>
      </c>
      <c r="O1056" s="67">
        <v>5.3999999999999999E-2</v>
      </c>
      <c r="P1056" s="96"/>
      <c r="Q1056" s="93"/>
      <c r="R1056" s="93"/>
      <c r="S1056" s="93"/>
      <c r="T1056" s="93"/>
    </row>
    <row r="1057" spans="1:20" ht="14.25" customHeight="1" x14ac:dyDescent="0.35">
      <c r="A1057" s="1">
        <v>2022</v>
      </c>
      <c r="B1057" s="1" t="s">
        <v>33</v>
      </c>
      <c r="C1057" s="1">
        <v>20</v>
      </c>
      <c r="D1057" s="49">
        <v>108.75</v>
      </c>
      <c r="E1057" s="50">
        <v>91.313000000000002</v>
      </c>
      <c r="F1057" s="60">
        <v>78.825000000000003</v>
      </c>
      <c r="G1057" s="61">
        <v>1592.307</v>
      </c>
      <c r="H1057" s="62">
        <v>6.8959999999999999</v>
      </c>
      <c r="I1057" s="63">
        <v>2.9000000000000001E-2</v>
      </c>
      <c r="J1057" s="68">
        <v>8.0709999999999997</v>
      </c>
      <c r="K1057" s="61">
        <v>32.433999999999997</v>
      </c>
      <c r="L1057" s="62">
        <v>5.0599999999999996</v>
      </c>
      <c r="M1057" s="63">
        <v>1.4999999999999999E-2</v>
      </c>
      <c r="N1057" s="57">
        <v>171.83199999999999</v>
      </c>
      <c r="O1057" s="67">
        <v>4.9000000000000002E-2</v>
      </c>
      <c r="P1057" s="96"/>
      <c r="Q1057" s="93"/>
      <c r="R1057" s="93"/>
      <c r="S1057" s="93"/>
      <c r="T1057" s="93"/>
    </row>
    <row r="1058" spans="1:20" ht="14.25" customHeight="1" x14ac:dyDescent="0.35">
      <c r="A1058" s="1">
        <v>2022</v>
      </c>
      <c r="B1058" s="1" t="s">
        <v>33</v>
      </c>
      <c r="C1058" s="1">
        <v>21</v>
      </c>
      <c r="D1058" s="49">
        <v>114.53100000000001</v>
      </c>
      <c r="E1058" s="50">
        <v>96.25</v>
      </c>
      <c r="F1058" s="60">
        <v>78.786000000000001</v>
      </c>
      <c r="G1058" s="61">
        <v>1590.646</v>
      </c>
      <c r="H1058" s="62">
        <v>6.9</v>
      </c>
      <c r="I1058" s="63">
        <v>2.8000000000000001E-2</v>
      </c>
      <c r="J1058" s="68">
        <v>8.0649999999999995</v>
      </c>
      <c r="K1058" s="65">
        <v>36.814999999999998</v>
      </c>
      <c r="L1058" s="50">
        <v>5.117</v>
      </c>
      <c r="M1058" s="63">
        <v>1.4999999999999999E-2</v>
      </c>
      <c r="N1058" s="57">
        <v>150.47200000000001</v>
      </c>
      <c r="O1058" s="67">
        <v>5.0999999999999997E-2</v>
      </c>
      <c r="P1058" s="96"/>
      <c r="Q1058" s="93"/>
      <c r="R1058" s="93"/>
      <c r="S1058" s="93"/>
      <c r="T1058" s="93"/>
    </row>
    <row r="1059" spans="1:20" ht="14.25" customHeight="1" x14ac:dyDescent="0.35">
      <c r="A1059" s="1">
        <v>2022</v>
      </c>
      <c r="B1059" s="1" t="s">
        <v>33</v>
      </c>
      <c r="C1059" s="1">
        <v>22</v>
      </c>
      <c r="D1059" s="49">
        <v>110.75</v>
      </c>
      <c r="E1059" s="50">
        <v>93.5</v>
      </c>
      <c r="F1059" s="60">
        <v>78.731999999999999</v>
      </c>
      <c r="G1059" s="61">
        <v>1694.002</v>
      </c>
      <c r="H1059" s="62">
        <v>6.9</v>
      </c>
      <c r="I1059" s="63">
        <v>2.9000000000000001E-2</v>
      </c>
      <c r="J1059" s="68">
        <v>8.3160000000000007</v>
      </c>
      <c r="K1059" s="61">
        <v>41.491</v>
      </c>
      <c r="L1059" s="62">
        <v>5.1269999999999998</v>
      </c>
      <c r="M1059" s="63">
        <v>1.4999999999999999E-2</v>
      </c>
      <c r="N1059" s="57">
        <v>148.27600000000001</v>
      </c>
      <c r="O1059" s="67">
        <v>5.8999999999999997E-2</v>
      </c>
      <c r="P1059" s="96"/>
      <c r="Q1059" s="93"/>
      <c r="R1059" s="93"/>
      <c r="S1059" s="93"/>
      <c r="T1059" s="93"/>
    </row>
    <row r="1060" spans="1:20" ht="14.25" customHeight="1" x14ac:dyDescent="0.35">
      <c r="A1060" s="1">
        <v>2022</v>
      </c>
      <c r="B1060" s="1" t="s">
        <v>33</v>
      </c>
      <c r="C1060" s="1">
        <v>23</v>
      </c>
      <c r="D1060" s="49">
        <v>108.953</v>
      </c>
      <c r="E1060" s="50">
        <v>92.063000000000002</v>
      </c>
      <c r="F1060" s="60">
        <v>78.623000000000005</v>
      </c>
      <c r="G1060" s="61">
        <v>1741.21</v>
      </c>
      <c r="H1060" s="62">
        <v>6.9</v>
      </c>
      <c r="I1060" s="63">
        <v>2.9000000000000001E-2</v>
      </c>
      <c r="J1060" s="68">
        <v>8.3620000000000001</v>
      </c>
      <c r="K1060" s="65">
        <v>42.125999999999998</v>
      </c>
      <c r="L1060" s="50">
        <v>5.33</v>
      </c>
      <c r="M1060" s="63">
        <v>1.4999999999999999E-2</v>
      </c>
      <c r="N1060" s="57">
        <v>100.64400000000001</v>
      </c>
      <c r="O1060" s="67">
        <v>6.0999999999999999E-2</v>
      </c>
      <c r="P1060" s="96"/>
      <c r="Q1060" s="93"/>
      <c r="R1060" s="93"/>
      <c r="S1060" s="93"/>
      <c r="T1060" s="93"/>
    </row>
    <row r="1061" spans="1:20" ht="14.25" customHeight="1" x14ac:dyDescent="0.35">
      <c r="A1061" s="1">
        <v>2022</v>
      </c>
      <c r="B1061" s="1" t="s">
        <v>33</v>
      </c>
      <c r="C1061" s="1">
        <v>24</v>
      </c>
      <c r="D1061" s="49">
        <v>109.375</v>
      </c>
      <c r="E1061" s="50">
        <v>92.281000000000006</v>
      </c>
      <c r="F1061" s="60">
        <v>78.644000000000005</v>
      </c>
      <c r="G1061" s="61">
        <v>1721.6020000000001</v>
      </c>
      <c r="H1061" s="62">
        <v>6.9</v>
      </c>
      <c r="I1061" s="63">
        <v>2.9000000000000001E-2</v>
      </c>
      <c r="J1061" s="68">
        <v>8.3249999999999993</v>
      </c>
      <c r="K1061" s="61">
        <v>41.750999999999998</v>
      </c>
      <c r="L1061" s="62">
        <v>5.4420000000000002</v>
      </c>
      <c r="M1061" s="63">
        <v>1.4999999999999999E-2</v>
      </c>
      <c r="N1061" s="57">
        <v>71.402000000000001</v>
      </c>
      <c r="O1061" s="67">
        <v>5.5E-2</v>
      </c>
      <c r="P1061" s="96"/>
      <c r="Q1061" s="93"/>
      <c r="R1061" s="93"/>
      <c r="S1061" s="93"/>
      <c r="T1061" s="93"/>
    </row>
    <row r="1062" spans="1:20" ht="14.25" customHeight="1" x14ac:dyDescent="0.35">
      <c r="A1062" s="1">
        <v>2022</v>
      </c>
      <c r="B1062" s="1" t="s">
        <v>33</v>
      </c>
      <c r="C1062" s="1">
        <v>25</v>
      </c>
      <c r="D1062" s="49">
        <v>101.76600000000001</v>
      </c>
      <c r="E1062" s="50">
        <v>85.688000000000002</v>
      </c>
      <c r="F1062" s="60">
        <v>78.55</v>
      </c>
      <c r="G1062" s="61">
        <v>1662.6389999999999</v>
      </c>
      <c r="H1062" s="62">
        <v>6.9</v>
      </c>
      <c r="I1062" s="63">
        <v>0.03</v>
      </c>
      <c r="J1062" s="68">
        <v>7.8979999999999997</v>
      </c>
      <c r="K1062" s="65">
        <v>41.503999999999998</v>
      </c>
      <c r="L1062" s="50">
        <v>5.4210000000000003</v>
      </c>
      <c r="M1062" s="63">
        <v>1.4999999999999999E-2</v>
      </c>
      <c r="N1062" s="57">
        <v>74.872</v>
      </c>
      <c r="O1062" s="67">
        <v>4.9000000000000002E-2</v>
      </c>
      <c r="P1062" s="96"/>
      <c r="Q1062" s="93"/>
      <c r="R1062" s="93"/>
      <c r="S1062" s="93"/>
      <c r="T1062" s="93"/>
    </row>
    <row r="1063" spans="1:20" ht="14.25" customHeight="1" x14ac:dyDescent="0.35">
      <c r="A1063" s="1">
        <v>2022</v>
      </c>
      <c r="B1063" s="1" t="s">
        <v>33</v>
      </c>
      <c r="C1063" s="1">
        <v>26</v>
      </c>
      <c r="D1063" s="49">
        <v>103.25</v>
      </c>
      <c r="E1063" s="50">
        <v>86.968999999999994</v>
      </c>
      <c r="F1063" s="60">
        <v>78.251000000000005</v>
      </c>
      <c r="G1063" s="61">
        <v>1636.7729999999999</v>
      </c>
      <c r="H1063" s="62">
        <v>6.9</v>
      </c>
      <c r="I1063" s="63">
        <v>3.1E-2</v>
      </c>
      <c r="J1063" s="68">
        <v>8.2669999999999995</v>
      </c>
      <c r="K1063" s="61">
        <v>41.067999999999998</v>
      </c>
      <c r="L1063" s="62">
        <v>5.4349999999999996</v>
      </c>
      <c r="M1063" s="63">
        <v>1.4999999999999999E-2</v>
      </c>
      <c r="N1063" s="57">
        <v>72.605999999999995</v>
      </c>
      <c r="O1063" s="67">
        <v>4.8000000000000001E-2</v>
      </c>
      <c r="P1063" s="96"/>
      <c r="Q1063" s="93"/>
      <c r="R1063" s="93"/>
      <c r="S1063" s="93"/>
      <c r="T1063" s="93"/>
    </row>
    <row r="1064" spans="1:20" ht="14.25" customHeight="1" x14ac:dyDescent="0.35">
      <c r="A1064" s="1">
        <v>2022</v>
      </c>
      <c r="B1064" s="1" t="s">
        <v>33</v>
      </c>
      <c r="C1064" s="1">
        <v>27</v>
      </c>
      <c r="D1064" s="49">
        <v>106.063</v>
      </c>
      <c r="E1064" s="50">
        <v>89.218999999999994</v>
      </c>
      <c r="F1064" s="60">
        <v>78.248999999999995</v>
      </c>
      <c r="G1064" s="61">
        <v>1607.6759999999999</v>
      </c>
      <c r="H1064" s="62">
        <v>6.9</v>
      </c>
      <c r="I1064" s="63">
        <v>2.8000000000000001E-2</v>
      </c>
      <c r="J1064" s="68">
        <v>8.3179999999999996</v>
      </c>
      <c r="K1064" s="65">
        <v>39.735999999999997</v>
      </c>
      <c r="L1064" s="50">
        <v>5.4210000000000003</v>
      </c>
      <c r="M1064" s="63">
        <v>1.4999999999999999E-2</v>
      </c>
      <c r="N1064" s="57">
        <v>75.078999999999994</v>
      </c>
      <c r="O1064" s="67">
        <v>4.8000000000000001E-2</v>
      </c>
      <c r="P1064" s="96"/>
      <c r="Q1064" s="93"/>
      <c r="R1064" s="93"/>
      <c r="S1064" s="93"/>
      <c r="T1064" s="93"/>
    </row>
    <row r="1065" spans="1:20" ht="14.25" customHeight="1" x14ac:dyDescent="0.35">
      <c r="A1065" s="1">
        <v>2022</v>
      </c>
      <c r="B1065" s="1" t="s">
        <v>33</v>
      </c>
      <c r="C1065" s="1">
        <v>28</v>
      </c>
      <c r="D1065" s="49">
        <v>107.01600000000001</v>
      </c>
      <c r="E1065" s="50">
        <v>89.968999999999994</v>
      </c>
      <c r="F1065" s="60">
        <v>77.94</v>
      </c>
      <c r="G1065" s="61">
        <v>1605.7809999999999</v>
      </c>
      <c r="H1065" s="62">
        <v>6.9</v>
      </c>
      <c r="I1065" s="63">
        <v>3.2000000000000001E-2</v>
      </c>
      <c r="J1065" s="68">
        <v>8.5370000000000008</v>
      </c>
      <c r="K1065" s="61">
        <v>40.027999999999999</v>
      </c>
      <c r="L1065" s="62">
        <v>5.4649999999999999</v>
      </c>
      <c r="M1065" s="63">
        <v>1.4999999999999999E-2</v>
      </c>
      <c r="N1065" s="57">
        <v>67.66</v>
      </c>
      <c r="O1065" s="67">
        <v>5.0999999999999997E-2</v>
      </c>
      <c r="P1065" s="96"/>
      <c r="Q1065" s="93"/>
      <c r="R1065" s="93"/>
      <c r="S1065" s="93"/>
      <c r="T1065" s="93"/>
    </row>
    <row r="1066" spans="1:20" ht="14.25" customHeight="1" x14ac:dyDescent="0.35">
      <c r="A1066" s="1">
        <v>2022</v>
      </c>
      <c r="B1066" s="1" t="s">
        <v>33</v>
      </c>
      <c r="C1066" s="1">
        <v>29</v>
      </c>
      <c r="D1066" s="49">
        <v>107.125</v>
      </c>
      <c r="E1066" s="50">
        <v>90</v>
      </c>
      <c r="F1066" s="83">
        <v>78.016000000000005</v>
      </c>
      <c r="G1066" s="69">
        <v>1735.5160000000001</v>
      </c>
      <c r="H1066" s="50">
        <v>6.9</v>
      </c>
      <c r="I1066" s="66">
        <v>3.5000000000000003E-2</v>
      </c>
      <c r="J1066" s="117">
        <v>8.5879999999999992</v>
      </c>
      <c r="K1066" s="61">
        <v>43.033999999999999</v>
      </c>
      <c r="L1066" s="62">
        <v>5.4580000000000002</v>
      </c>
      <c r="M1066" s="63">
        <v>1.4999999999999999E-2</v>
      </c>
      <c r="N1066" s="57">
        <v>68.647000000000006</v>
      </c>
      <c r="O1066" s="84">
        <v>5.8000000000000003E-2</v>
      </c>
      <c r="P1066" s="96"/>
      <c r="Q1066" s="93"/>
      <c r="R1066" s="93"/>
      <c r="S1066" s="93"/>
      <c r="T1066" s="93"/>
    </row>
    <row r="1067" spans="1:20" ht="14.25" customHeight="1" x14ac:dyDescent="0.35">
      <c r="A1067" s="1">
        <v>2022</v>
      </c>
      <c r="B1067" s="1" t="s">
        <v>33</v>
      </c>
      <c r="C1067" s="1">
        <v>30</v>
      </c>
      <c r="D1067" s="104">
        <v>110.96899999999999</v>
      </c>
      <c r="E1067" s="105">
        <v>93.063000000000002</v>
      </c>
      <c r="F1067" s="83">
        <v>78.064999999999998</v>
      </c>
      <c r="G1067" s="69">
        <v>1755.1559999999999</v>
      </c>
      <c r="H1067" s="50">
        <v>6.9</v>
      </c>
      <c r="I1067" s="66">
        <v>3.9E-2</v>
      </c>
      <c r="J1067" s="117">
        <v>8.4719999999999995</v>
      </c>
      <c r="K1067" s="61">
        <v>41.228999999999999</v>
      </c>
      <c r="L1067" s="62">
        <v>5.4379999999999997</v>
      </c>
      <c r="M1067" s="63">
        <v>1.4999999999999999E-2</v>
      </c>
      <c r="N1067" s="57">
        <v>72.186000000000007</v>
      </c>
      <c r="O1067" s="84">
        <v>5.7000000000000002E-2</v>
      </c>
      <c r="P1067" s="96"/>
      <c r="Q1067" s="93"/>
      <c r="R1067" s="93"/>
      <c r="S1067" s="93"/>
      <c r="T1067" s="93"/>
    </row>
    <row r="1068" spans="1:20" ht="14.25" customHeight="1" x14ac:dyDescent="0.35">
      <c r="A1068" s="1">
        <v>2022</v>
      </c>
      <c r="B1068" s="1" t="s">
        <v>34</v>
      </c>
      <c r="C1068" s="1">
        <v>1</v>
      </c>
      <c r="D1068" s="99">
        <v>109.26600000000001</v>
      </c>
      <c r="E1068" s="77">
        <v>91.281000000000006</v>
      </c>
      <c r="F1068" s="51">
        <v>77.900999999999996</v>
      </c>
      <c r="G1068" s="52">
        <v>1788.375</v>
      </c>
      <c r="H1068" s="53">
        <v>6.9</v>
      </c>
      <c r="I1068" s="54">
        <v>3.4000000000000002E-2</v>
      </c>
      <c r="J1068" s="59">
        <v>8.468</v>
      </c>
      <c r="K1068" s="52">
        <v>40.286999999999999</v>
      </c>
      <c r="L1068" s="55">
        <v>5.4409999999999998</v>
      </c>
      <c r="M1068" s="56">
        <v>1.4999999999999999E-2</v>
      </c>
      <c r="N1068" s="57">
        <v>71.662000000000006</v>
      </c>
      <c r="O1068" s="58">
        <v>5.5E-2</v>
      </c>
      <c r="P1068" s="96"/>
      <c r="Q1068" s="93"/>
      <c r="R1068" s="93"/>
      <c r="S1068" s="93"/>
      <c r="T1068" s="93"/>
    </row>
    <row r="1069" spans="1:20" ht="14.25" customHeight="1" x14ac:dyDescent="0.35">
      <c r="A1069" s="1">
        <v>2022</v>
      </c>
      <c r="B1069" s="1" t="s">
        <v>34</v>
      </c>
      <c r="C1069" s="1">
        <v>2</v>
      </c>
      <c r="D1069" s="99">
        <v>112.23399999999999</v>
      </c>
      <c r="E1069" s="77">
        <v>93.906000000000006</v>
      </c>
      <c r="F1069" s="60">
        <v>77.682000000000002</v>
      </c>
      <c r="G1069" s="61">
        <v>1761.3879999999999</v>
      </c>
      <c r="H1069" s="62">
        <v>6.9</v>
      </c>
      <c r="I1069" s="63">
        <v>3.4000000000000002E-2</v>
      </c>
      <c r="J1069" s="68">
        <v>8.484</v>
      </c>
      <c r="K1069" s="65">
        <v>37.277999999999999</v>
      </c>
      <c r="L1069" s="50">
        <v>5.3419999999999996</v>
      </c>
      <c r="M1069" s="66">
        <v>1.4999999999999999E-2</v>
      </c>
      <c r="N1069" s="57">
        <v>90.634</v>
      </c>
      <c r="O1069" s="67">
        <v>5.1999999999999998E-2</v>
      </c>
      <c r="P1069" s="96"/>
      <c r="Q1069" s="93"/>
      <c r="R1069" s="93"/>
      <c r="S1069" s="93"/>
      <c r="T1069" s="93"/>
    </row>
    <row r="1070" spans="1:20" ht="14.25" customHeight="1" x14ac:dyDescent="0.35">
      <c r="A1070" s="1">
        <v>2022</v>
      </c>
      <c r="B1070" s="1" t="s">
        <v>34</v>
      </c>
      <c r="C1070" s="1">
        <v>3</v>
      </c>
      <c r="D1070" s="99">
        <v>107.25</v>
      </c>
      <c r="E1070" s="77">
        <v>89.593999999999994</v>
      </c>
      <c r="F1070" s="60">
        <v>77.933000000000007</v>
      </c>
      <c r="G1070" s="61">
        <v>1678.3589999999999</v>
      </c>
      <c r="H1070" s="62">
        <v>6.9</v>
      </c>
      <c r="I1070" s="63">
        <v>3.3000000000000002E-2</v>
      </c>
      <c r="J1070" s="68">
        <v>8.2940000000000005</v>
      </c>
      <c r="K1070" s="65">
        <v>37.350999999999999</v>
      </c>
      <c r="L1070" s="50">
        <v>5.2619999999999996</v>
      </c>
      <c r="M1070" s="66">
        <v>1.4999999999999999E-2</v>
      </c>
      <c r="N1070" s="57">
        <v>108.042</v>
      </c>
      <c r="O1070" s="67">
        <v>5.1999999999999998E-2</v>
      </c>
      <c r="P1070" s="96"/>
      <c r="Q1070" s="93"/>
      <c r="R1070" s="93"/>
      <c r="S1070" s="93"/>
      <c r="T1070" s="93"/>
    </row>
    <row r="1071" spans="1:20" ht="14.25" customHeight="1" x14ac:dyDescent="0.35">
      <c r="A1071" s="1">
        <v>2022</v>
      </c>
      <c r="B1071" s="1" t="s">
        <v>34</v>
      </c>
      <c r="C1071" s="1">
        <v>4</v>
      </c>
      <c r="D1071" s="99">
        <v>110.85899999999999</v>
      </c>
      <c r="E1071" s="77">
        <v>92.625</v>
      </c>
      <c r="F1071" s="60">
        <v>78.216999999999999</v>
      </c>
      <c r="G1071" s="61">
        <v>1586.1569999999999</v>
      </c>
      <c r="H1071" s="62">
        <v>6.9</v>
      </c>
      <c r="I1071" s="63">
        <v>3.2000000000000001E-2</v>
      </c>
      <c r="J1071" s="68">
        <v>8.3320000000000007</v>
      </c>
      <c r="K1071" s="65">
        <v>35.795000000000002</v>
      </c>
      <c r="L1071" s="50">
        <v>5.27</v>
      </c>
      <c r="M1071" s="66">
        <v>1.4999999999999999E-2</v>
      </c>
      <c r="N1071" s="57">
        <v>105.75</v>
      </c>
      <c r="O1071" s="67">
        <v>0.05</v>
      </c>
      <c r="P1071" s="96"/>
      <c r="Q1071" s="93"/>
      <c r="R1071" s="93"/>
      <c r="S1071" s="93"/>
      <c r="T1071" s="93"/>
    </row>
    <row r="1072" spans="1:20" ht="14.25" customHeight="1" x14ac:dyDescent="0.35">
      <c r="A1072" s="1">
        <v>2022</v>
      </c>
      <c r="B1072" s="1" t="s">
        <v>34</v>
      </c>
      <c r="C1072" s="1">
        <v>5</v>
      </c>
      <c r="D1072" s="99">
        <v>36.421999999999997</v>
      </c>
      <c r="E1072" s="77">
        <v>30.594000000000001</v>
      </c>
      <c r="F1072" s="60">
        <v>75.656000000000006</v>
      </c>
      <c r="G1072" s="61">
        <v>1789.864</v>
      </c>
      <c r="H1072" s="62">
        <v>6.875</v>
      </c>
      <c r="I1072" s="63">
        <v>3.6999999999999998E-2</v>
      </c>
      <c r="J1072" s="68">
        <v>8.6129999999999995</v>
      </c>
      <c r="K1072" s="65">
        <v>45.838000000000001</v>
      </c>
      <c r="L1072" s="50">
        <v>5.3419999999999996</v>
      </c>
      <c r="M1072" s="66">
        <v>0.02</v>
      </c>
      <c r="N1072" s="57">
        <v>91.241</v>
      </c>
      <c r="O1072" s="67">
        <v>6.5000000000000002E-2</v>
      </c>
      <c r="P1072" s="96"/>
      <c r="Q1072" s="93"/>
      <c r="R1072" s="93"/>
      <c r="S1072" s="93"/>
      <c r="T1072" s="93"/>
    </row>
    <row r="1073" spans="1:20" ht="14.25" customHeight="1" x14ac:dyDescent="0.35">
      <c r="A1073" s="1">
        <v>2022</v>
      </c>
      <c r="B1073" s="1" t="s">
        <v>34</v>
      </c>
      <c r="C1073" s="1">
        <v>6</v>
      </c>
      <c r="D1073" s="99">
        <v>68</v>
      </c>
      <c r="E1073" s="77">
        <v>57.188000000000002</v>
      </c>
      <c r="F1073" s="60">
        <v>77.415999999999997</v>
      </c>
      <c r="G1073" s="61">
        <v>2258.7689999999998</v>
      </c>
      <c r="H1073" s="62">
        <v>6.9039999999999999</v>
      </c>
      <c r="I1073" s="63">
        <v>2.7E-2</v>
      </c>
      <c r="J1073" s="68">
        <v>7.79</v>
      </c>
      <c r="K1073" s="65">
        <v>57.183</v>
      </c>
      <c r="L1073" s="50">
        <v>5.3440000000000003</v>
      </c>
      <c r="M1073" s="66">
        <v>1.7000000000000001E-2</v>
      </c>
      <c r="N1073" s="57">
        <v>89.846999999999994</v>
      </c>
      <c r="O1073" s="67">
        <v>0.06</v>
      </c>
      <c r="P1073" s="96"/>
      <c r="Q1073" s="93"/>
      <c r="R1073" s="93"/>
      <c r="S1073" s="93"/>
      <c r="T1073" s="93"/>
    </row>
    <row r="1074" spans="1:20" ht="14.25" customHeight="1" x14ac:dyDescent="0.35">
      <c r="A1074" s="1">
        <v>2022</v>
      </c>
      <c r="B1074" s="1" t="s">
        <v>34</v>
      </c>
      <c r="C1074" s="1">
        <v>7</v>
      </c>
      <c r="D1074" s="99">
        <v>115.828</v>
      </c>
      <c r="E1074" s="77">
        <v>97.281000000000006</v>
      </c>
      <c r="F1074" s="60">
        <v>77.472999999999999</v>
      </c>
      <c r="G1074" s="61">
        <v>1765.4349999999999</v>
      </c>
      <c r="H1074" s="62">
        <v>6.9</v>
      </c>
      <c r="I1074" s="63">
        <v>2.9000000000000001E-2</v>
      </c>
      <c r="J1074" s="68">
        <v>8.4830000000000005</v>
      </c>
      <c r="K1074" s="65">
        <v>42.991</v>
      </c>
      <c r="L1074" s="50">
        <v>5.1669999999999998</v>
      </c>
      <c r="M1074" s="66">
        <v>1.4999999999999999E-2</v>
      </c>
      <c r="N1074" s="57">
        <v>137.898</v>
      </c>
      <c r="O1074" s="67">
        <v>5.3999999999999999E-2</v>
      </c>
      <c r="P1074" s="96"/>
      <c r="Q1074" s="93"/>
      <c r="R1074" s="93"/>
      <c r="S1074" s="93"/>
      <c r="T1074" s="93"/>
    </row>
    <row r="1075" spans="1:20" ht="14.25" customHeight="1" x14ac:dyDescent="0.35">
      <c r="A1075" s="1">
        <v>2022</v>
      </c>
      <c r="B1075" s="1" t="s">
        <v>34</v>
      </c>
      <c r="C1075" s="1">
        <v>8</v>
      </c>
      <c r="D1075" s="99">
        <v>110.46899999999999</v>
      </c>
      <c r="E1075" s="77">
        <v>92.593999999999994</v>
      </c>
      <c r="F1075" s="60">
        <v>77.224999999999994</v>
      </c>
      <c r="G1075" s="69">
        <v>1762.2059999999999</v>
      </c>
      <c r="H1075" s="62">
        <v>6.9</v>
      </c>
      <c r="I1075" s="63">
        <v>2.7E-2</v>
      </c>
      <c r="J1075" s="71">
        <v>8.4849999999999994</v>
      </c>
      <c r="K1075" s="65">
        <v>40.432000000000002</v>
      </c>
      <c r="L1075" s="50">
        <v>5.0819999999999999</v>
      </c>
      <c r="M1075" s="66">
        <v>1.4999999999999999E-2</v>
      </c>
      <c r="N1075" s="57">
        <v>170.25399999999999</v>
      </c>
      <c r="O1075" s="70">
        <v>5.1999999999999998E-2</v>
      </c>
      <c r="P1075" s="96"/>
      <c r="Q1075" s="93"/>
      <c r="R1075" s="93"/>
      <c r="S1075" s="93"/>
      <c r="T1075" s="93"/>
    </row>
    <row r="1076" spans="1:20" ht="14.25" customHeight="1" x14ac:dyDescent="0.35">
      <c r="A1076" s="1">
        <v>2022</v>
      </c>
      <c r="B1076" s="1" t="s">
        <v>34</v>
      </c>
      <c r="C1076" s="1">
        <v>9</v>
      </c>
      <c r="D1076" s="99">
        <v>111.125</v>
      </c>
      <c r="E1076" s="77">
        <v>93.031000000000006</v>
      </c>
      <c r="F1076" s="60">
        <v>76.991</v>
      </c>
      <c r="G1076" s="61">
        <v>1734.8679999999999</v>
      </c>
      <c r="H1076" s="62">
        <v>6.9</v>
      </c>
      <c r="I1076" s="63">
        <v>2.8000000000000001E-2</v>
      </c>
      <c r="J1076" s="68">
        <v>8.4589999999999996</v>
      </c>
      <c r="K1076" s="65">
        <v>40.732999999999997</v>
      </c>
      <c r="L1076" s="50">
        <v>5.2030000000000003</v>
      </c>
      <c r="M1076" s="66">
        <v>1.4999999999999999E-2</v>
      </c>
      <c r="N1076" s="57">
        <v>125.04300000000001</v>
      </c>
      <c r="O1076" s="67">
        <v>5.1999999999999998E-2</v>
      </c>
      <c r="P1076" s="96"/>
      <c r="Q1076" s="93"/>
      <c r="R1076" s="93"/>
      <c r="S1076" s="93"/>
      <c r="T1076" s="93"/>
    </row>
    <row r="1077" spans="1:20" ht="14.25" customHeight="1" x14ac:dyDescent="0.35">
      <c r="A1077" s="1">
        <v>2022</v>
      </c>
      <c r="B1077" s="1" t="s">
        <v>34</v>
      </c>
      <c r="C1077" s="1">
        <v>10</v>
      </c>
      <c r="D1077" s="99">
        <v>109.09399999999999</v>
      </c>
      <c r="E1077" s="77">
        <v>91.438000000000002</v>
      </c>
      <c r="F1077" s="72">
        <v>77.003</v>
      </c>
      <c r="G1077" s="61">
        <v>1678.787</v>
      </c>
      <c r="H1077" s="62">
        <v>6.9</v>
      </c>
      <c r="I1077" s="63">
        <v>2.7E-2</v>
      </c>
      <c r="J1077" s="76">
        <v>8.3140000000000001</v>
      </c>
      <c r="K1077" s="65">
        <v>37.805999999999997</v>
      </c>
      <c r="L1077" s="50">
        <v>5.1710000000000003</v>
      </c>
      <c r="M1077" s="74">
        <v>1.4999999999999999E-2</v>
      </c>
      <c r="N1077" s="57">
        <v>137.434</v>
      </c>
      <c r="O1077" s="75">
        <v>0.05</v>
      </c>
      <c r="P1077" s="96"/>
      <c r="Q1077" s="93"/>
      <c r="R1077" s="93"/>
      <c r="S1077" s="93"/>
      <c r="T1077" s="93"/>
    </row>
    <row r="1078" spans="1:20" ht="14.25" customHeight="1" x14ac:dyDescent="0.35">
      <c r="A1078" s="1">
        <v>2022</v>
      </c>
      <c r="B1078" s="1" t="s">
        <v>34</v>
      </c>
      <c r="C1078" s="1">
        <v>11</v>
      </c>
      <c r="D1078" s="99">
        <v>113.35899999999999</v>
      </c>
      <c r="E1078" s="77">
        <v>94.906000000000006</v>
      </c>
      <c r="F1078" s="72">
        <v>75.882000000000005</v>
      </c>
      <c r="G1078" s="61">
        <v>1557.9269999999999</v>
      </c>
      <c r="H1078" s="62">
        <v>6.9</v>
      </c>
      <c r="I1078" s="63">
        <v>2.8000000000000001E-2</v>
      </c>
      <c r="J1078" s="76">
        <v>8.6180000000000003</v>
      </c>
      <c r="K1078" s="65">
        <v>34.043999999999997</v>
      </c>
      <c r="L1078" s="50">
        <v>5.1669999999999998</v>
      </c>
      <c r="M1078" s="74">
        <v>1.4999999999999999E-2</v>
      </c>
      <c r="N1078" s="57">
        <v>139.881</v>
      </c>
      <c r="O1078" s="75">
        <v>4.8000000000000001E-2</v>
      </c>
      <c r="P1078" s="96"/>
      <c r="Q1078" s="93"/>
      <c r="R1078" s="93"/>
      <c r="S1078" s="93"/>
      <c r="T1078" s="93"/>
    </row>
    <row r="1079" spans="1:20" ht="14.25" customHeight="1" x14ac:dyDescent="0.35">
      <c r="A1079" s="1">
        <v>2022</v>
      </c>
      <c r="B1079" s="1" t="s">
        <v>34</v>
      </c>
      <c r="C1079" s="1">
        <v>12</v>
      </c>
      <c r="D1079" s="99">
        <v>120.438</v>
      </c>
      <c r="E1079" s="77">
        <v>100.71899999999999</v>
      </c>
      <c r="F1079" s="72">
        <v>75.200999999999993</v>
      </c>
      <c r="G1079" s="61">
        <v>1835.5889999999999</v>
      </c>
      <c r="H1079" s="62">
        <v>6.9</v>
      </c>
      <c r="I1079" s="63">
        <v>2.5999999999999999E-2</v>
      </c>
      <c r="J1079" s="76">
        <v>8.0269999999999992</v>
      </c>
      <c r="K1079" s="65">
        <v>38.103000000000002</v>
      </c>
      <c r="L1079" s="50">
        <v>5.2039999999999997</v>
      </c>
      <c r="M1079" s="74">
        <v>1.4999999999999999E-2</v>
      </c>
      <c r="N1079" s="57">
        <v>123.434</v>
      </c>
      <c r="O1079" s="75">
        <v>4.3999999999999997E-2</v>
      </c>
      <c r="P1079" s="96"/>
      <c r="Q1079" s="93"/>
      <c r="R1079" s="93"/>
      <c r="S1079" s="93"/>
      <c r="T1079" s="93"/>
    </row>
    <row r="1080" spans="1:20" ht="14.25" customHeight="1" x14ac:dyDescent="0.35">
      <c r="A1080" s="1">
        <v>2022</v>
      </c>
      <c r="B1080" s="1" t="s">
        <v>34</v>
      </c>
      <c r="C1080" s="1">
        <v>13</v>
      </c>
      <c r="D1080" s="99">
        <v>122.5</v>
      </c>
      <c r="E1080" s="77">
        <v>102.563</v>
      </c>
      <c r="F1080" s="78">
        <v>75.504999999999995</v>
      </c>
      <c r="G1080" s="61">
        <v>2327.7829999999999</v>
      </c>
      <c r="H1080" s="62">
        <v>6.9</v>
      </c>
      <c r="I1080" s="63">
        <v>2.5000000000000001E-2</v>
      </c>
      <c r="J1080" s="81">
        <v>7.5389999999999997</v>
      </c>
      <c r="K1080" s="65">
        <v>53.4895</v>
      </c>
      <c r="L1080" s="50">
        <v>5.2408999999999999</v>
      </c>
      <c r="M1080" s="66">
        <v>1.5100000000000001E-2</v>
      </c>
      <c r="N1080" s="57">
        <v>113.8425</v>
      </c>
      <c r="O1080" s="80">
        <v>4.9599999999999998E-2</v>
      </c>
      <c r="P1080" s="96"/>
      <c r="Q1080" s="93"/>
      <c r="R1080" s="93"/>
      <c r="S1080" s="93"/>
      <c r="T1080" s="93"/>
    </row>
    <row r="1081" spans="1:20" ht="14.25" customHeight="1" x14ac:dyDescent="0.35">
      <c r="A1081" s="1">
        <v>2022</v>
      </c>
      <c r="B1081" s="1" t="s">
        <v>34</v>
      </c>
      <c r="C1081" s="1">
        <v>14</v>
      </c>
      <c r="D1081" s="99">
        <v>125.438</v>
      </c>
      <c r="E1081" s="77">
        <v>105</v>
      </c>
      <c r="F1081" s="60">
        <v>76.019000000000005</v>
      </c>
      <c r="G1081" s="61">
        <v>2393.9940000000001</v>
      </c>
      <c r="H1081" s="62">
        <v>6.9</v>
      </c>
      <c r="I1081" s="63">
        <v>2.7E-2</v>
      </c>
      <c r="J1081" s="81">
        <v>7.5570000000000004</v>
      </c>
      <c r="K1081" s="82">
        <v>54.893999999999998</v>
      </c>
      <c r="L1081" s="50">
        <v>5.1529999999999996</v>
      </c>
      <c r="M1081" s="66">
        <v>1.4999999999999999E-2</v>
      </c>
      <c r="N1081" s="57">
        <v>141.64500000000001</v>
      </c>
      <c r="O1081" s="80">
        <v>5.0999999999999997E-2</v>
      </c>
      <c r="P1081" s="96"/>
      <c r="Q1081" s="93"/>
      <c r="R1081" s="93"/>
      <c r="S1081" s="93"/>
      <c r="T1081" s="93"/>
    </row>
    <row r="1082" spans="1:20" ht="14.25" customHeight="1" x14ac:dyDescent="0.35">
      <c r="A1082" s="1">
        <v>2022</v>
      </c>
      <c r="B1082" s="1" t="s">
        <v>34</v>
      </c>
      <c r="C1082" s="1">
        <v>15</v>
      </c>
      <c r="D1082" s="99">
        <v>124.875</v>
      </c>
      <c r="E1082" s="77">
        <v>104.84399999999999</v>
      </c>
      <c r="F1082" s="60">
        <v>75.998999999999995</v>
      </c>
      <c r="G1082" s="61">
        <v>2383.5630000000001</v>
      </c>
      <c r="H1082" s="62">
        <v>6.9</v>
      </c>
      <c r="I1082" s="63">
        <v>3.1E-2</v>
      </c>
      <c r="J1082" s="76">
        <v>7.55</v>
      </c>
      <c r="K1082" s="65">
        <v>55.442999999999998</v>
      </c>
      <c r="L1082" s="50">
        <v>5.2489999999999997</v>
      </c>
      <c r="M1082" s="66">
        <v>1.4999999999999999E-2</v>
      </c>
      <c r="N1082" s="57">
        <v>110.89700000000001</v>
      </c>
      <c r="O1082" s="75">
        <v>0.05</v>
      </c>
      <c r="P1082" s="96"/>
      <c r="Q1082" s="93"/>
      <c r="R1082" s="93"/>
      <c r="S1082" s="93"/>
      <c r="T1082" s="93"/>
    </row>
    <row r="1083" spans="1:20" ht="14.25" customHeight="1" x14ac:dyDescent="0.35">
      <c r="A1083" s="1">
        <v>2022</v>
      </c>
      <c r="B1083" s="1" t="s">
        <v>34</v>
      </c>
      <c r="C1083" s="1">
        <v>16</v>
      </c>
      <c r="D1083" s="99">
        <v>125.10899999999999</v>
      </c>
      <c r="E1083" s="77">
        <v>104.96899999999999</v>
      </c>
      <c r="F1083" s="60">
        <v>76.266999999999996</v>
      </c>
      <c r="G1083" s="61">
        <v>2436.5639999999999</v>
      </c>
      <c r="H1083" s="62">
        <v>6.9</v>
      </c>
      <c r="I1083" s="63">
        <v>3.3000000000000002E-2</v>
      </c>
      <c r="J1083" s="81">
        <v>7.242</v>
      </c>
      <c r="K1083" s="61">
        <v>50.91</v>
      </c>
      <c r="L1083" s="62">
        <v>5.0129999999999999</v>
      </c>
      <c r="M1083" s="66">
        <v>1.4999999999999999E-2</v>
      </c>
      <c r="N1083" s="57">
        <v>211.672</v>
      </c>
      <c r="O1083" s="80">
        <v>4.5999999999999999E-2</v>
      </c>
      <c r="P1083" s="96"/>
      <c r="Q1083" s="93"/>
      <c r="R1083" s="93"/>
      <c r="S1083" s="93"/>
      <c r="T1083" s="93"/>
    </row>
    <row r="1084" spans="1:20" ht="14.25" customHeight="1" x14ac:dyDescent="0.35">
      <c r="A1084" s="1">
        <v>2022</v>
      </c>
      <c r="B1084" s="1" t="s">
        <v>34</v>
      </c>
      <c r="C1084" s="1">
        <v>17</v>
      </c>
      <c r="D1084" s="99">
        <v>125.188</v>
      </c>
      <c r="E1084" s="77">
        <v>105</v>
      </c>
      <c r="F1084" s="60">
        <v>75.747</v>
      </c>
      <c r="G1084" s="61">
        <v>2483.5439999999999</v>
      </c>
      <c r="H1084" s="62">
        <v>6.9</v>
      </c>
      <c r="I1084" s="63">
        <v>3.4000000000000002E-2</v>
      </c>
      <c r="J1084" s="68">
        <v>7.0350000000000001</v>
      </c>
      <c r="K1084" s="65">
        <v>49.637999999999998</v>
      </c>
      <c r="L1084" s="50">
        <v>4.9550000000000001</v>
      </c>
      <c r="M1084" s="66">
        <v>1.6E-2</v>
      </c>
      <c r="N1084" s="57">
        <v>226.87200000000001</v>
      </c>
      <c r="O1084" s="67">
        <v>4.4999999999999998E-2</v>
      </c>
      <c r="P1084" s="96"/>
      <c r="Q1084" s="93"/>
      <c r="R1084" s="93"/>
      <c r="S1084" s="93"/>
      <c r="T1084" s="93"/>
    </row>
    <row r="1085" spans="1:20" ht="14.25" customHeight="1" x14ac:dyDescent="0.35">
      <c r="A1085" s="1">
        <v>2022</v>
      </c>
      <c r="B1085" s="1" t="s">
        <v>34</v>
      </c>
      <c r="C1085" s="1">
        <v>18</v>
      </c>
      <c r="D1085" s="99">
        <v>125.14100000000001</v>
      </c>
      <c r="E1085" s="77">
        <v>104.96899999999999</v>
      </c>
      <c r="F1085" s="60">
        <v>75.703000000000003</v>
      </c>
      <c r="G1085" s="61">
        <v>2399.7510000000002</v>
      </c>
      <c r="H1085" s="62">
        <v>6.9</v>
      </c>
      <c r="I1085" s="63">
        <v>3.4000000000000002E-2</v>
      </c>
      <c r="J1085" s="68">
        <v>7.0590000000000002</v>
      </c>
      <c r="K1085" s="61">
        <v>47.771000000000001</v>
      </c>
      <c r="L1085" s="62">
        <v>4.9820000000000002</v>
      </c>
      <c r="M1085" s="66">
        <v>1.6E-2</v>
      </c>
      <c r="N1085" s="57">
        <v>207.553</v>
      </c>
      <c r="O1085" s="67">
        <v>4.1000000000000002E-2</v>
      </c>
      <c r="P1085" s="96"/>
      <c r="Q1085" s="93"/>
      <c r="R1085" s="93"/>
      <c r="S1085" s="93"/>
      <c r="T1085" s="93"/>
    </row>
    <row r="1086" spans="1:20" ht="14.25" customHeight="1" x14ac:dyDescent="0.35">
      <c r="A1086" s="1">
        <v>2022</v>
      </c>
      <c r="B1086" s="1" t="s">
        <v>34</v>
      </c>
      <c r="C1086" s="1">
        <v>19</v>
      </c>
      <c r="D1086" s="99">
        <v>123.34399999999999</v>
      </c>
      <c r="E1086" s="77">
        <v>103.53100000000001</v>
      </c>
      <c r="F1086" s="60">
        <v>75.364999999999995</v>
      </c>
      <c r="G1086" s="61">
        <v>2376.5219999999999</v>
      </c>
      <c r="H1086" s="62">
        <v>6.9</v>
      </c>
      <c r="I1086" s="63">
        <v>3.3000000000000002E-2</v>
      </c>
      <c r="J1086" s="68">
        <v>7.3079999999999998</v>
      </c>
      <c r="K1086" s="65">
        <v>46.93</v>
      </c>
      <c r="L1086" s="50">
        <v>4.9180000000000001</v>
      </c>
      <c r="M1086" s="66">
        <v>1.6E-2</v>
      </c>
      <c r="N1086" s="57">
        <v>249.553</v>
      </c>
      <c r="O1086" s="67">
        <v>4.2000000000000003E-2</v>
      </c>
      <c r="P1086" s="96"/>
      <c r="Q1086" s="93"/>
      <c r="R1086" s="93"/>
      <c r="S1086" s="93"/>
      <c r="T1086" s="93"/>
    </row>
    <row r="1087" spans="1:20" ht="14.25" customHeight="1" x14ac:dyDescent="0.35">
      <c r="A1087" s="1">
        <v>2022</v>
      </c>
      <c r="B1087" s="1" t="s">
        <v>34</v>
      </c>
      <c r="C1087" s="1">
        <v>20</v>
      </c>
      <c r="D1087" s="99">
        <v>142.14099999999999</v>
      </c>
      <c r="E1087" s="77">
        <v>119.563</v>
      </c>
      <c r="F1087" s="60">
        <v>75.313999999999993</v>
      </c>
      <c r="G1087" s="61">
        <v>2731.37</v>
      </c>
      <c r="H1087" s="62">
        <v>6.9</v>
      </c>
      <c r="I1087" s="63">
        <v>3.4000000000000002E-2</v>
      </c>
      <c r="J1087" s="68">
        <v>7.0259999999999998</v>
      </c>
      <c r="K1087" s="61">
        <v>59.664000000000001</v>
      </c>
      <c r="L1087" s="62">
        <v>4.9009999999999998</v>
      </c>
      <c r="M1087" s="66">
        <v>1.6E-2</v>
      </c>
      <c r="N1087" s="57">
        <v>255.131</v>
      </c>
      <c r="O1087" s="67">
        <v>6.0999999999999999E-2</v>
      </c>
      <c r="P1087" s="96"/>
      <c r="Q1087" s="93"/>
      <c r="R1087" s="93"/>
      <c r="S1087" s="93"/>
      <c r="T1087" s="93"/>
    </row>
    <row r="1088" spans="1:20" ht="14.25" customHeight="1" x14ac:dyDescent="0.35">
      <c r="A1088" s="1">
        <v>2022</v>
      </c>
      <c r="B1088" s="1" t="s">
        <v>34</v>
      </c>
      <c r="C1088" s="1">
        <v>21</v>
      </c>
      <c r="D1088" s="99">
        <v>123.797</v>
      </c>
      <c r="E1088" s="77">
        <v>104.063</v>
      </c>
      <c r="F1088" s="60">
        <v>75.400999999999996</v>
      </c>
      <c r="G1088" s="61">
        <v>2859.4189999999999</v>
      </c>
      <c r="H1088" s="62">
        <v>6.9</v>
      </c>
      <c r="I1088" s="63">
        <v>3.3000000000000002E-2</v>
      </c>
      <c r="J1088" s="68">
        <v>7.0670000000000002</v>
      </c>
      <c r="K1088" s="65">
        <v>66.052999999999997</v>
      </c>
      <c r="L1088" s="50">
        <v>4.9459999999999997</v>
      </c>
      <c r="M1088" s="66">
        <v>1.6E-2</v>
      </c>
      <c r="N1088" s="57">
        <v>229.03899999999999</v>
      </c>
      <c r="O1088" s="67">
        <v>6.8000000000000005E-2</v>
      </c>
      <c r="P1088" s="96"/>
      <c r="Q1088" s="93"/>
      <c r="R1088" s="93"/>
      <c r="S1088" s="93"/>
      <c r="T1088" s="93"/>
    </row>
    <row r="1089" spans="1:20" ht="14.25" customHeight="1" x14ac:dyDescent="0.35">
      <c r="A1089" s="1">
        <v>2022</v>
      </c>
      <c r="B1089" s="1" t="s">
        <v>34</v>
      </c>
      <c r="C1089" s="1">
        <v>22</v>
      </c>
      <c r="D1089" s="99">
        <v>130.48400000000001</v>
      </c>
      <c r="E1089" s="77">
        <v>109.96899999999999</v>
      </c>
      <c r="F1089" s="60">
        <v>75.655000000000001</v>
      </c>
      <c r="G1089" s="61">
        <v>2622.777</v>
      </c>
      <c r="H1089" s="62">
        <v>6.9</v>
      </c>
      <c r="I1089" s="63">
        <v>3.3000000000000002E-2</v>
      </c>
      <c r="J1089" s="68">
        <v>7.1890000000000001</v>
      </c>
      <c r="K1089" s="61">
        <v>58.414000000000001</v>
      </c>
      <c r="L1089" s="62">
        <v>5.0279999999999996</v>
      </c>
      <c r="M1089" s="66">
        <v>1.4999999999999999E-2</v>
      </c>
      <c r="N1089" s="57">
        <v>186.06800000000001</v>
      </c>
      <c r="O1089" s="67">
        <v>5.3999999999999999E-2</v>
      </c>
      <c r="P1089" s="96"/>
      <c r="Q1089" s="93"/>
      <c r="R1089" s="93"/>
      <c r="S1089" s="93"/>
      <c r="T1089" s="93"/>
    </row>
    <row r="1090" spans="1:20" ht="14.25" customHeight="1" x14ac:dyDescent="0.35">
      <c r="A1090" s="1">
        <v>2022</v>
      </c>
      <c r="B1090" s="1" t="s">
        <v>34</v>
      </c>
      <c r="C1090" s="1">
        <v>23</v>
      </c>
      <c r="D1090" s="99">
        <v>129.73400000000001</v>
      </c>
      <c r="E1090" s="77">
        <v>109.40600000000001</v>
      </c>
      <c r="F1090" s="60">
        <v>75.760000000000005</v>
      </c>
      <c r="G1090" s="61">
        <v>2599.9659999999999</v>
      </c>
      <c r="H1090" s="62">
        <v>6.9</v>
      </c>
      <c r="I1090" s="63">
        <v>3.3000000000000002E-2</v>
      </c>
      <c r="J1090" s="68">
        <v>7.093</v>
      </c>
      <c r="K1090" s="65">
        <v>60.203000000000003</v>
      </c>
      <c r="L1090" s="50">
        <v>5.008</v>
      </c>
      <c r="M1090" s="66">
        <v>1.4999999999999999E-2</v>
      </c>
      <c r="N1090" s="57">
        <v>197.495</v>
      </c>
      <c r="O1090" s="67">
        <v>5.3999999999999999E-2</v>
      </c>
      <c r="P1090" s="96"/>
      <c r="Q1090" s="93"/>
      <c r="R1090" s="93"/>
      <c r="S1090" s="93"/>
      <c r="T1090" s="93"/>
    </row>
    <row r="1091" spans="1:20" ht="14.25" customHeight="1" x14ac:dyDescent="0.35">
      <c r="A1091" s="1">
        <v>2022</v>
      </c>
      <c r="B1091" s="1" t="s">
        <v>34</v>
      </c>
      <c r="C1091" s="1">
        <v>24</v>
      </c>
      <c r="D1091" s="99">
        <v>130.5</v>
      </c>
      <c r="E1091" s="77">
        <v>110.03100000000001</v>
      </c>
      <c r="F1091" s="60">
        <v>75.986000000000004</v>
      </c>
      <c r="G1091" s="61">
        <v>2557.7910000000002</v>
      </c>
      <c r="H1091" s="62">
        <v>6.9</v>
      </c>
      <c r="I1091" s="63">
        <v>3.4000000000000002E-2</v>
      </c>
      <c r="J1091" s="68">
        <v>7.1310000000000002</v>
      </c>
      <c r="K1091" s="61">
        <v>58.862000000000002</v>
      </c>
      <c r="L1091" s="62">
        <v>5.05</v>
      </c>
      <c r="M1091" s="66">
        <v>1.4999999999999999E-2</v>
      </c>
      <c r="N1091" s="57">
        <v>176.32</v>
      </c>
      <c r="O1091" s="67">
        <v>5.0999999999999997E-2</v>
      </c>
      <c r="P1091" s="96"/>
      <c r="Q1091" s="93"/>
      <c r="R1091" s="93"/>
      <c r="S1091" s="93"/>
      <c r="T1091" s="93"/>
    </row>
    <row r="1092" spans="1:20" ht="14.25" customHeight="1" x14ac:dyDescent="0.35">
      <c r="A1092" s="1">
        <v>2022</v>
      </c>
      <c r="B1092" s="1" t="s">
        <v>34</v>
      </c>
      <c r="C1092" s="1">
        <v>25</v>
      </c>
      <c r="D1092" s="99">
        <v>126.188</v>
      </c>
      <c r="E1092" s="77">
        <v>106.313</v>
      </c>
      <c r="F1092" s="60">
        <v>76.081999999999994</v>
      </c>
      <c r="G1092" s="61">
        <v>2674.3240000000001</v>
      </c>
      <c r="H1092" s="62">
        <v>6.9</v>
      </c>
      <c r="I1092" s="63">
        <v>3.3000000000000002E-2</v>
      </c>
      <c r="J1092" s="68">
        <v>6.6289999999999996</v>
      </c>
      <c r="K1092" s="65">
        <v>63.796999999999997</v>
      </c>
      <c r="L1092" s="50">
        <v>5.0369999999999999</v>
      </c>
      <c r="M1092" s="66">
        <v>1.4999999999999999E-2</v>
      </c>
      <c r="N1092" s="57">
        <v>183.28299999999999</v>
      </c>
      <c r="O1092" s="67">
        <v>4.7E-2</v>
      </c>
      <c r="P1092" s="96"/>
      <c r="Q1092" s="93"/>
      <c r="R1092" s="93"/>
      <c r="S1092" s="93"/>
      <c r="T1092" s="93"/>
    </row>
    <row r="1093" spans="1:20" ht="14.25" customHeight="1" x14ac:dyDescent="0.35">
      <c r="A1093" s="1">
        <v>2022</v>
      </c>
      <c r="B1093" s="1" t="s">
        <v>34</v>
      </c>
      <c r="C1093" s="1">
        <v>26</v>
      </c>
      <c r="D1093" s="99">
        <v>109.922</v>
      </c>
      <c r="E1093" s="77">
        <v>92.531000000000006</v>
      </c>
      <c r="F1093" s="60">
        <v>75.863</v>
      </c>
      <c r="G1093" s="61">
        <v>2722.8960000000002</v>
      </c>
      <c r="H1093" s="62">
        <v>6.9</v>
      </c>
      <c r="I1093" s="63">
        <v>3.5000000000000003E-2</v>
      </c>
      <c r="J1093" s="68">
        <v>6.6539999999999999</v>
      </c>
      <c r="K1093" s="61">
        <v>65.459999999999994</v>
      </c>
      <c r="L1093" s="62">
        <v>5.0940000000000003</v>
      </c>
      <c r="M1093" s="66">
        <v>1.4999999999999999E-2</v>
      </c>
      <c r="N1093" s="57">
        <v>159.524</v>
      </c>
      <c r="O1093" s="67">
        <v>4.5999999999999999E-2</v>
      </c>
      <c r="P1093" s="96"/>
      <c r="Q1093" s="93"/>
      <c r="R1093" s="93"/>
      <c r="S1093" s="93"/>
      <c r="T1093" s="93"/>
    </row>
    <row r="1094" spans="1:20" ht="14.25" customHeight="1" x14ac:dyDescent="0.35">
      <c r="A1094" s="1">
        <v>2022</v>
      </c>
      <c r="B1094" s="1" t="s">
        <v>34</v>
      </c>
      <c r="C1094" s="1">
        <v>27</v>
      </c>
      <c r="D1094" s="133">
        <v>50.375</v>
      </c>
      <c r="E1094" s="28">
        <v>42.75</v>
      </c>
      <c r="F1094" s="60">
        <v>75.373999999999995</v>
      </c>
      <c r="G1094" s="61">
        <v>2322.1729999999998</v>
      </c>
      <c r="H1094" s="62">
        <v>6.899</v>
      </c>
      <c r="I1094" s="63">
        <v>3.6999999999999998E-2</v>
      </c>
      <c r="J1094" s="68">
        <v>7.74</v>
      </c>
      <c r="K1094" s="65">
        <v>58.234000000000002</v>
      </c>
      <c r="L1094" s="50">
        <v>5.1539999999999999</v>
      </c>
      <c r="M1094" s="66">
        <v>1.7000000000000001E-2</v>
      </c>
      <c r="N1094" s="57">
        <v>138.83500000000001</v>
      </c>
      <c r="O1094" s="67">
        <v>5.1999999999999998E-2</v>
      </c>
      <c r="P1094" s="96"/>
      <c r="Q1094" s="93"/>
      <c r="R1094" s="93"/>
      <c r="S1094" s="93"/>
      <c r="T1094" s="93"/>
    </row>
    <row r="1095" spans="1:20" ht="14.25" customHeight="1" x14ac:dyDescent="0.35">
      <c r="A1095" s="1">
        <v>2022</v>
      </c>
      <c r="B1095" s="1" t="s">
        <v>34</v>
      </c>
      <c r="C1095" s="1">
        <v>28</v>
      </c>
      <c r="D1095" s="133">
        <v>74.781000000000006</v>
      </c>
      <c r="E1095" s="28">
        <v>63.375</v>
      </c>
      <c r="F1095" s="60">
        <v>75.78</v>
      </c>
      <c r="G1095" s="61">
        <v>2273.723</v>
      </c>
      <c r="H1095" s="62">
        <v>6.9029999999999996</v>
      </c>
      <c r="I1095" s="63">
        <v>3.4000000000000002E-2</v>
      </c>
      <c r="J1095" s="68">
        <v>7.6189999999999998</v>
      </c>
      <c r="K1095" s="61">
        <v>53.448</v>
      </c>
      <c r="L1095" s="62">
        <v>5.1580000000000004</v>
      </c>
      <c r="M1095" s="66">
        <v>1.4999999999999999E-2</v>
      </c>
      <c r="N1095" s="57">
        <v>136.85</v>
      </c>
      <c r="O1095" s="67">
        <v>6.0999999999999999E-2</v>
      </c>
      <c r="P1095" s="96"/>
      <c r="Q1095" s="93"/>
      <c r="R1095" s="93"/>
      <c r="S1095" s="93"/>
      <c r="T1095" s="93"/>
    </row>
    <row r="1096" spans="1:20" ht="14.25" customHeight="1" x14ac:dyDescent="0.35">
      <c r="A1096" s="1">
        <v>2022</v>
      </c>
      <c r="B1096" s="1" t="s">
        <v>34</v>
      </c>
      <c r="C1096" s="1">
        <v>29</v>
      </c>
      <c r="D1096" s="133">
        <v>124.578</v>
      </c>
      <c r="E1096" s="28">
        <v>105.09399999999999</v>
      </c>
      <c r="F1096" s="83">
        <v>75.450999999999993</v>
      </c>
      <c r="G1096" s="69">
        <v>2378.4479999999999</v>
      </c>
      <c r="H1096" s="50">
        <v>6.9</v>
      </c>
      <c r="I1096" s="66">
        <v>3.3000000000000002E-2</v>
      </c>
      <c r="J1096" s="117">
        <v>7.4480000000000004</v>
      </c>
      <c r="K1096" s="61">
        <v>52.201999999999998</v>
      </c>
      <c r="L1096" s="62">
        <v>5.1390000000000002</v>
      </c>
      <c r="M1096" s="66">
        <v>1.4999999999999999E-2</v>
      </c>
      <c r="N1096" s="57">
        <v>142.881</v>
      </c>
      <c r="O1096" s="84">
        <v>4.2999999999999997E-2</v>
      </c>
      <c r="P1096" s="96"/>
      <c r="Q1096" s="93"/>
      <c r="R1096" s="93"/>
      <c r="S1096" s="93"/>
      <c r="T1096" s="93"/>
    </row>
    <row r="1097" spans="1:20" ht="14.25" customHeight="1" x14ac:dyDescent="0.35">
      <c r="A1097" s="1">
        <v>2022</v>
      </c>
      <c r="B1097" s="1" t="s">
        <v>34</v>
      </c>
      <c r="C1097" s="1">
        <v>30</v>
      </c>
      <c r="D1097" s="133">
        <v>130.35900000000001</v>
      </c>
      <c r="E1097" s="28">
        <v>110.03100000000001</v>
      </c>
      <c r="F1097" s="83">
        <v>75.56</v>
      </c>
      <c r="G1097" s="69">
        <v>2461.92</v>
      </c>
      <c r="H1097" s="50">
        <v>6.9</v>
      </c>
      <c r="I1097" s="66">
        <v>3.3000000000000002E-2</v>
      </c>
      <c r="J1097" s="117">
        <v>7.298</v>
      </c>
      <c r="K1097" s="61">
        <v>52.122999999999998</v>
      </c>
      <c r="L1097" s="62">
        <v>5.2089999999999996</v>
      </c>
      <c r="M1097" s="66">
        <v>1.4999999999999999E-2</v>
      </c>
      <c r="N1097" s="57">
        <v>122.467</v>
      </c>
      <c r="O1097" s="84">
        <v>3.5999999999999997E-2</v>
      </c>
      <c r="P1097" s="96"/>
      <c r="Q1097" s="93"/>
      <c r="R1097" s="93"/>
      <c r="S1097" s="93"/>
      <c r="T1097" s="93"/>
    </row>
    <row r="1098" spans="1:20" ht="14.25" customHeight="1" x14ac:dyDescent="0.35">
      <c r="A1098" s="1">
        <v>2022</v>
      </c>
      <c r="B1098" s="1" t="s">
        <v>34</v>
      </c>
      <c r="C1098" s="1">
        <v>31</v>
      </c>
      <c r="D1098" s="134">
        <v>130.203</v>
      </c>
      <c r="E1098" s="135">
        <v>109.78100000000001</v>
      </c>
      <c r="F1098" s="87">
        <v>75.311000000000007</v>
      </c>
      <c r="G1098" s="88">
        <v>2403.4229999999998</v>
      </c>
      <c r="H1098" s="89">
        <v>6.9</v>
      </c>
      <c r="I1098" s="90">
        <v>3.4000000000000002E-2</v>
      </c>
      <c r="J1098" s="131">
        <v>7.15</v>
      </c>
      <c r="K1098" s="61">
        <v>50.857999999999997</v>
      </c>
      <c r="L1098" s="64">
        <v>5.1970000000000001</v>
      </c>
      <c r="M1098" s="66">
        <v>1.4999999999999999E-2</v>
      </c>
      <c r="N1098" s="57">
        <v>125.71599999999999</v>
      </c>
      <c r="O1098" s="66">
        <v>3.3000000000000002E-2</v>
      </c>
      <c r="P1098" s="96"/>
      <c r="Q1098" s="93"/>
      <c r="R1098" s="93"/>
      <c r="S1098" s="93"/>
      <c r="T1098" s="93"/>
    </row>
    <row r="1099" spans="1:20" ht="14.25" customHeight="1" x14ac:dyDescent="0.35">
      <c r="A1099" s="1">
        <v>2021</v>
      </c>
      <c r="B1099" s="1" t="s">
        <v>22</v>
      </c>
      <c r="C1099" s="1">
        <v>1</v>
      </c>
      <c r="D1099" s="49">
        <v>102.35899999999999</v>
      </c>
      <c r="E1099" s="50">
        <v>86.625</v>
      </c>
      <c r="F1099" s="51">
        <v>75.013000000000005</v>
      </c>
      <c r="G1099" s="52">
        <v>1611.1969999999999</v>
      </c>
      <c r="H1099" s="53">
        <v>6.9</v>
      </c>
      <c r="I1099" s="55">
        <v>1.7999999999999999E-2</v>
      </c>
      <c r="J1099" s="59">
        <v>8.2560000000000002</v>
      </c>
      <c r="K1099" s="52">
        <v>24.212</v>
      </c>
      <c r="L1099" s="55">
        <v>5.3959999999999999</v>
      </c>
      <c r="M1099" s="136">
        <v>2.5000000000000001E-2</v>
      </c>
      <c r="N1099" s="57">
        <v>79.61</v>
      </c>
      <c r="O1099" s="58">
        <v>0.06</v>
      </c>
      <c r="P1099" s="96"/>
      <c r="Q1099" s="93"/>
      <c r="R1099" s="93"/>
      <c r="S1099" s="93"/>
      <c r="T1099" s="93"/>
    </row>
    <row r="1100" spans="1:20" ht="14.25" customHeight="1" x14ac:dyDescent="0.35">
      <c r="A1100" s="1">
        <v>2021</v>
      </c>
      <c r="B1100" s="1" t="s">
        <v>22</v>
      </c>
      <c r="C1100" s="1">
        <v>2</v>
      </c>
      <c r="D1100" s="49">
        <v>102.53100000000001</v>
      </c>
      <c r="E1100" s="50">
        <v>86.875</v>
      </c>
      <c r="F1100" s="60">
        <v>74.966999999999999</v>
      </c>
      <c r="G1100" s="61">
        <v>1554.472</v>
      </c>
      <c r="H1100" s="62">
        <v>6.9</v>
      </c>
      <c r="I1100" s="64">
        <v>1.9E-2</v>
      </c>
      <c r="J1100" s="68">
        <v>8.32</v>
      </c>
      <c r="K1100" s="65">
        <v>24.369</v>
      </c>
      <c r="L1100" s="50">
        <v>5.45</v>
      </c>
      <c r="M1100" s="137">
        <v>2.5000000000000001E-2</v>
      </c>
      <c r="N1100" s="57">
        <v>70.501999999999995</v>
      </c>
      <c r="O1100" s="67">
        <v>5.8999999999999997E-2</v>
      </c>
      <c r="P1100" s="96"/>
      <c r="Q1100" s="93"/>
      <c r="R1100" s="93"/>
      <c r="S1100" s="93"/>
      <c r="T1100" s="93"/>
    </row>
    <row r="1101" spans="1:20" ht="14.25" customHeight="1" x14ac:dyDescent="0.35">
      <c r="A1101" s="1">
        <v>2021</v>
      </c>
      <c r="B1101" s="1" t="s">
        <v>22</v>
      </c>
      <c r="C1101" s="1">
        <v>3</v>
      </c>
      <c r="D1101" s="49">
        <v>107.375</v>
      </c>
      <c r="E1101" s="50">
        <v>91</v>
      </c>
      <c r="F1101" s="60">
        <v>75.12</v>
      </c>
      <c r="G1101" s="61">
        <v>1557.7329999999999</v>
      </c>
      <c r="H1101" s="62">
        <v>6.9</v>
      </c>
      <c r="I1101" s="64">
        <v>1.9E-2</v>
      </c>
      <c r="J1101" s="68">
        <v>8.7750000000000004</v>
      </c>
      <c r="K1101" s="65">
        <v>23.783000000000001</v>
      </c>
      <c r="L1101" s="50">
        <v>5.4729999999999999</v>
      </c>
      <c r="M1101" s="137">
        <v>2.5000000000000001E-2</v>
      </c>
      <c r="N1101" s="57">
        <v>66.546000000000006</v>
      </c>
      <c r="O1101" s="67">
        <v>6.0999999999999999E-2</v>
      </c>
      <c r="P1101" s="96"/>
      <c r="Q1101" s="93"/>
      <c r="R1101" s="93"/>
      <c r="S1101" s="93"/>
      <c r="T1101" s="93"/>
    </row>
    <row r="1102" spans="1:20" ht="14.25" customHeight="1" x14ac:dyDescent="0.35">
      <c r="A1102" s="1">
        <v>2021</v>
      </c>
      <c r="B1102" s="1" t="s">
        <v>22</v>
      </c>
      <c r="C1102" s="1">
        <v>4</v>
      </c>
      <c r="D1102" s="49">
        <v>110.46899999999999</v>
      </c>
      <c r="E1102" s="50">
        <v>93.656000000000006</v>
      </c>
      <c r="F1102" s="60">
        <v>75.055999999999997</v>
      </c>
      <c r="G1102" s="61">
        <v>1609.4880000000001</v>
      </c>
      <c r="H1102" s="62">
        <v>6.9</v>
      </c>
      <c r="I1102" s="64">
        <v>0.02</v>
      </c>
      <c r="J1102" s="68">
        <v>9.0370000000000008</v>
      </c>
      <c r="K1102" s="65">
        <v>24.202999999999999</v>
      </c>
      <c r="L1102" s="50">
        <v>5.47</v>
      </c>
      <c r="M1102" s="137">
        <v>2.5000000000000001E-2</v>
      </c>
      <c r="N1102" s="57">
        <v>67.067999999999998</v>
      </c>
      <c r="O1102" s="67">
        <v>6.3E-2</v>
      </c>
      <c r="P1102" s="96"/>
      <c r="Q1102" s="93"/>
      <c r="R1102" s="93"/>
      <c r="S1102" s="93"/>
      <c r="T1102" s="93"/>
    </row>
    <row r="1103" spans="1:20" ht="14.25" customHeight="1" x14ac:dyDescent="0.35">
      <c r="A1103" s="1">
        <v>2021</v>
      </c>
      <c r="B1103" s="1" t="s">
        <v>22</v>
      </c>
      <c r="C1103" s="1">
        <v>5</v>
      </c>
      <c r="D1103" s="49">
        <v>110.73399999999999</v>
      </c>
      <c r="E1103" s="50">
        <v>94</v>
      </c>
      <c r="F1103" s="60">
        <v>75.38</v>
      </c>
      <c r="G1103" s="61">
        <v>1685.154</v>
      </c>
      <c r="H1103" s="62">
        <v>6.9</v>
      </c>
      <c r="I1103" s="64">
        <v>1.9E-2</v>
      </c>
      <c r="J1103" s="68">
        <v>9.141</v>
      </c>
      <c r="K1103" s="65">
        <v>25.353999999999999</v>
      </c>
      <c r="L1103" s="50">
        <v>5.4450000000000003</v>
      </c>
      <c r="M1103" s="137">
        <v>2.5000000000000001E-2</v>
      </c>
      <c r="N1103" s="57">
        <v>71.046000000000006</v>
      </c>
      <c r="O1103" s="67">
        <v>6.7000000000000004E-2</v>
      </c>
      <c r="P1103" s="96"/>
      <c r="Q1103" s="93"/>
      <c r="R1103" s="93"/>
      <c r="S1103" s="93"/>
      <c r="T1103" s="93"/>
    </row>
    <row r="1104" spans="1:20" ht="14.25" customHeight="1" x14ac:dyDescent="0.35">
      <c r="A1104" s="1">
        <v>2021</v>
      </c>
      <c r="B1104" s="1" t="s">
        <v>22</v>
      </c>
      <c r="C1104" s="1">
        <v>6</v>
      </c>
      <c r="D1104" s="49">
        <v>109.60899999999999</v>
      </c>
      <c r="E1104" s="50">
        <v>93.156000000000006</v>
      </c>
      <c r="F1104" s="60">
        <v>75.403999999999996</v>
      </c>
      <c r="G1104" s="61">
        <v>1732.681</v>
      </c>
      <c r="H1104" s="62">
        <v>6.9</v>
      </c>
      <c r="I1104" s="64">
        <v>1.9E-2</v>
      </c>
      <c r="J1104" s="68">
        <v>8.9039999999999999</v>
      </c>
      <c r="K1104" s="65">
        <v>26.324999999999999</v>
      </c>
      <c r="L1104" s="50">
        <v>5.4509999999999996</v>
      </c>
      <c r="M1104" s="137">
        <v>2.5000000000000001E-2</v>
      </c>
      <c r="N1104" s="57">
        <v>69.89</v>
      </c>
      <c r="O1104" s="67">
        <v>5.5E-2</v>
      </c>
      <c r="P1104" s="96"/>
      <c r="Q1104" s="93"/>
      <c r="R1104" s="93"/>
      <c r="S1104" s="93"/>
      <c r="T1104" s="93"/>
    </row>
    <row r="1105" spans="1:20" ht="14.25" customHeight="1" x14ac:dyDescent="0.35">
      <c r="A1105" s="1">
        <v>2021</v>
      </c>
      <c r="B1105" s="1" t="s">
        <v>22</v>
      </c>
      <c r="C1105" s="1">
        <v>7</v>
      </c>
      <c r="D1105" s="49">
        <v>110.563</v>
      </c>
      <c r="E1105" s="50">
        <v>94.031000000000006</v>
      </c>
      <c r="F1105" s="60">
        <v>75.320999999999998</v>
      </c>
      <c r="G1105" s="61">
        <v>1725.6030000000001</v>
      </c>
      <c r="H1105" s="62">
        <v>6.9</v>
      </c>
      <c r="I1105" s="64">
        <v>1.7999999999999999E-2</v>
      </c>
      <c r="J1105" s="68">
        <v>8.7650000000000006</v>
      </c>
      <c r="K1105" s="65">
        <v>25.608000000000001</v>
      </c>
      <c r="L1105" s="50">
        <v>5.4420000000000002</v>
      </c>
      <c r="M1105" s="137">
        <v>2.5000000000000001E-2</v>
      </c>
      <c r="N1105" s="57">
        <v>71.576999999999998</v>
      </c>
      <c r="O1105" s="67">
        <v>5.3999999999999999E-2</v>
      </c>
      <c r="P1105" s="96"/>
      <c r="Q1105" s="93"/>
      <c r="R1105" s="93"/>
      <c r="S1105" s="93"/>
      <c r="T1105" s="93"/>
    </row>
    <row r="1106" spans="1:20" ht="14.25" customHeight="1" x14ac:dyDescent="0.35">
      <c r="A1106" s="1">
        <v>2021</v>
      </c>
      <c r="B1106" s="1" t="s">
        <v>22</v>
      </c>
      <c r="C1106" s="1">
        <v>8</v>
      </c>
      <c r="D1106" s="49">
        <v>110.063</v>
      </c>
      <c r="E1106" s="50">
        <v>93.625</v>
      </c>
      <c r="F1106" s="60">
        <v>75.361999999999995</v>
      </c>
      <c r="G1106" s="69">
        <v>1709.2249999999999</v>
      </c>
      <c r="H1106" s="62">
        <v>6.9</v>
      </c>
      <c r="I1106" s="64">
        <v>1.9E-2</v>
      </c>
      <c r="J1106" s="71">
        <v>8.7840000000000007</v>
      </c>
      <c r="K1106" s="65">
        <v>25.72</v>
      </c>
      <c r="L1106" s="50">
        <v>5.4130000000000003</v>
      </c>
      <c r="M1106" s="137">
        <v>2.5000000000000001E-2</v>
      </c>
      <c r="N1106" s="57">
        <v>76.248999999999995</v>
      </c>
      <c r="O1106" s="67">
        <v>5.1999999999999998E-2</v>
      </c>
      <c r="P1106" s="96"/>
      <c r="Q1106" s="93"/>
      <c r="R1106" s="93"/>
      <c r="S1106" s="93"/>
      <c r="T1106" s="93"/>
    </row>
    <row r="1107" spans="1:20" ht="14.25" customHeight="1" x14ac:dyDescent="0.35">
      <c r="A1107" s="1">
        <v>2021</v>
      </c>
      <c r="B1107" s="1" t="s">
        <v>22</v>
      </c>
      <c r="C1107" s="1">
        <v>9</v>
      </c>
      <c r="D1107" s="49">
        <v>107.703</v>
      </c>
      <c r="E1107" s="50">
        <v>91.5</v>
      </c>
      <c r="F1107" s="60">
        <v>75.08</v>
      </c>
      <c r="G1107" s="61">
        <v>1690.798</v>
      </c>
      <c r="H1107" s="62">
        <v>6.9</v>
      </c>
      <c r="I1107" s="64">
        <v>1.7999999999999999E-2</v>
      </c>
      <c r="J1107" s="68">
        <v>8.7490000000000006</v>
      </c>
      <c r="K1107" s="65">
        <v>25.658999999999999</v>
      </c>
      <c r="L1107" s="50">
        <v>5.3920000000000003</v>
      </c>
      <c r="M1107" s="137">
        <v>2.5000000000000001E-2</v>
      </c>
      <c r="N1107" s="57">
        <v>80.207999999999998</v>
      </c>
      <c r="O1107" s="67">
        <v>5.3999999999999999E-2</v>
      </c>
      <c r="P1107" s="96"/>
      <c r="Q1107" s="93"/>
      <c r="R1107" s="93"/>
      <c r="S1107" s="93"/>
      <c r="T1107" s="93"/>
    </row>
    <row r="1108" spans="1:20" ht="14.25" customHeight="1" x14ac:dyDescent="0.35">
      <c r="A1108" s="1">
        <v>2021</v>
      </c>
      <c r="B1108" s="1" t="s">
        <v>22</v>
      </c>
      <c r="C1108" s="1">
        <v>10</v>
      </c>
      <c r="D1108" s="49">
        <v>107</v>
      </c>
      <c r="E1108" s="50">
        <v>90.75</v>
      </c>
      <c r="F1108" s="72">
        <v>75.087000000000003</v>
      </c>
      <c r="G1108" s="61">
        <v>1626.28</v>
      </c>
      <c r="H1108" s="62">
        <v>6.9</v>
      </c>
      <c r="I1108" s="64">
        <v>1.9E-2</v>
      </c>
      <c r="J1108" s="76">
        <v>8.9429999999999996</v>
      </c>
      <c r="K1108" s="65">
        <v>24.864000000000001</v>
      </c>
      <c r="L1108" s="50">
        <v>5.3940000000000001</v>
      </c>
      <c r="M1108" s="138">
        <v>2.5000000000000001E-2</v>
      </c>
      <c r="N1108" s="57">
        <v>79.846999999999994</v>
      </c>
      <c r="O1108" s="75">
        <v>5.2999999999999999E-2</v>
      </c>
      <c r="P1108" s="96"/>
      <c r="Q1108" s="93"/>
      <c r="R1108" s="93"/>
      <c r="S1108" s="93"/>
      <c r="T1108" s="93"/>
    </row>
    <row r="1109" spans="1:20" ht="14.25" customHeight="1" x14ac:dyDescent="0.35">
      <c r="A1109" s="1">
        <v>2021</v>
      </c>
      <c r="B1109" s="1" t="s">
        <v>22</v>
      </c>
      <c r="C1109" s="1">
        <v>11</v>
      </c>
      <c r="D1109" s="49">
        <v>110.188</v>
      </c>
      <c r="E1109" s="50">
        <v>93.343999999999994</v>
      </c>
      <c r="F1109" s="72">
        <v>74.935000000000002</v>
      </c>
      <c r="G1109" s="61">
        <v>1593.6220000000001</v>
      </c>
      <c r="H1109" s="62">
        <v>6.9</v>
      </c>
      <c r="I1109" s="64">
        <v>1.9E-2</v>
      </c>
      <c r="J1109" s="76">
        <v>8.3740000000000006</v>
      </c>
      <c r="K1109" s="65">
        <v>24.024000000000001</v>
      </c>
      <c r="L1109" s="50">
        <v>5.3940000000000001</v>
      </c>
      <c r="M1109" s="138">
        <v>2.5000000000000001E-2</v>
      </c>
      <c r="N1109" s="57">
        <v>79.596000000000004</v>
      </c>
      <c r="O1109" s="75">
        <v>0.05</v>
      </c>
      <c r="P1109" s="96"/>
      <c r="Q1109" s="93"/>
      <c r="R1109" s="93"/>
      <c r="S1109" s="93"/>
      <c r="T1109" s="93"/>
    </row>
    <row r="1110" spans="1:20" ht="14.25" customHeight="1" x14ac:dyDescent="0.35">
      <c r="A1110" s="1">
        <v>2021</v>
      </c>
      <c r="B1110" s="1" t="s">
        <v>22</v>
      </c>
      <c r="C1110" s="1">
        <v>12</v>
      </c>
      <c r="D1110" s="49">
        <v>63.155999999999999</v>
      </c>
      <c r="E1110" s="50">
        <v>53.030999999999999</v>
      </c>
      <c r="F1110" s="72">
        <v>74.932000000000002</v>
      </c>
      <c r="G1110" s="61">
        <v>1684.712</v>
      </c>
      <c r="H1110" s="62">
        <v>6.8959999999999999</v>
      </c>
      <c r="I1110" s="64">
        <v>2.1999999999999999E-2</v>
      </c>
      <c r="J1110" s="76">
        <v>8.2059999999999995</v>
      </c>
      <c r="K1110" s="65">
        <v>29.135000000000002</v>
      </c>
      <c r="L1110" s="50">
        <v>5.4189999999999996</v>
      </c>
      <c r="M1110" s="138">
        <v>2.9000000000000001E-2</v>
      </c>
      <c r="N1110" s="57">
        <v>76.188999999999993</v>
      </c>
      <c r="O1110" s="75">
        <v>3.9E-2</v>
      </c>
      <c r="P1110" s="96"/>
      <c r="Q1110" s="93"/>
      <c r="R1110" s="93"/>
      <c r="S1110" s="93"/>
      <c r="T1110" s="93"/>
    </row>
    <row r="1111" spans="1:20" ht="14.25" customHeight="1" x14ac:dyDescent="0.35">
      <c r="A1111" s="1">
        <v>2021</v>
      </c>
      <c r="B1111" s="1" t="s">
        <v>22</v>
      </c>
      <c r="C1111" s="1">
        <v>13</v>
      </c>
      <c r="D1111" s="49">
        <v>76.203000000000003</v>
      </c>
      <c r="E1111" s="50">
        <v>64.218999999999994</v>
      </c>
      <c r="F1111" s="78">
        <v>75.400999999999996</v>
      </c>
      <c r="G1111" s="61">
        <v>1714.0940000000001</v>
      </c>
      <c r="H1111" s="62">
        <v>6.8929999999999998</v>
      </c>
      <c r="I1111" s="64">
        <v>0.02</v>
      </c>
      <c r="J1111" s="81">
        <v>8.6690000000000005</v>
      </c>
      <c r="K1111" s="65">
        <v>28.954999999999998</v>
      </c>
      <c r="L1111" s="50">
        <v>5.4029999999999996</v>
      </c>
      <c r="M1111" s="137">
        <v>2.5999999999999999E-2</v>
      </c>
      <c r="N1111" s="57">
        <v>78.945999999999998</v>
      </c>
      <c r="O1111" s="80">
        <v>6.0999999999999999E-2</v>
      </c>
      <c r="P1111" s="96"/>
      <c r="Q1111" s="93"/>
      <c r="R1111" s="93"/>
      <c r="S1111" s="93"/>
      <c r="T1111" s="93"/>
    </row>
    <row r="1112" spans="1:20" ht="14.25" customHeight="1" x14ac:dyDescent="0.35">
      <c r="A1112" s="1">
        <v>2021</v>
      </c>
      <c r="B1112" s="1" t="s">
        <v>22</v>
      </c>
      <c r="C1112" s="1">
        <v>14</v>
      </c>
      <c r="D1112" s="49">
        <v>107.23399999999999</v>
      </c>
      <c r="E1112" s="50">
        <v>91</v>
      </c>
      <c r="F1112" s="60">
        <v>75.643000000000001</v>
      </c>
      <c r="G1112" s="61">
        <v>1736.547</v>
      </c>
      <c r="H1112" s="62">
        <v>6.9009999999999998</v>
      </c>
      <c r="I1112" s="64">
        <v>0.02</v>
      </c>
      <c r="J1112" s="81">
        <v>8.89</v>
      </c>
      <c r="K1112" s="82">
        <v>26.251000000000001</v>
      </c>
      <c r="L1112" s="50">
        <v>5.3730000000000002</v>
      </c>
      <c r="M1112" s="137">
        <v>2.5000000000000001E-2</v>
      </c>
      <c r="N1112" s="57">
        <v>84.085999999999999</v>
      </c>
      <c r="O1112" s="80">
        <v>5.5E-2</v>
      </c>
      <c r="P1112" s="96"/>
      <c r="Q1112" s="93"/>
      <c r="R1112" s="93"/>
      <c r="S1112" s="93"/>
      <c r="T1112" s="93"/>
    </row>
    <row r="1113" spans="1:20" ht="14.25" customHeight="1" x14ac:dyDescent="0.35">
      <c r="A1113" s="1">
        <v>2021</v>
      </c>
      <c r="B1113" s="1" t="s">
        <v>22</v>
      </c>
      <c r="C1113" s="1">
        <v>15</v>
      </c>
      <c r="D1113" s="49">
        <v>109.125</v>
      </c>
      <c r="E1113" s="50">
        <v>92.781000000000006</v>
      </c>
      <c r="F1113" s="60">
        <v>76.212999999999994</v>
      </c>
      <c r="G1113" s="61">
        <v>1732.84</v>
      </c>
      <c r="H1113" s="62">
        <v>6.9</v>
      </c>
      <c r="I1113" s="64">
        <v>1.9E-2</v>
      </c>
      <c r="J1113" s="76">
        <v>8.593</v>
      </c>
      <c r="K1113" s="65">
        <v>26.030999999999999</v>
      </c>
      <c r="L1113" s="50">
        <v>5.3890000000000002</v>
      </c>
      <c r="M1113" s="137">
        <v>2.5000000000000001E-2</v>
      </c>
      <c r="N1113" s="57">
        <v>80.638999999999996</v>
      </c>
      <c r="O1113" s="75">
        <v>5.0999999999999997E-2</v>
      </c>
      <c r="P1113" s="96"/>
      <c r="Q1113" s="93"/>
      <c r="R1113" s="93"/>
      <c r="S1113" s="93"/>
      <c r="T1113" s="93"/>
    </row>
    <row r="1114" spans="1:20" ht="14.25" customHeight="1" x14ac:dyDescent="0.35">
      <c r="A1114" s="1">
        <v>2021</v>
      </c>
      <c r="B1114" s="1" t="s">
        <v>22</v>
      </c>
      <c r="C1114" s="1">
        <v>16</v>
      </c>
      <c r="D1114" s="49">
        <v>107.672</v>
      </c>
      <c r="E1114" s="50">
        <v>91.656000000000006</v>
      </c>
      <c r="F1114" s="60">
        <v>76.158000000000001</v>
      </c>
      <c r="G1114" s="61">
        <v>1747.9059999999999</v>
      </c>
      <c r="H1114" s="62">
        <v>6.9</v>
      </c>
      <c r="I1114" s="64">
        <v>1.9E-2</v>
      </c>
      <c r="J1114" s="81">
        <v>8.7210000000000001</v>
      </c>
      <c r="K1114" s="61">
        <v>27.448</v>
      </c>
      <c r="L1114" s="62">
        <v>5.3929999999999998</v>
      </c>
      <c r="M1114" s="137">
        <v>2.5000000000000001E-2</v>
      </c>
      <c r="N1114" s="57">
        <v>79.667000000000002</v>
      </c>
      <c r="O1114" s="80">
        <v>5.1999999999999998E-2</v>
      </c>
      <c r="P1114" s="96"/>
      <c r="Q1114" s="93"/>
      <c r="R1114" s="93"/>
      <c r="S1114" s="93"/>
      <c r="T1114" s="93"/>
    </row>
    <row r="1115" spans="1:20" ht="14.25" customHeight="1" x14ac:dyDescent="0.35">
      <c r="A1115" s="1">
        <v>2021</v>
      </c>
      <c r="B1115" s="1" t="s">
        <v>22</v>
      </c>
      <c r="C1115" s="1">
        <v>17</v>
      </c>
      <c r="D1115" s="49">
        <v>108.672</v>
      </c>
      <c r="E1115" s="50">
        <v>92.218999999999994</v>
      </c>
      <c r="F1115" s="60">
        <v>76.180999999999997</v>
      </c>
      <c r="G1115" s="61">
        <v>1661.0820000000001</v>
      </c>
      <c r="H1115" s="62">
        <v>6.9</v>
      </c>
      <c r="I1115" s="64">
        <v>0.02</v>
      </c>
      <c r="J1115" s="68">
        <v>8.7409999999999997</v>
      </c>
      <c r="K1115" s="65">
        <v>26.321999999999999</v>
      </c>
      <c r="L1115" s="50">
        <v>5.4009999999999998</v>
      </c>
      <c r="M1115" s="137">
        <v>2.5000000000000001E-2</v>
      </c>
      <c r="N1115" s="57">
        <v>78.307000000000002</v>
      </c>
      <c r="O1115" s="67">
        <v>4.9000000000000002E-2</v>
      </c>
      <c r="P1115" s="96"/>
      <c r="Q1115" s="93"/>
      <c r="R1115" s="93"/>
      <c r="S1115" s="93"/>
      <c r="T1115" s="93"/>
    </row>
    <row r="1116" spans="1:20" ht="14.25" customHeight="1" x14ac:dyDescent="0.35">
      <c r="A1116" s="1">
        <v>2021</v>
      </c>
      <c r="B1116" s="1" t="s">
        <v>22</v>
      </c>
      <c r="C1116" s="1">
        <v>18</v>
      </c>
      <c r="D1116" s="49">
        <v>107.53100000000001</v>
      </c>
      <c r="E1116" s="50">
        <v>91.218999999999994</v>
      </c>
      <c r="F1116" s="60">
        <v>75.804000000000002</v>
      </c>
      <c r="G1116" s="61">
        <v>1616</v>
      </c>
      <c r="H1116" s="62">
        <v>6.9009999999999998</v>
      </c>
      <c r="I1116" s="64">
        <v>0.02</v>
      </c>
      <c r="J1116" s="68">
        <v>8.9770000000000003</v>
      </c>
      <c r="K1116" s="61">
        <v>25.510999999999999</v>
      </c>
      <c r="L1116" s="62">
        <v>5.399</v>
      </c>
      <c r="M1116" s="137">
        <v>2.5000000000000001E-2</v>
      </c>
      <c r="N1116" s="57">
        <v>78.483000000000004</v>
      </c>
      <c r="O1116" s="67">
        <v>0.05</v>
      </c>
      <c r="P1116" s="96"/>
      <c r="Q1116" s="93"/>
      <c r="R1116" s="93"/>
      <c r="S1116" s="93"/>
      <c r="T1116" s="93"/>
    </row>
    <row r="1117" spans="1:20" ht="14.25" customHeight="1" x14ac:dyDescent="0.35">
      <c r="A1117" s="1">
        <v>2021</v>
      </c>
      <c r="B1117" s="1" t="s">
        <v>22</v>
      </c>
      <c r="C1117" s="1">
        <v>19</v>
      </c>
      <c r="D1117" s="49">
        <v>106.125</v>
      </c>
      <c r="E1117" s="50">
        <v>90.125</v>
      </c>
      <c r="F1117" s="60">
        <v>75.230999999999995</v>
      </c>
      <c r="G1117" s="61">
        <v>1672.597</v>
      </c>
      <c r="H1117" s="62">
        <v>6.9</v>
      </c>
      <c r="I1117" s="64">
        <v>0.02</v>
      </c>
      <c r="J1117" s="68">
        <v>9.1790000000000003</v>
      </c>
      <c r="K1117" s="65">
        <v>26.582999999999998</v>
      </c>
      <c r="L1117" s="50">
        <v>5.4020000000000001</v>
      </c>
      <c r="M1117" s="137">
        <v>2.5000000000000001E-2</v>
      </c>
      <c r="N1117" s="57">
        <v>77.92</v>
      </c>
      <c r="O1117" s="67">
        <v>5.3999999999999999E-2</v>
      </c>
      <c r="P1117" s="96"/>
      <c r="Q1117" s="93"/>
      <c r="R1117" s="93"/>
      <c r="S1117" s="93"/>
      <c r="T1117" s="93"/>
    </row>
    <row r="1118" spans="1:20" ht="14.25" customHeight="1" x14ac:dyDescent="0.35">
      <c r="A1118" s="1">
        <v>2021</v>
      </c>
      <c r="B1118" s="1" t="s">
        <v>22</v>
      </c>
      <c r="C1118" s="1">
        <v>20</v>
      </c>
      <c r="D1118" s="49">
        <v>106.03100000000001</v>
      </c>
      <c r="E1118" s="50">
        <v>90.031000000000006</v>
      </c>
      <c r="F1118" s="60">
        <v>75.42</v>
      </c>
      <c r="G1118" s="61">
        <v>1758.2370000000001</v>
      </c>
      <c r="H1118" s="62">
        <v>6.9</v>
      </c>
      <c r="I1118" s="64">
        <v>0.02</v>
      </c>
      <c r="J1118" s="68">
        <v>8.7929999999999993</v>
      </c>
      <c r="K1118" s="61">
        <v>27.736999999999998</v>
      </c>
      <c r="L1118" s="62">
        <v>5.3979999999999997</v>
      </c>
      <c r="M1118" s="137">
        <v>2.5000000000000001E-2</v>
      </c>
      <c r="N1118" s="57">
        <v>78.771000000000001</v>
      </c>
      <c r="O1118" s="67">
        <v>5.2999999999999999E-2</v>
      </c>
      <c r="P1118" s="96"/>
      <c r="Q1118" s="93"/>
      <c r="R1118" s="93"/>
      <c r="S1118" s="93"/>
      <c r="T1118" s="93"/>
    </row>
    <row r="1119" spans="1:20" ht="14.25" customHeight="1" x14ac:dyDescent="0.35">
      <c r="A1119" s="1">
        <v>2021</v>
      </c>
      <c r="B1119" s="1" t="s">
        <v>22</v>
      </c>
      <c r="C1119" s="1">
        <v>21</v>
      </c>
      <c r="D1119" s="49">
        <v>93.593999999999994</v>
      </c>
      <c r="E1119" s="50">
        <v>79.406000000000006</v>
      </c>
      <c r="F1119" s="60">
        <v>76.051000000000002</v>
      </c>
      <c r="G1119" s="61">
        <v>1718.4449999999999</v>
      </c>
      <c r="H1119" s="62">
        <v>6.8979999999999997</v>
      </c>
      <c r="I1119" s="64">
        <v>2.1000000000000001E-2</v>
      </c>
      <c r="J1119" s="68">
        <v>8.8889999999999993</v>
      </c>
      <c r="K1119" s="65">
        <v>28.92</v>
      </c>
      <c r="L1119" s="50">
        <v>5.3890000000000002</v>
      </c>
      <c r="M1119" s="137">
        <v>2.5999999999999999E-2</v>
      </c>
      <c r="N1119" s="57">
        <v>80.751000000000005</v>
      </c>
      <c r="O1119" s="67">
        <v>5.8000000000000003E-2</v>
      </c>
      <c r="P1119" s="96"/>
      <c r="Q1119" s="93"/>
      <c r="R1119" s="93"/>
      <c r="S1119" s="93"/>
      <c r="T1119" s="93"/>
    </row>
    <row r="1120" spans="1:20" ht="14.25" customHeight="1" x14ac:dyDescent="0.35">
      <c r="A1120" s="1">
        <v>2021</v>
      </c>
      <c r="B1120" s="1" t="s">
        <v>22</v>
      </c>
      <c r="C1120" s="1">
        <v>22</v>
      </c>
      <c r="D1120" s="49">
        <v>108.078</v>
      </c>
      <c r="E1120" s="49">
        <v>91.875</v>
      </c>
      <c r="F1120" s="60">
        <v>75.605999999999995</v>
      </c>
      <c r="G1120" s="65">
        <v>1725.7370000000001</v>
      </c>
      <c r="H1120" s="49">
        <v>6.9</v>
      </c>
      <c r="I1120" s="139">
        <v>2.1000000000000001E-2</v>
      </c>
      <c r="J1120" s="101">
        <v>8.798</v>
      </c>
      <c r="K1120" s="102">
        <v>27.143000000000001</v>
      </c>
      <c r="L1120" s="49">
        <v>5.234</v>
      </c>
      <c r="M1120" s="49">
        <v>2.5000000000000001E-2</v>
      </c>
      <c r="N1120" s="65">
        <v>117.773</v>
      </c>
      <c r="O1120" s="103">
        <v>5.6000000000000001E-2</v>
      </c>
      <c r="P1120" s="96"/>
      <c r="Q1120" s="93"/>
      <c r="R1120" s="93"/>
      <c r="S1120" s="93"/>
      <c r="T1120" s="93"/>
    </row>
    <row r="1121" spans="1:20" ht="14.25" customHeight="1" x14ac:dyDescent="0.35">
      <c r="A1121" s="1">
        <v>2021</v>
      </c>
      <c r="B1121" s="1" t="s">
        <v>22</v>
      </c>
      <c r="C1121" s="1">
        <v>23</v>
      </c>
      <c r="D1121" s="49">
        <v>107.047</v>
      </c>
      <c r="E1121" s="50">
        <v>90.938000000000002</v>
      </c>
      <c r="F1121" s="60">
        <v>74.950999999999993</v>
      </c>
      <c r="G1121" s="61">
        <v>1703.5889999999999</v>
      </c>
      <c r="H1121" s="62">
        <v>6.9</v>
      </c>
      <c r="I1121" s="64">
        <v>0.02</v>
      </c>
      <c r="J1121" s="68">
        <v>8.7469999999999999</v>
      </c>
      <c r="K1121" s="65">
        <v>26.117999999999999</v>
      </c>
      <c r="L1121" s="50">
        <v>5.1135000000000002</v>
      </c>
      <c r="M1121" s="137">
        <v>2.5000000000000001E-2</v>
      </c>
      <c r="N1121" s="57">
        <v>151.744</v>
      </c>
      <c r="O1121" s="67">
        <v>5.2999999999999999E-2</v>
      </c>
      <c r="P1121" s="96"/>
      <c r="Q1121" s="93"/>
      <c r="R1121" s="93"/>
      <c r="S1121" s="93"/>
      <c r="T1121" s="93"/>
    </row>
    <row r="1122" spans="1:20" ht="14.25" customHeight="1" x14ac:dyDescent="0.35">
      <c r="A1122" s="1">
        <v>2021</v>
      </c>
      <c r="B1122" s="1" t="s">
        <v>22</v>
      </c>
      <c r="C1122" s="1">
        <v>24</v>
      </c>
      <c r="D1122" s="49">
        <v>106.875</v>
      </c>
      <c r="E1122" s="50">
        <v>90.781000000000006</v>
      </c>
      <c r="F1122" s="60">
        <v>74.676000000000002</v>
      </c>
      <c r="G1122" s="61">
        <v>1621.42</v>
      </c>
      <c r="H1122" s="62">
        <v>6.9</v>
      </c>
      <c r="I1122" s="64">
        <v>1.9E-2</v>
      </c>
      <c r="J1122" s="68">
        <v>8.5969999999999995</v>
      </c>
      <c r="K1122" s="61">
        <v>24.216999999999999</v>
      </c>
      <c r="L1122" s="62">
        <v>5.1289999999999996</v>
      </c>
      <c r="M1122" s="137">
        <v>2.5000000000000001E-2</v>
      </c>
      <c r="N1122" s="57">
        <v>146.49100000000001</v>
      </c>
      <c r="O1122" s="67">
        <v>4.8000000000000001E-2</v>
      </c>
      <c r="P1122" s="96"/>
      <c r="Q1122" s="93"/>
      <c r="R1122" s="93"/>
      <c r="S1122" s="93"/>
      <c r="T1122" s="93"/>
    </row>
    <row r="1123" spans="1:20" ht="14.25" customHeight="1" x14ac:dyDescent="0.35">
      <c r="A1123" s="1">
        <v>2021</v>
      </c>
      <c r="B1123" s="1" t="s">
        <v>22</v>
      </c>
      <c r="C1123" s="1">
        <v>25</v>
      </c>
      <c r="D1123" s="49">
        <v>111.563</v>
      </c>
      <c r="E1123" s="50">
        <v>95</v>
      </c>
      <c r="F1123" s="60">
        <v>73.558000000000007</v>
      </c>
      <c r="G1123" s="61">
        <v>1587.749</v>
      </c>
      <c r="H1123" s="62">
        <v>6.9</v>
      </c>
      <c r="I1123" s="64">
        <v>0.02</v>
      </c>
      <c r="J1123" s="68">
        <v>8.9030000000000005</v>
      </c>
      <c r="K1123" s="65">
        <v>23.164000000000001</v>
      </c>
      <c r="L1123" s="50">
        <v>5.33</v>
      </c>
      <c r="M1123" s="137">
        <v>2.5000000000000001E-2</v>
      </c>
      <c r="N1123" s="57">
        <v>97.168000000000006</v>
      </c>
      <c r="O1123" s="67">
        <v>4.9000000000000002E-2</v>
      </c>
      <c r="P1123" s="96"/>
      <c r="Q1123" s="93"/>
      <c r="R1123" s="93"/>
      <c r="S1123" s="93"/>
      <c r="T1123" s="93"/>
    </row>
    <row r="1124" spans="1:20" ht="14.25" customHeight="1" x14ac:dyDescent="0.35">
      <c r="A1124" s="1">
        <v>2021</v>
      </c>
      <c r="B1124" s="1" t="s">
        <v>22</v>
      </c>
      <c r="C1124" s="1">
        <v>26</v>
      </c>
      <c r="D1124" s="49">
        <v>110.375</v>
      </c>
      <c r="E1124" s="50">
        <v>93.75</v>
      </c>
      <c r="F1124" s="60">
        <v>73.802000000000007</v>
      </c>
      <c r="G1124" s="61">
        <v>1685.239</v>
      </c>
      <c r="H1124" s="62">
        <v>6.9</v>
      </c>
      <c r="I1124" s="64">
        <v>0.02</v>
      </c>
      <c r="J1124" s="68">
        <v>8.8789999999999996</v>
      </c>
      <c r="K1124" s="61">
        <v>24.785</v>
      </c>
      <c r="L1124" s="62">
        <v>5.4370000000000003</v>
      </c>
      <c r="M1124" s="137">
        <v>2.5000000000000001E-2</v>
      </c>
      <c r="N1124" s="57">
        <v>72.138000000000005</v>
      </c>
      <c r="O1124" s="67">
        <v>5.5E-2</v>
      </c>
      <c r="P1124" s="96"/>
      <c r="Q1124" s="93"/>
      <c r="R1124" s="93"/>
      <c r="S1124" s="93"/>
      <c r="T1124" s="93"/>
    </row>
    <row r="1125" spans="1:20" ht="14.25" customHeight="1" x14ac:dyDescent="0.35">
      <c r="A1125" s="1">
        <v>2021</v>
      </c>
      <c r="B1125" s="1" t="s">
        <v>22</v>
      </c>
      <c r="C1125" s="1">
        <v>27</v>
      </c>
      <c r="D1125" s="49">
        <v>108.813</v>
      </c>
      <c r="E1125" s="50">
        <v>92.406000000000006</v>
      </c>
      <c r="F1125" s="60">
        <v>74.495999999999995</v>
      </c>
      <c r="G1125" s="61">
        <v>1723.0139999999999</v>
      </c>
      <c r="H1125" s="62">
        <v>6.9</v>
      </c>
      <c r="I1125" s="64">
        <v>1.9E-2</v>
      </c>
      <c r="J1125" s="68">
        <v>8.8680000000000003</v>
      </c>
      <c r="K1125" s="65">
        <v>25.661000000000001</v>
      </c>
      <c r="L1125" s="50">
        <v>5.4530000000000003</v>
      </c>
      <c r="M1125" s="137">
        <v>2.5000000000000001E-2</v>
      </c>
      <c r="N1125" s="57">
        <v>69.400999999999996</v>
      </c>
      <c r="O1125" s="67">
        <v>5.3999999999999999E-2</v>
      </c>
      <c r="P1125" s="96"/>
      <c r="Q1125" s="93"/>
      <c r="R1125" s="93"/>
      <c r="S1125" s="93"/>
      <c r="T1125" s="93"/>
    </row>
    <row r="1126" spans="1:20" ht="14.25" customHeight="1" x14ac:dyDescent="0.35">
      <c r="A1126" s="1">
        <v>2021</v>
      </c>
      <c r="B1126" s="1" t="s">
        <v>22</v>
      </c>
      <c r="C1126" s="1">
        <v>28</v>
      </c>
      <c r="D1126" s="49">
        <v>102.453</v>
      </c>
      <c r="E1126" s="50">
        <v>86.938000000000002</v>
      </c>
      <c r="F1126" s="60">
        <v>74.582999999999998</v>
      </c>
      <c r="G1126" s="61">
        <v>1720.32</v>
      </c>
      <c r="H1126" s="62">
        <v>6.9</v>
      </c>
      <c r="I1126" s="64">
        <v>0.02</v>
      </c>
      <c r="J1126" s="68">
        <v>8.968</v>
      </c>
      <c r="K1126" s="61">
        <v>25.774000000000001</v>
      </c>
      <c r="L1126" s="62">
        <v>5.4459999999999997</v>
      </c>
      <c r="M1126" s="137">
        <v>2.5000000000000001E-2</v>
      </c>
      <c r="N1126" s="57">
        <v>70.506</v>
      </c>
      <c r="O1126" s="67">
        <v>4.8000000000000001E-2</v>
      </c>
      <c r="P1126" s="96"/>
      <c r="Q1126" s="93"/>
      <c r="R1126" s="93"/>
      <c r="S1126" s="93"/>
      <c r="T1126" s="93"/>
    </row>
    <row r="1127" spans="1:20" ht="14.25" customHeight="1" x14ac:dyDescent="0.35">
      <c r="A1127" s="1">
        <v>2021</v>
      </c>
      <c r="B1127" s="1" t="s">
        <v>22</v>
      </c>
      <c r="C1127" s="1">
        <v>29</v>
      </c>
      <c r="D1127" s="49">
        <v>105.797</v>
      </c>
      <c r="E1127" s="50">
        <v>89.75</v>
      </c>
      <c r="F1127" s="83">
        <v>73.644000000000005</v>
      </c>
      <c r="G1127" s="69">
        <v>1628.595</v>
      </c>
      <c r="H1127" s="50">
        <v>6.9</v>
      </c>
      <c r="I1127" s="137">
        <v>2.1999999999999999E-2</v>
      </c>
      <c r="J1127" s="117">
        <v>8.6829999999999998</v>
      </c>
      <c r="K1127" s="61">
        <v>26.655999999999999</v>
      </c>
      <c r="L1127" s="62">
        <v>5.4349999999999996</v>
      </c>
      <c r="M1127" s="137">
        <v>2.5000000000000001E-2</v>
      </c>
      <c r="N1127" s="57">
        <v>74.370999999999995</v>
      </c>
      <c r="O1127" s="67">
        <v>3.9E-2</v>
      </c>
      <c r="P1127" s="96"/>
      <c r="Q1127" s="93"/>
      <c r="R1127" s="93"/>
      <c r="S1127" s="93"/>
      <c r="T1127" s="93"/>
    </row>
    <row r="1128" spans="1:20" ht="14.25" customHeight="1" x14ac:dyDescent="0.35">
      <c r="A1128" s="1">
        <v>2021</v>
      </c>
      <c r="B1128" s="1" t="s">
        <v>22</v>
      </c>
      <c r="C1128" s="1">
        <v>30</v>
      </c>
      <c r="D1128" s="49">
        <v>107.438</v>
      </c>
      <c r="E1128" s="50">
        <v>91.343999999999994</v>
      </c>
      <c r="F1128" s="83">
        <v>73.843999999999994</v>
      </c>
      <c r="G1128" s="69">
        <v>1663.442</v>
      </c>
      <c r="H1128" s="50">
        <v>6.9</v>
      </c>
      <c r="I1128" s="137">
        <v>0.02</v>
      </c>
      <c r="J1128" s="117">
        <v>8.85</v>
      </c>
      <c r="K1128" s="61">
        <v>31.518000000000001</v>
      </c>
      <c r="L1128" s="62">
        <v>5.4809999999999999</v>
      </c>
      <c r="M1128" s="137">
        <v>2.5000000000000001E-2</v>
      </c>
      <c r="N1128" s="57">
        <v>65.17</v>
      </c>
      <c r="O1128" s="67">
        <v>0.04</v>
      </c>
      <c r="P1128" s="96"/>
      <c r="Q1128" s="93"/>
      <c r="R1128" s="93"/>
      <c r="S1128" s="93"/>
      <c r="T1128" s="93"/>
    </row>
    <row r="1129" spans="1:20" ht="14.25" customHeight="1" x14ac:dyDescent="0.35">
      <c r="A1129" s="1">
        <v>2021</v>
      </c>
      <c r="B1129" s="1" t="s">
        <v>22</v>
      </c>
      <c r="C1129" s="1">
        <v>31</v>
      </c>
      <c r="D1129" s="104">
        <v>108.84399999999999</v>
      </c>
      <c r="E1129" s="105">
        <v>92.563000000000002</v>
      </c>
      <c r="F1129" s="118">
        <v>74.391000000000005</v>
      </c>
      <c r="G1129" s="119">
        <v>1628.585</v>
      </c>
      <c r="H1129" s="120">
        <v>6.9</v>
      </c>
      <c r="I1129" s="140">
        <v>0.02</v>
      </c>
      <c r="J1129" s="122">
        <v>9.0239999999999991</v>
      </c>
      <c r="K1129" s="65">
        <v>31.164999999999999</v>
      </c>
      <c r="L1129" s="50">
        <v>5.4880000000000004</v>
      </c>
      <c r="M1129" s="137">
        <v>2.5000000000000001E-2</v>
      </c>
      <c r="N1129" s="57">
        <v>64.167000000000002</v>
      </c>
      <c r="O1129" s="67">
        <v>3.9E-2</v>
      </c>
      <c r="P1129" s="96"/>
      <c r="Q1129" s="93"/>
      <c r="R1129" s="93"/>
      <c r="S1129" s="93"/>
      <c r="T1129" s="93"/>
    </row>
    <row r="1130" spans="1:20" ht="14.25" customHeight="1" x14ac:dyDescent="0.35">
      <c r="A1130" s="1">
        <v>2021</v>
      </c>
      <c r="B1130" s="1" t="s">
        <v>23</v>
      </c>
      <c r="C1130" s="1">
        <v>1</v>
      </c>
      <c r="D1130" s="12">
        <v>108.453</v>
      </c>
      <c r="E1130" s="13">
        <v>92.093999999999994</v>
      </c>
      <c r="F1130" s="51">
        <v>74.844999999999999</v>
      </c>
      <c r="G1130" s="52">
        <v>1616.104</v>
      </c>
      <c r="H1130" s="53">
        <v>6.9</v>
      </c>
      <c r="I1130" s="55">
        <v>0.02</v>
      </c>
      <c r="J1130" s="59">
        <v>9.2100000000000009</v>
      </c>
      <c r="K1130" s="52">
        <v>31.692</v>
      </c>
      <c r="L1130" s="55">
        <v>5.4980000000000002</v>
      </c>
      <c r="M1130" s="136">
        <v>2.5000000000000001E-2</v>
      </c>
      <c r="N1130" s="57">
        <v>62.447000000000003</v>
      </c>
      <c r="O1130" s="58">
        <v>4.2999999999999997E-2</v>
      </c>
      <c r="P1130" s="96"/>
      <c r="Q1130" s="93"/>
      <c r="R1130" s="93"/>
      <c r="S1130" s="93"/>
      <c r="T1130" s="93"/>
    </row>
    <row r="1131" spans="1:20" ht="14.25" customHeight="1" x14ac:dyDescent="0.35">
      <c r="A1131" s="1">
        <v>2021</v>
      </c>
      <c r="B1131" s="1" t="s">
        <v>24</v>
      </c>
      <c r="C1131" s="1">
        <v>2</v>
      </c>
      <c r="D1131" s="49">
        <v>106.688</v>
      </c>
      <c r="E1131" s="50">
        <v>90.688000000000002</v>
      </c>
      <c r="F1131" s="60">
        <v>75.201999999999998</v>
      </c>
      <c r="G1131" s="61">
        <v>1707.2</v>
      </c>
      <c r="H1131" s="62">
        <v>6.9</v>
      </c>
      <c r="I1131" s="64">
        <v>1.9E-2</v>
      </c>
      <c r="J1131" s="68">
        <v>9.3360000000000003</v>
      </c>
      <c r="K1131" s="65">
        <v>33.32</v>
      </c>
      <c r="L1131" s="50">
        <v>5.4790000000000001</v>
      </c>
      <c r="M1131" s="137">
        <v>2.5000000000000001E-2</v>
      </c>
      <c r="N1131" s="57">
        <v>65.412999999999997</v>
      </c>
      <c r="O1131" s="67">
        <v>0.05</v>
      </c>
      <c r="P1131" s="96"/>
      <c r="Q1131" s="93"/>
      <c r="R1131" s="93"/>
      <c r="S1131" s="93"/>
      <c r="T1131" s="93"/>
    </row>
    <row r="1132" spans="1:20" ht="14.25" customHeight="1" x14ac:dyDescent="0.35">
      <c r="A1132" s="1">
        <v>2021</v>
      </c>
      <c r="B1132" s="1" t="s">
        <v>23</v>
      </c>
      <c r="C1132" s="1">
        <v>3</v>
      </c>
      <c r="D1132" s="49">
        <v>107.03100000000001</v>
      </c>
      <c r="E1132" s="50">
        <v>90.906000000000006</v>
      </c>
      <c r="F1132" s="60">
        <v>74.966999999999999</v>
      </c>
      <c r="G1132" s="61">
        <v>1743.296</v>
      </c>
      <c r="H1132" s="62">
        <v>6.9</v>
      </c>
      <c r="I1132" s="64">
        <v>1.9E-2</v>
      </c>
      <c r="J1132" s="68">
        <v>9.1760000000000002</v>
      </c>
      <c r="K1132" s="65">
        <v>33.323</v>
      </c>
      <c r="L1132" s="50">
        <v>5.4589999999999996</v>
      </c>
      <c r="M1132" s="137">
        <v>2.5000000000000001E-2</v>
      </c>
      <c r="N1132" s="57">
        <v>68.635999999999996</v>
      </c>
      <c r="O1132" s="67">
        <v>5.0999999999999997E-2</v>
      </c>
      <c r="P1132" s="96"/>
      <c r="Q1132" s="93"/>
      <c r="R1132" s="93"/>
      <c r="S1132" s="93"/>
      <c r="T1132" s="93"/>
    </row>
    <row r="1133" spans="1:20" ht="14.25" customHeight="1" x14ac:dyDescent="0.35">
      <c r="A1133" s="1">
        <v>2021</v>
      </c>
      <c r="B1133" s="1" t="s">
        <v>23</v>
      </c>
      <c r="C1133" s="1">
        <v>4</v>
      </c>
      <c r="D1133" s="49">
        <v>110.938</v>
      </c>
      <c r="E1133" s="50">
        <v>94.125</v>
      </c>
      <c r="F1133" s="60">
        <v>75.106999999999999</v>
      </c>
      <c r="G1133" s="61">
        <v>1731.105</v>
      </c>
      <c r="H1133" s="62">
        <v>6.9009999999999998</v>
      </c>
      <c r="I1133" s="64">
        <v>1.9E-2</v>
      </c>
      <c r="J1133" s="68">
        <v>9</v>
      </c>
      <c r="K1133" s="65">
        <v>32.231999999999999</v>
      </c>
      <c r="L1133" s="50">
        <v>5.4580000000000002</v>
      </c>
      <c r="M1133" s="137">
        <v>2.5000000000000001E-2</v>
      </c>
      <c r="N1133" s="57">
        <v>68.489000000000004</v>
      </c>
      <c r="O1133" s="67">
        <v>4.9000000000000002E-2</v>
      </c>
      <c r="P1133" s="96"/>
      <c r="Q1133" s="93"/>
      <c r="R1133" s="93"/>
      <c r="S1133" s="93"/>
      <c r="T1133" s="93"/>
    </row>
    <row r="1134" spans="1:20" ht="14.25" customHeight="1" x14ac:dyDescent="0.35">
      <c r="A1134" s="1">
        <v>2021</v>
      </c>
      <c r="B1134" s="1" t="s">
        <v>23</v>
      </c>
      <c r="C1134" s="1">
        <v>5</v>
      </c>
      <c r="D1134" s="49">
        <v>106.76600000000001</v>
      </c>
      <c r="E1134" s="50">
        <v>90.5</v>
      </c>
      <c r="F1134" s="60">
        <v>75.061999999999998</v>
      </c>
      <c r="G1134" s="61">
        <v>1718.914</v>
      </c>
      <c r="H1134" s="62">
        <v>6.9</v>
      </c>
      <c r="I1134" s="64">
        <v>0.02</v>
      </c>
      <c r="J1134" s="68">
        <v>8.8849999999999998</v>
      </c>
      <c r="K1134" s="65">
        <v>27.530999999999999</v>
      </c>
      <c r="L1134" s="50">
        <v>5.43</v>
      </c>
      <c r="M1134" s="137">
        <v>2.5000000000000001E-2</v>
      </c>
      <c r="N1134" s="57">
        <v>73.138000000000005</v>
      </c>
      <c r="O1134" s="67">
        <v>4.9000000000000002E-2</v>
      </c>
      <c r="P1134" s="96"/>
      <c r="Q1134" s="93"/>
      <c r="R1134" s="93"/>
      <c r="S1134" s="93"/>
      <c r="T1134" s="93"/>
    </row>
    <row r="1135" spans="1:20" ht="14.25" customHeight="1" x14ac:dyDescent="0.35">
      <c r="A1135" s="1">
        <v>2021</v>
      </c>
      <c r="B1135" s="1" t="s">
        <v>23</v>
      </c>
      <c r="C1135" s="1">
        <v>6</v>
      </c>
      <c r="D1135" s="49">
        <v>104.90600000000001</v>
      </c>
      <c r="E1135" s="50">
        <v>88.968999999999994</v>
      </c>
      <c r="F1135" s="60">
        <v>75.13</v>
      </c>
      <c r="G1135" s="61">
        <v>1724.932</v>
      </c>
      <c r="H1135" s="62">
        <v>6.9</v>
      </c>
      <c r="I1135" s="64">
        <v>1.9E-2</v>
      </c>
      <c r="J1135" s="68">
        <v>8.7639999999999993</v>
      </c>
      <c r="K1135" s="65">
        <v>24.937000000000001</v>
      </c>
      <c r="L1135" s="50">
        <v>5.4119999999999999</v>
      </c>
      <c r="M1135" s="137">
        <v>2.5000000000000001E-2</v>
      </c>
      <c r="N1135" s="57">
        <v>76.275999999999996</v>
      </c>
      <c r="O1135" s="67">
        <v>4.7E-2</v>
      </c>
      <c r="P1135" s="96"/>
      <c r="Q1135" s="93"/>
      <c r="R1135" s="93"/>
      <c r="S1135" s="93"/>
      <c r="T1135" s="93"/>
    </row>
    <row r="1136" spans="1:20" ht="14.25" customHeight="1" x14ac:dyDescent="0.35">
      <c r="A1136" s="1">
        <v>2021</v>
      </c>
      <c r="B1136" s="1" t="s">
        <v>23</v>
      </c>
      <c r="C1136" s="1">
        <v>7</v>
      </c>
      <c r="D1136" s="49">
        <v>107.98399999999999</v>
      </c>
      <c r="E1136" s="50">
        <v>91.593999999999994</v>
      </c>
      <c r="F1136" s="60">
        <v>74.855000000000004</v>
      </c>
      <c r="G1136" s="61">
        <v>1657.3589999999999</v>
      </c>
      <c r="H1136" s="62">
        <v>6.9</v>
      </c>
      <c r="I1136" s="64">
        <v>1.9E-2</v>
      </c>
      <c r="J1136" s="68">
        <v>8.8309999999999995</v>
      </c>
      <c r="K1136" s="65">
        <v>24.303999999999998</v>
      </c>
      <c r="L1136" s="50">
        <v>5.4180000000000001</v>
      </c>
      <c r="M1136" s="137">
        <v>2.5000000000000001E-2</v>
      </c>
      <c r="N1136" s="57">
        <v>75.525999999999996</v>
      </c>
      <c r="O1136" s="67">
        <v>4.3999999999999997E-2</v>
      </c>
      <c r="P1136" s="96"/>
      <c r="Q1136" s="93"/>
      <c r="R1136" s="93"/>
      <c r="S1136" s="93"/>
      <c r="T1136" s="93"/>
    </row>
    <row r="1137" spans="1:20" ht="14.25" customHeight="1" x14ac:dyDescent="0.35">
      <c r="A1137" s="1">
        <v>2021</v>
      </c>
      <c r="B1137" s="1" t="s">
        <v>23</v>
      </c>
      <c r="C1137" s="1">
        <v>8</v>
      </c>
      <c r="D1137" s="49">
        <v>104.14100000000001</v>
      </c>
      <c r="E1137" s="50">
        <v>88.343999999999994</v>
      </c>
      <c r="F1137" s="60">
        <v>74.590999999999994</v>
      </c>
      <c r="G1137" s="69">
        <v>1609.8869999999999</v>
      </c>
      <c r="H1137" s="62">
        <v>6.9</v>
      </c>
      <c r="I1137" s="64">
        <v>0.02</v>
      </c>
      <c r="J1137" s="71">
        <v>8.9879999999999995</v>
      </c>
      <c r="K1137" s="65">
        <v>23.905000000000001</v>
      </c>
      <c r="L1137" s="50">
        <v>5.4409999999999998</v>
      </c>
      <c r="M1137" s="137">
        <v>2.5000000000000001E-2</v>
      </c>
      <c r="N1137" s="57">
        <v>71.278000000000006</v>
      </c>
      <c r="O1137" s="67">
        <v>4.3999999999999997E-2</v>
      </c>
      <c r="P1137" s="96"/>
      <c r="Q1137" s="93"/>
      <c r="R1137" s="93"/>
      <c r="S1137" s="93"/>
      <c r="T1137" s="93"/>
    </row>
    <row r="1138" spans="1:20" ht="14.25" customHeight="1" x14ac:dyDescent="0.35">
      <c r="A1138" s="1">
        <v>2021</v>
      </c>
      <c r="B1138" s="1" t="s">
        <v>23</v>
      </c>
      <c r="C1138" s="1">
        <v>9</v>
      </c>
      <c r="D1138" s="49">
        <v>101.90600000000001</v>
      </c>
      <c r="E1138" s="50">
        <v>86.563000000000002</v>
      </c>
      <c r="F1138" s="60">
        <v>74.906000000000006</v>
      </c>
      <c r="G1138" s="61">
        <v>1706.9159999999999</v>
      </c>
      <c r="H1138" s="62">
        <v>6.9</v>
      </c>
      <c r="I1138" s="64">
        <v>2.1000000000000001E-2</v>
      </c>
      <c r="J1138" s="68">
        <v>9.2959999999999994</v>
      </c>
      <c r="K1138" s="65">
        <v>25.198</v>
      </c>
      <c r="L1138" s="50">
        <v>5.4359999999999999</v>
      </c>
      <c r="M1138" s="137">
        <v>2.5000000000000001E-2</v>
      </c>
      <c r="N1138" s="57">
        <v>72.16</v>
      </c>
      <c r="O1138" s="67">
        <v>4.8000000000000001E-2</v>
      </c>
      <c r="P1138" s="96"/>
      <c r="Q1138" s="93"/>
      <c r="R1138" s="93"/>
      <c r="S1138" s="93"/>
      <c r="T1138" s="93"/>
    </row>
    <row r="1139" spans="1:20" ht="14.25" customHeight="1" x14ac:dyDescent="0.35">
      <c r="A1139" s="1">
        <v>2021</v>
      </c>
      <c r="B1139" s="1" t="s">
        <v>23</v>
      </c>
      <c r="C1139" s="1">
        <v>10</v>
      </c>
      <c r="D1139" s="49">
        <v>102.547</v>
      </c>
      <c r="E1139" s="50">
        <v>87.031000000000006</v>
      </c>
      <c r="F1139" s="72">
        <v>75.245999999999995</v>
      </c>
      <c r="G1139" s="61">
        <v>1724.6759999999999</v>
      </c>
      <c r="H1139" s="62">
        <v>6.9</v>
      </c>
      <c r="I1139" s="64">
        <v>2.1000000000000001E-2</v>
      </c>
      <c r="J1139" s="76">
        <v>8.9749999999999996</v>
      </c>
      <c r="K1139" s="65">
        <v>25.518999999999998</v>
      </c>
      <c r="L1139" s="50">
        <v>5.4279999999999999</v>
      </c>
      <c r="M1139" s="138">
        <v>2.5000000000000001E-2</v>
      </c>
      <c r="N1139" s="57">
        <v>73.403000000000006</v>
      </c>
      <c r="O1139" s="75">
        <v>4.9000000000000002E-2</v>
      </c>
      <c r="P1139" s="96"/>
      <c r="Q1139" s="93"/>
      <c r="R1139" s="93"/>
      <c r="S1139" s="93"/>
      <c r="T1139" s="93"/>
    </row>
    <row r="1140" spans="1:20" ht="14.25" customHeight="1" x14ac:dyDescent="0.35">
      <c r="A1140" s="1">
        <v>2021</v>
      </c>
      <c r="B1140" s="1" t="s">
        <v>23</v>
      </c>
      <c r="C1140" s="1">
        <v>11</v>
      </c>
      <c r="D1140" s="49">
        <v>103.60899999999999</v>
      </c>
      <c r="E1140" s="50">
        <v>87.875</v>
      </c>
      <c r="F1140" s="72">
        <v>75.159000000000006</v>
      </c>
      <c r="G1140" s="61">
        <v>1705.913</v>
      </c>
      <c r="H1140" s="62">
        <v>6.9</v>
      </c>
      <c r="I1140" s="64">
        <v>2.1000000000000001E-2</v>
      </c>
      <c r="J1140" s="76">
        <v>8.7050000000000001</v>
      </c>
      <c r="K1140" s="65">
        <v>25.623999999999999</v>
      </c>
      <c r="L1140" s="50">
        <v>5.4210000000000003</v>
      </c>
      <c r="M1140" s="138">
        <v>2.5000000000000001E-2</v>
      </c>
      <c r="N1140" s="57">
        <v>74.435000000000002</v>
      </c>
      <c r="O1140" s="75">
        <v>4.9000000000000002E-2</v>
      </c>
      <c r="P1140" s="96"/>
      <c r="Q1140" s="93"/>
      <c r="R1140" s="93"/>
      <c r="S1140" s="93"/>
      <c r="T1140" s="93"/>
    </row>
    <row r="1141" spans="1:20" ht="14.25" customHeight="1" x14ac:dyDescent="0.35">
      <c r="A1141" s="1">
        <v>2021</v>
      </c>
      <c r="B1141" s="1" t="s">
        <v>23</v>
      </c>
      <c r="C1141" s="1">
        <v>12</v>
      </c>
      <c r="D1141" s="49">
        <v>105.35899999999999</v>
      </c>
      <c r="E1141" s="50">
        <v>89.438000000000002</v>
      </c>
      <c r="F1141" s="72">
        <v>75.216999999999999</v>
      </c>
      <c r="G1141" s="61">
        <v>1694.153</v>
      </c>
      <c r="H1141" s="62">
        <v>6.9</v>
      </c>
      <c r="I1141" s="64">
        <v>2.1000000000000001E-2</v>
      </c>
      <c r="J1141" s="76">
        <v>8.4700000000000006</v>
      </c>
      <c r="K1141" s="65">
        <v>25.763000000000002</v>
      </c>
      <c r="L1141" s="50">
        <v>5.3810000000000002</v>
      </c>
      <c r="M1141" s="138">
        <v>2.5000000000000001E-2</v>
      </c>
      <c r="N1141" s="57">
        <v>82.412000000000006</v>
      </c>
      <c r="O1141" s="75">
        <v>5.0999999999999997E-2</v>
      </c>
      <c r="P1141" s="96"/>
      <c r="Q1141" s="93"/>
      <c r="R1141" s="93"/>
      <c r="S1141" s="93"/>
      <c r="T1141" s="93"/>
    </row>
    <row r="1142" spans="1:20" ht="14.25" customHeight="1" x14ac:dyDescent="0.35">
      <c r="A1142" s="1">
        <v>2021</v>
      </c>
      <c r="B1142" s="1" t="s">
        <v>23</v>
      </c>
      <c r="C1142" s="1">
        <v>13</v>
      </c>
      <c r="D1142" s="49">
        <v>107.547</v>
      </c>
      <c r="E1142" s="50">
        <v>91.375</v>
      </c>
      <c r="F1142" s="78">
        <v>74.903999999999996</v>
      </c>
      <c r="G1142" s="61">
        <v>1672.65</v>
      </c>
      <c r="H1142" s="62">
        <v>6.9</v>
      </c>
      <c r="I1142" s="64">
        <v>2.1999999999999999E-2</v>
      </c>
      <c r="J1142" s="81">
        <v>8.3889999999999993</v>
      </c>
      <c r="K1142" s="65">
        <v>26.422000000000001</v>
      </c>
      <c r="L1142" s="50">
        <v>5.343</v>
      </c>
      <c r="M1142" s="137">
        <v>2.5000000000000001E-2</v>
      </c>
      <c r="N1142" s="57">
        <v>89.316999999999993</v>
      </c>
      <c r="O1142" s="80">
        <v>4.2999999999999997E-2</v>
      </c>
      <c r="P1142" s="96"/>
      <c r="Q1142" s="93"/>
      <c r="R1142" s="93"/>
      <c r="S1142" s="93"/>
      <c r="T1142" s="93"/>
    </row>
    <row r="1143" spans="1:20" ht="14.25" customHeight="1" x14ac:dyDescent="0.35">
      <c r="A1143" s="1">
        <v>2021</v>
      </c>
      <c r="B1143" s="1" t="s">
        <v>23</v>
      </c>
      <c r="C1143" s="1">
        <v>14</v>
      </c>
      <c r="D1143" s="49">
        <v>106.5</v>
      </c>
      <c r="E1143" s="50">
        <v>90.531000000000006</v>
      </c>
      <c r="F1143" s="60">
        <v>75.003</v>
      </c>
      <c r="G1143" s="61">
        <v>1602.6179999999999</v>
      </c>
      <c r="H1143" s="62">
        <v>6.9</v>
      </c>
      <c r="I1143" s="64">
        <v>0.02</v>
      </c>
      <c r="J1143" s="81">
        <v>8.2469999999999999</v>
      </c>
      <c r="K1143" s="82">
        <v>24.308</v>
      </c>
      <c r="L1143" s="50">
        <v>5.3220000000000001</v>
      </c>
      <c r="M1143" s="137">
        <v>2.5000000000000001E-2</v>
      </c>
      <c r="N1143" s="57">
        <v>93.620999999999995</v>
      </c>
      <c r="O1143" s="80">
        <v>3.7999999999999999E-2</v>
      </c>
      <c r="P1143" s="96"/>
      <c r="Q1143" s="93"/>
      <c r="R1143" s="93"/>
      <c r="S1143" s="93"/>
      <c r="T1143" s="93"/>
    </row>
    <row r="1144" spans="1:20" ht="14.25" customHeight="1" x14ac:dyDescent="0.35">
      <c r="A1144" s="1">
        <v>2021</v>
      </c>
      <c r="B1144" s="1" t="s">
        <v>23</v>
      </c>
      <c r="C1144" s="1">
        <v>15</v>
      </c>
      <c r="D1144" s="49">
        <v>106.35899999999999</v>
      </c>
      <c r="E1144" s="50">
        <v>90.313000000000002</v>
      </c>
      <c r="F1144" s="60">
        <v>74.591999999999999</v>
      </c>
      <c r="G1144" s="61">
        <v>1567.0360000000001</v>
      </c>
      <c r="H1144" s="62">
        <v>6.9</v>
      </c>
      <c r="I1144" s="64">
        <v>2.1000000000000001E-2</v>
      </c>
      <c r="J1144" s="76">
        <v>8.3309999999999995</v>
      </c>
      <c r="K1144" s="65">
        <v>25.434000000000001</v>
      </c>
      <c r="L1144" s="50">
        <v>5.3609999999999998</v>
      </c>
      <c r="M1144" s="137">
        <v>2.5000000000000001E-2</v>
      </c>
      <c r="N1144" s="57">
        <v>85.981999999999999</v>
      </c>
      <c r="O1144" s="75">
        <v>3.7999999999999999E-2</v>
      </c>
      <c r="P1144" s="96"/>
      <c r="Q1144" s="93"/>
      <c r="R1144" s="93"/>
      <c r="S1144" s="93"/>
      <c r="T1144" s="93"/>
    </row>
    <row r="1145" spans="1:20" ht="14.25" customHeight="1" x14ac:dyDescent="0.35">
      <c r="A1145" s="1">
        <v>2021</v>
      </c>
      <c r="B1145" s="1" t="s">
        <v>23</v>
      </c>
      <c r="C1145" s="1">
        <v>16</v>
      </c>
      <c r="D1145" s="49">
        <v>106.85899999999999</v>
      </c>
      <c r="E1145" s="50">
        <v>91.063000000000002</v>
      </c>
      <c r="F1145" s="60">
        <v>75.247</v>
      </c>
      <c r="G1145" s="61">
        <v>1622.4010000000001</v>
      </c>
      <c r="H1145" s="62">
        <v>6.9</v>
      </c>
      <c r="I1145" s="64">
        <v>2.1000000000000001E-2</v>
      </c>
      <c r="J1145" s="81">
        <v>8.8569999999999993</v>
      </c>
      <c r="K1145" s="61">
        <v>26.228000000000002</v>
      </c>
      <c r="L1145" s="62">
        <v>5.3609999999999998</v>
      </c>
      <c r="M1145" s="137">
        <v>2.5000000000000001E-2</v>
      </c>
      <c r="N1145" s="57">
        <v>85.555999999999997</v>
      </c>
      <c r="O1145" s="75">
        <v>0.06</v>
      </c>
      <c r="P1145" s="96"/>
      <c r="Q1145" s="93"/>
      <c r="R1145" s="93"/>
      <c r="S1145" s="93"/>
      <c r="T1145" s="93"/>
    </row>
    <row r="1146" spans="1:20" ht="14.25" customHeight="1" x14ac:dyDescent="0.35">
      <c r="A1146" s="1">
        <v>2021</v>
      </c>
      <c r="B1146" s="1" t="s">
        <v>23</v>
      </c>
      <c r="C1146" s="1">
        <v>17</v>
      </c>
      <c r="D1146" s="49">
        <v>107.51600000000001</v>
      </c>
      <c r="E1146" s="50">
        <v>91.656000000000006</v>
      </c>
      <c r="F1146" s="60">
        <v>75.088999999999999</v>
      </c>
      <c r="G1146" s="61">
        <v>1698.4190000000001</v>
      </c>
      <c r="H1146" s="62">
        <v>6.9</v>
      </c>
      <c r="I1146" s="64">
        <v>2.1999999999999999E-2</v>
      </c>
      <c r="J1146" s="68">
        <v>8.6660000000000004</v>
      </c>
      <c r="K1146" s="65">
        <v>27.093</v>
      </c>
      <c r="L1146" s="50">
        <v>5.3410000000000002</v>
      </c>
      <c r="M1146" s="137">
        <v>2.5000000000000001E-2</v>
      </c>
      <c r="N1146" s="57">
        <v>89.784000000000006</v>
      </c>
      <c r="O1146" s="67">
        <v>4.5999999999999999E-2</v>
      </c>
      <c r="P1146" s="96"/>
      <c r="Q1146" s="93"/>
      <c r="R1146" s="93"/>
      <c r="S1146" s="93"/>
      <c r="T1146" s="93"/>
    </row>
    <row r="1147" spans="1:20" ht="14.25" customHeight="1" x14ac:dyDescent="0.35">
      <c r="A1147" s="1">
        <v>2021</v>
      </c>
      <c r="B1147" s="1" t="s">
        <v>23</v>
      </c>
      <c r="C1147" s="1">
        <v>18</v>
      </c>
      <c r="D1147" s="49">
        <v>107.125</v>
      </c>
      <c r="E1147" s="50">
        <v>91.281000000000006</v>
      </c>
      <c r="F1147" s="60">
        <v>74.635999999999996</v>
      </c>
      <c r="G1147" s="61">
        <v>1679.97</v>
      </c>
      <c r="H1147" s="62">
        <v>6.9</v>
      </c>
      <c r="I1147" s="64">
        <v>2.1999999999999999E-2</v>
      </c>
      <c r="J1147" s="68">
        <v>8.4879999999999995</v>
      </c>
      <c r="K1147" s="61">
        <v>26.206</v>
      </c>
      <c r="L1147" s="62">
        <v>5.3330000000000002</v>
      </c>
      <c r="M1147" s="137">
        <v>2.5000000000000001E-2</v>
      </c>
      <c r="N1147" s="57">
        <v>91.233000000000004</v>
      </c>
      <c r="O1147" s="67">
        <v>4.2999999999999997E-2</v>
      </c>
      <c r="P1147" s="96"/>
      <c r="Q1147" s="93"/>
      <c r="R1147" s="93"/>
      <c r="S1147" s="93"/>
      <c r="T1147" s="93"/>
    </row>
    <row r="1148" spans="1:20" ht="14.25" customHeight="1" x14ac:dyDescent="0.35">
      <c r="A1148" s="1">
        <v>2021</v>
      </c>
      <c r="B1148" s="1" t="s">
        <v>23</v>
      </c>
      <c r="C1148" s="1">
        <v>19</v>
      </c>
      <c r="D1148" s="49">
        <v>109.563</v>
      </c>
      <c r="E1148" s="50">
        <v>93.093999999999994</v>
      </c>
      <c r="F1148" s="60">
        <v>74.944999999999993</v>
      </c>
      <c r="G1148" s="61">
        <v>1687.2249999999999</v>
      </c>
      <c r="H1148" s="62">
        <v>6.9</v>
      </c>
      <c r="I1148" s="64">
        <v>2.3E-2</v>
      </c>
      <c r="J1148" s="68">
        <v>8.4649999999999999</v>
      </c>
      <c r="K1148" s="65">
        <v>27.323</v>
      </c>
      <c r="L1148" s="50">
        <v>5.274</v>
      </c>
      <c r="M1148" s="137">
        <v>2.5000000000000001E-2</v>
      </c>
      <c r="N1148" s="57">
        <v>104.876</v>
      </c>
      <c r="O1148" s="67">
        <v>4.4999999999999998E-2</v>
      </c>
      <c r="P1148" s="96"/>
      <c r="Q1148" s="93"/>
      <c r="R1148" s="93"/>
      <c r="S1148" s="93"/>
      <c r="T1148" s="93"/>
    </row>
    <row r="1149" spans="1:20" ht="14.25" customHeight="1" x14ac:dyDescent="0.35">
      <c r="A1149" s="1">
        <v>2021</v>
      </c>
      <c r="B1149" s="1" t="s">
        <v>23</v>
      </c>
      <c r="C1149" s="1">
        <v>20</v>
      </c>
      <c r="D1149" s="49">
        <v>105.96899999999999</v>
      </c>
      <c r="E1149" s="50">
        <v>89.968999999999994</v>
      </c>
      <c r="F1149" s="60">
        <v>74.944000000000003</v>
      </c>
      <c r="G1149" s="61">
        <v>1684.789</v>
      </c>
      <c r="H1149" s="62">
        <v>6.9</v>
      </c>
      <c r="I1149" s="64">
        <v>2.4E-2</v>
      </c>
      <c r="J1149" s="68">
        <v>8.516</v>
      </c>
      <c r="K1149" s="61">
        <v>27.091000000000001</v>
      </c>
      <c r="L1149" s="62">
        <v>5.2210000000000001</v>
      </c>
      <c r="M1149" s="137">
        <v>2.5000000000000001E-2</v>
      </c>
      <c r="N1149" s="57">
        <v>118.068</v>
      </c>
      <c r="O1149" s="67">
        <v>4.2999999999999997E-2</v>
      </c>
      <c r="P1149" s="96"/>
      <c r="Q1149" s="93"/>
      <c r="R1149" s="93"/>
      <c r="S1149" s="93"/>
      <c r="T1149" s="93"/>
    </row>
    <row r="1150" spans="1:20" ht="14.25" customHeight="1" x14ac:dyDescent="0.35">
      <c r="A1150" s="1">
        <v>2021</v>
      </c>
      <c r="B1150" s="1" t="s">
        <v>23</v>
      </c>
      <c r="C1150" s="1">
        <v>21</v>
      </c>
      <c r="D1150" s="49">
        <v>105.203</v>
      </c>
      <c r="E1150" s="50">
        <v>89.313000000000002</v>
      </c>
      <c r="F1150" s="60">
        <v>74.995000000000005</v>
      </c>
      <c r="G1150" s="61">
        <v>1608.39</v>
      </c>
      <c r="H1150" s="62">
        <v>6.9</v>
      </c>
      <c r="I1150" s="64">
        <v>2.4E-2</v>
      </c>
      <c r="J1150" s="68">
        <v>8.5250000000000004</v>
      </c>
      <c r="K1150" s="65">
        <v>25.613</v>
      </c>
      <c r="L1150" s="50">
        <v>5.2309999999999999</v>
      </c>
      <c r="M1150" s="137">
        <v>2.5000000000000001E-2</v>
      </c>
      <c r="N1150" s="57">
        <v>115.249</v>
      </c>
      <c r="O1150" s="67">
        <v>3.7999999999999999E-2</v>
      </c>
      <c r="P1150" s="96"/>
      <c r="Q1150" s="93"/>
      <c r="R1150" s="93"/>
      <c r="S1150" s="93"/>
      <c r="T1150" s="93"/>
    </row>
    <row r="1151" spans="1:20" ht="14.25" customHeight="1" x14ac:dyDescent="0.35">
      <c r="A1151" s="1">
        <v>2021</v>
      </c>
      <c r="B1151" s="1" t="s">
        <v>23</v>
      </c>
      <c r="C1151" s="1">
        <v>22</v>
      </c>
      <c r="D1151" s="49">
        <v>105.90600000000001</v>
      </c>
      <c r="E1151" s="50">
        <v>90</v>
      </c>
      <c r="F1151" s="60">
        <v>75.305000000000007</v>
      </c>
      <c r="G1151" s="61">
        <v>1583.9670000000001</v>
      </c>
      <c r="H1151" s="62">
        <v>6.9</v>
      </c>
      <c r="I1151" s="64">
        <v>2.5000000000000001E-2</v>
      </c>
      <c r="J1151" s="68">
        <v>8.7910000000000004</v>
      </c>
      <c r="K1151" s="61">
        <v>25.667000000000002</v>
      </c>
      <c r="L1151" s="62">
        <v>5.2329999999999997</v>
      </c>
      <c r="M1151" s="137">
        <v>2.5000000000000001E-2</v>
      </c>
      <c r="N1151" s="57">
        <v>115.414</v>
      </c>
      <c r="O1151" s="67">
        <v>0.04</v>
      </c>
      <c r="P1151" s="96"/>
      <c r="Q1151" s="93"/>
      <c r="R1151" s="93"/>
      <c r="S1151" s="93"/>
      <c r="T1151" s="93"/>
    </row>
    <row r="1152" spans="1:20" ht="14.25" customHeight="1" x14ac:dyDescent="0.35">
      <c r="A1152" s="1">
        <v>2021</v>
      </c>
      <c r="B1152" s="1" t="s">
        <v>23</v>
      </c>
      <c r="C1152" s="1">
        <v>23</v>
      </c>
      <c r="D1152" s="49">
        <v>105.953</v>
      </c>
      <c r="E1152" s="50">
        <v>90</v>
      </c>
      <c r="F1152" s="60">
        <v>75.566999999999993</v>
      </c>
      <c r="G1152" s="61">
        <v>1676.5989999999999</v>
      </c>
      <c r="H1152" s="62">
        <v>6.9</v>
      </c>
      <c r="I1152" s="64">
        <v>2.5999999999999999E-2</v>
      </c>
      <c r="J1152" s="68">
        <v>8.8450000000000006</v>
      </c>
      <c r="K1152" s="65">
        <v>27.3</v>
      </c>
      <c r="L1152" s="50">
        <v>5.2279999999999998</v>
      </c>
      <c r="M1152" s="137">
        <v>2.5000000000000001E-2</v>
      </c>
      <c r="N1152" s="57">
        <v>116.15600000000001</v>
      </c>
      <c r="O1152" s="67">
        <v>4.4999999999999998E-2</v>
      </c>
      <c r="P1152" s="96"/>
      <c r="Q1152" s="93"/>
      <c r="R1152" s="93"/>
      <c r="S1152" s="93"/>
      <c r="T1152" s="93"/>
    </row>
    <row r="1153" spans="1:20" ht="14.25" customHeight="1" x14ac:dyDescent="0.35">
      <c r="A1153" s="1">
        <v>2021</v>
      </c>
      <c r="B1153" s="1" t="s">
        <v>23</v>
      </c>
      <c r="C1153" s="1">
        <v>24</v>
      </c>
      <c r="D1153" s="49">
        <v>106.703</v>
      </c>
      <c r="E1153" s="50">
        <v>90.468999999999994</v>
      </c>
      <c r="F1153" s="60">
        <v>75.734999999999999</v>
      </c>
      <c r="G1153" s="61">
        <v>1724.809</v>
      </c>
      <c r="H1153" s="62">
        <v>6.9</v>
      </c>
      <c r="I1153" s="64">
        <v>2.9000000000000001E-2</v>
      </c>
      <c r="J1153" s="68">
        <v>8.8160000000000007</v>
      </c>
      <c r="K1153" s="61">
        <v>28.372</v>
      </c>
      <c r="L1153" s="62">
        <v>5.3890000000000002</v>
      </c>
      <c r="M1153" s="137">
        <v>2.5000000000000001E-2</v>
      </c>
      <c r="N1153" s="57">
        <v>85.007999999999996</v>
      </c>
      <c r="O1153" s="67">
        <v>4.4999999999999998E-2</v>
      </c>
      <c r="P1153" s="96"/>
      <c r="Q1153" s="93"/>
      <c r="R1153" s="93"/>
      <c r="S1153" s="93"/>
      <c r="T1153" s="93"/>
    </row>
    <row r="1154" spans="1:20" ht="14.25" customHeight="1" x14ac:dyDescent="0.35">
      <c r="A1154" s="1">
        <v>2021</v>
      </c>
      <c r="B1154" s="1" t="s">
        <v>23</v>
      </c>
      <c r="C1154" s="1">
        <v>25</v>
      </c>
      <c r="D1154" s="49">
        <v>101.09399999999999</v>
      </c>
      <c r="E1154" s="50">
        <v>85.813000000000002</v>
      </c>
      <c r="F1154" s="60">
        <v>75.850999999999999</v>
      </c>
      <c r="G1154" s="61">
        <v>1712.415</v>
      </c>
      <c r="H1154" s="62">
        <v>6.9</v>
      </c>
      <c r="I1154" s="64">
        <v>3.2000000000000001E-2</v>
      </c>
      <c r="J1154" s="68">
        <v>9.0489999999999995</v>
      </c>
      <c r="K1154" s="65">
        <v>27.658000000000001</v>
      </c>
      <c r="L1154" s="50">
        <v>5.5019999999999998</v>
      </c>
      <c r="M1154" s="137">
        <v>2.5000000000000001E-2</v>
      </c>
      <c r="N1154" s="57">
        <v>62.121000000000002</v>
      </c>
      <c r="O1154" s="67">
        <v>4.9000000000000002E-2</v>
      </c>
      <c r="P1154" s="96"/>
      <c r="Q1154" s="93"/>
      <c r="R1154" s="93"/>
      <c r="S1154" s="93"/>
      <c r="T1154" s="93"/>
    </row>
    <row r="1155" spans="1:20" ht="14.25" customHeight="1" x14ac:dyDescent="0.35">
      <c r="A1155" s="1">
        <v>2021</v>
      </c>
      <c r="B1155" s="1" t="s">
        <v>23</v>
      </c>
      <c r="C1155" s="1">
        <v>26</v>
      </c>
      <c r="D1155" s="49">
        <v>107.15600000000001</v>
      </c>
      <c r="E1155" s="50">
        <v>90.843999999999994</v>
      </c>
      <c r="F1155" s="60">
        <v>75.587999999999994</v>
      </c>
      <c r="G1155" s="61">
        <v>1695.5989999999999</v>
      </c>
      <c r="H1155" s="62">
        <v>6.9009999999999998</v>
      </c>
      <c r="I1155" s="64">
        <v>3.3000000000000002E-2</v>
      </c>
      <c r="J1155" s="68">
        <v>8.7360000000000007</v>
      </c>
      <c r="K1155" s="61">
        <v>27.181999999999999</v>
      </c>
      <c r="L1155" s="62">
        <v>5.4119999999999999</v>
      </c>
      <c r="M1155" s="137">
        <v>2.5000000000000001E-2</v>
      </c>
      <c r="N1155" s="57">
        <v>76.822000000000003</v>
      </c>
      <c r="O1155" s="67">
        <v>4.7E-2</v>
      </c>
      <c r="P1155" s="96"/>
      <c r="Q1155" s="93"/>
      <c r="R1155" s="93"/>
      <c r="S1155" s="93"/>
      <c r="T1155" s="93"/>
    </row>
    <row r="1156" spans="1:20" ht="14.25" customHeight="1" x14ac:dyDescent="0.35">
      <c r="A1156" s="1">
        <v>2021</v>
      </c>
      <c r="B1156" s="1" t="s">
        <v>23</v>
      </c>
      <c r="C1156" s="1">
        <v>27</v>
      </c>
      <c r="D1156" s="49">
        <v>107.922</v>
      </c>
      <c r="E1156" s="50">
        <v>91.593999999999994</v>
      </c>
      <c r="F1156" s="60">
        <v>75.37</v>
      </c>
      <c r="G1156" s="61">
        <v>1664.365</v>
      </c>
      <c r="H1156" s="62">
        <v>6.9009999999999998</v>
      </c>
      <c r="I1156" s="64">
        <v>2.4E-2</v>
      </c>
      <c r="J1156" s="68">
        <v>8.5790000000000006</v>
      </c>
      <c r="K1156" s="65">
        <v>27.44</v>
      </c>
      <c r="L1156" s="50">
        <v>5.3369999999999997</v>
      </c>
      <c r="M1156" s="137">
        <v>2.5000000000000001E-2</v>
      </c>
      <c r="N1156" s="57">
        <v>90.616</v>
      </c>
      <c r="O1156" s="67">
        <v>4.5999999999999999E-2</v>
      </c>
      <c r="P1156" s="96"/>
      <c r="Q1156" s="93"/>
      <c r="R1156" s="93"/>
      <c r="S1156" s="93"/>
      <c r="T1156" s="93"/>
    </row>
    <row r="1157" spans="1:20" ht="14.25" customHeight="1" x14ac:dyDescent="0.35">
      <c r="A1157" s="1">
        <v>2021</v>
      </c>
      <c r="B1157" s="1" t="s">
        <v>23</v>
      </c>
      <c r="C1157" s="1">
        <v>28</v>
      </c>
      <c r="D1157" s="106">
        <v>106.51600000000001</v>
      </c>
      <c r="E1157" s="107">
        <v>90.281000000000006</v>
      </c>
      <c r="F1157" s="60">
        <v>75.263000000000005</v>
      </c>
      <c r="G1157" s="61">
        <v>1580.5319999999999</v>
      </c>
      <c r="H1157" s="62">
        <v>6.9</v>
      </c>
      <c r="I1157" s="64">
        <v>0.02</v>
      </c>
      <c r="J1157" s="68">
        <v>8.5210000000000008</v>
      </c>
      <c r="K1157" s="61">
        <v>25.344000000000001</v>
      </c>
      <c r="L1157" s="62">
        <v>5.3319999999999999</v>
      </c>
      <c r="M1157" s="137">
        <v>2.5000000000000001E-2</v>
      </c>
      <c r="N1157" s="57">
        <v>91.563000000000002</v>
      </c>
      <c r="O1157" s="67">
        <v>4.2000000000000003E-2</v>
      </c>
      <c r="P1157" s="96"/>
      <c r="Q1157" s="93"/>
      <c r="R1157" s="93"/>
      <c r="S1157" s="93"/>
      <c r="T1157" s="93"/>
    </row>
    <row r="1158" spans="1:20" ht="14.25" customHeight="1" x14ac:dyDescent="0.35">
      <c r="A1158" s="1">
        <v>2021</v>
      </c>
      <c r="B1158" s="1" t="s">
        <v>25</v>
      </c>
      <c r="C1158" s="1">
        <v>1</v>
      </c>
      <c r="D1158" s="49">
        <v>106.21899999999999</v>
      </c>
      <c r="E1158" s="50">
        <v>89.968999999999994</v>
      </c>
      <c r="F1158" s="51">
        <v>75.275999999999996</v>
      </c>
      <c r="G1158" s="52">
        <v>1544.559</v>
      </c>
      <c r="H1158" s="53">
        <v>6.9</v>
      </c>
      <c r="I1158" s="55">
        <v>0.02</v>
      </c>
      <c r="J1158" s="59">
        <v>8.66</v>
      </c>
      <c r="K1158" s="52">
        <v>24.567</v>
      </c>
      <c r="L1158" s="55">
        <v>5.3289999999999997</v>
      </c>
      <c r="M1158" s="136">
        <v>2.5000000000000001E-2</v>
      </c>
      <c r="N1158" s="57">
        <v>92.292000000000002</v>
      </c>
      <c r="O1158" s="58">
        <v>0.04</v>
      </c>
      <c r="P1158" s="96"/>
      <c r="Q1158" s="93"/>
      <c r="R1158" s="93"/>
      <c r="S1158" s="93"/>
      <c r="T1158" s="93"/>
    </row>
    <row r="1159" spans="1:20" ht="14.25" customHeight="1" x14ac:dyDescent="0.35">
      <c r="A1159" s="1">
        <v>2021</v>
      </c>
      <c r="B1159" s="1" t="s">
        <v>25</v>
      </c>
      <c r="C1159" s="1">
        <v>2</v>
      </c>
      <c r="D1159" s="49">
        <v>105.828</v>
      </c>
      <c r="E1159" s="50">
        <v>90</v>
      </c>
      <c r="F1159" s="60">
        <v>75.382000000000005</v>
      </c>
      <c r="G1159" s="61">
        <v>1623.7070000000001</v>
      </c>
      <c r="H1159" s="62">
        <v>6.9</v>
      </c>
      <c r="I1159" s="64">
        <v>2.1000000000000001E-2</v>
      </c>
      <c r="J1159" s="68">
        <v>8.8629999999999995</v>
      </c>
      <c r="K1159" s="65">
        <v>25.216999999999999</v>
      </c>
      <c r="L1159" s="50">
        <v>5.3159999999999998</v>
      </c>
      <c r="M1159" s="137">
        <v>2.5000000000000001E-2</v>
      </c>
      <c r="N1159" s="57">
        <v>94.784999999999997</v>
      </c>
      <c r="O1159" s="67">
        <v>4.3999999999999997E-2</v>
      </c>
      <c r="P1159" s="96"/>
      <c r="Q1159" s="93"/>
      <c r="R1159" s="93"/>
      <c r="S1159" s="93"/>
      <c r="T1159" s="93"/>
    </row>
    <row r="1160" spans="1:20" ht="14.25" customHeight="1" x14ac:dyDescent="0.35">
      <c r="A1160" s="1">
        <v>2021</v>
      </c>
      <c r="B1160" s="1" t="s">
        <v>25</v>
      </c>
      <c r="C1160" s="1">
        <v>3</v>
      </c>
      <c r="D1160" s="49">
        <v>106.922</v>
      </c>
      <c r="E1160" s="50">
        <v>91</v>
      </c>
      <c r="F1160" s="60">
        <v>74.909000000000006</v>
      </c>
      <c r="G1160" s="61">
        <v>1691.579</v>
      </c>
      <c r="H1160" s="62">
        <v>6.9</v>
      </c>
      <c r="I1160" s="64">
        <v>2.1999999999999999E-2</v>
      </c>
      <c r="J1160" s="68">
        <v>8.8170000000000002</v>
      </c>
      <c r="K1160" s="65">
        <v>26.238</v>
      </c>
      <c r="L1160" s="50">
        <v>5.3179999999999996</v>
      </c>
      <c r="M1160" s="137">
        <v>2.5000000000000001E-2</v>
      </c>
      <c r="N1160" s="57">
        <v>95.233999999999995</v>
      </c>
      <c r="O1160" s="67">
        <v>4.3999999999999997E-2</v>
      </c>
      <c r="P1160" s="96"/>
      <c r="Q1160" s="93"/>
      <c r="R1160" s="93"/>
      <c r="S1160" s="93"/>
      <c r="T1160" s="93"/>
    </row>
    <row r="1161" spans="1:20" ht="14.25" customHeight="1" x14ac:dyDescent="0.35">
      <c r="A1161" s="1">
        <v>2021</v>
      </c>
      <c r="B1161" s="1" t="s">
        <v>25</v>
      </c>
      <c r="C1161" s="1">
        <v>4</v>
      </c>
      <c r="D1161" s="49">
        <v>108.14100000000001</v>
      </c>
      <c r="E1161" s="50">
        <v>91.938000000000002</v>
      </c>
      <c r="F1161" s="60">
        <v>75.183000000000007</v>
      </c>
      <c r="G1161" s="61">
        <v>1644.4829999999999</v>
      </c>
      <c r="H1161" s="62">
        <v>6.9</v>
      </c>
      <c r="I1161" s="64">
        <v>2.1000000000000001E-2</v>
      </c>
      <c r="J1161" s="68">
        <v>8.6449999999999996</v>
      </c>
      <c r="K1161" s="65">
        <v>26.527999999999999</v>
      </c>
      <c r="L1161" s="50">
        <v>5.3440000000000003</v>
      </c>
      <c r="M1161" s="137">
        <v>2.5000000000000001E-2</v>
      </c>
      <c r="N1161" s="57">
        <v>89.48</v>
      </c>
      <c r="O1161" s="67">
        <v>4.2999999999999997E-2</v>
      </c>
      <c r="P1161" s="96"/>
      <c r="Q1161" s="93"/>
      <c r="R1161" s="93"/>
      <c r="S1161" s="93"/>
      <c r="T1161" s="93"/>
    </row>
    <row r="1162" spans="1:20" ht="14.25" customHeight="1" x14ac:dyDescent="0.35">
      <c r="A1162" s="1">
        <v>2021</v>
      </c>
      <c r="B1162" s="1" t="s">
        <v>25</v>
      </c>
      <c r="C1162" s="1">
        <v>5</v>
      </c>
      <c r="D1162" s="49">
        <v>110.5</v>
      </c>
      <c r="E1162" s="50">
        <v>93.938000000000002</v>
      </c>
      <c r="F1162" s="108">
        <v>75.56</v>
      </c>
      <c r="G1162" s="109">
        <v>1627.394</v>
      </c>
      <c r="H1162" s="73">
        <v>6.9</v>
      </c>
      <c r="I1162" s="73">
        <v>2.1000000000000001E-2</v>
      </c>
      <c r="J1162" s="111">
        <v>8.5180000000000007</v>
      </c>
      <c r="K1162" s="112">
        <v>25.591000000000001</v>
      </c>
      <c r="L1162" s="73">
        <v>5.3310000000000004</v>
      </c>
      <c r="M1162" s="73">
        <v>2.5000000000000001E-2</v>
      </c>
      <c r="N1162" s="109">
        <v>91.876999999999995</v>
      </c>
      <c r="O1162" s="113">
        <v>4.2000000000000003E-2</v>
      </c>
      <c r="P1162" s="96"/>
      <c r="Q1162" s="93"/>
      <c r="R1162" s="93"/>
      <c r="S1162" s="93"/>
      <c r="T1162" s="93"/>
    </row>
    <row r="1163" spans="1:20" ht="14.25" customHeight="1" x14ac:dyDescent="0.35">
      <c r="A1163" s="1">
        <v>2021</v>
      </c>
      <c r="B1163" s="1" t="s">
        <v>25</v>
      </c>
      <c r="C1163" s="1">
        <v>6</v>
      </c>
      <c r="D1163" s="49">
        <v>108.35899999999999</v>
      </c>
      <c r="E1163" s="50">
        <v>92.156000000000006</v>
      </c>
      <c r="F1163" s="72">
        <v>75.477000000000004</v>
      </c>
      <c r="G1163" s="114">
        <v>1624.154</v>
      </c>
      <c r="H1163" s="115">
        <v>6.9</v>
      </c>
      <c r="I1163" s="73">
        <v>0.02</v>
      </c>
      <c r="J1163" s="76">
        <v>8.4760000000000009</v>
      </c>
      <c r="K1163" s="116">
        <v>25.497</v>
      </c>
      <c r="L1163" s="77">
        <v>5.3339999999999996</v>
      </c>
      <c r="M1163" s="138">
        <v>2.5000000000000001E-2</v>
      </c>
      <c r="N1163" s="109">
        <v>91.515000000000001</v>
      </c>
      <c r="O1163" s="75">
        <v>4.2000000000000003E-2</v>
      </c>
      <c r="P1163" s="96"/>
      <c r="Q1163" s="93"/>
      <c r="R1163" s="93"/>
      <c r="S1163" s="93"/>
      <c r="T1163" s="93"/>
    </row>
    <row r="1164" spans="1:20" ht="14.25" customHeight="1" x14ac:dyDescent="0.35">
      <c r="A1164" s="1">
        <v>2021</v>
      </c>
      <c r="B1164" s="1" t="s">
        <v>25</v>
      </c>
      <c r="C1164" s="1">
        <v>7</v>
      </c>
      <c r="D1164" s="49">
        <v>106.39100000000001</v>
      </c>
      <c r="E1164" s="50">
        <v>90.375</v>
      </c>
      <c r="F1164" s="72">
        <v>75.221999999999994</v>
      </c>
      <c r="G1164" s="114">
        <v>1557.374</v>
      </c>
      <c r="H1164" s="115">
        <v>6.9</v>
      </c>
      <c r="I1164" s="73">
        <v>0.02</v>
      </c>
      <c r="J1164" s="76">
        <v>8.3729999999999993</v>
      </c>
      <c r="K1164" s="116">
        <v>24.462</v>
      </c>
      <c r="L1164" s="77">
        <v>5.3390000000000004</v>
      </c>
      <c r="M1164" s="138">
        <v>2.5000000000000001E-2</v>
      </c>
      <c r="N1164" s="109">
        <v>90.593000000000004</v>
      </c>
      <c r="O1164" s="75">
        <v>4.2000000000000003E-2</v>
      </c>
      <c r="P1164" s="96"/>
      <c r="Q1164" s="93"/>
      <c r="R1164" s="93"/>
      <c r="S1164" s="93"/>
      <c r="T1164" s="93"/>
    </row>
    <row r="1165" spans="1:20" ht="14.25" customHeight="1" x14ac:dyDescent="0.35">
      <c r="A1165" s="1">
        <v>2021</v>
      </c>
      <c r="B1165" s="1" t="s">
        <v>25</v>
      </c>
      <c r="C1165" s="1">
        <v>8</v>
      </c>
      <c r="D1165" s="49">
        <v>105.98399999999999</v>
      </c>
      <c r="E1165" s="50">
        <v>90</v>
      </c>
      <c r="F1165" s="60">
        <v>75.468000000000004</v>
      </c>
      <c r="G1165" s="69">
        <v>1512.729</v>
      </c>
      <c r="H1165" s="62">
        <v>6.9</v>
      </c>
      <c r="I1165" s="64">
        <v>0.02</v>
      </c>
      <c r="J1165" s="71">
        <v>8.6189999999999998</v>
      </c>
      <c r="K1165" s="65">
        <v>23.632999999999999</v>
      </c>
      <c r="L1165" s="50">
        <v>5.3419999999999996</v>
      </c>
      <c r="M1165" s="137">
        <v>2.5000000000000001E-2</v>
      </c>
      <c r="N1165" s="57">
        <v>89.563999999999993</v>
      </c>
      <c r="O1165" s="67">
        <v>4.5999999999999999E-2</v>
      </c>
      <c r="P1165" s="96"/>
      <c r="Q1165" s="93"/>
      <c r="R1165" s="93"/>
      <c r="S1165" s="93"/>
      <c r="T1165" s="93"/>
    </row>
    <row r="1166" spans="1:20" ht="14.25" customHeight="1" x14ac:dyDescent="0.35">
      <c r="A1166" s="1">
        <v>2021</v>
      </c>
      <c r="B1166" s="1" t="s">
        <v>25</v>
      </c>
      <c r="C1166" s="1">
        <v>9</v>
      </c>
      <c r="D1166" s="49">
        <v>107.53100000000001</v>
      </c>
      <c r="E1166" s="50">
        <v>91.375</v>
      </c>
      <c r="F1166" s="60">
        <v>75.245000000000005</v>
      </c>
      <c r="G1166" s="69">
        <v>1606.0809999999999</v>
      </c>
      <c r="H1166" s="62">
        <v>6.9</v>
      </c>
      <c r="I1166" s="64">
        <v>2.1000000000000001E-2</v>
      </c>
      <c r="J1166" s="71">
        <v>8.9079999999999995</v>
      </c>
      <c r="K1166" s="65">
        <v>24.954000000000001</v>
      </c>
      <c r="L1166" s="50">
        <v>5.3220000000000001</v>
      </c>
      <c r="M1166" s="137">
        <v>2.5000000000000001E-2</v>
      </c>
      <c r="N1166" s="57">
        <v>93.647000000000006</v>
      </c>
      <c r="O1166" s="67">
        <v>5.1999999999999998E-2</v>
      </c>
      <c r="P1166" s="96"/>
      <c r="Q1166" s="93"/>
      <c r="R1166" s="93"/>
      <c r="S1166" s="93"/>
      <c r="T1166" s="93"/>
    </row>
    <row r="1167" spans="1:20" ht="14.25" customHeight="1" x14ac:dyDescent="0.35">
      <c r="A1167" s="1">
        <v>2021</v>
      </c>
      <c r="B1167" s="1" t="s">
        <v>25</v>
      </c>
      <c r="C1167" s="1">
        <v>10</v>
      </c>
      <c r="D1167" s="49">
        <v>107.46899999999999</v>
      </c>
      <c r="E1167" s="50">
        <v>91.281000000000006</v>
      </c>
      <c r="F1167" s="72">
        <v>74.799000000000007</v>
      </c>
      <c r="G1167" s="61">
        <v>1635.5039999999999</v>
      </c>
      <c r="H1167" s="62">
        <v>6.9</v>
      </c>
      <c r="I1167" s="64">
        <v>2.1000000000000001E-2</v>
      </c>
      <c r="J1167" s="76">
        <v>8.7710000000000008</v>
      </c>
      <c r="K1167" s="65">
        <v>25.117999999999999</v>
      </c>
      <c r="L1167" s="50">
        <v>5.319</v>
      </c>
      <c r="M1167" s="138">
        <v>2.5000000000000001E-2</v>
      </c>
      <c r="N1167" s="57">
        <v>94.207999999999998</v>
      </c>
      <c r="O1167" s="75">
        <v>5.0999999999999997E-2</v>
      </c>
      <c r="P1167" s="96"/>
      <c r="Q1167" s="93"/>
      <c r="R1167" s="93"/>
      <c r="S1167" s="93"/>
      <c r="T1167" s="93"/>
    </row>
    <row r="1168" spans="1:20" ht="14.25" customHeight="1" x14ac:dyDescent="0.35">
      <c r="A1168" s="1">
        <v>2021</v>
      </c>
      <c r="B1168" s="1" t="s">
        <v>25</v>
      </c>
      <c r="C1168" s="1">
        <v>11</v>
      </c>
      <c r="D1168" s="49">
        <v>104.64100000000001</v>
      </c>
      <c r="E1168" s="50">
        <v>88.875</v>
      </c>
      <c r="F1168" s="72">
        <v>74.489000000000004</v>
      </c>
      <c r="G1168" s="61">
        <v>1592.87</v>
      </c>
      <c r="H1168" s="62">
        <v>6.9</v>
      </c>
      <c r="I1168" s="64">
        <v>0.02</v>
      </c>
      <c r="J1168" s="76">
        <v>8.5500000000000007</v>
      </c>
      <c r="K1168" s="65">
        <v>24.491</v>
      </c>
      <c r="L1168" s="50">
        <v>5.319</v>
      </c>
      <c r="M1168" s="138">
        <v>2.5000000000000001E-2</v>
      </c>
      <c r="N1168" s="57">
        <v>94.197999999999993</v>
      </c>
      <c r="O1168" s="75">
        <v>5.1999999999999998E-2</v>
      </c>
      <c r="P1168" s="96"/>
      <c r="Q1168" s="93"/>
      <c r="R1168" s="93"/>
      <c r="S1168" s="93"/>
      <c r="T1168" s="93"/>
    </row>
    <row r="1169" spans="1:20" ht="14.25" customHeight="1" x14ac:dyDescent="0.35">
      <c r="A1169" s="1">
        <v>2021</v>
      </c>
      <c r="B1169" s="1" t="s">
        <v>25</v>
      </c>
      <c r="C1169" s="1">
        <v>12</v>
      </c>
      <c r="D1169" s="49">
        <v>107.03100000000001</v>
      </c>
      <c r="E1169" s="50">
        <v>90.938000000000002</v>
      </c>
      <c r="F1169" s="72">
        <v>74.575000000000003</v>
      </c>
      <c r="G1169" s="61">
        <v>1629.559</v>
      </c>
      <c r="H1169" s="62">
        <v>6.9</v>
      </c>
      <c r="I1169" s="64">
        <v>2.1000000000000001E-2</v>
      </c>
      <c r="J1169" s="76">
        <v>8.5619999999999994</v>
      </c>
      <c r="K1169" s="65">
        <v>24.780999999999999</v>
      </c>
      <c r="L1169" s="50">
        <v>5.3040000000000003</v>
      </c>
      <c r="M1169" s="138">
        <v>2.5000000000000001E-2</v>
      </c>
      <c r="N1169" s="57">
        <v>97.772000000000006</v>
      </c>
      <c r="O1169" s="67">
        <v>5.6000000000000001E-2</v>
      </c>
      <c r="P1169" s="96"/>
      <c r="Q1169" s="93"/>
      <c r="R1169" s="93"/>
      <c r="S1169" s="93"/>
      <c r="T1169" s="93"/>
    </row>
    <row r="1170" spans="1:20" ht="14.25" customHeight="1" x14ac:dyDescent="0.35">
      <c r="A1170" s="1">
        <v>2021</v>
      </c>
      <c r="B1170" s="1" t="s">
        <v>25</v>
      </c>
      <c r="C1170" s="1">
        <v>13</v>
      </c>
      <c r="D1170" s="49">
        <v>107.453</v>
      </c>
      <c r="E1170" s="50">
        <v>91.343999999999994</v>
      </c>
      <c r="F1170" s="78">
        <v>74.847999999999999</v>
      </c>
      <c r="G1170" s="61">
        <v>1630.1679999999999</v>
      </c>
      <c r="H1170" s="62">
        <v>6.9</v>
      </c>
      <c r="I1170" s="64">
        <v>0.02</v>
      </c>
      <c r="J1170" s="81">
        <v>8.5449999999999999</v>
      </c>
      <c r="K1170" s="65">
        <v>25.581</v>
      </c>
      <c r="L1170" s="50">
        <v>5.282</v>
      </c>
      <c r="M1170" s="137">
        <v>2.5000000000000001E-2</v>
      </c>
      <c r="N1170" s="57">
        <v>102.863</v>
      </c>
      <c r="O1170" s="80">
        <v>5.1999999999999998E-2</v>
      </c>
      <c r="P1170" s="96"/>
      <c r="Q1170" s="93"/>
      <c r="R1170" s="93"/>
      <c r="S1170" s="93"/>
      <c r="T1170" s="93"/>
    </row>
    <row r="1171" spans="1:20" ht="14.25" customHeight="1" x14ac:dyDescent="0.35">
      <c r="A1171" s="1">
        <v>2021</v>
      </c>
      <c r="B1171" s="1" t="s">
        <v>25</v>
      </c>
      <c r="C1171" s="1">
        <v>14</v>
      </c>
      <c r="D1171" s="49">
        <v>101.5</v>
      </c>
      <c r="E1171" s="50">
        <v>86.25</v>
      </c>
      <c r="F1171" s="60">
        <v>75.12</v>
      </c>
      <c r="G1171" s="61">
        <v>1583.269</v>
      </c>
      <c r="H1171" s="62">
        <v>6.9</v>
      </c>
      <c r="I1171" s="64">
        <v>1.9E-2</v>
      </c>
      <c r="J1171" s="81">
        <v>8.4559999999999995</v>
      </c>
      <c r="K1171" s="82">
        <v>24.266200000000001</v>
      </c>
      <c r="L1171" s="50">
        <v>5.2698999999999998</v>
      </c>
      <c r="M1171" s="137">
        <v>2.5100000000000001E-2</v>
      </c>
      <c r="N1171" s="57">
        <v>106.0425</v>
      </c>
      <c r="O1171" s="80">
        <v>5.0500000000000003E-2</v>
      </c>
      <c r="P1171" s="96"/>
      <c r="Q1171" s="93"/>
      <c r="R1171" s="93"/>
      <c r="S1171" s="93"/>
      <c r="T1171" s="93"/>
    </row>
    <row r="1172" spans="1:20" ht="14.25" customHeight="1" x14ac:dyDescent="0.35">
      <c r="A1172" s="1">
        <v>2021</v>
      </c>
      <c r="B1172" s="1" t="s">
        <v>25</v>
      </c>
      <c r="C1172" s="1">
        <v>15</v>
      </c>
      <c r="D1172" s="49">
        <v>105.813</v>
      </c>
      <c r="E1172" s="50">
        <v>89.906000000000006</v>
      </c>
      <c r="F1172" s="60">
        <v>74.326999999999998</v>
      </c>
      <c r="G1172" s="61">
        <v>1550.625</v>
      </c>
      <c r="H1172" s="62">
        <v>6.9</v>
      </c>
      <c r="I1172" s="64">
        <v>0.02</v>
      </c>
      <c r="J1172" s="76">
        <v>8.6910000000000007</v>
      </c>
      <c r="K1172" s="65">
        <v>24.177</v>
      </c>
      <c r="L1172" s="50">
        <v>5.2649999999999997</v>
      </c>
      <c r="M1172" s="137">
        <v>2.5000000000000001E-2</v>
      </c>
      <c r="N1172" s="57">
        <v>107.01600000000001</v>
      </c>
      <c r="O1172" s="75">
        <v>4.9000000000000002E-2</v>
      </c>
      <c r="P1172" s="96"/>
      <c r="Q1172" s="93"/>
      <c r="R1172" s="93"/>
      <c r="S1172" s="93"/>
      <c r="T1172" s="93"/>
    </row>
    <row r="1173" spans="1:20" ht="14.25" customHeight="1" x14ac:dyDescent="0.35">
      <c r="A1173" s="1">
        <v>2021</v>
      </c>
      <c r="B1173" s="1" t="s">
        <v>25</v>
      </c>
      <c r="C1173" s="1">
        <v>16</v>
      </c>
      <c r="D1173" s="49">
        <v>105.78100000000001</v>
      </c>
      <c r="E1173" s="50">
        <v>89.875</v>
      </c>
      <c r="F1173" s="60">
        <v>74.251999999999995</v>
      </c>
      <c r="G1173" s="61">
        <v>1617.6110000000001</v>
      </c>
      <c r="H1173" s="62">
        <v>6.9</v>
      </c>
      <c r="I1173" s="64">
        <v>0.02</v>
      </c>
      <c r="J1173" s="81">
        <v>8.6140000000000008</v>
      </c>
      <c r="K1173" s="61">
        <v>24.446999999999999</v>
      </c>
      <c r="L1173" s="62">
        <v>5.2779999999999996</v>
      </c>
      <c r="M1173" s="137">
        <v>2.5000000000000001E-2</v>
      </c>
      <c r="N1173" s="57">
        <v>103.697</v>
      </c>
      <c r="O1173" s="80">
        <v>4.5999999999999999E-2</v>
      </c>
      <c r="P1173" s="96"/>
      <c r="Q1173" s="93"/>
      <c r="R1173" s="93"/>
      <c r="S1173" s="93"/>
      <c r="T1173" s="93"/>
    </row>
    <row r="1174" spans="1:20" ht="14.25" customHeight="1" x14ac:dyDescent="0.35">
      <c r="A1174" s="1">
        <v>2021</v>
      </c>
      <c r="B1174" s="1" t="s">
        <v>25</v>
      </c>
      <c r="C1174" s="1">
        <v>17</v>
      </c>
      <c r="D1174" s="49">
        <v>105.73399999999999</v>
      </c>
      <c r="E1174" s="50">
        <v>89.875</v>
      </c>
      <c r="F1174" s="60">
        <v>75.001999999999995</v>
      </c>
      <c r="G1174" s="61">
        <v>1680.123</v>
      </c>
      <c r="H1174" s="62">
        <v>6.9</v>
      </c>
      <c r="I1174" s="64">
        <v>0.02</v>
      </c>
      <c r="J1174" s="68">
        <v>8.359</v>
      </c>
      <c r="K1174" s="65">
        <v>25.66</v>
      </c>
      <c r="L1174" s="50">
        <v>5.2679999999999998</v>
      </c>
      <c r="M1174" s="137">
        <v>2.5000000000000001E-2</v>
      </c>
      <c r="N1174" s="57">
        <v>106.261</v>
      </c>
      <c r="O1174" s="67">
        <v>5.0999999999999997E-2</v>
      </c>
      <c r="P1174" s="96"/>
      <c r="Q1174" s="93"/>
      <c r="R1174" s="93"/>
      <c r="S1174" s="93"/>
      <c r="T1174" s="93"/>
    </row>
    <row r="1175" spans="1:20" ht="14.25" customHeight="1" x14ac:dyDescent="0.35">
      <c r="A1175" s="1">
        <v>2021</v>
      </c>
      <c r="B1175" s="1" t="s">
        <v>25</v>
      </c>
      <c r="C1175" s="1">
        <v>18</v>
      </c>
      <c r="D1175" s="49">
        <v>109.46899999999999</v>
      </c>
      <c r="E1175" s="50">
        <v>93.063000000000002</v>
      </c>
      <c r="F1175" s="60">
        <v>75.204999999999998</v>
      </c>
      <c r="G1175" s="61">
        <v>1667.796</v>
      </c>
      <c r="H1175" s="62">
        <v>6.9</v>
      </c>
      <c r="I1175" s="64">
        <v>0.02</v>
      </c>
      <c r="J1175" s="68">
        <v>8.2859999999999996</v>
      </c>
      <c r="K1175" s="61">
        <v>25.55</v>
      </c>
      <c r="L1175" s="62">
        <v>5.2670000000000003</v>
      </c>
      <c r="M1175" s="137">
        <v>2.5000000000000001E-2</v>
      </c>
      <c r="N1175" s="57">
        <v>106.518</v>
      </c>
      <c r="O1175" s="67">
        <v>4.9000000000000002E-2</v>
      </c>
      <c r="P1175" s="96"/>
      <c r="Q1175" s="93"/>
      <c r="R1175" s="93"/>
      <c r="S1175" s="93"/>
      <c r="T1175" s="93"/>
    </row>
    <row r="1176" spans="1:20" ht="14.25" customHeight="1" x14ac:dyDescent="0.35">
      <c r="A1176" s="1">
        <v>2021</v>
      </c>
      <c r="B1176" s="1" t="s">
        <v>25</v>
      </c>
      <c r="C1176" s="1">
        <v>19</v>
      </c>
      <c r="D1176" s="49">
        <v>111.688</v>
      </c>
      <c r="E1176" s="50">
        <v>95</v>
      </c>
      <c r="F1176" s="60">
        <v>75.576999999999998</v>
      </c>
      <c r="G1176" s="61">
        <v>1644.1489999999999</v>
      </c>
      <c r="H1176" s="62">
        <v>6.9</v>
      </c>
      <c r="I1176" s="64">
        <v>2.1000000000000001E-2</v>
      </c>
      <c r="J1176" s="68">
        <v>8.6289999999999996</v>
      </c>
      <c r="K1176" s="65">
        <v>25.564</v>
      </c>
      <c r="L1176" s="50">
        <v>5.3570000000000002</v>
      </c>
      <c r="M1176" s="137">
        <v>2.5000000000000001E-2</v>
      </c>
      <c r="N1176" s="57">
        <v>88.838999999999999</v>
      </c>
      <c r="O1176" s="67">
        <v>5.1999999999999998E-2</v>
      </c>
      <c r="P1176" s="96"/>
      <c r="Q1176" s="93"/>
      <c r="R1176" s="93"/>
      <c r="S1176" s="93"/>
      <c r="T1176" s="93"/>
    </row>
    <row r="1177" spans="1:20" ht="14.25" customHeight="1" x14ac:dyDescent="0.35">
      <c r="A1177" s="1">
        <v>2021</v>
      </c>
      <c r="B1177" s="1" t="s">
        <v>25</v>
      </c>
      <c r="C1177" s="1">
        <v>20</v>
      </c>
      <c r="D1177" s="49">
        <v>109.203</v>
      </c>
      <c r="E1177" s="50">
        <v>92.813000000000002</v>
      </c>
      <c r="F1177" s="60">
        <v>75.641999999999996</v>
      </c>
      <c r="G1177" s="61">
        <v>1621.454</v>
      </c>
      <c r="H1177" s="62">
        <v>6.9</v>
      </c>
      <c r="I1177" s="64">
        <v>0.02</v>
      </c>
      <c r="J1177" s="68">
        <v>9.016</v>
      </c>
      <c r="K1177" s="65">
        <v>25.106000000000002</v>
      </c>
      <c r="L1177" s="50">
        <v>5.43</v>
      </c>
      <c r="M1177" s="137">
        <v>2.5000000000000001E-2</v>
      </c>
      <c r="N1177" s="57">
        <v>73.275999999999996</v>
      </c>
      <c r="O1177" s="67">
        <v>5.2999999999999999E-2</v>
      </c>
      <c r="P1177" s="96"/>
      <c r="Q1177" s="93"/>
      <c r="R1177" s="93"/>
      <c r="S1177" s="93"/>
      <c r="T1177" s="93"/>
    </row>
    <row r="1178" spans="1:20" ht="14.25" customHeight="1" x14ac:dyDescent="0.35">
      <c r="A1178" s="1">
        <v>2021</v>
      </c>
      <c r="B1178" s="1" t="s">
        <v>25</v>
      </c>
      <c r="C1178" s="1">
        <v>21</v>
      </c>
      <c r="D1178" s="49">
        <v>106.125</v>
      </c>
      <c r="E1178" s="50">
        <v>90.125</v>
      </c>
      <c r="F1178" s="60">
        <v>75.597999999999999</v>
      </c>
      <c r="G1178" s="61">
        <v>1548.5989999999999</v>
      </c>
      <c r="H1178" s="62">
        <v>6.9</v>
      </c>
      <c r="I1178" s="64">
        <v>0.02</v>
      </c>
      <c r="J1178" s="68">
        <v>9.0850000000000009</v>
      </c>
      <c r="K1178" s="65">
        <v>23.79</v>
      </c>
      <c r="L1178" s="50">
        <v>5.4290000000000003</v>
      </c>
      <c r="M1178" s="137">
        <v>2.5000000000000001E-2</v>
      </c>
      <c r="N1178" s="57">
        <v>73.47</v>
      </c>
      <c r="O1178" s="67">
        <v>4.8000000000000001E-2</v>
      </c>
      <c r="P1178" s="96"/>
      <c r="Q1178" s="93"/>
      <c r="R1178" s="93"/>
      <c r="S1178" s="93"/>
      <c r="T1178" s="93"/>
    </row>
    <row r="1179" spans="1:20" ht="14.25" customHeight="1" x14ac:dyDescent="0.35">
      <c r="A1179" s="1">
        <v>2021</v>
      </c>
      <c r="B1179" s="1" t="s">
        <v>25</v>
      </c>
      <c r="C1179" s="1">
        <v>22</v>
      </c>
      <c r="D1179" s="49">
        <v>105.90600000000001</v>
      </c>
      <c r="E1179" s="50">
        <v>90.031000000000006</v>
      </c>
      <c r="F1179" s="60">
        <v>75.373000000000005</v>
      </c>
      <c r="G1179" s="61">
        <v>1523.818</v>
      </c>
      <c r="H1179" s="62">
        <v>6.9</v>
      </c>
      <c r="I1179" s="64">
        <v>0.02</v>
      </c>
      <c r="J1179" s="68">
        <v>8.9960000000000004</v>
      </c>
      <c r="K1179" s="61">
        <v>22.988</v>
      </c>
      <c r="L1179" s="62">
        <v>5.4379999999999997</v>
      </c>
      <c r="M1179" s="137">
        <v>2.5000000000000001E-2</v>
      </c>
      <c r="N1179" s="57">
        <v>72.031000000000006</v>
      </c>
      <c r="O1179" s="67">
        <v>4.5999999999999999E-2</v>
      </c>
      <c r="P1179" s="96"/>
      <c r="Q1179" s="93"/>
      <c r="R1179" s="93"/>
      <c r="S1179" s="93"/>
      <c r="T1179" s="93"/>
    </row>
    <row r="1180" spans="1:20" ht="14.25" customHeight="1" x14ac:dyDescent="0.35">
      <c r="A1180" s="1">
        <v>2021</v>
      </c>
      <c r="B1180" s="1" t="s">
        <v>25</v>
      </c>
      <c r="C1180" s="1">
        <v>23</v>
      </c>
      <c r="D1180" s="49">
        <v>105.797</v>
      </c>
      <c r="E1180" s="50">
        <v>89.906000000000006</v>
      </c>
      <c r="F1180" s="60">
        <v>75.486999999999995</v>
      </c>
      <c r="G1180" s="61">
        <v>1619.972</v>
      </c>
      <c r="H1180" s="62">
        <v>6.9</v>
      </c>
      <c r="I1180" s="64">
        <v>0.02</v>
      </c>
      <c r="J1180" s="68">
        <v>9.1690000000000005</v>
      </c>
      <c r="K1180" s="65">
        <v>24.806000000000001</v>
      </c>
      <c r="L1180" s="50">
        <v>5.4390000000000001</v>
      </c>
      <c r="M1180" s="137">
        <v>2.5000000000000001E-2</v>
      </c>
      <c r="N1180" s="57">
        <v>71.83</v>
      </c>
      <c r="O1180" s="67">
        <v>5.1999999999999998E-2</v>
      </c>
      <c r="P1180" s="96"/>
      <c r="Q1180" s="93"/>
      <c r="R1180" s="93"/>
      <c r="S1180" s="93"/>
      <c r="T1180" s="93"/>
    </row>
    <row r="1181" spans="1:20" ht="14.25" customHeight="1" x14ac:dyDescent="0.35">
      <c r="A1181" s="1">
        <v>2021</v>
      </c>
      <c r="B1181" s="1" t="s">
        <v>25</v>
      </c>
      <c r="C1181" s="1">
        <v>24</v>
      </c>
      <c r="D1181" s="49">
        <v>89.391000000000005</v>
      </c>
      <c r="E1181" s="50">
        <v>75.968999999999994</v>
      </c>
      <c r="F1181" s="60">
        <v>75.456000000000003</v>
      </c>
      <c r="G1181" s="61">
        <v>1678.386</v>
      </c>
      <c r="H1181" s="62">
        <v>6.9059999999999997</v>
      </c>
      <c r="I1181" s="64">
        <v>2.7E-2</v>
      </c>
      <c r="J1181" s="68">
        <v>8.9030000000000005</v>
      </c>
      <c r="K1181" s="61">
        <v>27.613</v>
      </c>
      <c r="L1181" s="62">
        <v>5.4610000000000003</v>
      </c>
      <c r="M1181" s="137">
        <v>0.03</v>
      </c>
      <c r="N1181" s="57">
        <v>69.177000000000007</v>
      </c>
      <c r="O1181" s="67">
        <v>4.8000000000000001E-2</v>
      </c>
      <c r="P1181" s="96"/>
      <c r="Q1181" s="93"/>
      <c r="R1181" s="93"/>
      <c r="S1181" s="93"/>
      <c r="T1181" s="93"/>
    </row>
    <row r="1182" spans="1:20" ht="14.25" customHeight="1" x14ac:dyDescent="0.35">
      <c r="A1182" s="1">
        <v>2021</v>
      </c>
      <c r="B1182" s="1" t="s">
        <v>25</v>
      </c>
      <c r="C1182" s="1">
        <v>25</v>
      </c>
      <c r="D1182" s="49">
        <v>103.28100000000001</v>
      </c>
      <c r="E1182" s="50">
        <v>87.718999999999994</v>
      </c>
      <c r="F1182" s="60">
        <v>75.283000000000001</v>
      </c>
      <c r="G1182" s="61">
        <v>1677.4839999999999</v>
      </c>
      <c r="H1182" s="62">
        <v>6.907</v>
      </c>
      <c r="I1182" s="64">
        <v>2.1000000000000001E-2</v>
      </c>
      <c r="J1182" s="68">
        <v>8.8490000000000002</v>
      </c>
      <c r="K1182" s="65">
        <v>26.521000000000001</v>
      </c>
      <c r="L1182" s="50">
        <v>5.444</v>
      </c>
      <c r="M1182" s="137">
        <v>2.1000000000000001E-2</v>
      </c>
      <c r="N1182" s="57">
        <v>71.084999999999994</v>
      </c>
      <c r="O1182" s="67">
        <v>5.1999999999999998E-2</v>
      </c>
      <c r="P1182" s="96"/>
      <c r="Q1182" s="93"/>
      <c r="R1182" s="93"/>
      <c r="S1182" s="93"/>
      <c r="T1182" s="93"/>
    </row>
    <row r="1183" spans="1:20" ht="14.25" customHeight="1" x14ac:dyDescent="0.35">
      <c r="A1183" s="1">
        <v>2021</v>
      </c>
      <c r="B1183" s="1" t="s">
        <v>25</v>
      </c>
      <c r="C1183" s="1">
        <v>26</v>
      </c>
      <c r="D1183" s="49">
        <v>108.03100000000001</v>
      </c>
      <c r="E1183" s="50">
        <v>91.781000000000006</v>
      </c>
      <c r="F1183" s="60">
        <v>75.56</v>
      </c>
      <c r="G1183" s="61">
        <v>1680.748</v>
      </c>
      <c r="H1183" s="62">
        <v>6.9</v>
      </c>
      <c r="I1183" s="64">
        <v>2.1000000000000001E-2</v>
      </c>
      <c r="J1183" s="68">
        <v>8.766</v>
      </c>
      <c r="K1183" s="61">
        <v>26.408999999999999</v>
      </c>
      <c r="L1183" s="62">
        <v>5.4530000000000003</v>
      </c>
      <c r="M1183" s="137">
        <v>1.6E-2</v>
      </c>
      <c r="N1183" s="57">
        <v>69.891000000000005</v>
      </c>
      <c r="O1183" s="67">
        <v>5.2999999999999999E-2</v>
      </c>
      <c r="P1183" s="96"/>
      <c r="Q1183" s="93"/>
      <c r="R1183" s="93"/>
      <c r="S1183" s="93"/>
      <c r="T1183" s="93"/>
    </row>
    <row r="1184" spans="1:20" ht="14.25" customHeight="1" x14ac:dyDescent="0.35">
      <c r="A1184" s="1">
        <v>2021</v>
      </c>
      <c r="B1184" s="1" t="s">
        <v>25</v>
      </c>
      <c r="C1184" s="1">
        <v>27</v>
      </c>
      <c r="D1184" s="49">
        <v>108.53100000000001</v>
      </c>
      <c r="E1184" s="50">
        <v>92.25</v>
      </c>
      <c r="F1184" s="60">
        <v>75.994</v>
      </c>
      <c r="G1184" s="61">
        <v>1648.3389999999999</v>
      </c>
      <c r="H1184" s="62">
        <v>6.9</v>
      </c>
      <c r="I1184" s="64">
        <v>2.1999999999999999E-2</v>
      </c>
      <c r="J1184" s="68">
        <v>8.7550000000000008</v>
      </c>
      <c r="K1184" s="65">
        <v>24.513999999999999</v>
      </c>
      <c r="L1184" s="50">
        <v>5.4749999999999996</v>
      </c>
      <c r="M1184" s="137">
        <v>1.6E-2</v>
      </c>
      <c r="N1184" s="57">
        <v>66.116</v>
      </c>
      <c r="O1184" s="67">
        <v>4.9000000000000002E-2</v>
      </c>
      <c r="P1184" s="96"/>
      <c r="Q1184" s="93"/>
      <c r="R1184" s="93"/>
      <c r="S1184" s="93"/>
      <c r="T1184" s="93"/>
    </row>
    <row r="1185" spans="1:20" ht="14.25" customHeight="1" x14ac:dyDescent="0.35">
      <c r="A1185" s="1">
        <v>2021</v>
      </c>
      <c r="B1185" s="1" t="s">
        <v>25</v>
      </c>
      <c r="C1185" s="1">
        <v>28</v>
      </c>
      <c r="D1185" s="49">
        <v>107.03100000000001</v>
      </c>
      <c r="E1185" s="50">
        <v>91.063000000000002</v>
      </c>
      <c r="F1185" s="60">
        <v>76.540000000000006</v>
      </c>
      <c r="G1185" s="61">
        <v>1595.854</v>
      </c>
      <c r="H1185" s="62">
        <v>6.9</v>
      </c>
      <c r="I1185" s="64">
        <v>2.1000000000000001E-2</v>
      </c>
      <c r="J1185" s="76">
        <v>8.6259999999999994</v>
      </c>
      <c r="K1185" s="61">
        <v>23.588000000000001</v>
      </c>
      <c r="L1185" s="62">
        <v>5.4560000000000004</v>
      </c>
      <c r="M1185" s="137">
        <v>1.6E-2</v>
      </c>
      <c r="N1185" s="57">
        <v>69.174000000000007</v>
      </c>
      <c r="O1185" s="67">
        <v>4.8000000000000001E-2</v>
      </c>
      <c r="P1185" s="96"/>
      <c r="Q1185" s="93"/>
      <c r="R1185" s="93"/>
      <c r="S1185" s="93"/>
      <c r="T1185" s="93"/>
    </row>
    <row r="1186" spans="1:20" ht="14.25" customHeight="1" x14ac:dyDescent="0.35">
      <c r="A1186" s="1">
        <v>2021</v>
      </c>
      <c r="B1186" s="1" t="s">
        <v>25</v>
      </c>
      <c r="C1186" s="1">
        <v>29</v>
      </c>
      <c r="D1186" s="49">
        <v>105.625</v>
      </c>
      <c r="E1186" s="50">
        <v>90</v>
      </c>
      <c r="F1186" s="83">
        <v>76.459999999999994</v>
      </c>
      <c r="G1186" s="69">
        <v>1601.1469999999999</v>
      </c>
      <c r="H1186" s="50">
        <v>6.9</v>
      </c>
      <c r="I1186" s="137">
        <v>2.1000000000000001E-2</v>
      </c>
      <c r="J1186" s="117">
        <v>8.92</v>
      </c>
      <c r="K1186" s="61">
        <v>23.672000000000001</v>
      </c>
      <c r="L1186" s="62">
        <v>5.4640000000000004</v>
      </c>
      <c r="M1186" s="137">
        <v>1.6E-2</v>
      </c>
      <c r="N1186" s="57">
        <v>67.834000000000003</v>
      </c>
      <c r="O1186" s="67">
        <v>4.8000000000000001E-2</v>
      </c>
      <c r="P1186" s="96"/>
      <c r="Q1186" s="93"/>
      <c r="R1186" s="93"/>
      <c r="S1186" s="93"/>
      <c r="T1186" s="93"/>
    </row>
    <row r="1187" spans="1:20" ht="14.25" customHeight="1" x14ac:dyDescent="0.35">
      <c r="A1187" s="1">
        <v>2021</v>
      </c>
      <c r="B1187" s="1" t="s">
        <v>25</v>
      </c>
      <c r="C1187" s="1">
        <v>30</v>
      </c>
      <c r="D1187" s="49">
        <v>105.76600000000001</v>
      </c>
      <c r="E1187" s="50">
        <v>89.938000000000002</v>
      </c>
      <c r="F1187" s="83">
        <v>76.552000000000007</v>
      </c>
      <c r="G1187" s="69">
        <v>1673.4110000000001</v>
      </c>
      <c r="H1187" s="50">
        <v>6.9</v>
      </c>
      <c r="I1187" s="137">
        <v>2.1000000000000001E-2</v>
      </c>
      <c r="J1187" s="117">
        <v>9.0549999999999997</v>
      </c>
      <c r="K1187" s="61">
        <v>25.629000000000001</v>
      </c>
      <c r="L1187" s="62">
        <v>5.4720000000000004</v>
      </c>
      <c r="M1187" s="137">
        <v>1.6E-2</v>
      </c>
      <c r="N1187" s="57">
        <v>66.462000000000003</v>
      </c>
      <c r="O1187" s="67">
        <v>5.2999999999999999E-2</v>
      </c>
      <c r="P1187" s="96"/>
      <c r="Q1187" s="93"/>
      <c r="R1187" s="93"/>
      <c r="S1187" s="93"/>
      <c r="T1187" s="93"/>
    </row>
    <row r="1188" spans="1:20" ht="14.25" customHeight="1" x14ac:dyDescent="0.35">
      <c r="A1188" s="1">
        <v>2021</v>
      </c>
      <c r="B1188" s="1" t="s">
        <v>25</v>
      </c>
      <c r="C1188" s="1">
        <v>31</v>
      </c>
      <c r="D1188" s="104">
        <v>106.813</v>
      </c>
      <c r="E1188" s="105">
        <v>90.781000000000006</v>
      </c>
      <c r="F1188" s="118">
        <v>77.293999999999997</v>
      </c>
      <c r="G1188" s="119">
        <v>1687.2840000000001</v>
      </c>
      <c r="H1188" s="120">
        <v>6.9</v>
      </c>
      <c r="I1188" s="140">
        <v>2.1999999999999999E-2</v>
      </c>
      <c r="J1188" s="122">
        <v>8.6660000000000004</v>
      </c>
      <c r="K1188" s="65">
        <v>26.085000000000001</v>
      </c>
      <c r="L1188" s="50">
        <v>5.46</v>
      </c>
      <c r="M1188" s="137">
        <v>1.6E-2</v>
      </c>
      <c r="N1188" s="57">
        <v>68.194000000000003</v>
      </c>
      <c r="O1188" s="67">
        <v>5.2999999999999999E-2</v>
      </c>
      <c r="P1188" s="96"/>
      <c r="Q1188" s="93"/>
      <c r="R1188" s="93"/>
      <c r="S1188" s="93"/>
      <c r="T1188" s="93"/>
    </row>
    <row r="1189" spans="1:20" ht="14.25" customHeight="1" x14ac:dyDescent="0.35">
      <c r="A1189" s="1">
        <v>2021</v>
      </c>
      <c r="B1189" s="1" t="s">
        <v>26</v>
      </c>
      <c r="C1189" s="1">
        <v>1</v>
      </c>
      <c r="D1189" s="49">
        <v>109.078</v>
      </c>
      <c r="E1189" s="50">
        <v>92.75</v>
      </c>
      <c r="F1189" s="51">
        <v>77.555000000000007</v>
      </c>
      <c r="G1189" s="52">
        <v>1699.1769999999999</v>
      </c>
      <c r="H1189" s="53">
        <v>6.9</v>
      </c>
      <c r="I1189" s="55">
        <v>2.3E-2</v>
      </c>
      <c r="J1189" s="59">
        <v>8.6880000000000006</v>
      </c>
      <c r="K1189" s="52">
        <v>26.978000000000002</v>
      </c>
      <c r="L1189" s="55">
        <v>5.4589999999999996</v>
      </c>
      <c r="M1189" s="136">
        <v>1.6E-2</v>
      </c>
      <c r="N1189" s="57">
        <v>68.981999999999999</v>
      </c>
      <c r="O1189" s="58">
        <v>5.1999999999999998E-2</v>
      </c>
      <c r="P1189" s="96"/>
      <c r="Q1189" s="93"/>
      <c r="R1189" s="93"/>
      <c r="S1189" s="93"/>
      <c r="T1189" s="93"/>
    </row>
    <row r="1190" spans="1:20" ht="14.25" customHeight="1" x14ac:dyDescent="0.35">
      <c r="A1190" s="1">
        <v>2021</v>
      </c>
      <c r="B1190" s="1" t="s">
        <v>26</v>
      </c>
      <c r="C1190" s="1">
        <v>2</v>
      </c>
      <c r="D1190" s="49">
        <v>109</v>
      </c>
      <c r="E1190" s="50">
        <v>92.718999999999994</v>
      </c>
      <c r="F1190" s="60">
        <v>77.072999999999993</v>
      </c>
      <c r="G1190" s="61">
        <v>1706.0619999999999</v>
      </c>
      <c r="H1190" s="62">
        <v>6.9</v>
      </c>
      <c r="I1190" s="64">
        <v>2.1999999999999999E-2</v>
      </c>
      <c r="J1190" s="68">
        <v>8.7029999999999994</v>
      </c>
      <c r="K1190" s="65">
        <v>26.609000000000002</v>
      </c>
      <c r="L1190" s="50">
        <v>5.41</v>
      </c>
      <c r="M1190" s="137">
        <v>1.6E-2</v>
      </c>
      <c r="N1190" s="57">
        <v>76.861999999999995</v>
      </c>
      <c r="O1190" s="67">
        <v>5.3999999999999999E-2</v>
      </c>
      <c r="P1190" s="96"/>
      <c r="Q1190" s="93"/>
      <c r="R1190" s="93"/>
      <c r="S1190" s="93"/>
      <c r="T1190" s="93"/>
    </row>
    <row r="1191" spans="1:20" ht="14.25" customHeight="1" x14ac:dyDescent="0.35">
      <c r="A1191" s="1">
        <v>2021</v>
      </c>
      <c r="B1191" s="1" t="s">
        <v>26</v>
      </c>
      <c r="C1191" s="1">
        <v>3</v>
      </c>
      <c r="D1191" s="49">
        <v>107.23399999999999</v>
      </c>
      <c r="E1191" s="50">
        <v>91.313000000000002</v>
      </c>
      <c r="F1191" s="60">
        <v>77.105000000000004</v>
      </c>
      <c r="G1191" s="61">
        <v>1666.134</v>
      </c>
      <c r="H1191" s="62">
        <v>6.9</v>
      </c>
      <c r="I1191" s="64">
        <v>2.1999999999999999E-2</v>
      </c>
      <c r="J1191" s="68">
        <v>8.5579999999999998</v>
      </c>
      <c r="K1191" s="65">
        <v>25.219000000000001</v>
      </c>
      <c r="L1191" s="50">
        <v>5.4039999999999999</v>
      </c>
      <c r="M1191" s="137">
        <v>1.6E-2</v>
      </c>
      <c r="N1191" s="57">
        <v>77.632999999999996</v>
      </c>
      <c r="O1191" s="67">
        <v>5.0999999999999997E-2</v>
      </c>
      <c r="P1191" s="96"/>
      <c r="Q1191" s="93"/>
      <c r="R1191" s="93"/>
      <c r="S1191" s="93"/>
      <c r="T1191" s="93"/>
    </row>
    <row r="1192" spans="1:20" ht="14.25" customHeight="1" x14ac:dyDescent="0.35">
      <c r="A1192" s="1">
        <v>2021</v>
      </c>
      <c r="B1192" s="1" t="s">
        <v>26</v>
      </c>
      <c r="C1192" s="1">
        <v>4</v>
      </c>
      <c r="D1192" s="49">
        <v>105.547</v>
      </c>
      <c r="E1192" s="50">
        <v>90.031000000000006</v>
      </c>
      <c r="F1192" s="60">
        <v>77.085999999999999</v>
      </c>
      <c r="G1192" s="61">
        <v>1611.607</v>
      </c>
      <c r="H1192" s="62">
        <v>6.9</v>
      </c>
      <c r="I1192" s="64">
        <v>2.1000000000000001E-2</v>
      </c>
      <c r="J1192" s="68">
        <v>8.452</v>
      </c>
      <c r="K1192" s="65">
        <v>24.681999999999999</v>
      </c>
      <c r="L1192" s="50">
        <v>5.4039999999999999</v>
      </c>
      <c r="M1192" s="137">
        <v>1.6E-2</v>
      </c>
      <c r="N1192" s="57">
        <v>77.593000000000004</v>
      </c>
      <c r="O1192" s="67">
        <v>4.5999999999999999E-2</v>
      </c>
      <c r="P1192" s="96"/>
      <c r="Q1192" s="93"/>
      <c r="R1192" s="93"/>
      <c r="S1192" s="93"/>
      <c r="T1192" s="93"/>
    </row>
    <row r="1193" spans="1:20" ht="14.25" customHeight="1" x14ac:dyDescent="0.35">
      <c r="A1193" s="1">
        <v>2021</v>
      </c>
      <c r="B1193" s="1" t="s">
        <v>26</v>
      </c>
      <c r="C1193" s="1">
        <v>5</v>
      </c>
      <c r="D1193" s="49">
        <v>105.813</v>
      </c>
      <c r="E1193" s="50">
        <v>90</v>
      </c>
      <c r="F1193" s="60">
        <v>77.027000000000001</v>
      </c>
      <c r="G1193" s="61">
        <v>1609.3969999999999</v>
      </c>
      <c r="H1193" s="62">
        <v>6.9</v>
      </c>
      <c r="I1193" s="64">
        <v>2.1999999999999999E-2</v>
      </c>
      <c r="J1193" s="68">
        <v>8.8190000000000008</v>
      </c>
      <c r="K1193" s="65">
        <v>25.335000000000001</v>
      </c>
      <c r="L1193" s="50">
        <v>5.4139999999999997</v>
      </c>
      <c r="M1193" s="137">
        <v>1.6E-2</v>
      </c>
      <c r="N1193" s="57">
        <v>76.081000000000003</v>
      </c>
      <c r="O1193" s="67">
        <v>4.7E-2</v>
      </c>
      <c r="P1193" s="96"/>
      <c r="Q1193" s="93"/>
      <c r="R1193" s="93"/>
      <c r="S1193" s="93"/>
      <c r="T1193" s="93"/>
    </row>
    <row r="1194" spans="1:20" ht="14.25" customHeight="1" x14ac:dyDescent="0.35">
      <c r="A1194" s="1">
        <v>2021</v>
      </c>
      <c r="B1194" s="1" t="s">
        <v>26</v>
      </c>
      <c r="C1194" s="1">
        <v>6</v>
      </c>
      <c r="D1194" s="49">
        <v>105.828</v>
      </c>
      <c r="E1194" s="50">
        <v>90</v>
      </c>
      <c r="F1194" s="60">
        <v>77.141999999999996</v>
      </c>
      <c r="G1194" s="61">
        <v>1689.2539999999999</v>
      </c>
      <c r="H1194" s="62">
        <v>6.9</v>
      </c>
      <c r="I1194" s="64">
        <v>2.1999999999999999E-2</v>
      </c>
      <c r="J1194" s="68">
        <v>9.2750000000000004</v>
      </c>
      <c r="K1194" s="65">
        <v>25.861999999999998</v>
      </c>
      <c r="L1194" s="50">
        <v>5.4050000000000002</v>
      </c>
      <c r="M1194" s="137">
        <v>1.6E-2</v>
      </c>
      <c r="N1194" s="57">
        <v>77.566000000000003</v>
      </c>
      <c r="O1194" s="67">
        <v>5.1999999999999998E-2</v>
      </c>
      <c r="P1194" s="96"/>
      <c r="Q1194" s="93"/>
      <c r="R1194" s="93"/>
      <c r="S1194" s="93"/>
      <c r="T1194" s="93"/>
    </row>
    <row r="1195" spans="1:20" ht="14.25" customHeight="1" x14ac:dyDescent="0.35">
      <c r="A1195" s="1">
        <v>2021</v>
      </c>
      <c r="B1195" s="1" t="s">
        <v>26</v>
      </c>
      <c r="C1195" s="1">
        <v>7</v>
      </c>
      <c r="D1195" s="49">
        <v>105.953</v>
      </c>
      <c r="E1195" s="50">
        <v>89.968999999999994</v>
      </c>
      <c r="F1195" s="60">
        <v>77.599000000000004</v>
      </c>
      <c r="G1195" s="61">
        <v>1698.5029999999999</v>
      </c>
      <c r="H1195" s="62">
        <v>6.9</v>
      </c>
      <c r="I1195" s="64">
        <v>2.3E-2</v>
      </c>
      <c r="J1195" s="68">
        <v>8.9139999999999997</v>
      </c>
      <c r="K1195" s="65">
        <v>26.292999999999999</v>
      </c>
      <c r="L1195" s="50">
        <v>5.3979999999999997</v>
      </c>
      <c r="M1195" s="137">
        <v>1.6E-2</v>
      </c>
      <c r="N1195" s="57">
        <v>78.804000000000002</v>
      </c>
      <c r="O1195" s="67">
        <v>5.1999999999999998E-2</v>
      </c>
      <c r="P1195" s="96"/>
      <c r="Q1195" s="93"/>
      <c r="R1195" s="93"/>
      <c r="S1195" s="93"/>
      <c r="T1195" s="93"/>
    </row>
    <row r="1196" spans="1:20" ht="14.25" customHeight="1" x14ac:dyDescent="0.35">
      <c r="A1196" s="1">
        <v>2021</v>
      </c>
      <c r="B1196" s="1" t="s">
        <v>26</v>
      </c>
      <c r="C1196" s="1">
        <v>8</v>
      </c>
      <c r="D1196" s="49">
        <v>105.85899999999999</v>
      </c>
      <c r="E1196" s="50">
        <v>89.843999999999994</v>
      </c>
      <c r="F1196" s="60">
        <v>77.728999999999999</v>
      </c>
      <c r="G1196" s="69">
        <v>1721.971</v>
      </c>
      <c r="H1196" s="62">
        <v>6.9</v>
      </c>
      <c r="I1196" s="64">
        <v>2.5999999999999999E-2</v>
      </c>
      <c r="J1196" s="71">
        <v>8.89</v>
      </c>
      <c r="K1196" s="65">
        <v>27.434999999999999</v>
      </c>
      <c r="L1196" s="50">
        <v>5.41</v>
      </c>
      <c r="M1196" s="137">
        <v>1.6E-2</v>
      </c>
      <c r="N1196" s="57">
        <v>76.5</v>
      </c>
      <c r="O1196" s="70">
        <v>5.3999999999999999E-2</v>
      </c>
      <c r="P1196" s="96"/>
      <c r="Q1196" s="93"/>
      <c r="R1196" s="93"/>
      <c r="S1196" s="93"/>
      <c r="T1196" s="93"/>
    </row>
    <row r="1197" spans="1:20" ht="14.25" customHeight="1" x14ac:dyDescent="0.35">
      <c r="A1197" s="1">
        <v>2021</v>
      </c>
      <c r="B1197" s="1" t="s">
        <v>26</v>
      </c>
      <c r="C1197" s="1">
        <v>9</v>
      </c>
      <c r="D1197" s="49">
        <v>105.01600000000001</v>
      </c>
      <c r="E1197" s="50">
        <v>89.156000000000006</v>
      </c>
      <c r="F1197" s="60">
        <v>77.528999999999996</v>
      </c>
      <c r="G1197" s="61">
        <v>1735.8430000000001</v>
      </c>
      <c r="H1197" s="62">
        <v>6.9</v>
      </c>
      <c r="I1197" s="64">
        <v>2.7E-2</v>
      </c>
      <c r="J1197" s="68">
        <v>8.9489999999999998</v>
      </c>
      <c r="K1197" s="65">
        <v>27.742000000000001</v>
      </c>
      <c r="L1197" s="50">
        <v>5.4560000000000004</v>
      </c>
      <c r="M1197" s="137">
        <v>1.6E-2</v>
      </c>
      <c r="N1197" s="57">
        <v>69.795000000000002</v>
      </c>
      <c r="O1197" s="67">
        <v>6.0999999999999999E-2</v>
      </c>
      <c r="P1197" s="96"/>
      <c r="Q1197" s="93"/>
      <c r="R1197" s="93"/>
      <c r="S1197" s="93"/>
      <c r="T1197" s="93"/>
    </row>
    <row r="1198" spans="1:20" ht="14.25" customHeight="1" x14ac:dyDescent="0.35">
      <c r="A1198" s="1">
        <v>2021</v>
      </c>
      <c r="B1198" s="1" t="s">
        <v>26</v>
      </c>
      <c r="C1198" s="1">
        <v>10</v>
      </c>
      <c r="D1198" s="49">
        <v>107.797</v>
      </c>
      <c r="E1198" s="50">
        <v>91.593999999999994</v>
      </c>
      <c r="F1198" s="72">
        <v>77.692999999999998</v>
      </c>
      <c r="G1198" s="61">
        <v>1723.0709999999999</v>
      </c>
      <c r="H1198" s="62">
        <v>6.9</v>
      </c>
      <c r="I1198" s="64">
        <v>2.3E-2</v>
      </c>
      <c r="J1198" s="76">
        <v>8.9849999999999994</v>
      </c>
      <c r="K1198" s="65">
        <v>28.382999999999999</v>
      </c>
      <c r="L1198" s="50">
        <v>5.45</v>
      </c>
      <c r="M1198" s="138">
        <v>1.6E-2</v>
      </c>
      <c r="N1198" s="57">
        <v>69.817999999999998</v>
      </c>
      <c r="O1198" s="75">
        <v>5.0999999999999997E-2</v>
      </c>
      <c r="P1198" s="96"/>
      <c r="Q1198" s="93"/>
      <c r="R1198" s="93"/>
      <c r="S1198" s="93"/>
      <c r="T1198" s="93"/>
    </row>
    <row r="1199" spans="1:20" ht="14.25" customHeight="1" x14ac:dyDescent="0.35">
      <c r="A1199" s="1">
        <v>2021</v>
      </c>
      <c r="B1199" s="1" t="s">
        <v>26</v>
      </c>
      <c r="C1199" s="1">
        <v>11</v>
      </c>
      <c r="D1199" s="49">
        <v>107.25</v>
      </c>
      <c r="E1199" s="50">
        <v>91.125</v>
      </c>
      <c r="F1199" s="72">
        <v>77.459000000000003</v>
      </c>
      <c r="G1199" s="61">
        <v>1669.2760000000001</v>
      </c>
      <c r="H1199" s="62">
        <v>6.9</v>
      </c>
      <c r="I1199" s="64">
        <v>2.3E-2</v>
      </c>
      <c r="J1199" s="76">
        <v>9.0050000000000008</v>
      </c>
      <c r="K1199" s="65">
        <v>27.071999999999999</v>
      </c>
      <c r="L1199" s="50">
        <v>5.4459999999999997</v>
      </c>
      <c r="M1199" s="138">
        <v>1.6E-2</v>
      </c>
      <c r="N1199" s="57">
        <v>70.534999999999997</v>
      </c>
      <c r="O1199" s="75">
        <v>4.9000000000000002E-2</v>
      </c>
      <c r="P1199" s="96"/>
      <c r="Q1199" s="93"/>
      <c r="R1199" s="93"/>
      <c r="S1199" s="93"/>
      <c r="T1199" s="93"/>
    </row>
    <row r="1200" spans="1:20" ht="14.25" customHeight="1" x14ac:dyDescent="0.35">
      <c r="A1200" s="1">
        <v>2021</v>
      </c>
      <c r="B1200" s="1" t="s">
        <v>26</v>
      </c>
      <c r="C1200" s="1">
        <v>12</v>
      </c>
      <c r="D1200" s="49">
        <v>105.23399999999999</v>
      </c>
      <c r="E1200" s="50">
        <v>89.375</v>
      </c>
      <c r="F1200" s="72">
        <v>77.23</v>
      </c>
      <c r="G1200" s="61">
        <v>1645.875</v>
      </c>
      <c r="H1200" s="62">
        <v>6.9</v>
      </c>
      <c r="I1200" s="64">
        <v>2.1000000000000001E-2</v>
      </c>
      <c r="J1200" s="76">
        <v>9.1349999999999998</v>
      </c>
      <c r="K1200" s="65">
        <v>26.526</v>
      </c>
      <c r="L1200" s="50">
        <v>5.4649999999999999</v>
      </c>
      <c r="M1200" s="138">
        <v>1.6E-2</v>
      </c>
      <c r="N1200" s="57">
        <v>67.573999999999998</v>
      </c>
      <c r="O1200" s="75">
        <v>4.9000000000000002E-2</v>
      </c>
      <c r="P1200" s="96"/>
      <c r="Q1200" s="93"/>
      <c r="R1200" s="93"/>
      <c r="S1200" s="93"/>
      <c r="T1200" s="93"/>
    </row>
    <row r="1201" spans="1:20" ht="14.25" customHeight="1" x14ac:dyDescent="0.35">
      <c r="A1201" s="1">
        <v>2021</v>
      </c>
      <c r="B1201" s="1" t="s">
        <v>26</v>
      </c>
      <c r="C1201" s="1">
        <v>13</v>
      </c>
      <c r="D1201" s="49">
        <v>106.01600000000001</v>
      </c>
      <c r="E1201" s="50">
        <v>90</v>
      </c>
      <c r="F1201" s="78">
        <v>77.61</v>
      </c>
      <c r="G1201" s="61">
        <v>1740.8810000000001</v>
      </c>
      <c r="H1201" s="62">
        <v>6.9</v>
      </c>
      <c r="I1201" s="64">
        <v>2.1000000000000001E-2</v>
      </c>
      <c r="J1201" s="81">
        <v>9.3620000000000001</v>
      </c>
      <c r="K1201" s="65">
        <v>28.600999999999999</v>
      </c>
      <c r="L1201" s="50">
        <v>5.4560000000000004</v>
      </c>
      <c r="M1201" s="137">
        <v>1.6E-2</v>
      </c>
      <c r="N1201" s="57">
        <v>68.86</v>
      </c>
      <c r="O1201" s="80">
        <v>5.6000000000000001E-2</v>
      </c>
      <c r="P1201" s="96"/>
      <c r="Q1201" s="93"/>
      <c r="R1201" s="93"/>
      <c r="S1201" s="93"/>
      <c r="T1201" s="93"/>
    </row>
    <row r="1202" spans="1:20" ht="14.25" customHeight="1" x14ac:dyDescent="0.35">
      <c r="A1202" s="1">
        <v>2021</v>
      </c>
      <c r="B1202" s="1" t="s">
        <v>26</v>
      </c>
      <c r="C1202" s="1">
        <v>14</v>
      </c>
      <c r="D1202" s="49">
        <v>103.26600000000001</v>
      </c>
      <c r="E1202" s="50">
        <v>87.688000000000002</v>
      </c>
      <c r="F1202" s="60">
        <v>77.33</v>
      </c>
      <c r="G1202" s="61">
        <v>1749.0129999999999</v>
      </c>
      <c r="H1202" s="62">
        <v>6.9</v>
      </c>
      <c r="I1202" s="64">
        <v>2.1000000000000001E-2</v>
      </c>
      <c r="J1202" s="81">
        <v>9.1210000000000004</v>
      </c>
      <c r="K1202" s="82">
        <v>28.268999999999998</v>
      </c>
      <c r="L1202" s="50">
        <v>5.4489999999999998</v>
      </c>
      <c r="M1202" s="137">
        <v>1.6E-2</v>
      </c>
      <c r="N1202" s="57">
        <v>70.289000000000001</v>
      </c>
      <c r="O1202" s="80">
        <v>5.2999999999999999E-2</v>
      </c>
      <c r="P1202" s="96"/>
      <c r="Q1202" s="93"/>
      <c r="R1202" s="93"/>
      <c r="S1202" s="93"/>
      <c r="T1202" s="93"/>
    </row>
    <row r="1203" spans="1:20" ht="14.25" customHeight="1" x14ac:dyDescent="0.35">
      <c r="A1203" s="1">
        <v>2021</v>
      </c>
      <c r="B1203" s="1" t="s">
        <v>26</v>
      </c>
      <c r="C1203" s="1">
        <v>15</v>
      </c>
      <c r="D1203" s="49">
        <v>108.797</v>
      </c>
      <c r="E1203" s="50">
        <v>92.438000000000002</v>
      </c>
      <c r="F1203" s="60">
        <v>77.247</v>
      </c>
      <c r="G1203" s="61">
        <v>1773.3810000000001</v>
      </c>
      <c r="H1203" s="62">
        <v>6.9</v>
      </c>
      <c r="I1203" s="64">
        <v>2.1000000000000001E-2</v>
      </c>
      <c r="J1203" s="76">
        <v>9.1039999999999992</v>
      </c>
      <c r="K1203" s="65">
        <v>28.818999999999999</v>
      </c>
      <c r="L1203" s="50">
        <v>5.4560000000000004</v>
      </c>
      <c r="M1203" s="137">
        <v>1.6E-2</v>
      </c>
      <c r="N1203" s="57">
        <v>68.786000000000001</v>
      </c>
      <c r="O1203" s="75">
        <v>5.2999999999999999E-2</v>
      </c>
      <c r="P1203" s="96"/>
      <c r="Q1203" s="93"/>
      <c r="R1203" s="93"/>
      <c r="S1203" s="93"/>
      <c r="T1203" s="93"/>
    </row>
    <row r="1204" spans="1:20" ht="14.25" customHeight="1" x14ac:dyDescent="0.35">
      <c r="A1204" s="1">
        <v>2021</v>
      </c>
      <c r="B1204" s="1" t="s">
        <v>26</v>
      </c>
      <c r="C1204" s="1">
        <v>16</v>
      </c>
      <c r="D1204" s="49">
        <v>110.453</v>
      </c>
      <c r="E1204" s="50">
        <v>93.938000000000002</v>
      </c>
      <c r="F1204" s="60">
        <v>77.566999999999993</v>
      </c>
      <c r="G1204" s="61">
        <v>1748.8119999999999</v>
      </c>
      <c r="H1204" s="62">
        <v>6.9</v>
      </c>
      <c r="I1204" s="64">
        <v>2.1999999999999999E-2</v>
      </c>
      <c r="J1204" s="81">
        <v>8.7420000000000009</v>
      </c>
      <c r="K1204" s="61">
        <v>28.38</v>
      </c>
      <c r="L1204" s="62">
        <v>5.407</v>
      </c>
      <c r="M1204" s="137">
        <v>1.6E-2</v>
      </c>
      <c r="N1204" s="57">
        <v>77.39</v>
      </c>
      <c r="O1204" s="80">
        <v>5.1999999999999998E-2</v>
      </c>
      <c r="P1204" s="96"/>
      <c r="Q1204" s="93"/>
      <c r="R1204" s="93"/>
      <c r="S1204" s="93"/>
      <c r="T1204" s="93"/>
    </row>
    <row r="1205" spans="1:20" ht="14.25" customHeight="1" x14ac:dyDescent="0.35">
      <c r="A1205" s="1">
        <v>2021</v>
      </c>
      <c r="B1205" s="1" t="s">
        <v>26</v>
      </c>
      <c r="C1205" s="1">
        <v>17</v>
      </c>
      <c r="D1205" s="49">
        <v>107.703</v>
      </c>
      <c r="E1205" s="50">
        <v>91.563000000000002</v>
      </c>
      <c r="F1205" s="60">
        <v>77.643000000000001</v>
      </c>
      <c r="G1205" s="61">
        <v>1732.9290000000001</v>
      </c>
      <c r="H1205" s="62">
        <v>6.9</v>
      </c>
      <c r="I1205" s="64">
        <v>2.1999999999999999E-2</v>
      </c>
      <c r="J1205" s="68">
        <v>8.5969999999999995</v>
      </c>
      <c r="K1205" s="65">
        <v>28.718</v>
      </c>
      <c r="L1205" s="50">
        <v>5.367</v>
      </c>
      <c r="M1205" s="137">
        <v>1.6E-2</v>
      </c>
      <c r="N1205" s="57">
        <v>84.953999999999994</v>
      </c>
      <c r="O1205" s="67">
        <v>5.2999999999999999E-2</v>
      </c>
      <c r="P1205" s="96"/>
      <c r="Q1205" s="93"/>
      <c r="R1205" s="93"/>
      <c r="S1205" s="93"/>
      <c r="T1205" s="93"/>
    </row>
    <row r="1206" spans="1:20" ht="14.25" customHeight="1" x14ac:dyDescent="0.35">
      <c r="A1206" s="1">
        <v>2021</v>
      </c>
      <c r="B1206" s="1" t="s">
        <v>26</v>
      </c>
      <c r="C1206" s="1">
        <v>18</v>
      </c>
      <c r="D1206" s="49">
        <v>105.828</v>
      </c>
      <c r="E1206" s="50">
        <v>89.968999999999994</v>
      </c>
      <c r="F1206" s="60">
        <v>78.069000000000003</v>
      </c>
      <c r="G1206" s="61">
        <v>1673.383</v>
      </c>
      <c r="H1206" s="62">
        <v>6.9</v>
      </c>
      <c r="I1206" s="64">
        <v>2.1999999999999999E-2</v>
      </c>
      <c r="J1206" s="68">
        <v>8.5630000000000006</v>
      </c>
      <c r="K1206" s="61">
        <v>27.419</v>
      </c>
      <c r="L1206" s="62">
        <v>5.3579999999999997</v>
      </c>
      <c r="M1206" s="137">
        <v>1.6E-2</v>
      </c>
      <c r="N1206" s="57">
        <v>86.644999999999996</v>
      </c>
      <c r="O1206" s="67">
        <v>4.9000000000000002E-2</v>
      </c>
      <c r="P1206" s="96"/>
      <c r="Q1206" s="93"/>
      <c r="R1206" s="93"/>
      <c r="S1206" s="93"/>
      <c r="T1206" s="93"/>
    </row>
    <row r="1207" spans="1:20" ht="14.25" customHeight="1" x14ac:dyDescent="0.35">
      <c r="A1207" s="1">
        <v>2021</v>
      </c>
      <c r="B1207" s="1" t="s">
        <v>26</v>
      </c>
      <c r="C1207" s="1">
        <v>19</v>
      </c>
      <c r="D1207" s="49">
        <v>105.73399999999999</v>
      </c>
      <c r="E1207" s="50">
        <v>89.843999999999994</v>
      </c>
      <c r="F1207" s="60">
        <v>78.138999999999996</v>
      </c>
      <c r="G1207" s="61">
        <v>1662.3009999999999</v>
      </c>
      <c r="H1207" s="62">
        <v>6.9</v>
      </c>
      <c r="I1207" s="64">
        <v>2.1999999999999999E-2</v>
      </c>
      <c r="J1207" s="68">
        <v>8.6</v>
      </c>
      <c r="K1207" s="65">
        <v>27.869</v>
      </c>
      <c r="L1207" s="50">
        <v>5.367</v>
      </c>
      <c r="M1207" s="137">
        <v>1.6E-2</v>
      </c>
      <c r="N1207" s="57">
        <v>84.899000000000001</v>
      </c>
      <c r="O1207" s="67">
        <v>4.9000000000000002E-2</v>
      </c>
      <c r="P1207" s="96"/>
      <c r="Q1207" s="93"/>
      <c r="R1207" s="93"/>
      <c r="S1207" s="93"/>
      <c r="T1207" s="93"/>
    </row>
    <row r="1208" spans="1:20" ht="14.25" customHeight="1" x14ac:dyDescent="0.35">
      <c r="A1208" s="1">
        <v>2021</v>
      </c>
      <c r="B1208" s="1" t="s">
        <v>26</v>
      </c>
      <c r="C1208" s="1">
        <v>20</v>
      </c>
      <c r="D1208" s="49">
        <v>105.96899999999999</v>
      </c>
      <c r="E1208" s="50">
        <v>90</v>
      </c>
      <c r="F1208" s="60">
        <v>78.100999999999999</v>
      </c>
      <c r="G1208" s="61">
        <v>1734.1179999999999</v>
      </c>
      <c r="H1208" s="62">
        <v>6.9</v>
      </c>
      <c r="I1208" s="64">
        <v>2.1999999999999999E-2</v>
      </c>
      <c r="J1208" s="68">
        <v>8.8390000000000004</v>
      </c>
      <c r="K1208" s="61">
        <v>28.844000000000001</v>
      </c>
      <c r="L1208" s="62">
        <v>5.359</v>
      </c>
      <c r="M1208" s="137">
        <v>1.6E-2</v>
      </c>
      <c r="N1208" s="57">
        <v>86.28</v>
      </c>
      <c r="O1208" s="67">
        <v>5.6000000000000001E-2</v>
      </c>
      <c r="P1208" s="96"/>
      <c r="Q1208" s="93"/>
      <c r="R1208" s="93"/>
      <c r="S1208" s="93"/>
      <c r="T1208" s="93"/>
    </row>
    <row r="1209" spans="1:20" ht="14.25" customHeight="1" x14ac:dyDescent="0.35">
      <c r="A1209" s="1">
        <v>2021</v>
      </c>
      <c r="B1209" s="1" t="s">
        <v>26</v>
      </c>
      <c r="C1209" s="1">
        <v>21</v>
      </c>
      <c r="D1209" s="49">
        <v>106.84399999999999</v>
      </c>
      <c r="E1209" s="50">
        <v>90.75</v>
      </c>
      <c r="F1209" s="60">
        <v>77.795000000000002</v>
      </c>
      <c r="G1209" s="61">
        <v>1773.91</v>
      </c>
      <c r="H1209" s="62">
        <v>6.899</v>
      </c>
      <c r="I1209" s="64">
        <v>2.1999999999999999E-2</v>
      </c>
      <c r="J1209" s="68">
        <v>8.9290000000000003</v>
      </c>
      <c r="K1209" s="65">
        <v>29.641999999999999</v>
      </c>
      <c r="L1209" s="50">
        <v>5.3719999999999999</v>
      </c>
      <c r="M1209" s="137">
        <v>1.6E-2</v>
      </c>
      <c r="N1209" s="57">
        <v>83.703000000000003</v>
      </c>
      <c r="O1209" s="67">
        <v>5.6000000000000001E-2</v>
      </c>
      <c r="P1209" s="96"/>
      <c r="Q1209" s="93"/>
      <c r="R1209" s="93"/>
      <c r="S1209" s="93"/>
      <c r="T1209" s="93"/>
    </row>
    <row r="1210" spans="1:20" ht="14.25" customHeight="1" x14ac:dyDescent="0.35">
      <c r="A1210" s="1">
        <v>2021</v>
      </c>
      <c r="B1210" s="1" t="s">
        <v>26</v>
      </c>
      <c r="C1210" s="1">
        <v>22</v>
      </c>
      <c r="D1210" s="49">
        <v>108.64100000000001</v>
      </c>
      <c r="E1210" s="50">
        <v>92.343999999999994</v>
      </c>
      <c r="F1210" s="60">
        <v>77.831999999999994</v>
      </c>
      <c r="G1210" s="61">
        <v>1773.2439999999999</v>
      </c>
      <c r="H1210" s="62">
        <v>6.9</v>
      </c>
      <c r="I1210" s="64">
        <v>2.1999999999999999E-2</v>
      </c>
      <c r="J1210" s="68">
        <v>8.6159999999999997</v>
      </c>
      <c r="K1210" s="61">
        <v>30.172000000000001</v>
      </c>
      <c r="L1210" s="62">
        <v>5.37</v>
      </c>
      <c r="M1210" s="137">
        <v>1.6E-2</v>
      </c>
      <c r="N1210" s="57">
        <v>84.269000000000005</v>
      </c>
      <c r="O1210" s="67">
        <v>5.7000000000000002E-2</v>
      </c>
      <c r="P1210" s="96"/>
      <c r="Q1210" s="93"/>
      <c r="R1210" s="93"/>
      <c r="S1210" s="93"/>
      <c r="T1210" s="93"/>
    </row>
    <row r="1211" spans="1:20" ht="14.25" customHeight="1" x14ac:dyDescent="0.35">
      <c r="A1211" s="1">
        <v>2021</v>
      </c>
      <c r="B1211" s="1" t="s">
        <v>26</v>
      </c>
      <c r="C1211" s="1">
        <v>23</v>
      </c>
      <c r="D1211" s="49">
        <v>107.172</v>
      </c>
      <c r="E1211" s="50">
        <v>91.063000000000002</v>
      </c>
      <c r="F1211" s="60">
        <v>77.644999999999996</v>
      </c>
      <c r="G1211" s="61">
        <v>1759.3879999999999</v>
      </c>
      <c r="H1211" s="62">
        <v>6.9</v>
      </c>
      <c r="I1211" s="64">
        <v>2.1999999999999999E-2</v>
      </c>
      <c r="J1211" s="68">
        <v>8.7040000000000006</v>
      </c>
      <c r="K1211" s="65">
        <v>29.966000000000001</v>
      </c>
      <c r="L1211" s="50">
        <v>5.43</v>
      </c>
      <c r="M1211" s="137">
        <v>1.6E-2</v>
      </c>
      <c r="N1211" s="57">
        <v>74.492999999999995</v>
      </c>
      <c r="O1211" s="67">
        <v>5.5E-2</v>
      </c>
      <c r="P1211" s="96"/>
      <c r="Q1211" s="93"/>
      <c r="R1211" s="93"/>
      <c r="S1211" s="93"/>
      <c r="T1211" s="93"/>
    </row>
    <row r="1212" spans="1:20" ht="14.25" customHeight="1" x14ac:dyDescent="0.35">
      <c r="A1212" s="1">
        <v>2021</v>
      </c>
      <c r="B1212" s="1" t="s">
        <v>26</v>
      </c>
      <c r="C1212" s="1">
        <v>24</v>
      </c>
      <c r="D1212" s="49">
        <v>109.23399999999999</v>
      </c>
      <c r="E1212" s="50">
        <v>92.813000000000002</v>
      </c>
      <c r="F1212" s="60">
        <v>77.680000000000007</v>
      </c>
      <c r="G1212" s="61">
        <v>1726.3989999999999</v>
      </c>
      <c r="H1212" s="62">
        <v>6.9</v>
      </c>
      <c r="I1212" s="64">
        <v>2.1999999999999999E-2</v>
      </c>
      <c r="J1212" s="68">
        <v>8.6980000000000004</v>
      </c>
      <c r="K1212" s="61">
        <v>29.103000000000002</v>
      </c>
      <c r="L1212" s="62">
        <v>5.4749999999999996</v>
      </c>
      <c r="M1212" s="137">
        <v>1.6E-2</v>
      </c>
      <c r="N1212" s="57">
        <v>65.989000000000004</v>
      </c>
      <c r="O1212" s="67">
        <v>5.1999999999999998E-2</v>
      </c>
      <c r="P1212" s="96"/>
      <c r="Q1212" s="93"/>
      <c r="R1212" s="93"/>
      <c r="S1212" s="93"/>
      <c r="T1212" s="93"/>
    </row>
    <row r="1213" spans="1:20" ht="14.25" customHeight="1" x14ac:dyDescent="0.35">
      <c r="A1213" s="1">
        <v>2021</v>
      </c>
      <c r="B1213" s="1" t="s">
        <v>26</v>
      </c>
      <c r="C1213" s="1">
        <v>25</v>
      </c>
      <c r="D1213" s="49">
        <v>106.96899999999999</v>
      </c>
      <c r="E1213" s="50">
        <v>90.875</v>
      </c>
      <c r="F1213" s="60">
        <v>77.962999999999994</v>
      </c>
      <c r="G1213" s="61">
        <v>1671.2639999999999</v>
      </c>
      <c r="H1213" s="62">
        <v>6.9</v>
      </c>
      <c r="I1213" s="64">
        <v>2.1000000000000001E-2</v>
      </c>
      <c r="J1213" s="68">
        <v>8.7720000000000002</v>
      </c>
      <c r="K1213" s="65">
        <v>29.498999999999999</v>
      </c>
      <c r="L1213" s="50">
        <v>5.476</v>
      </c>
      <c r="M1213" s="137">
        <v>1.6E-2</v>
      </c>
      <c r="N1213" s="57">
        <v>65.852000000000004</v>
      </c>
      <c r="O1213" s="67">
        <v>5.2999999999999999E-2</v>
      </c>
      <c r="P1213" s="96"/>
      <c r="Q1213" s="93"/>
      <c r="R1213" s="93"/>
      <c r="S1213" s="93"/>
      <c r="T1213" s="93"/>
    </row>
    <row r="1214" spans="1:20" ht="14.25" customHeight="1" x14ac:dyDescent="0.35">
      <c r="A1214" s="1">
        <v>2021</v>
      </c>
      <c r="B1214" s="1" t="s">
        <v>26</v>
      </c>
      <c r="C1214" s="1">
        <v>26</v>
      </c>
      <c r="D1214" s="49">
        <v>105.98399999999999</v>
      </c>
      <c r="E1214" s="50">
        <v>89.968999999999994</v>
      </c>
      <c r="F1214" s="60">
        <v>77.369</v>
      </c>
      <c r="G1214" s="61">
        <v>1650.2449999999999</v>
      </c>
      <c r="H1214" s="62">
        <v>6.9</v>
      </c>
      <c r="I1214" s="64">
        <v>2.1999999999999999E-2</v>
      </c>
      <c r="J1214" s="68">
        <v>8.9710000000000001</v>
      </c>
      <c r="K1214" s="61">
        <v>29.173999999999999</v>
      </c>
      <c r="L1214" s="62">
        <v>5.4829999999999997</v>
      </c>
      <c r="M1214" s="137">
        <v>1.6E-2</v>
      </c>
      <c r="N1214" s="57">
        <v>64.588999999999999</v>
      </c>
      <c r="O1214" s="67">
        <v>5.0999999999999997E-2</v>
      </c>
      <c r="P1214" s="96"/>
      <c r="Q1214" s="93"/>
      <c r="R1214" s="93"/>
      <c r="S1214" s="93"/>
      <c r="T1214" s="93"/>
    </row>
    <row r="1215" spans="1:20" ht="14.25" customHeight="1" x14ac:dyDescent="0.35">
      <c r="A1215" s="1">
        <v>2021</v>
      </c>
      <c r="B1215" s="1" t="s">
        <v>26</v>
      </c>
      <c r="C1215" s="1">
        <v>27</v>
      </c>
      <c r="D1215" s="49">
        <v>105.96899999999999</v>
      </c>
      <c r="E1215" s="50">
        <v>90.031000000000006</v>
      </c>
      <c r="F1215" s="60">
        <v>77.52</v>
      </c>
      <c r="G1215" s="61">
        <v>1725.85</v>
      </c>
      <c r="H1215" s="62">
        <v>6.9</v>
      </c>
      <c r="I1215" s="64">
        <v>2.1999999999999999E-2</v>
      </c>
      <c r="J1215" s="68">
        <v>9.0920000000000005</v>
      </c>
      <c r="K1215" s="65">
        <v>29.948</v>
      </c>
      <c r="L1215" s="50">
        <v>5.476</v>
      </c>
      <c r="M1215" s="137">
        <v>1.6E-2</v>
      </c>
      <c r="N1215" s="57">
        <v>65.701999999999998</v>
      </c>
      <c r="O1215" s="67">
        <v>5.3999999999999999E-2</v>
      </c>
      <c r="P1215" s="96"/>
      <c r="Q1215" s="93"/>
      <c r="R1215" s="93"/>
      <c r="S1215" s="93"/>
      <c r="T1215" s="93"/>
    </row>
    <row r="1216" spans="1:20" ht="14.25" customHeight="1" x14ac:dyDescent="0.35">
      <c r="A1216" s="1">
        <v>2021</v>
      </c>
      <c r="B1216" s="1" t="s">
        <v>26</v>
      </c>
      <c r="C1216" s="1">
        <v>28</v>
      </c>
      <c r="D1216" s="49">
        <v>106.26600000000001</v>
      </c>
      <c r="E1216" s="50">
        <v>90.375</v>
      </c>
      <c r="F1216" s="60">
        <v>78.236000000000004</v>
      </c>
      <c r="G1216" s="61">
        <v>1726.953</v>
      </c>
      <c r="H1216" s="62">
        <v>6.9</v>
      </c>
      <c r="I1216" s="64">
        <v>2.1999999999999999E-2</v>
      </c>
      <c r="J1216" s="68">
        <v>8.6310000000000002</v>
      </c>
      <c r="K1216" s="61">
        <v>30.684000000000001</v>
      </c>
      <c r="L1216" s="62">
        <v>5.484</v>
      </c>
      <c r="M1216" s="137">
        <v>1.6E-2</v>
      </c>
      <c r="N1216" s="57">
        <v>64.661000000000001</v>
      </c>
      <c r="O1216" s="67">
        <v>5.8000000000000003E-2</v>
      </c>
      <c r="P1216" s="96"/>
      <c r="Q1216" s="93"/>
      <c r="R1216" s="93"/>
      <c r="S1216" s="93"/>
      <c r="T1216" s="93"/>
    </row>
    <row r="1217" spans="1:20" ht="14.25" customHeight="1" x14ac:dyDescent="0.35">
      <c r="A1217" s="1">
        <v>2021</v>
      </c>
      <c r="B1217" s="1" t="s">
        <v>26</v>
      </c>
      <c r="C1217" s="1">
        <v>29</v>
      </c>
      <c r="D1217" s="49">
        <v>105.547</v>
      </c>
      <c r="E1217" s="50">
        <v>89.688000000000002</v>
      </c>
      <c r="F1217" s="83">
        <v>78.772000000000006</v>
      </c>
      <c r="G1217" s="69">
        <v>1734.0530000000001</v>
      </c>
      <c r="H1217" s="50">
        <v>6.9</v>
      </c>
      <c r="I1217" s="137">
        <v>2.3E-2</v>
      </c>
      <c r="J1217" s="117">
        <v>8.532</v>
      </c>
      <c r="K1217" s="61">
        <v>31.957999999999998</v>
      </c>
      <c r="L1217" s="62">
        <v>5.5</v>
      </c>
      <c r="M1217" s="137">
        <v>1.6E-2</v>
      </c>
      <c r="N1217" s="57">
        <v>62.341000000000001</v>
      </c>
      <c r="O1217" s="84">
        <v>5.8000000000000003E-2</v>
      </c>
      <c r="P1217" s="96"/>
      <c r="Q1217" s="93"/>
      <c r="R1217" s="93"/>
      <c r="S1217" s="93"/>
      <c r="T1217" s="93"/>
    </row>
    <row r="1218" spans="1:20" ht="14.25" customHeight="1" x14ac:dyDescent="0.35">
      <c r="A1218" s="1">
        <v>2021</v>
      </c>
      <c r="B1218" s="1" t="s">
        <v>26</v>
      </c>
      <c r="C1218" s="1">
        <v>30</v>
      </c>
      <c r="D1218" s="104">
        <v>108.34399999999999</v>
      </c>
      <c r="E1218" s="105">
        <v>92.031000000000006</v>
      </c>
      <c r="F1218" s="83">
        <v>79.248000000000005</v>
      </c>
      <c r="G1218" s="69">
        <v>1731.6669999999999</v>
      </c>
      <c r="H1218" s="50">
        <v>6.9</v>
      </c>
      <c r="I1218" s="137">
        <v>2.3E-2</v>
      </c>
      <c r="J1218" s="117">
        <v>8.5229999999999997</v>
      </c>
      <c r="K1218" s="61">
        <v>31.013999999999999</v>
      </c>
      <c r="L1218" s="62">
        <v>5.4649999999999999</v>
      </c>
      <c r="M1218" s="137">
        <v>1.6E-2</v>
      </c>
      <c r="N1218" s="57">
        <v>67.436999999999998</v>
      </c>
      <c r="O1218" s="84">
        <v>5.6000000000000001E-2</v>
      </c>
      <c r="P1218" s="96"/>
      <c r="Q1218" s="93"/>
      <c r="R1218" s="93"/>
      <c r="S1218" s="93"/>
      <c r="T1218" s="93"/>
    </row>
    <row r="1219" spans="1:20" ht="14.25" customHeight="1" x14ac:dyDescent="0.35">
      <c r="A1219" s="1">
        <v>2021</v>
      </c>
      <c r="B1219" s="1" t="s">
        <v>27</v>
      </c>
      <c r="C1219" s="1">
        <v>1</v>
      </c>
      <c r="D1219" s="49">
        <v>107.59399999999999</v>
      </c>
      <c r="E1219" s="50">
        <v>91.406000000000006</v>
      </c>
      <c r="F1219" s="51">
        <v>78.652000000000001</v>
      </c>
      <c r="G1219" s="52">
        <v>1717.078</v>
      </c>
      <c r="H1219" s="53">
        <v>6.9</v>
      </c>
      <c r="I1219" s="55">
        <v>2.1999999999999999E-2</v>
      </c>
      <c r="J1219" s="59">
        <v>8.7059999999999995</v>
      </c>
      <c r="K1219" s="52">
        <v>30.356000000000002</v>
      </c>
      <c r="L1219" s="55">
        <v>5.4550000000000001</v>
      </c>
      <c r="M1219" s="136">
        <v>1.6E-2</v>
      </c>
      <c r="N1219" s="57">
        <v>68.953999999999994</v>
      </c>
      <c r="O1219" s="58">
        <v>5.6000000000000001E-2</v>
      </c>
      <c r="P1219" s="96"/>
      <c r="Q1219" s="93"/>
      <c r="R1219" s="93"/>
      <c r="S1219" s="93"/>
      <c r="T1219" s="93"/>
    </row>
    <row r="1220" spans="1:20" ht="14.25" customHeight="1" x14ac:dyDescent="0.35">
      <c r="A1220" s="1">
        <v>2021</v>
      </c>
      <c r="B1220" s="1" t="s">
        <v>27</v>
      </c>
      <c r="C1220" s="1">
        <v>2</v>
      </c>
      <c r="D1220" s="49">
        <v>105.90600000000001</v>
      </c>
      <c r="E1220" s="50">
        <v>90</v>
      </c>
      <c r="F1220" s="60">
        <v>78.531000000000006</v>
      </c>
      <c r="G1220" s="61">
        <v>1650.28</v>
      </c>
      <c r="H1220" s="62">
        <v>6.9</v>
      </c>
      <c r="I1220" s="64">
        <v>2.1999999999999999E-2</v>
      </c>
      <c r="J1220" s="68">
        <v>8.7240000000000002</v>
      </c>
      <c r="K1220" s="65">
        <v>29.096</v>
      </c>
      <c r="L1220" s="50">
        <v>5.4660000000000002</v>
      </c>
      <c r="M1220" s="137">
        <v>1.6E-2</v>
      </c>
      <c r="N1220" s="57">
        <v>67.519000000000005</v>
      </c>
      <c r="O1220" s="67">
        <v>5.2999999999999999E-2</v>
      </c>
      <c r="P1220" s="96"/>
      <c r="Q1220" s="93"/>
      <c r="R1220" s="93"/>
      <c r="S1220" s="93"/>
      <c r="T1220" s="93"/>
    </row>
    <row r="1221" spans="1:20" ht="14.25" customHeight="1" x14ac:dyDescent="0.35">
      <c r="A1221" s="1">
        <v>2021</v>
      </c>
      <c r="B1221" s="1" t="s">
        <v>27</v>
      </c>
      <c r="C1221" s="1">
        <v>3</v>
      </c>
      <c r="D1221" s="49">
        <v>105.96899999999999</v>
      </c>
      <c r="E1221" s="50">
        <v>89.968999999999994</v>
      </c>
      <c r="F1221" s="60">
        <v>78.671000000000006</v>
      </c>
      <c r="G1221" s="61">
        <v>1617.3510000000001</v>
      </c>
      <c r="H1221" s="62">
        <v>6.9</v>
      </c>
      <c r="I1221" s="64">
        <v>2.1999999999999999E-2</v>
      </c>
      <c r="J1221" s="68">
        <v>8.5939999999999994</v>
      </c>
      <c r="K1221" s="65">
        <v>29.515000000000001</v>
      </c>
      <c r="L1221" s="50">
        <v>5.4859999999999998</v>
      </c>
      <c r="M1221" s="137">
        <v>1.6E-2</v>
      </c>
      <c r="N1221" s="57">
        <v>64.423000000000002</v>
      </c>
      <c r="O1221" s="67">
        <v>0.05</v>
      </c>
      <c r="P1221" s="96"/>
      <c r="Q1221" s="93"/>
      <c r="R1221" s="93"/>
      <c r="S1221" s="93"/>
      <c r="T1221" s="93"/>
    </row>
    <row r="1222" spans="1:20" ht="14.25" customHeight="1" x14ac:dyDescent="0.35">
      <c r="A1222" s="1">
        <v>2021</v>
      </c>
      <c r="B1222" s="1" t="s">
        <v>27</v>
      </c>
      <c r="C1222" s="1">
        <v>4</v>
      </c>
      <c r="D1222" s="49">
        <v>105.89100000000001</v>
      </c>
      <c r="E1222" s="50">
        <v>90.031000000000006</v>
      </c>
      <c r="F1222" s="60">
        <v>79.031000000000006</v>
      </c>
      <c r="G1222" s="61">
        <v>1696.883</v>
      </c>
      <c r="H1222" s="62">
        <v>6.9</v>
      </c>
      <c r="I1222" s="64">
        <v>2.1999999999999999E-2</v>
      </c>
      <c r="J1222" s="68">
        <v>8.7949999999999999</v>
      </c>
      <c r="K1222" s="65">
        <v>31.561</v>
      </c>
      <c r="L1222" s="50">
        <v>5.492</v>
      </c>
      <c r="M1222" s="137">
        <v>1.6E-2</v>
      </c>
      <c r="N1222" s="57">
        <v>63.404000000000003</v>
      </c>
      <c r="O1222" s="67">
        <v>5.7000000000000002E-2</v>
      </c>
      <c r="P1222" s="96"/>
      <c r="Q1222" s="93"/>
      <c r="R1222" s="93"/>
      <c r="S1222" s="93"/>
      <c r="T1222" s="93"/>
    </row>
    <row r="1223" spans="1:20" ht="14.25" customHeight="1" x14ac:dyDescent="0.35">
      <c r="A1223" s="1">
        <v>2021</v>
      </c>
      <c r="B1223" s="1" t="s">
        <v>27</v>
      </c>
      <c r="C1223" s="1">
        <v>5</v>
      </c>
      <c r="D1223" s="49">
        <v>105.90600000000001</v>
      </c>
      <c r="E1223" s="50">
        <v>89.968999999999994</v>
      </c>
      <c r="F1223" s="60">
        <v>79.39</v>
      </c>
      <c r="G1223" s="61">
        <v>1737.499</v>
      </c>
      <c r="H1223" s="62">
        <v>6.9</v>
      </c>
      <c r="I1223" s="64">
        <v>2.3E-2</v>
      </c>
      <c r="J1223" s="68">
        <v>8.58</v>
      </c>
      <c r="K1223" s="65">
        <v>32.726999999999997</v>
      </c>
      <c r="L1223" s="50">
        <v>5.4829999999999997</v>
      </c>
      <c r="M1223" s="137">
        <v>1.6E-2</v>
      </c>
      <c r="N1223" s="57">
        <v>64.537000000000006</v>
      </c>
      <c r="O1223" s="67">
        <v>5.7000000000000002E-2</v>
      </c>
      <c r="P1223" s="96"/>
      <c r="Q1223" s="93"/>
      <c r="R1223" s="93"/>
      <c r="S1223" s="93"/>
      <c r="T1223" s="93"/>
    </row>
    <row r="1224" spans="1:20" ht="14.25" customHeight="1" x14ac:dyDescent="0.35">
      <c r="A1224" s="1">
        <v>2021</v>
      </c>
      <c r="B1224" s="1" t="s">
        <v>27</v>
      </c>
      <c r="C1224" s="1">
        <v>6</v>
      </c>
      <c r="D1224" s="49">
        <v>104.23399999999999</v>
      </c>
      <c r="E1224" s="50">
        <v>88.5</v>
      </c>
      <c r="F1224" s="60">
        <v>79.343999999999994</v>
      </c>
      <c r="G1224" s="61">
        <v>1743.529</v>
      </c>
      <c r="H1224" s="62">
        <v>6.9</v>
      </c>
      <c r="I1224" s="64">
        <v>2.5000000000000001E-2</v>
      </c>
      <c r="J1224" s="68">
        <v>8.57</v>
      </c>
      <c r="K1224" s="65">
        <v>32.6</v>
      </c>
      <c r="L1224" s="50">
        <v>5.4859999999999998</v>
      </c>
      <c r="M1224" s="137">
        <v>1.6E-2</v>
      </c>
      <c r="N1224" s="57">
        <v>64.399000000000001</v>
      </c>
      <c r="O1224" s="67">
        <v>6.0999999999999999E-2</v>
      </c>
      <c r="P1224" s="96"/>
      <c r="Q1224" s="93"/>
      <c r="R1224" s="93"/>
      <c r="S1224" s="93"/>
      <c r="T1224" s="93"/>
    </row>
    <row r="1225" spans="1:20" ht="14.25" customHeight="1" x14ac:dyDescent="0.35">
      <c r="A1225" s="1">
        <v>2021</v>
      </c>
      <c r="B1225" s="1" t="s">
        <v>27</v>
      </c>
      <c r="C1225" s="1">
        <v>7</v>
      </c>
      <c r="D1225" s="49">
        <v>106.063</v>
      </c>
      <c r="E1225" s="50">
        <v>90</v>
      </c>
      <c r="F1225" s="60">
        <v>79.236999999999995</v>
      </c>
      <c r="G1225" s="61">
        <v>1750.4639999999999</v>
      </c>
      <c r="H1225" s="62">
        <v>6.9</v>
      </c>
      <c r="I1225" s="64">
        <v>2.5999999999999999E-2</v>
      </c>
      <c r="J1225" s="68">
        <v>8.4649999999999999</v>
      </c>
      <c r="K1225" s="65">
        <v>31.869</v>
      </c>
      <c r="L1225" s="50">
        <v>5.4720000000000004</v>
      </c>
      <c r="M1225" s="137">
        <v>1.6E-2</v>
      </c>
      <c r="N1225" s="57">
        <v>66.58</v>
      </c>
      <c r="O1225" s="67">
        <v>6.0999999999999999E-2</v>
      </c>
      <c r="P1225" s="96"/>
      <c r="Q1225" s="93"/>
      <c r="R1225" s="93"/>
      <c r="S1225" s="93"/>
      <c r="T1225" s="93"/>
    </row>
    <row r="1226" spans="1:20" ht="14.25" customHeight="1" x14ac:dyDescent="0.35">
      <c r="A1226" s="1">
        <v>2021</v>
      </c>
      <c r="B1226" s="1" t="s">
        <v>27</v>
      </c>
      <c r="C1226" s="1">
        <v>8</v>
      </c>
      <c r="D1226" s="49">
        <v>105.922</v>
      </c>
      <c r="E1226" s="50">
        <v>89.938000000000002</v>
      </c>
      <c r="F1226" s="60">
        <v>79.2</v>
      </c>
      <c r="G1226" s="69">
        <v>1728.3150000000001</v>
      </c>
      <c r="H1226" s="62">
        <v>6.9</v>
      </c>
      <c r="I1226" s="64">
        <v>2.4E-2</v>
      </c>
      <c r="J1226" s="71">
        <v>8.3580000000000005</v>
      </c>
      <c r="K1226" s="65">
        <v>32.345999999999997</v>
      </c>
      <c r="L1226" s="50">
        <v>5.46</v>
      </c>
      <c r="M1226" s="137">
        <v>1.6E-2</v>
      </c>
      <c r="N1226" s="57">
        <v>68.457999999999998</v>
      </c>
      <c r="O1226" s="70">
        <v>5.7000000000000002E-2</v>
      </c>
      <c r="P1226" s="96"/>
      <c r="Q1226" s="93"/>
      <c r="R1226" s="93"/>
      <c r="S1226" s="93"/>
      <c r="T1226" s="93"/>
    </row>
    <row r="1227" spans="1:20" ht="14.25" customHeight="1" x14ac:dyDescent="0.35">
      <c r="A1227" s="1">
        <v>2021</v>
      </c>
      <c r="B1227" s="1" t="s">
        <v>27</v>
      </c>
      <c r="C1227" s="1">
        <v>9</v>
      </c>
      <c r="D1227" s="49">
        <v>106.047</v>
      </c>
      <c r="E1227" s="50">
        <v>89.968999999999994</v>
      </c>
      <c r="F1227" s="60">
        <v>79.016000000000005</v>
      </c>
      <c r="G1227" s="61">
        <v>1659.749</v>
      </c>
      <c r="H1227" s="62">
        <v>6.9</v>
      </c>
      <c r="I1227" s="64">
        <v>2.1999999999999999E-2</v>
      </c>
      <c r="J1227" s="68">
        <v>8.1929999999999996</v>
      </c>
      <c r="K1227" s="65">
        <v>31.407</v>
      </c>
      <c r="L1227" s="50">
        <v>5.46</v>
      </c>
      <c r="M1227" s="137">
        <v>1.6E-2</v>
      </c>
      <c r="N1227" s="57">
        <v>68.706999999999994</v>
      </c>
      <c r="O1227" s="67">
        <v>5.2999999999999999E-2</v>
      </c>
      <c r="P1227" s="96"/>
      <c r="Q1227" s="93"/>
      <c r="R1227" s="93"/>
      <c r="S1227" s="93"/>
      <c r="T1227" s="93"/>
    </row>
    <row r="1228" spans="1:20" ht="14.25" customHeight="1" x14ac:dyDescent="0.35">
      <c r="A1228" s="1">
        <v>2021</v>
      </c>
      <c r="B1228" s="1" t="s">
        <v>27</v>
      </c>
      <c r="C1228" s="1">
        <v>10</v>
      </c>
      <c r="D1228" s="49">
        <v>105.453</v>
      </c>
      <c r="E1228" s="50">
        <v>89.593999999999994</v>
      </c>
      <c r="F1228" s="72">
        <v>78.853999999999999</v>
      </c>
      <c r="G1228" s="61">
        <v>1614.24</v>
      </c>
      <c r="H1228" s="62">
        <v>6.9</v>
      </c>
      <c r="I1228" s="64">
        <v>2.1999999999999999E-2</v>
      </c>
      <c r="J1228" s="76">
        <v>8.1850000000000005</v>
      </c>
      <c r="K1228" s="65">
        <v>30.39</v>
      </c>
      <c r="L1228" s="50">
        <v>5.4770000000000003</v>
      </c>
      <c r="M1228" s="138">
        <v>1.6E-2</v>
      </c>
      <c r="N1228" s="57">
        <v>65.823999999999998</v>
      </c>
      <c r="O1228" s="75">
        <v>5.1999999999999998E-2</v>
      </c>
      <c r="P1228" s="96"/>
      <c r="Q1228" s="93"/>
      <c r="R1228" s="93"/>
      <c r="S1228" s="93"/>
      <c r="T1228" s="93"/>
    </row>
    <row r="1229" spans="1:20" ht="14.25" customHeight="1" x14ac:dyDescent="0.35">
      <c r="A1229" s="1">
        <v>2021</v>
      </c>
      <c r="B1229" s="1" t="s">
        <v>27</v>
      </c>
      <c r="C1229" s="1">
        <v>11</v>
      </c>
      <c r="D1229" s="49">
        <v>105.78100000000001</v>
      </c>
      <c r="E1229" s="50">
        <v>90</v>
      </c>
      <c r="F1229" s="72">
        <v>79.400000000000006</v>
      </c>
      <c r="G1229" s="61">
        <v>1694.058</v>
      </c>
      <c r="H1229" s="62">
        <v>6.9</v>
      </c>
      <c r="I1229" s="64">
        <v>2.1000000000000001E-2</v>
      </c>
      <c r="J1229" s="76">
        <v>8.5239999999999991</v>
      </c>
      <c r="K1229" s="65">
        <v>31.872</v>
      </c>
      <c r="L1229" s="50">
        <v>5.47</v>
      </c>
      <c r="M1229" s="138">
        <v>1.6E-2</v>
      </c>
      <c r="N1229" s="57">
        <v>66.966999999999999</v>
      </c>
      <c r="O1229" s="75">
        <v>0.06</v>
      </c>
      <c r="P1229" s="96"/>
      <c r="Q1229" s="93"/>
      <c r="R1229" s="93"/>
      <c r="S1229" s="93"/>
      <c r="T1229" s="93"/>
    </row>
    <row r="1230" spans="1:20" ht="14.25" customHeight="1" x14ac:dyDescent="0.35">
      <c r="A1230" s="1">
        <v>2021</v>
      </c>
      <c r="B1230" s="1" t="s">
        <v>27</v>
      </c>
      <c r="C1230" s="1">
        <v>12</v>
      </c>
      <c r="D1230" s="49">
        <v>107.438</v>
      </c>
      <c r="E1230" s="50">
        <v>91.593999999999994</v>
      </c>
      <c r="F1230" s="72">
        <v>79.667000000000002</v>
      </c>
      <c r="G1230" s="61">
        <v>1740.098</v>
      </c>
      <c r="H1230" s="62">
        <v>6.9</v>
      </c>
      <c r="I1230" s="64">
        <v>2.1000000000000001E-2</v>
      </c>
      <c r="J1230" s="76">
        <v>8.4410000000000007</v>
      </c>
      <c r="K1230" s="65">
        <v>33.627000000000002</v>
      </c>
      <c r="L1230" s="50">
        <v>5.4569999999999999</v>
      </c>
      <c r="M1230" s="138">
        <v>1.6E-2</v>
      </c>
      <c r="N1230" s="57">
        <v>68.728999999999999</v>
      </c>
      <c r="O1230" s="75">
        <v>0.06</v>
      </c>
      <c r="P1230" s="96"/>
      <c r="Q1230" s="93"/>
      <c r="R1230" s="93"/>
      <c r="S1230" s="93"/>
      <c r="T1230" s="93"/>
    </row>
    <row r="1231" spans="1:20" ht="14.25" customHeight="1" x14ac:dyDescent="0.35">
      <c r="A1231" s="1">
        <v>2021</v>
      </c>
      <c r="B1231" s="1" t="s">
        <v>27</v>
      </c>
      <c r="C1231" s="1">
        <v>13</v>
      </c>
      <c r="D1231" s="49">
        <v>111.375</v>
      </c>
      <c r="E1231" s="50">
        <v>95</v>
      </c>
      <c r="F1231" s="78">
        <v>79.486000000000004</v>
      </c>
      <c r="G1231" s="61">
        <v>1735.9179999999999</v>
      </c>
      <c r="H1231" s="62">
        <v>6.9</v>
      </c>
      <c r="I1231" s="64">
        <v>2.1000000000000001E-2</v>
      </c>
      <c r="J1231" s="81">
        <v>8.3559999999999999</v>
      </c>
      <c r="K1231" s="65">
        <v>32.92</v>
      </c>
      <c r="L1231" s="50">
        <v>5.4619999999999997</v>
      </c>
      <c r="M1231" s="137">
        <v>1.6E-2</v>
      </c>
      <c r="N1231" s="57">
        <v>68.194999999999993</v>
      </c>
      <c r="O1231" s="80">
        <v>5.8000000000000003E-2</v>
      </c>
      <c r="P1231" s="96"/>
      <c r="Q1231" s="93"/>
      <c r="R1231" s="93"/>
      <c r="S1231" s="93"/>
      <c r="T1231" s="93"/>
    </row>
    <row r="1232" spans="1:20" ht="14.25" customHeight="1" x14ac:dyDescent="0.35">
      <c r="A1232" s="1">
        <v>2021</v>
      </c>
      <c r="B1232" s="1" t="s">
        <v>27</v>
      </c>
      <c r="C1232" s="1">
        <v>14</v>
      </c>
      <c r="D1232" s="49">
        <v>110.453</v>
      </c>
      <c r="E1232" s="50">
        <v>94.156000000000006</v>
      </c>
      <c r="F1232" s="60">
        <v>79.644000000000005</v>
      </c>
      <c r="G1232" s="61">
        <v>1745.1020000000001</v>
      </c>
      <c r="H1232" s="62">
        <v>6.9</v>
      </c>
      <c r="I1232" s="64">
        <v>2.1000000000000001E-2</v>
      </c>
      <c r="J1232" s="81">
        <v>8.24</v>
      </c>
      <c r="K1232" s="82">
        <v>33.055999999999997</v>
      </c>
      <c r="L1232" s="50">
        <v>5.4649999999999999</v>
      </c>
      <c r="M1232" s="137">
        <v>1.6E-2</v>
      </c>
      <c r="N1232" s="57">
        <v>67.495000000000005</v>
      </c>
      <c r="O1232" s="80">
        <v>6.0999999999999999E-2</v>
      </c>
      <c r="P1232" s="96"/>
      <c r="Q1232" s="93"/>
      <c r="R1232" s="93"/>
      <c r="S1232" s="93"/>
      <c r="T1232" s="93"/>
    </row>
    <row r="1233" spans="1:20" ht="14.25" customHeight="1" x14ac:dyDescent="0.35">
      <c r="A1233" s="1">
        <v>2021</v>
      </c>
      <c r="B1233" s="1" t="s">
        <v>27</v>
      </c>
      <c r="C1233" s="1">
        <v>15</v>
      </c>
      <c r="D1233" s="49">
        <v>107.625</v>
      </c>
      <c r="E1233" s="50">
        <v>91.625</v>
      </c>
      <c r="F1233" s="60">
        <v>79.381</v>
      </c>
      <c r="G1233" s="61">
        <v>1714.5350000000001</v>
      </c>
      <c r="H1233" s="62">
        <v>6.9</v>
      </c>
      <c r="I1233" s="64">
        <v>2.1000000000000001E-2</v>
      </c>
      <c r="J1233" s="76">
        <v>8.266</v>
      </c>
      <c r="K1233" s="65">
        <v>32.534999999999997</v>
      </c>
      <c r="L1233" s="50">
        <v>5.4809999999999999</v>
      </c>
      <c r="M1233" s="137">
        <v>1.6E-2</v>
      </c>
      <c r="N1233" s="57">
        <v>65.149000000000001</v>
      </c>
      <c r="O1233" s="75">
        <v>6.0999999999999999E-2</v>
      </c>
      <c r="P1233" s="96"/>
      <c r="Q1233" s="93"/>
      <c r="R1233" s="93"/>
      <c r="S1233" s="93"/>
      <c r="T1233" s="93"/>
    </row>
    <row r="1234" spans="1:20" ht="14.25" customHeight="1" x14ac:dyDescent="0.35">
      <c r="A1234" s="1">
        <v>2021</v>
      </c>
      <c r="B1234" s="1" t="s">
        <v>27</v>
      </c>
      <c r="C1234" s="1">
        <v>16</v>
      </c>
      <c r="D1234" s="49">
        <v>107.547</v>
      </c>
      <c r="E1234" s="50">
        <v>91.531000000000006</v>
      </c>
      <c r="F1234" s="60">
        <v>79.097999999999999</v>
      </c>
      <c r="G1234" s="61">
        <v>1644.42</v>
      </c>
      <c r="H1234" s="62">
        <v>6.9</v>
      </c>
      <c r="I1234" s="64">
        <v>2.1000000000000001E-2</v>
      </c>
      <c r="J1234" s="81">
        <v>8.3000000000000007</v>
      </c>
      <c r="K1234" s="61">
        <v>31.553999999999998</v>
      </c>
      <c r="L1234" s="62">
        <v>5.4859999999999998</v>
      </c>
      <c r="M1234" s="137">
        <v>1.6E-2</v>
      </c>
      <c r="N1234" s="57">
        <v>64.504000000000005</v>
      </c>
      <c r="O1234" s="80">
        <v>5.5E-2</v>
      </c>
      <c r="P1234" s="96"/>
      <c r="Q1234" s="93"/>
      <c r="R1234" s="93"/>
      <c r="S1234" s="93"/>
      <c r="T1234" s="93"/>
    </row>
    <row r="1235" spans="1:20" ht="14.25" customHeight="1" x14ac:dyDescent="0.35">
      <c r="A1235" s="1">
        <v>2021</v>
      </c>
      <c r="B1235" s="1" t="s">
        <v>27</v>
      </c>
      <c r="C1235" s="1">
        <v>17</v>
      </c>
      <c r="D1235" s="49">
        <v>108.75</v>
      </c>
      <c r="E1235" s="50">
        <v>92.343999999999994</v>
      </c>
      <c r="F1235" s="60">
        <v>79.174000000000007</v>
      </c>
      <c r="G1235" s="61">
        <v>1614.162</v>
      </c>
      <c r="H1235" s="62">
        <v>6.9</v>
      </c>
      <c r="I1235" s="64">
        <v>2.1999999999999999E-2</v>
      </c>
      <c r="J1235" s="68">
        <v>8.3640000000000008</v>
      </c>
      <c r="K1235" s="65">
        <v>31.085000000000001</v>
      </c>
      <c r="L1235" s="50">
        <v>5.4880000000000004</v>
      </c>
      <c r="M1235" s="137">
        <v>1.6E-2</v>
      </c>
      <c r="N1235" s="57">
        <v>64.001999999999995</v>
      </c>
      <c r="O1235" s="67">
        <v>5.1999999999999998E-2</v>
      </c>
      <c r="P1235" s="96"/>
      <c r="Q1235" s="93"/>
      <c r="R1235" s="93"/>
      <c r="S1235" s="93"/>
      <c r="T1235" s="93"/>
    </row>
    <row r="1236" spans="1:20" ht="14.25" customHeight="1" x14ac:dyDescent="0.35">
      <c r="A1236" s="1">
        <v>2021</v>
      </c>
      <c r="B1236" s="1" t="s">
        <v>27</v>
      </c>
      <c r="C1236" s="1">
        <v>18</v>
      </c>
      <c r="D1236" s="49">
        <v>105.64100000000001</v>
      </c>
      <c r="E1236" s="50">
        <v>89.688000000000002</v>
      </c>
      <c r="F1236" s="60">
        <v>79.558999999999997</v>
      </c>
      <c r="G1236" s="61">
        <v>1696.489</v>
      </c>
      <c r="H1236" s="62">
        <v>6.9</v>
      </c>
      <c r="I1236" s="64">
        <v>2.1000000000000001E-2</v>
      </c>
      <c r="J1236" s="68">
        <v>8.4990000000000006</v>
      </c>
      <c r="K1236" s="61">
        <v>32.026000000000003</v>
      </c>
      <c r="L1236" s="62">
        <v>5.4720000000000004</v>
      </c>
      <c r="M1236" s="137">
        <v>1.6E-2</v>
      </c>
      <c r="N1236" s="57">
        <v>66.182000000000002</v>
      </c>
      <c r="O1236" s="67">
        <v>5.8999999999999997E-2</v>
      </c>
      <c r="P1236" s="96"/>
      <c r="Q1236" s="93"/>
      <c r="R1236" s="93"/>
      <c r="S1236" s="93"/>
      <c r="T1236" s="93"/>
    </row>
    <row r="1237" spans="1:20" ht="14.25" customHeight="1" x14ac:dyDescent="0.35">
      <c r="A1237" s="1">
        <v>2021</v>
      </c>
      <c r="B1237" s="1" t="s">
        <v>27</v>
      </c>
      <c r="C1237" s="1">
        <v>19</v>
      </c>
      <c r="D1237" s="49">
        <v>30.5</v>
      </c>
      <c r="E1237" s="50">
        <v>25.905999999999999</v>
      </c>
      <c r="F1237" s="60">
        <v>78.668999999999997</v>
      </c>
      <c r="G1237" s="61">
        <v>1718.989</v>
      </c>
      <c r="H1237" s="62">
        <v>6.9089999999999998</v>
      </c>
      <c r="I1237" s="64">
        <v>3.6999999999999998E-2</v>
      </c>
      <c r="J1237" s="68">
        <v>8.3000000000000007</v>
      </c>
      <c r="K1237" s="65">
        <v>39.893999999999998</v>
      </c>
      <c r="L1237" s="50">
        <v>5.5940000000000003</v>
      </c>
      <c r="M1237" s="137">
        <v>1.6E-2</v>
      </c>
      <c r="N1237" s="57">
        <v>51.32</v>
      </c>
      <c r="O1237" s="67">
        <v>6.2E-2</v>
      </c>
      <c r="P1237" s="96"/>
      <c r="Q1237" s="93"/>
      <c r="R1237" s="93"/>
      <c r="S1237" s="93"/>
      <c r="T1237" s="93"/>
    </row>
    <row r="1238" spans="1:20" ht="14.25" customHeight="1" x14ac:dyDescent="0.35">
      <c r="A1238" s="1">
        <v>2021</v>
      </c>
      <c r="B1238" s="1" t="s">
        <v>27</v>
      </c>
      <c r="C1238" s="1">
        <v>20</v>
      </c>
      <c r="D1238" s="49">
        <v>107.313</v>
      </c>
      <c r="E1238" s="50">
        <v>90.968999999999994</v>
      </c>
      <c r="F1238" s="60">
        <v>79.623999999999995</v>
      </c>
      <c r="G1238" s="61">
        <v>1730.8150000000001</v>
      </c>
      <c r="H1238" s="62">
        <v>6.9</v>
      </c>
      <c r="I1238" s="64">
        <v>2.1999999999999999E-2</v>
      </c>
      <c r="J1238" s="68">
        <v>8.4329999999999998</v>
      </c>
      <c r="K1238" s="61">
        <v>33.189</v>
      </c>
      <c r="L1238" s="62">
        <v>5.4790000000000001</v>
      </c>
      <c r="M1238" s="137">
        <v>1.6E-2</v>
      </c>
      <c r="N1238" s="57">
        <v>65.531999999999996</v>
      </c>
      <c r="O1238" s="67">
        <v>6.3E-2</v>
      </c>
      <c r="P1238" s="96"/>
      <c r="Q1238" s="93"/>
      <c r="R1238" s="93"/>
      <c r="S1238" s="93"/>
      <c r="T1238" s="93"/>
    </row>
    <row r="1239" spans="1:20" ht="14.25" customHeight="1" x14ac:dyDescent="0.35">
      <c r="A1239" s="1">
        <v>2021</v>
      </c>
      <c r="B1239" s="1" t="s">
        <v>27</v>
      </c>
      <c r="C1239" s="1">
        <v>21</v>
      </c>
      <c r="D1239" s="49">
        <v>111.48399999999999</v>
      </c>
      <c r="E1239" s="50">
        <v>94.843999999999994</v>
      </c>
      <c r="F1239" s="60">
        <v>79.251999999999995</v>
      </c>
      <c r="G1239" s="61">
        <v>1727.249</v>
      </c>
      <c r="H1239" s="62">
        <v>6.9</v>
      </c>
      <c r="I1239" s="64">
        <v>2.1000000000000001E-2</v>
      </c>
      <c r="J1239" s="68">
        <v>8.15</v>
      </c>
      <c r="K1239" s="65">
        <v>33.109000000000002</v>
      </c>
      <c r="L1239" s="50">
        <v>5.5540000000000003</v>
      </c>
      <c r="M1239" s="137">
        <v>1.6E-2</v>
      </c>
      <c r="N1239" s="57">
        <v>55.338999999999999</v>
      </c>
      <c r="O1239" s="67">
        <v>5.8000000000000003E-2</v>
      </c>
      <c r="P1239" s="96"/>
      <c r="Q1239" s="93"/>
      <c r="R1239" s="93"/>
      <c r="S1239" s="93"/>
      <c r="T1239" s="93"/>
    </row>
    <row r="1240" spans="1:20" ht="14.25" customHeight="1" x14ac:dyDescent="0.35">
      <c r="A1240" s="1">
        <v>2021</v>
      </c>
      <c r="B1240" s="1" t="s">
        <v>27</v>
      </c>
      <c r="C1240" s="1">
        <v>22</v>
      </c>
      <c r="D1240" s="49">
        <v>108.813</v>
      </c>
      <c r="E1240" s="50">
        <v>92.156000000000006</v>
      </c>
      <c r="F1240" s="60">
        <v>78.915000000000006</v>
      </c>
      <c r="G1240" s="61">
        <v>1707.09</v>
      </c>
      <c r="H1240" s="62">
        <v>6.9</v>
      </c>
      <c r="I1240" s="64">
        <v>2.1000000000000001E-2</v>
      </c>
      <c r="J1240" s="68">
        <v>8.1229999999999993</v>
      </c>
      <c r="K1240" s="61">
        <v>31.771999999999998</v>
      </c>
      <c r="L1240" s="62">
        <v>5.5860000000000003</v>
      </c>
      <c r="M1240" s="137">
        <v>1.6E-2</v>
      </c>
      <c r="N1240" s="57">
        <v>51.084000000000003</v>
      </c>
      <c r="O1240" s="67">
        <v>5.6000000000000001E-2</v>
      </c>
      <c r="P1240" s="96"/>
      <c r="Q1240" s="93"/>
      <c r="R1240" s="93"/>
      <c r="S1240" s="93"/>
      <c r="T1240" s="93"/>
    </row>
    <row r="1241" spans="1:20" ht="14.25" customHeight="1" x14ac:dyDescent="0.35">
      <c r="A1241" s="1">
        <v>2021</v>
      </c>
      <c r="B1241" s="1" t="s">
        <v>27</v>
      </c>
      <c r="C1241" s="1">
        <v>23</v>
      </c>
      <c r="D1241" s="49">
        <v>107.297</v>
      </c>
      <c r="E1241" s="50">
        <v>91.063000000000002</v>
      </c>
      <c r="F1241" s="60">
        <v>79.209999999999994</v>
      </c>
      <c r="G1241" s="61">
        <v>1636.98</v>
      </c>
      <c r="H1241" s="62">
        <v>6.9</v>
      </c>
      <c r="I1241" s="64">
        <v>2.1000000000000001E-2</v>
      </c>
      <c r="J1241" s="68">
        <v>7.9880000000000004</v>
      </c>
      <c r="K1241" s="65">
        <v>29.706</v>
      </c>
      <c r="L1241" s="50">
        <v>5.5810000000000004</v>
      </c>
      <c r="M1241" s="137">
        <v>1.6E-2</v>
      </c>
      <c r="N1241" s="57">
        <v>51.706000000000003</v>
      </c>
      <c r="O1241" s="67">
        <v>5.1999999999999998E-2</v>
      </c>
      <c r="P1241" s="96"/>
      <c r="Q1241" s="93"/>
      <c r="R1241" s="93"/>
      <c r="S1241" s="93"/>
      <c r="T1241" s="93"/>
    </row>
    <row r="1242" spans="1:20" ht="14.25" customHeight="1" x14ac:dyDescent="0.35">
      <c r="A1242" s="1">
        <v>2021</v>
      </c>
      <c r="B1242" s="1" t="s">
        <v>27</v>
      </c>
      <c r="C1242" s="1">
        <v>24</v>
      </c>
      <c r="D1242" s="49">
        <v>96.983999999999995</v>
      </c>
      <c r="E1242" s="50">
        <v>82.218999999999994</v>
      </c>
      <c r="F1242" s="60">
        <v>79.635000000000005</v>
      </c>
      <c r="G1242" s="61">
        <v>1612.7059999999999</v>
      </c>
      <c r="H1242" s="62">
        <v>6.9</v>
      </c>
      <c r="I1242" s="64">
        <v>2.1999999999999999E-2</v>
      </c>
      <c r="J1242" s="68">
        <v>8.3420000000000005</v>
      </c>
      <c r="K1242" s="61">
        <v>29.545999999999999</v>
      </c>
      <c r="L1242" s="62">
        <v>5.5940000000000003</v>
      </c>
      <c r="M1242" s="137">
        <v>1.6E-2</v>
      </c>
      <c r="N1242" s="57">
        <v>50.331000000000003</v>
      </c>
      <c r="O1242" s="67">
        <v>5.1999999999999998E-2</v>
      </c>
      <c r="P1242" s="96"/>
      <c r="Q1242" s="93"/>
      <c r="R1242" s="93"/>
      <c r="S1242" s="93"/>
      <c r="T1242" s="93"/>
    </row>
    <row r="1243" spans="1:20" ht="14.25" customHeight="1" x14ac:dyDescent="0.35">
      <c r="A1243" s="1">
        <v>2021</v>
      </c>
      <c r="B1243" s="1" t="s">
        <v>27</v>
      </c>
      <c r="C1243" s="1">
        <v>25</v>
      </c>
      <c r="D1243" s="49">
        <v>94.875</v>
      </c>
      <c r="E1243" s="50">
        <v>80.656000000000006</v>
      </c>
      <c r="F1243" s="60">
        <v>80.114999999999995</v>
      </c>
      <c r="G1243" s="61">
        <v>1700.0989999999999</v>
      </c>
      <c r="H1243" s="62">
        <v>6.9</v>
      </c>
      <c r="I1243" s="64">
        <v>2.3E-2</v>
      </c>
      <c r="J1243" s="68">
        <v>8.4920000000000009</v>
      </c>
      <c r="K1243" s="65">
        <v>31.364000000000001</v>
      </c>
      <c r="L1243" s="50">
        <v>5.5730000000000004</v>
      </c>
      <c r="M1243" s="137">
        <v>1.6E-2</v>
      </c>
      <c r="N1243" s="57">
        <v>52.713999999999999</v>
      </c>
      <c r="O1243" s="67">
        <v>5.8999999999999997E-2</v>
      </c>
      <c r="P1243" s="96"/>
      <c r="Q1243" s="93"/>
      <c r="R1243" s="93"/>
      <c r="S1243" s="93"/>
      <c r="T1243" s="93"/>
    </row>
    <row r="1244" spans="1:20" ht="14.25" customHeight="1" x14ac:dyDescent="0.35">
      <c r="A1244" s="1">
        <v>2021</v>
      </c>
      <c r="B1244" s="1" t="s">
        <v>27</v>
      </c>
      <c r="C1244" s="1">
        <v>26</v>
      </c>
      <c r="D1244" s="49">
        <v>103.34399999999999</v>
      </c>
      <c r="E1244" s="50">
        <v>87.843999999999994</v>
      </c>
      <c r="F1244" s="60">
        <v>80.108000000000004</v>
      </c>
      <c r="G1244" s="61">
        <v>1713.9849999999999</v>
      </c>
      <c r="H1244" s="62">
        <v>6.9</v>
      </c>
      <c r="I1244" s="64">
        <v>2.3E-2</v>
      </c>
      <c r="J1244" s="68">
        <v>8.3970000000000002</v>
      </c>
      <c r="K1244" s="61">
        <v>31.632000000000001</v>
      </c>
      <c r="L1244" s="62">
        <v>5.5819999999999999</v>
      </c>
      <c r="M1244" s="137">
        <v>1.6E-2</v>
      </c>
      <c r="N1244" s="57">
        <v>51.536999999999999</v>
      </c>
      <c r="O1244" s="67">
        <v>0.06</v>
      </c>
      <c r="P1244" s="96"/>
      <c r="Q1244" s="93"/>
      <c r="R1244" s="93"/>
      <c r="S1244" s="93"/>
      <c r="T1244" s="93"/>
    </row>
    <row r="1245" spans="1:20" ht="14.25" customHeight="1" x14ac:dyDescent="0.35">
      <c r="A1245" s="1">
        <v>2021</v>
      </c>
      <c r="B1245" s="1" t="s">
        <v>27</v>
      </c>
      <c r="C1245" s="1">
        <v>27</v>
      </c>
      <c r="D1245" s="49">
        <v>109.90600000000001</v>
      </c>
      <c r="E1245" s="50">
        <v>93.188000000000002</v>
      </c>
      <c r="F1245" s="60">
        <v>79.95</v>
      </c>
      <c r="G1245" s="61">
        <v>1715.9970000000001</v>
      </c>
      <c r="H1245" s="62">
        <v>6.9</v>
      </c>
      <c r="I1245" s="64">
        <v>2.3E-2</v>
      </c>
      <c r="J1245" s="68">
        <v>8.3719999999999999</v>
      </c>
      <c r="K1245" s="65">
        <v>32.776000000000003</v>
      </c>
      <c r="L1245" s="50">
        <v>5.5869999999999997</v>
      </c>
      <c r="M1245" s="137">
        <v>1.4999999999999999E-2</v>
      </c>
      <c r="N1245" s="57">
        <v>50.886000000000003</v>
      </c>
      <c r="O1245" s="67">
        <v>0.06</v>
      </c>
      <c r="P1245" s="96"/>
      <c r="Q1245" s="93"/>
      <c r="R1245" s="93"/>
      <c r="S1245" s="93"/>
      <c r="T1245" s="93"/>
    </row>
    <row r="1246" spans="1:20" ht="14.25" customHeight="1" x14ac:dyDescent="0.35">
      <c r="A1246" s="1">
        <v>2021</v>
      </c>
      <c r="B1246" s="1" t="s">
        <v>27</v>
      </c>
      <c r="C1246" s="1">
        <v>28</v>
      </c>
      <c r="D1246" s="49">
        <v>112.047</v>
      </c>
      <c r="E1246" s="50">
        <v>95</v>
      </c>
      <c r="F1246" s="60">
        <v>80.031999999999996</v>
      </c>
      <c r="G1246" s="61">
        <v>1717.779</v>
      </c>
      <c r="H1246" s="62">
        <v>6.9</v>
      </c>
      <c r="I1246" s="64">
        <v>2.3E-2</v>
      </c>
      <c r="J1246" s="68">
        <v>8.2420000000000009</v>
      </c>
      <c r="K1246" s="61">
        <v>32.22</v>
      </c>
      <c r="L1246" s="62">
        <v>5.5289999999999999</v>
      </c>
      <c r="M1246" s="137">
        <v>1.6E-2</v>
      </c>
      <c r="N1246" s="57">
        <v>58.502000000000002</v>
      </c>
      <c r="O1246" s="67">
        <v>5.8000000000000003E-2</v>
      </c>
      <c r="P1246" s="96"/>
      <c r="Q1246" s="93"/>
      <c r="R1246" s="93"/>
      <c r="S1246" s="93"/>
      <c r="T1246" s="93"/>
    </row>
    <row r="1247" spans="1:20" ht="14.25" customHeight="1" x14ac:dyDescent="0.35">
      <c r="A1247" s="1">
        <v>2021</v>
      </c>
      <c r="B1247" s="1" t="s">
        <v>27</v>
      </c>
      <c r="C1247" s="1">
        <v>29</v>
      </c>
      <c r="D1247" s="49">
        <v>105.71899999999999</v>
      </c>
      <c r="E1247" s="50">
        <v>89.656000000000006</v>
      </c>
      <c r="F1247" s="83">
        <v>79.756</v>
      </c>
      <c r="G1247" s="69">
        <v>1686.45</v>
      </c>
      <c r="H1247" s="50">
        <v>6.9</v>
      </c>
      <c r="I1247" s="137">
        <v>2.4E-2</v>
      </c>
      <c r="J1247" s="117">
        <v>8.2539999999999996</v>
      </c>
      <c r="K1247" s="61">
        <v>31.634</v>
      </c>
      <c r="L1247" s="62">
        <v>5.4740000000000002</v>
      </c>
      <c r="M1247" s="137">
        <v>1.6E-2</v>
      </c>
      <c r="N1247" s="57">
        <v>66.503</v>
      </c>
      <c r="O1247" s="84">
        <v>5.3999999999999999E-2</v>
      </c>
      <c r="P1247" s="96"/>
      <c r="Q1247" s="93"/>
      <c r="R1247" s="93"/>
      <c r="S1247" s="93"/>
      <c r="T1247" s="93"/>
    </row>
    <row r="1248" spans="1:20" ht="14.25" customHeight="1" x14ac:dyDescent="0.35">
      <c r="A1248" s="1">
        <v>2021</v>
      </c>
      <c r="B1248" s="1" t="s">
        <v>27</v>
      </c>
      <c r="C1248" s="1">
        <v>30</v>
      </c>
      <c r="D1248" s="49">
        <v>106.125</v>
      </c>
      <c r="E1248" s="50">
        <v>89.968999999999994</v>
      </c>
      <c r="F1248" s="83">
        <v>79.753</v>
      </c>
      <c r="G1248" s="69">
        <v>1616.4780000000001</v>
      </c>
      <c r="H1248" s="50">
        <v>6.9</v>
      </c>
      <c r="I1248" s="137">
        <v>2.4E-2</v>
      </c>
      <c r="J1248" s="117">
        <v>7.923</v>
      </c>
      <c r="K1248" s="61">
        <v>29.899000000000001</v>
      </c>
      <c r="L1248" s="62">
        <v>5.4669999999999996</v>
      </c>
      <c r="M1248" s="137">
        <v>1.6E-2</v>
      </c>
      <c r="N1248" s="57">
        <v>67.23</v>
      </c>
      <c r="O1248" s="84">
        <v>0.05</v>
      </c>
      <c r="P1248" s="96"/>
      <c r="Q1248" s="93"/>
      <c r="R1248" s="93"/>
      <c r="S1248" s="93"/>
      <c r="T1248" s="93"/>
    </row>
    <row r="1249" spans="1:20" ht="14.25" customHeight="1" x14ac:dyDescent="0.35">
      <c r="A1249" s="1">
        <v>2021</v>
      </c>
      <c r="B1249" s="1" t="s">
        <v>27</v>
      </c>
      <c r="C1249" s="1">
        <v>31</v>
      </c>
      <c r="D1249" s="104">
        <v>102.453</v>
      </c>
      <c r="E1249" s="105">
        <v>86.875</v>
      </c>
      <c r="F1249" s="87">
        <v>79.775000000000006</v>
      </c>
      <c r="G1249" s="88">
        <v>1579.327</v>
      </c>
      <c r="H1249" s="89">
        <v>6.9</v>
      </c>
      <c r="I1249" s="141">
        <v>2.5999999999999999E-2</v>
      </c>
      <c r="J1249" s="131">
        <v>7.9530000000000003</v>
      </c>
      <c r="K1249" s="61">
        <v>29.872</v>
      </c>
      <c r="L1249" s="64">
        <v>5.4950000000000001</v>
      </c>
      <c r="M1249" s="137">
        <v>1.6E-2</v>
      </c>
      <c r="N1249" s="57">
        <v>63.082000000000001</v>
      </c>
      <c r="O1249" s="66">
        <v>0.05</v>
      </c>
      <c r="P1249" s="96"/>
      <c r="Q1249" s="93"/>
      <c r="R1249" s="93"/>
      <c r="S1249" s="93"/>
      <c r="T1249" s="93"/>
    </row>
    <row r="1250" spans="1:20" ht="14.25" customHeight="1" x14ac:dyDescent="0.35">
      <c r="A1250" s="1">
        <v>2021</v>
      </c>
      <c r="B1250" s="1" t="s">
        <v>28</v>
      </c>
      <c r="C1250" s="1">
        <v>1</v>
      </c>
      <c r="D1250" s="49">
        <v>107.59399999999999</v>
      </c>
      <c r="E1250" s="50">
        <v>91.343999999999994</v>
      </c>
      <c r="F1250" s="51">
        <v>80.119</v>
      </c>
      <c r="G1250" s="52">
        <v>1550.9680000000001</v>
      </c>
      <c r="H1250" s="53">
        <v>6.9</v>
      </c>
      <c r="I1250" s="54">
        <v>2.4E-2</v>
      </c>
      <c r="J1250" s="59">
        <v>8.3379999999999992</v>
      </c>
      <c r="K1250" s="52">
        <v>28.436</v>
      </c>
      <c r="L1250" s="55">
        <v>5.4829999999999997</v>
      </c>
      <c r="M1250" s="56">
        <v>1.6E-2</v>
      </c>
      <c r="N1250" s="57">
        <v>64.891999999999996</v>
      </c>
      <c r="O1250" s="58">
        <v>5.2999999999999999E-2</v>
      </c>
      <c r="P1250" s="96"/>
      <c r="Q1250" s="93"/>
      <c r="R1250" s="93"/>
      <c r="S1250" s="93"/>
      <c r="T1250" s="93"/>
    </row>
    <row r="1251" spans="1:20" ht="14.25" customHeight="1" x14ac:dyDescent="0.35">
      <c r="A1251" s="1">
        <v>2021</v>
      </c>
      <c r="B1251" s="1" t="s">
        <v>28</v>
      </c>
      <c r="C1251" s="1">
        <v>2</v>
      </c>
      <c r="D1251" s="49">
        <v>110.047</v>
      </c>
      <c r="E1251" s="50">
        <v>93.375</v>
      </c>
      <c r="F1251" s="60">
        <v>80.277000000000001</v>
      </c>
      <c r="G1251" s="61">
        <v>1686.0050000000001</v>
      </c>
      <c r="H1251" s="62">
        <v>6.9</v>
      </c>
      <c r="I1251" s="63">
        <v>2.3E-2</v>
      </c>
      <c r="J1251" s="68">
        <v>8.5609999999999999</v>
      </c>
      <c r="K1251" s="65">
        <v>31.234999999999999</v>
      </c>
      <c r="L1251" s="50">
        <v>5.4669999999999996</v>
      </c>
      <c r="M1251" s="66">
        <v>1.6E-2</v>
      </c>
      <c r="N1251" s="57">
        <v>67.364999999999995</v>
      </c>
      <c r="O1251" s="67">
        <v>6.2E-2</v>
      </c>
      <c r="P1251" s="96"/>
      <c r="Q1251" s="93"/>
      <c r="R1251" s="93"/>
      <c r="S1251" s="93"/>
      <c r="T1251" s="93"/>
    </row>
    <row r="1252" spans="1:20" ht="14.25" customHeight="1" x14ac:dyDescent="0.35">
      <c r="A1252" s="1">
        <v>2021</v>
      </c>
      <c r="B1252" s="1" t="s">
        <v>28</v>
      </c>
      <c r="C1252" s="1">
        <v>3</v>
      </c>
      <c r="D1252" s="49">
        <v>111.14100000000001</v>
      </c>
      <c r="E1252" s="50">
        <v>94.156000000000006</v>
      </c>
      <c r="F1252" s="60">
        <v>80.391999999999996</v>
      </c>
      <c r="G1252" s="61">
        <v>1705.3889999999999</v>
      </c>
      <c r="H1252" s="62">
        <v>6.9</v>
      </c>
      <c r="I1252" s="63">
        <v>2.3E-2</v>
      </c>
      <c r="J1252" s="68">
        <v>8.3840000000000003</v>
      </c>
      <c r="K1252" s="65">
        <v>31.759</v>
      </c>
      <c r="L1252" s="50">
        <v>5.4749999999999996</v>
      </c>
      <c r="M1252" s="66">
        <v>1.6E-2</v>
      </c>
      <c r="N1252" s="57">
        <v>66.018000000000001</v>
      </c>
      <c r="O1252" s="67">
        <v>0.06</v>
      </c>
      <c r="P1252" s="96"/>
      <c r="Q1252" s="93"/>
      <c r="R1252" s="93"/>
      <c r="S1252" s="93"/>
      <c r="T1252" s="93"/>
    </row>
    <row r="1253" spans="1:20" ht="14.25" customHeight="1" x14ac:dyDescent="0.35">
      <c r="A1253" s="1">
        <v>2021</v>
      </c>
      <c r="B1253" s="1" t="s">
        <v>28</v>
      </c>
      <c r="C1253" s="1">
        <v>4</v>
      </c>
      <c r="D1253" s="49">
        <v>111.953</v>
      </c>
      <c r="E1253" s="50">
        <v>95.031000000000006</v>
      </c>
      <c r="F1253" s="60">
        <v>80.436999999999998</v>
      </c>
      <c r="G1253" s="61">
        <v>1686.8530000000001</v>
      </c>
      <c r="H1253" s="62">
        <v>6.9</v>
      </c>
      <c r="I1253" s="63">
        <v>2.1999999999999999E-2</v>
      </c>
      <c r="J1253" s="68">
        <v>8.3989999999999991</v>
      </c>
      <c r="K1253" s="65">
        <v>31.635000000000002</v>
      </c>
      <c r="L1253" s="50">
        <v>5.5780000000000003</v>
      </c>
      <c r="M1253" s="66">
        <v>1.6E-2</v>
      </c>
      <c r="N1253" s="57">
        <v>53.250999999999998</v>
      </c>
      <c r="O1253" s="67">
        <v>0.06</v>
      </c>
      <c r="P1253" s="96"/>
      <c r="Q1253" s="93"/>
      <c r="R1253" s="93"/>
      <c r="S1253" s="93"/>
      <c r="T1253" s="93"/>
    </row>
    <row r="1254" spans="1:20" ht="14.25" customHeight="1" x14ac:dyDescent="0.35">
      <c r="A1254" s="1">
        <v>2021</v>
      </c>
      <c r="B1254" s="1" t="s">
        <v>28</v>
      </c>
      <c r="C1254" s="1">
        <v>5</v>
      </c>
      <c r="D1254" s="49">
        <v>107.813</v>
      </c>
      <c r="E1254" s="50">
        <v>91.406000000000006</v>
      </c>
      <c r="F1254" s="60">
        <v>80.400000000000006</v>
      </c>
      <c r="G1254" s="61">
        <v>1673.5650000000001</v>
      </c>
      <c r="H1254" s="62">
        <v>6.9</v>
      </c>
      <c r="I1254" s="63">
        <v>2.1999999999999999E-2</v>
      </c>
      <c r="J1254" s="68">
        <v>8.3879999999999999</v>
      </c>
      <c r="K1254" s="65">
        <v>32.128</v>
      </c>
      <c r="L1254" s="50">
        <v>5.65</v>
      </c>
      <c r="M1254" s="66">
        <v>1.6E-2</v>
      </c>
      <c r="N1254" s="57">
        <v>44.115000000000002</v>
      </c>
      <c r="O1254" s="67">
        <v>0.06</v>
      </c>
      <c r="P1254" s="96"/>
      <c r="Q1254" s="93"/>
      <c r="R1254" s="93"/>
      <c r="S1254" s="93"/>
      <c r="T1254" s="93"/>
    </row>
    <row r="1255" spans="1:20" ht="14.25" customHeight="1" x14ac:dyDescent="0.35">
      <c r="A1255" s="1">
        <v>2021</v>
      </c>
      <c r="B1255" s="1" t="s">
        <v>28</v>
      </c>
      <c r="C1255" s="1">
        <v>6</v>
      </c>
      <c r="D1255" s="49">
        <v>105.828</v>
      </c>
      <c r="E1255" s="50">
        <v>89.813000000000002</v>
      </c>
      <c r="F1255" s="60">
        <v>80.501999999999995</v>
      </c>
      <c r="G1255" s="61">
        <v>1630.557</v>
      </c>
      <c r="H1255" s="62">
        <v>6.9</v>
      </c>
      <c r="I1255" s="63">
        <v>2.1000000000000001E-2</v>
      </c>
      <c r="J1255" s="68">
        <v>8.2530000000000001</v>
      </c>
      <c r="K1255" s="65">
        <v>31.114000000000001</v>
      </c>
      <c r="L1255" s="50">
        <v>5.6470000000000002</v>
      </c>
      <c r="M1255" s="66">
        <v>1.6E-2</v>
      </c>
      <c r="N1255" s="57">
        <v>44.390999999999998</v>
      </c>
      <c r="O1255" s="67">
        <v>5.8999999999999997E-2</v>
      </c>
      <c r="P1255" s="96"/>
      <c r="Q1255" s="93"/>
      <c r="R1255" s="93"/>
      <c r="S1255" s="93"/>
      <c r="T1255" s="93"/>
    </row>
    <row r="1256" spans="1:20" ht="14.25" customHeight="1" x14ac:dyDescent="0.35">
      <c r="A1256" s="1">
        <v>2021</v>
      </c>
      <c r="B1256" s="1" t="s">
        <v>28</v>
      </c>
      <c r="C1256" s="1">
        <v>7</v>
      </c>
      <c r="D1256" s="49">
        <v>106.078</v>
      </c>
      <c r="E1256" s="50">
        <v>89.968999999999994</v>
      </c>
      <c r="F1256" s="60">
        <v>79.992000000000004</v>
      </c>
      <c r="G1256" s="61">
        <v>1606.1030000000001</v>
      </c>
      <c r="H1256" s="62">
        <v>6.9</v>
      </c>
      <c r="I1256" s="63">
        <v>2.1000000000000001E-2</v>
      </c>
      <c r="J1256" s="68">
        <v>8.4420000000000002</v>
      </c>
      <c r="K1256" s="65">
        <v>30.902000000000001</v>
      </c>
      <c r="L1256" s="50">
        <v>5.6420000000000003</v>
      </c>
      <c r="M1256" s="66">
        <v>1.6E-2</v>
      </c>
      <c r="N1256" s="57">
        <v>44.97</v>
      </c>
      <c r="O1256" s="67">
        <v>5.5E-2</v>
      </c>
      <c r="P1256" s="96"/>
      <c r="Q1256" s="93"/>
      <c r="R1256" s="93"/>
      <c r="S1256" s="93"/>
      <c r="T1256" s="93"/>
    </row>
    <row r="1257" spans="1:20" ht="14.25" customHeight="1" x14ac:dyDescent="0.35">
      <c r="A1257" s="1">
        <v>2021</v>
      </c>
      <c r="B1257" s="1" t="s">
        <v>28</v>
      </c>
      <c r="C1257" s="1">
        <v>8</v>
      </c>
      <c r="D1257" s="49">
        <v>106.46899999999999</v>
      </c>
      <c r="E1257" s="50">
        <v>89.968999999999994</v>
      </c>
      <c r="F1257" s="60">
        <v>80.350999999999999</v>
      </c>
      <c r="G1257" s="69">
        <v>1685.796</v>
      </c>
      <c r="H1257" s="62">
        <v>6.9</v>
      </c>
      <c r="I1257" s="63">
        <v>2.1999999999999999E-2</v>
      </c>
      <c r="J1257" s="71">
        <v>8.5860000000000003</v>
      </c>
      <c r="K1257" s="65">
        <v>32.383000000000003</v>
      </c>
      <c r="L1257" s="50">
        <v>5.6509999999999998</v>
      </c>
      <c r="M1257" s="66">
        <v>1.6E-2</v>
      </c>
      <c r="N1257" s="57">
        <v>43.984000000000002</v>
      </c>
      <c r="O1257" s="70">
        <v>6.2E-2</v>
      </c>
      <c r="P1257" s="96"/>
      <c r="Q1257" s="93"/>
      <c r="R1257" s="93"/>
      <c r="S1257" s="93"/>
      <c r="T1257" s="93"/>
    </row>
    <row r="1258" spans="1:20" ht="14.25" customHeight="1" x14ac:dyDescent="0.35">
      <c r="A1258" s="1">
        <v>2021</v>
      </c>
      <c r="B1258" s="1" t="s">
        <v>28</v>
      </c>
      <c r="C1258" s="1">
        <v>9</v>
      </c>
      <c r="D1258" s="49">
        <v>107.172</v>
      </c>
      <c r="E1258" s="50">
        <v>90.781000000000006</v>
      </c>
      <c r="F1258" s="60">
        <v>80.596999999999994</v>
      </c>
      <c r="G1258" s="61">
        <v>1712.598</v>
      </c>
      <c r="H1258" s="62">
        <v>6.9</v>
      </c>
      <c r="I1258" s="63">
        <v>2.1000000000000001E-2</v>
      </c>
      <c r="J1258" s="68">
        <v>8.2769999999999992</v>
      </c>
      <c r="K1258" s="65">
        <v>33.646999999999998</v>
      </c>
      <c r="L1258" s="50">
        <v>5.64</v>
      </c>
      <c r="M1258" s="66">
        <v>1.6E-2</v>
      </c>
      <c r="N1258" s="57">
        <v>45.162999999999997</v>
      </c>
      <c r="O1258" s="67">
        <v>6.0999999999999999E-2</v>
      </c>
      <c r="P1258" s="96"/>
      <c r="Q1258" s="93"/>
      <c r="R1258" s="93"/>
      <c r="S1258" s="93"/>
      <c r="T1258" s="93"/>
    </row>
    <row r="1259" spans="1:20" ht="14.25" customHeight="1" x14ac:dyDescent="0.35">
      <c r="A1259" s="1">
        <v>2021</v>
      </c>
      <c r="B1259" s="1" t="s">
        <v>28</v>
      </c>
      <c r="C1259" s="1">
        <v>10</v>
      </c>
      <c r="D1259" s="49">
        <v>111.85899999999999</v>
      </c>
      <c r="E1259" s="50">
        <v>94.75</v>
      </c>
      <c r="F1259" s="72">
        <v>80.707999999999998</v>
      </c>
      <c r="G1259" s="61">
        <v>1722.5509999999999</v>
      </c>
      <c r="H1259" s="62">
        <v>6.9</v>
      </c>
      <c r="I1259" s="63">
        <v>2.1999999999999999E-2</v>
      </c>
      <c r="J1259" s="76">
        <v>8.2919999999999998</v>
      </c>
      <c r="K1259" s="65">
        <v>33.875</v>
      </c>
      <c r="L1259" s="50">
        <v>5.6440000000000001</v>
      </c>
      <c r="M1259" s="74">
        <v>1.6E-2</v>
      </c>
      <c r="N1259" s="57">
        <v>44.686999999999998</v>
      </c>
      <c r="O1259" s="75">
        <v>6.2E-2</v>
      </c>
      <c r="P1259" s="96"/>
      <c r="Q1259" s="93"/>
      <c r="R1259" s="93"/>
      <c r="S1259" s="93"/>
      <c r="T1259" s="93"/>
    </row>
    <row r="1260" spans="1:20" ht="14.25" customHeight="1" x14ac:dyDescent="0.35">
      <c r="A1260" s="1">
        <v>2021</v>
      </c>
      <c r="B1260" s="1" t="s">
        <v>28</v>
      </c>
      <c r="C1260" s="1">
        <v>11</v>
      </c>
      <c r="D1260" s="49">
        <v>107.96899999999999</v>
      </c>
      <c r="E1260" s="50">
        <v>91.375</v>
      </c>
      <c r="F1260" s="72">
        <v>80.855000000000004</v>
      </c>
      <c r="G1260" s="61">
        <v>1725.519</v>
      </c>
      <c r="H1260" s="62">
        <v>6.9</v>
      </c>
      <c r="I1260" s="63">
        <v>2.1999999999999999E-2</v>
      </c>
      <c r="J1260" s="76">
        <v>8.391</v>
      </c>
      <c r="K1260" s="65">
        <v>34.078000000000003</v>
      </c>
      <c r="L1260" s="50">
        <v>5.5910000000000002</v>
      </c>
      <c r="M1260" s="74">
        <v>1.6E-2</v>
      </c>
      <c r="N1260" s="57">
        <v>50.628</v>
      </c>
      <c r="O1260" s="75">
        <v>6.0999999999999999E-2</v>
      </c>
      <c r="P1260" s="96"/>
      <c r="Q1260" s="93"/>
      <c r="R1260" s="93"/>
      <c r="S1260" s="93"/>
      <c r="T1260" s="93"/>
    </row>
    <row r="1261" spans="1:20" ht="14.25" customHeight="1" x14ac:dyDescent="0.35">
      <c r="A1261" s="1">
        <v>2021</v>
      </c>
      <c r="B1261" s="1" t="s">
        <v>28</v>
      </c>
      <c r="C1261" s="1">
        <v>12</v>
      </c>
      <c r="D1261" s="49">
        <v>108.078</v>
      </c>
      <c r="E1261" s="50">
        <v>91.468999999999994</v>
      </c>
      <c r="F1261" s="72">
        <v>81.132000000000005</v>
      </c>
      <c r="G1261" s="61">
        <v>1727</v>
      </c>
      <c r="H1261" s="62">
        <v>6.9</v>
      </c>
      <c r="I1261" s="63">
        <v>2.1999999999999999E-2</v>
      </c>
      <c r="J1261" s="76">
        <v>8.2530000000000001</v>
      </c>
      <c r="K1261" s="65">
        <v>34</v>
      </c>
      <c r="L1261" s="50">
        <v>5.55</v>
      </c>
      <c r="M1261" s="74">
        <v>1.6E-2</v>
      </c>
      <c r="N1261" s="57">
        <v>56</v>
      </c>
      <c r="O1261" s="75">
        <v>5.8999999999999997E-2</v>
      </c>
      <c r="P1261" s="96"/>
      <c r="Q1261" s="93"/>
      <c r="R1261" s="93"/>
      <c r="S1261" s="93"/>
      <c r="T1261" s="93"/>
    </row>
    <row r="1262" spans="1:20" ht="14.25" customHeight="1" x14ac:dyDescent="0.35">
      <c r="A1262" s="1">
        <v>2021</v>
      </c>
      <c r="B1262" s="1" t="s">
        <v>28</v>
      </c>
      <c r="C1262" s="1">
        <v>13</v>
      </c>
      <c r="D1262" s="49">
        <v>107.53100000000001</v>
      </c>
      <c r="E1262" s="50">
        <v>91.03</v>
      </c>
      <c r="F1262" s="78">
        <v>81.222999999999999</v>
      </c>
      <c r="G1262" s="61">
        <v>1661</v>
      </c>
      <c r="H1262" s="62">
        <v>6.9</v>
      </c>
      <c r="I1262" s="63">
        <v>2.1000000000000001E-2</v>
      </c>
      <c r="J1262" s="81">
        <v>8.11</v>
      </c>
      <c r="K1262" s="65">
        <v>33</v>
      </c>
      <c r="L1262" s="50">
        <v>5.54</v>
      </c>
      <c r="M1262" s="66">
        <v>1.6E-2</v>
      </c>
      <c r="N1262" s="57">
        <v>56.332000000000001</v>
      </c>
      <c r="O1262" s="80">
        <v>5.4899999999999997E-2</v>
      </c>
      <c r="P1262" s="96"/>
      <c r="Q1262" s="93"/>
      <c r="R1262" s="93"/>
      <c r="S1262" s="93"/>
      <c r="T1262" s="93"/>
    </row>
    <row r="1263" spans="1:20" ht="14.25" customHeight="1" x14ac:dyDescent="0.35">
      <c r="A1263" s="1">
        <v>2021</v>
      </c>
      <c r="B1263" s="1" t="s">
        <v>28</v>
      </c>
      <c r="C1263" s="1">
        <v>14</v>
      </c>
      <c r="D1263" s="49">
        <v>105.375</v>
      </c>
      <c r="E1263" s="50">
        <v>89.281000000000006</v>
      </c>
      <c r="F1263" s="60">
        <v>81.442999999999998</v>
      </c>
      <c r="G1263" s="61">
        <v>1623.296</v>
      </c>
      <c r="H1263" s="62">
        <v>6.9</v>
      </c>
      <c r="I1263" s="63">
        <v>2.1999999999999999E-2</v>
      </c>
      <c r="J1263" s="81">
        <v>8.2490000000000006</v>
      </c>
      <c r="K1263" s="82">
        <v>32.406399999999998</v>
      </c>
      <c r="L1263" s="50">
        <v>5.5526999999999997</v>
      </c>
      <c r="M1263" s="66">
        <v>1.55E-2</v>
      </c>
      <c r="N1263" s="57">
        <v>55.111600000000003</v>
      </c>
      <c r="O1263" s="80">
        <v>5.3499999999999999E-2</v>
      </c>
      <c r="P1263" s="96"/>
      <c r="Q1263" s="93"/>
      <c r="R1263" s="93"/>
      <c r="S1263" s="93"/>
      <c r="T1263" s="93"/>
    </row>
    <row r="1264" spans="1:20" ht="14.25" customHeight="1" x14ac:dyDescent="0.35">
      <c r="A1264" s="1">
        <v>2021</v>
      </c>
      <c r="B1264" s="1" t="s">
        <v>28</v>
      </c>
      <c r="C1264" s="1">
        <v>15</v>
      </c>
      <c r="D1264" s="49">
        <v>109.953</v>
      </c>
      <c r="E1264" s="50">
        <v>93.25</v>
      </c>
      <c r="F1264" s="60">
        <v>81.933000000000007</v>
      </c>
      <c r="G1264" s="61">
        <v>1701.538</v>
      </c>
      <c r="H1264" s="62">
        <v>6.9</v>
      </c>
      <c r="I1264" s="63">
        <v>2.1999999999999999E-2</v>
      </c>
      <c r="J1264" s="76">
        <v>8.5220000000000002</v>
      </c>
      <c r="K1264" s="65">
        <v>34.322600000000001</v>
      </c>
      <c r="L1264" s="50">
        <v>5.5468000000000002</v>
      </c>
      <c r="M1264" s="66">
        <v>1.55E-2</v>
      </c>
      <c r="N1264" s="57">
        <v>56.049799999999998</v>
      </c>
      <c r="O1264" s="75">
        <v>6.2799999999999995E-2</v>
      </c>
      <c r="P1264" s="96"/>
      <c r="Q1264" s="93"/>
      <c r="R1264" s="93"/>
      <c r="S1264" s="93"/>
      <c r="T1264" s="93"/>
    </row>
    <row r="1265" spans="1:20" ht="14.25" customHeight="1" x14ac:dyDescent="0.35">
      <c r="A1265" s="1">
        <v>2021</v>
      </c>
      <c r="B1265" s="1" t="s">
        <v>28</v>
      </c>
      <c r="C1265" s="1">
        <v>16</v>
      </c>
      <c r="D1265" s="49">
        <v>108.73399999999999</v>
      </c>
      <c r="E1265" s="50">
        <v>92.063000000000002</v>
      </c>
      <c r="F1265" s="60">
        <v>81.911000000000001</v>
      </c>
      <c r="G1265" s="61">
        <v>1730.845</v>
      </c>
      <c r="H1265" s="62">
        <v>6.9</v>
      </c>
      <c r="I1265" s="63">
        <v>2.1999999999999999E-2</v>
      </c>
      <c r="J1265" s="81">
        <v>8.343</v>
      </c>
      <c r="K1265" s="61">
        <v>34.677</v>
      </c>
      <c r="L1265" s="62">
        <v>5.5419999999999998</v>
      </c>
      <c r="M1265" s="66">
        <v>1.4999999999999999E-2</v>
      </c>
      <c r="N1265" s="57">
        <v>56.543999999999997</v>
      </c>
      <c r="O1265" s="80">
        <v>6.3E-2</v>
      </c>
      <c r="P1265" s="96"/>
      <c r="Q1265" s="93"/>
      <c r="R1265" s="93"/>
      <c r="S1265" s="93"/>
      <c r="T1265" s="93"/>
    </row>
    <row r="1266" spans="1:20" ht="14.25" customHeight="1" x14ac:dyDescent="0.35">
      <c r="A1266" s="1">
        <v>2021</v>
      </c>
      <c r="B1266" s="1" t="s">
        <v>28</v>
      </c>
      <c r="C1266" s="1">
        <v>17</v>
      </c>
      <c r="D1266" s="49">
        <v>108.03100000000001</v>
      </c>
      <c r="E1266" s="50">
        <v>91.563000000000002</v>
      </c>
      <c r="F1266" s="60">
        <v>81.816000000000003</v>
      </c>
      <c r="G1266" s="61">
        <v>1734.8579999999999</v>
      </c>
      <c r="H1266" s="62">
        <v>6.9</v>
      </c>
      <c r="I1266" s="63">
        <v>2.3E-2</v>
      </c>
      <c r="J1266" s="68">
        <v>8.52</v>
      </c>
      <c r="K1266" s="65">
        <v>35.511000000000003</v>
      </c>
      <c r="L1266" s="50">
        <v>5.5540000000000003</v>
      </c>
      <c r="M1266" s="66">
        <v>1.6E-2</v>
      </c>
      <c r="N1266" s="57">
        <v>55</v>
      </c>
      <c r="O1266" s="67">
        <v>6.7000000000000004E-2</v>
      </c>
      <c r="P1266" s="96"/>
      <c r="Q1266" s="93"/>
      <c r="R1266" s="93"/>
      <c r="S1266" s="93"/>
      <c r="T1266" s="93"/>
    </row>
    <row r="1267" spans="1:20" ht="14.25" customHeight="1" x14ac:dyDescent="0.35">
      <c r="A1267" s="1">
        <v>2021</v>
      </c>
      <c r="B1267" s="1" t="s">
        <v>28</v>
      </c>
      <c r="C1267" s="1">
        <v>18</v>
      </c>
      <c r="D1267" s="49">
        <v>106.23399999999999</v>
      </c>
      <c r="E1267" s="50">
        <v>89.968999999999994</v>
      </c>
      <c r="F1267" s="60">
        <v>81.632000000000005</v>
      </c>
      <c r="G1267" s="61">
        <v>1756.1679999999999</v>
      </c>
      <c r="H1267" s="62">
        <v>6.9</v>
      </c>
      <c r="I1267" s="63">
        <v>2.5000000000000001E-2</v>
      </c>
      <c r="J1267" s="68">
        <v>8.32</v>
      </c>
      <c r="K1267" s="61">
        <v>33.414999999999999</v>
      </c>
      <c r="L1267" s="62">
        <v>5.5350000000000001</v>
      </c>
      <c r="M1267" s="66">
        <v>1.6E-2</v>
      </c>
      <c r="N1267" s="57">
        <v>57.533000000000001</v>
      </c>
      <c r="O1267" s="67">
        <v>6.0999999999999999E-2</v>
      </c>
      <c r="P1267" s="96"/>
      <c r="Q1267" s="93"/>
      <c r="R1267" s="93"/>
      <c r="S1267" s="93"/>
      <c r="T1267" s="93"/>
    </row>
    <row r="1268" spans="1:20" ht="14.25" customHeight="1" x14ac:dyDescent="0.35">
      <c r="A1268" s="1">
        <v>2021</v>
      </c>
      <c r="B1268" s="1" t="s">
        <v>28</v>
      </c>
      <c r="C1268" s="1">
        <v>19</v>
      </c>
      <c r="D1268" s="49">
        <v>105.828</v>
      </c>
      <c r="E1268" s="50">
        <v>89.75</v>
      </c>
      <c r="F1268" s="60">
        <v>81.75</v>
      </c>
      <c r="G1268" s="61">
        <v>1729.1030000000001</v>
      </c>
      <c r="H1268" s="62">
        <v>6.9</v>
      </c>
      <c r="I1268" s="63">
        <v>2.8000000000000001E-2</v>
      </c>
      <c r="J1268" s="68">
        <v>8.2989999999999995</v>
      </c>
      <c r="K1268" s="65">
        <v>31.785</v>
      </c>
      <c r="L1268" s="50">
        <v>5.5430000000000001</v>
      </c>
      <c r="M1268" s="66">
        <v>1.6E-2</v>
      </c>
      <c r="N1268" s="57">
        <v>56.658999999999999</v>
      </c>
      <c r="O1268" s="67">
        <v>5.8999999999999997E-2</v>
      </c>
      <c r="P1268" s="96"/>
      <c r="Q1268" s="93"/>
      <c r="R1268" s="93"/>
      <c r="S1268" s="93"/>
      <c r="T1268" s="93"/>
    </row>
    <row r="1269" spans="1:20" ht="14.25" customHeight="1" x14ac:dyDescent="0.35">
      <c r="A1269" s="1">
        <v>2021</v>
      </c>
      <c r="B1269" s="1" t="s">
        <v>28</v>
      </c>
      <c r="C1269" s="1">
        <v>20</v>
      </c>
      <c r="D1269" s="49">
        <v>106.15600000000001</v>
      </c>
      <c r="E1269" s="50">
        <v>90</v>
      </c>
      <c r="F1269" s="60">
        <v>81.644000000000005</v>
      </c>
      <c r="G1269" s="61">
        <v>1656.027</v>
      </c>
      <c r="H1269" s="62">
        <v>6.9</v>
      </c>
      <c r="I1269" s="63">
        <v>2.5999999999999999E-2</v>
      </c>
      <c r="J1269" s="68">
        <v>8.0370000000000008</v>
      </c>
      <c r="K1269" s="61">
        <v>30.292999999999999</v>
      </c>
      <c r="L1269" s="62">
        <v>5.5469999999999997</v>
      </c>
      <c r="M1269" s="66">
        <v>1.6E-2</v>
      </c>
      <c r="N1269" s="57">
        <v>56.39</v>
      </c>
      <c r="O1269" s="67">
        <v>5.5E-2</v>
      </c>
      <c r="P1269" s="96"/>
      <c r="Q1269" s="93"/>
      <c r="R1269" s="93"/>
      <c r="S1269" s="93"/>
      <c r="T1269" s="93"/>
    </row>
    <row r="1270" spans="1:20" ht="14.25" customHeight="1" x14ac:dyDescent="0.35">
      <c r="A1270" s="1">
        <v>2021</v>
      </c>
      <c r="B1270" s="1" t="s">
        <v>28</v>
      </c>
      <c r="C1270" s="1">
        <v>21</v>
      </c>
      <c r="D1270" s="49">
        <v>107.25</v>
      </c>
      <c r="E1270" s="50">
        <v>91.063000000000002</v>
      </c>
      <c r="F1270" s="60">
        <v>81.667000000000002</v>
      </c>
      <c r="G1270" s="61">
        <v>1651.876</v>
      </c>
      <c r="H1270" s="62">
        <v>6.9</v>
      </c>
      <c r="I1270" s="63">
        <v>2.5000000000000001E-2</v>
      </c>
      <c r="J1270" s="68">
        <v>8.1709999999999994</v>
      </c>
      <c r="K1270" s="65">
        <v>30.611999999999998</v>
      </c>
      <c r="L1270" s="50">
        <v>5.556</v>
      </c>
      <c r="M1270" s="66">
        <v>1.6E-2</v>
      </c>
      <c r="N1270" s="57">
        <v>54.813000000000002</v>
      </c>
      <c r="O1270" s="67">
        <v>5.3999999999999999E-2</v>
      </c>
      <c r="P1270" s="96"/>
      <c r="Q1270" s="93"/>
      <c r="R1270" s="93"/>
      <c r="S1270" s="93"/>
      <c r="T1270" s="93"/>
    </row>
    <row r="1271" spans="1:20" ht="14.25" customHeight="1" x14ac:dyDescent="0.35">
      <c r="A1271" s="1">
        <v>2021</v>
      </c>
      <c r="B1271" s="1" t="s">
        <v>28</v>
      </c>
      <c r="C1271" s="1">
        <v>22</v>
      </c>
      <c r="D1271" s="49">
        <v>112.14100000000001</v>
      </c>
      <c r="E1271" s="50">
        <v>95</v>
      </c>
      <c r="F1271" s="60">
        <v>81.903999999999996</v>
      </c>
      <c r="G1271" s="61">
        <v>1743.5029999999999</v>
      </c>
      <c r="H1271" s="62">
        <v>6.9</v>
      </c>
      <c r="I1271" s="63">
        <v>2.5999999999999999E-2</v>
      </c>
      <c r="J1271" s="68">
        <v>8.4990000000000006</v>
      </c>
      <c r="K1271" s="61">
        <v>33.463000000000001</v>
      </c>
      <c r="L1271" s="62">
        <v>5.5439999999999996</v>
      </c>
      <c r="M1271" s="66">
        <v>1.6E-2</v>
      </c>
      <c r="N1271" s="57">
        <v>56.393999999999998</v>
      </c>
      <c r="O1271" s="67">
        <v>6.3E-2</v>
      </c>
      <c r="P1271" s="96"/>
      <c r="Q1271" s="93"/>
      <c r="R1271" s="93"/>
      <c r="S1271" s="93"/>
      <c r="T1271" s="93"/>
    </row>
    <row r="1272" spans="1:20" ht="14.25" customHeight="1" x14ac:dyDescent="0.35">
      <c r="A1272" s="1">
        <v>2021</v>
      </c>
      <c r="B1272" s="1" t="s">
        <v>28</v>
      </c>
      <c r="C1272" s="1">
        <v>23</v>
      </c>
      <c r="D1272" s="49">
        <v>109.453</v>
      </c>
      <c r="E1272" s="50">
        <v>92.843999999999994</v>
      </c>
      <c r="F1272" s="60">
        <v>82.081999999999994</v>
      </c>
      <c r="G1272" s="61">
        <v>1778.2629999999999</v>
      </c>
      <c r="H1272" s="62">
        <v>6.9</v>
      </c>
      <c r="I1272" s="63">
        <v>2.4E-2</v>
      </c>
      <c r="J1272" s="68">
        <v>8.34</v>
      </c>
      <c r="K1272" s="65">
        <v>35.49</v>
      </c>
      <c r="L1272" s="50">
        <v>5.548</v>
      </c>
      <c r="M1272" s="66">
        <v>1.4999999999999999E-2</v>
      </c>
      <c r="N1272" s="57">
        <v>55.762</v>
      </c>
      <c r="O1272" s="67">
        <v>6.4000000000000001E-2</v>
      </c>
      <c r="P1272" s="96"/>
      <c r="Q1272" s="93"/>
      <c r="R1272" s="93"/>
      <c r="S1272" s="93"/>
      <c r="T1272" s="93"/>
    </row>
    <row r="1273" spans="1:20" ht="14.25" customHeight="1" x14ac:dyDescent="0.35">
      <c r="A1273" s="1">
        <v>2021</v>
      </c>
      <c r="B1273" s="1" t="s">
        <v>28</v>
      </c>
      <c r="C1273" s="1">
        <v>24</v>
      </c>
      <c r="D1273" s="49">
        <v>110.46899999999999</v>
      </c>
      <c r="E1273" s="50">
        <v>93.5</v>
      </c>
      <c r="F1273" s="60">
        <v>82.075999999999993</v>
      </c>
      <c r="G1273" s="61">
        <v>1798.6759999999999</v>
      </c>
      <c r="H1273" s="62">
        <v>6.9</v>
      </c>
      <c r="I1273" s="63">
        <v>2.5000000000000001E-2</v>
      </c>
      <c r="J1273" s="68">
        <v>8.2729999999999997</v>
      </c>
      <c r="K1273" s="61">
        <v>36.420999999999999</v>
      </c>
      <c r="L1273" s="62">
        <v>5.5469999999999997</v>
      </c>
      <c r="M1273" s="66">
        <v>1.4999999999999999E-2</v>
      </c>
      <c r="N1273" s="57">
        <v>56.048000000000002</v>
      </c>
      <c r="O1273" s="67">
        <v>6.5000000000000002E-2</v>
      </c>
      <c r="P1273" s="96"/>
      <c r="Q1273" s="93"/>
      <c r="R1273" s="93"/>
      <c r="S1273" s="93"/>
      <c r="T1273" s="93"/>
    </row>
    <row r="1274" spans="1:20" ht="14.25" customHeight="1" x14ac:dyDescent="0.35">
      <c r="A1274" s="1">
        <v>2021</v>
      </c>
      <c r="B1274" s="1" t="s">
        <v>28</v>
      </c>
      <c r="C1274" s="1">
        <v>25</v>
      </c>
      <c r="D1274" s="49">
        <v>112.125</v>
      </c>
      <c r="E1274" s="50">
        <v>95.031000000000006</v>
      </c>
      <c r="F1274" s="60">
        <v>82.103999999999999</v>
      </c>
      <c r="G1274" s="61">
        <v>1794.2249999999999</v>
      </c>
      <c r="H1274" s="62">
        <v>6.9</v>
      </c>
      <c r="I1274" s="63">
        <v>2.4E-2</v>
      </c>
      <c r="J1274" s="68">
        <v>8.2780000000000005</v>
      </c>
      <c r="K1274" s="65">
        <v>35.606000000000002</v>
      </c>
      <c r="L1274" s="50">
        <v>5.5540000000000003</v>
      </c>
      <c r="M1274" s="66">
        <v>1.4999999999999999E-2</v>
      </c>
      <c r="N1274" s="57">
        <v>55.182000000000002</v>
      </c>
      <c r="O1274" s="67">
        <v>6.4000000000000001E-2</v>
      </c>
      <c r="P1274" s="96"/>
      <c r="Q1274" s="93"/>
      <c r="R1274" s="93"/>
      <c r="S1274" s="93"/>
      <c r="T1274" s="93"/>
    </row>
    <row r="1275" spans="1:20" ht="14.25" customHeight="1" x14ac:dyDescent="0.35">
      <c r="A1275" s="1">
        <v>2021</v>
      </c>
      <c r="B1275" s="1" t="s">
        <v>28</v>
      </c>
      <c r="C1275" s="1">
        <v>26</v>
      </c>
      <c r="D1275" s="49">
        <v>107.53100000000001</v>
      </c>
      <c r="E1275" s="50">
        <v>90.938000000000002</v>
      </c>
      <c r="F1275" s="60">
        <v>82.218999999999994</v>
      </c>
      <c r="G1275" s="61">
        <v>1765.1949999999999</v>
      </c>
      <c r="H1275" s="62">
        <v>6.9</v>
      </c>
      <c r="I1275" s="63">
        <v>2.4E-2</v>
      </c>
      <c r="J1275" s="68">
        <v>8.2279999999999998</v>
      </c>
      <c r="K1275" s="61">
        <v>35.122999999999998</v>
      </c>
      <c r="L1275" s="62">
        <v>5.5519999999999996</v>
      </c>
      <c r="M1275" s="66">
        <v>1.4999999999999999E-2</v>
      </c>
      <c r="N1275" s="57">
        <v>55.515000000000001</v>
      </c>
      <c r="O1275" s="67">
        <v>6.4000000000000001E-2</v>
      </c>
      <c r="P1275" s="96"/>
      <c r="Q1275" s="93"/>
      <c r="R1275" s="93"/>
      <c r="S1275" s="93"/>
      <c r="T1275" s="93"/>
    </row>
    <row r="1276" spans="1:20" ht="14.25" customHeight="1" x14ac:dyDescent="0.35">
      <c r="A1276" s="1">
        <v>2021</v>
      </c>
      <c r="B1276" s="1" t="s">
        <v>28</v>
      </c>
      <c r="C1276" s="1">
        <v>27</v>
      </c>
      <c r="D1276" s="49">
        <v>106.328</v>
      </c>
      <c r="E1276" s="50">
        <v>90</v>
      </c>
      <c r="F1276" s="60">
        <v>82.381</v>
      </c>
      <c r="G1276" s="61">
        <v>1687.864</v>
      </c>
      <c r="H1276" s="62">
        <v>6.9</v>
      </c>
      <c r="I1276" s="63">
        <v>2.4E-2</v>
      </c>
      <c r="J1276" s="68">
        <v>8.0809999999999995</v>
      </c>
      <c r="K1276" s="65">
        <v>33.94</v>
      </c>
      <c r="L1276" s="50">
        <v>5.5510000000000002</v>
      </c>
      <c r="M1276" s="66">
        <v>1.4999999999999999E-2</v>
      </c>
      <c r="N1276" s="57">
        <v>55.518999999999998</v>
      </c>
      <c r="O1276" s="67">
        <v>0.06</v>
      </c>
      <c r="P1276" s="96"/>
      <c r="Q1276" s="93"/>
      <c r="R1276" s="93"/>
      <c r="S1276" s="93"/>
      <c r="T1276" s="93"/>
    </row>
    <row r="1277" spans="1:20" ht="14.25" customHeight="1" x14ac:dyDescent="0.35">
      <c r="A1277" s="1">
        <v>2021</v>
      </c>
      <c r="B1277" s="1" t="s">
        <v>28</v>
      </c>
      <c r="C1277" s="1">
        <v>28</v>
      </c>
      <c r="D1277" s="49">
        <v>111.51600000000001</v>
      </c>
      <c r="E1277" s="50">
        <v>94.5</v>
      </c>
      <c r="F1277" s="60">
        <v>82.353999999999999</v>
      </c>
      <c r="G1277" s="61">
        <v>1656.1289999999999</v>
      </c>
      <c r="H1277" s="62">
        <v>6.9</v>
      </c>
      <c r="I1277" s="63">
        <v>2.4E-2</v>
      </c>
      <c r="J1277" s="68">
        <v>8.1620000000000008</v>
      </c>
      <c r="K1277" s="61">
        <v>32.976999999999997</v>
      </c>
      <c r="L1277" s="62">
        <v>5.5670000000000002</v>
      </c>
      <c r="M1277" s="66">
        <v>1.4999999999999999E-2</v>
      </c>
      <c r="N1277" s="57">
        <v>53.39</v>
      </c>
      <c r="O1277" s="67">
        <v>5.8000000000000003E-2</v>
      </c>
      <c r="P1277" s="96"/>
      <c r="Q1277" s="93"/>
      <c r="R1277" s="93"/>
      <c r="S1277" s="93"/>
      <c r="T1277" s="93"/>
    </row>
    <row r="1278" spans="1:20" ht="14.25" customHeight="1" x14ac:dyDescent="0.35">
      <c r="A1278" s="1">
        <v>2021</v>
      </c>
      <c r="B1278" s="1" t="s">
        <v>28</v>
      </c>
      <c r="C1278" s="1">
        <v>29</v>
      </c>
      <c r="D1278" s="49">
        <v>111.65600000000001</v>
      </c>
      <c r="E1278" s="50">
        <v>94.625</v>
      </c>
      <c r="F1278" s="83">
        <v>82.230999999999995</v>
      </c>
      <c r="G1278" s="69">
        <v>1746.0909999999999</v>
      </c>
      <c r="H1278" s="50">
        <v>6.9</v>
      </c>
      <c r="I1278" s="66">
        <v>2.5000000000000001E-2</v>
      </c>
      <c r="J1278" s="117">
        <v>8.3339999999999996</v>
      </c>
      <c r="K1278" s="61">
        <v>34.335999999999999</v>
      </c>
      <c r="L1278" s="62">
        <v>5.5620000000000003</v>
      </c>
      <c r="M1278" s="66">
        <v>1.4999999999999999E-2</v>
      </c>
      <c r="N1278" s="57">
        <v>54.17</v>
      </c>
      <c r="O1278" s="84">
        <v>6.4000000000000001E-2</v>
      </c>
      <c r="P1278" s="96"/>
      <c r="Q1278" s="93"/>
      <c r="R1278" s="93"/>
      <c r="S1278" s="93"/>
      <c r="T1278" s="93"/>
    </row>
    <row r="1279" spans="1:20" ht="14.25" customHeight="1" x14ac:dyDescent="0.35">
      <c r="A1279" s="1">
        <v>2021</v>
      </c>
      <c r="B1279" s="1" t="s">
        <v>28</v>
      </c>
      <c r="C1279" s="1">
        <v>30</v>
      </c>
      <c r="D1279" s="104">
        <v>110.21899999999999</v>
      </c>
      <c r="E1279" s="105">
        <v>93.406000000000006</v>
      </c>
      <c r="F1279" s="83">
        <v>82.605000000000004</v>
      </c>
      <c r="G1279" s="69">
        <v>1786.3979999999999</v>
      </c>
      <c r="H1279" s="50">
        <v>6.899</v>
      </c>
      <c r="I1279" s="66">
        <v>2.4E-2</v>
      </c>
      <c r="J1279" s="117">
        <v>8.3000000000000007</v>
      </c>
      <c r="K1279" s="61">
        <v>35.442</v>
      </c>
      <c r="L1279" s="62">
        <v>5.5549999999999997</v>
      </c>
      <c r="M1279" s="66">
        <v>1.4999999999999999E-2</v>
      </c>
      <c r="N1279" s="57">
        <v>55.012</v>
      </c>
      <c r="O1279" s="84">
        <v>6.3E-2</v>
      </c>
      <c r="P1279" s="96"/>
      <c r="Q1279" s="93"/>
      <c r="R1279" s="93"/>
      <c r="S1279" s="93"/>
      <c r="T1279" s="93"/>
    </row>
    <row r="1280" spans="1:20" ht="14.25" customHeight="1" x14ac:dyDescent="0.35">
      <c r="A1280" s="1">
        <v>2021</v>
      </c>
      <c r="B1280" s="1" t="s">
        <v>29</v>
      </c>
      <c r="C1280" s="1">
        <v>1</v>
      </c>
      <c r="D1280" s="49">
        <v>110.375</v>
      </c>
      <c r="E1280" s="50">
        <v>93.781000000000006</v>
      </c>
      <c r="F1280" s="51">
        <v>82.826999999999998</v>
      </c>
      <c r="G1280" s="52">
        <v>1780.3340000000001</v>
      </c>
      <c r="H1280" s="53">
        <v>6.9</v>
      </c>
      <c r="I1280" s="54">
        <v>2.5000000000000001E-2</v>
      </c>
      <c r="J1280" s="59">
        <v>8.2479999999999993</v>
      </c>
      <c r="K1280" s="52">
        <v>35.64</v>
      </c>
      <c r="L1280" s="55">
        <v>5.5579999999999998</v>
      </c>
      <c r="M1280" s="56">
        <v>1.4999999999999999E-2</v>
      </c>
      <c r="N1280" s="57">
        <v>54.588999999999999</v>
      </c>
      <c r="O1280" s="58">
        <v>6.4000000000000001E-2</v>
      </c>
      <c r="P1280" s="96"/>
      <c r="Q1280" s="93"/>
      <c r="R1280" s="93"/>
      <c r="S1280" s="93"/>
      <c r="T1280" s="93"/>
    </row>
    <row r="1281" spans="1:20" ht="14.25" customHeight="1" x14ac:dyDescent="0.35">
      <c r="A1281" s="1">
        <v>2021</v>
      </c>
      <c r="B1281" s="1" t="s">
        <v>29</v>
      </c>
      <c r="C1281" s="1">
        <v>2</v>
      </c>
      <c r="D1281" s="49">
        <v>111.73399999999999</v>
      </c>
      <c r="E1281" s="50">
        <v>95</v>
      </c>
      <c r="F1281" s="60">
        <v>82.861999999999995</v>
      </c>
      <c r="G1281" s="61">
        <v>1765.6869999999999</v>
      </c>
      <c r="H1281" s="62">
        <v>6.9</v>
      </c>
      <c r="I1281" s="63">
        <v>2.5000000000000001E-2</v>
      </c>
      <c r="J1281" s="68">
        <v>8.1850000000000005</v>
      </c>
      <c r="K1281" s="65">
        <v>35.869</v>
      </c>
      <c r="L1281" s="50">
        <v>5.6539999999999999</v>
      </c>
      <c r="M1281" s="66">
        <v>1.4999999999999999E-2</v>
      </c>
      <c r="N1281" s="57">
        <v>44.86</v>
      </c>
      <c r="O1281" s="67">
        <v>6.0999999999999999E-2</v>
      </c>
      <c r="P1281" s="96"/>
      <c r="Q1281" s="93"/>
      <c r="R1281" s="93"/>
      <c r="S1281" s="93"/>
      <c r="T1281" s="93"/>
    </row>
    <row r="1282" spans="1:20" ht="14.25" customHeight="1" x14ac:dyDescent="0.35">
      <c r="A1282" s="1">
        <v>2021</v>
      </c>
      <c r="B1282" s="1" t="s">
        <v>29</v>
      </c>
      <c r="C1282" s="1">
        <v>3</v>
      </c>
      <c r="D1282" s="49">
        <v>109.40600000000001</v>
      </c>
      <c r="E1282" s="50">
        <v>92.906000000000006</v>
      </c>
      <c r="F1282" s="60">
        <v>82.811999999999998</v>
      </c>
      <c r="G1282" s="61">
        <v>1736.384</v>
      </c>
      <c r="H1282" s="62">
        <v>6.9</v>
      </c>
      <c r="I1282" s="63">
        <v>2.5000000000000001E-2</v>
      </c>
      <c r="J1282" s="68">
        <v>8.0459999999999994</v>
      </c>
      <c r="K1282" s="65">
        <v>35.737000000000002</v>
      </c>
      <c r="L1282" s="50">
        <v>5.7350000000000003</v>
      </c>
      <c r="M1282" s="66">
        <v>1.4999999999999999E-2</v>
      </c>
      <c r="N1282" s="57">
        <v>36.29</v>
      </c>
      <c r="O1282" s="67">
        <v>6.0999999999999999E-2</v>
      </c>
      <c r="P1282" s="96"/>
      <c r="Q1282" s="93"/>
      <c r="R1282" s="93"/>
      <c r="S1282" s="93"/>
      <c r="T1282" s="93"/>
    </row>
    <row r="1283" spans="1:20" ht="14.25" customHeight="1" x14ac:dyDescent="0.35">
      <c r="A1283" s="1">
        <v>2021</v>
      </c>
      <c r="B1283" s="1" t="s">
        <v>29</v>
      </c>
      <c r="C1283" s="1">
        <v>4</v>
      </c>
      <c r="D1283" s="49">
        <v>105.813</v>
      </c>
      <c r="E1283" s="50">
        <v>89.968999999999994</v>
      </c>
      <c r="F1283" s="60">
        <v>82.796999999999997</v>
      </c>
      <c r="G1283" s="61">
        <v>1684.9690000000001</v>
      </c>
      <c r="H1283" s="62">
        <v>6.9</v>
      </c>
      <c r="I1283" s="63">
        <v>2.4E-2</v>
      </c>
      <c r="J1283" s="68">
        <v>7.8630000000000004</v>
      </c>
      <c r="K1283" s="65">
        <v>34.238999999999997</v>
      </c>
      <c r="L1283" s="50">
        <v>5.7270000000000003</v>
      </c>
      <c r="M1283" s="66">
        <v>1.4999999999999999E-2</v>
      </c>
      <c r="N1283" s="57">
        <v>36.966999999999999</v>
      </c>
      <c r="O1283" s="67">
        <v>5.7000000000000002E-2</v>
      </c>
      <c r="P1283" s="96"/>
      <c r="Q1283" s="93"/>
      <c r="R1283" s="93"/>
      <c r="S1283" s="93"/>
      <c r="T1283" s="93"/>
    </row>
    <row r="1284" spans="1:20" ht="14.25" customHeight="1" x14ac:dyDescent="0.35">
      <c r="A1284" s="1">
        <v>2021</v>
      </c>
      <c r="B1284" s="1" t="s">
        <v>29</v>
      </c>
      <c r="C1284" s="1">
        <v>5</v>
      </c>
      <c r="D1284" s="49">
        <v>103.797</v>
      </c>
      <c r="E1284" s="50">
        <v>88.25</v>
      </c>
      <c r="F1284" s="60">
        <v>82.504000000000005</v>
      </c>
      <c r="G1284" s="61">
        <v>1626.981</v>
      </c>
      <c r="H1284" s="62">
        <v>6.9</v>
      </c>
      <c r="I1284" s="63">
        <v>2.5000000000000001E-2</v>
      </c>
      <c r="J1284" s="68">
        <v>7.7119999999999997</v>
      </c>
      <c r="K1284" s="65">
        <v>33.395000000000003</v>
      </c>
      <c r="L1284" s="50">
        <v>5.7290000000000001</v>
      </c>
      <c r="M1284" s="66">
        <v>1.4999999999999999E-2</v>
      </c>
      <c r="N1284" s="57">
        <v>36.816000000000003</v>
      </c>
      <c r="O1284" s="67">
        <v>5.1999999999999998E-2</v>
      </c>
      <c r="P1284" s="96"/>
      <c r="Q1284" s="93"/>
      <c r="R1284" s="93"/>
      <c r="S1284" s="93"/>
      <c r="T1284" s="93"/>
    </row>
    <row r="1285" spans="1:20" ht="14.25" customHeight="1" x14ac:dyDescent="0.35">
      <c r="A1285" s="1">
        <v>2021</v>
      </c>
      <c r="B1285" s="1" t="s">
        <v>29</v>
      </c>
      <c r="C1285" s="1">
        <v>6</v>
      </c>
      <c r="D1285" s="49">
        <v>107.21899999999999</v>
      </c>
      <c r="E1285" s="50">
        <v>91.218999999999994</v>
      </c>
      <c r="F1285" s="60">
        <v>82.584000000000003</v>
      </c>
      <c r="G1285" s="61">
        <v>1610.173</v>
      </c>
      <c r="H1285" s="62">
        <v>6.9</v>
      </c>
      <c r="I1285" s="63">
        <v>2.5000000000000001E-2</v>
      </c>
      <c r="J1285" s="68">
        <v>8.6</v>
      </c>
      <c r="K1285" s="65">
        <v>32.302</v>
      </c>
      <c r="L1285" s="50">
        <v>5.7229999999999999</v>
      </c>
      <c r="M1285" s="66">
        <v>1.4999999999999999E-2</v>
      </c>
      <c r="N1285" s="57">
        <v>37.29</v>
      </c>
      <c r="O1285" s="67">
        <v>5.6000000000000001E-2</v>
      </c>
      <c r="P1285" s="96"/>
      <c r="Q1285" s="93"/>
      <c r="R1285" s="93"/>
      <c r="S1285" s="93"/>
      <c r="T1285" s="93"/>
    </row>
    <row r="1286" spans="1:20" ht="14.25" customHeight="1" x14ac:dyDescent="0.35">
      <c r="A1286" s="1">
        <v>2021</v>
      </c>
      <c r="B1286" s="1" t="s">
        <v>29</v>
      </c>
      <c r="C1286" s="1">
        <v>7</v>
      </c>
      <c r="D1286" s="49">
        <v>106.35899999999999</v>
      </c>
      <c r="E1286" s="50">
        <v>90.5</v>
      </c>
      <c r="F1286" s="60">
        <v>82.855999999999995</v>
      </c>
      <c r="G1286" s="61">
        <v>1751.2239999999999</v>
      </c>
      <c r="H1286" s="62">
        <v>6.9</v>
      </c>
      <c r="I1286" s="63">
        <v>2.5000000000000001E-2</v>
      </c>
      <c r="J1286" s="68">
        <v>8.9670000000000005</v>
      </c>
      <c r="K1286" s="65">
        <v>34.677</v>
      </c>
      <c r="L1286" s="50">
        <v>5.7149999999999999</v>
      </c>
      <c r="M1286" s="66">
        <v>1.4999999999999999E-2</v>
      </c>
      <c r="N1286" s="57">
        <v>37.988</v>
      </c>
      <c r="O1286" s="67">
        <v>7.0000000000000007E-2</v>
      </c>
      <c r="P1286" s="96"/>
      <c r="Q1286" s="93"/>
      <c r="R1286" s="93"/>
      <c r="S1286" s="93"/>
      <c r="T1286" s="93"/>
    </row>
    <row r="1287" spans="1:20" ht="14.25" customHeight="1" x14ac:dyDescent="0.35">
      <c r="A1287" s="1">
        <v>2021</v>
      </c>
      <c r="B1287" s="1" t="s">
        <v>29</v>
      </c>
      <c r="C1287" s="1">
        <v>8</v>
      </c>
      <c r="D1287" s="49">
        <v>106.625</v>
      </c>
      <c r="E1287" s="50">
        <v>90.688000000000002</v>
      </c>
      <c r="F1287" s="60">
        <v>83.108999999999995</v>
      </c>
      <c r="G1287" s="69">
        <v>1801.1590000000001</v>
      </c>
      <c r="H1287" s="62">
        <v>6.9</v>
      </c>
      <c r="I1287" s="63">
        <v>2.5000000000000001E-2</v>
      </c>
      <c r="J1287" s="71">
        <v>9.0079999999999991</v>
      </c>
      <c r="K1287" s="65">
        <v>35.628</v>
      </c>
      <c r="L1287" s="50">
        <v>5.7140000000000004</v>
      </c>
      <c r="M1287" s="66">
        <v>1.4999999999999999E-2</v>
      </c>
      <c r="N1287" s="57">
        <v>38.037999999999997</v>
      </c>
      <c r="O1287" s="70">
        <v>7.0000000000000007E-2</v>
      </c>
      <c r="P1287" s="96"/>
      <c r="Q1287" s="93"/>
      <c r="R1287" s="93"/>
      <c r="S1287" s="93"/>
      <c r="T1287" s="93"/>
    </row>
    <row r="1288" spans="1:20" ht="14.25" customHeight="1" x14ac:dyDescent="0.35">
      <c r="A1288" s="1">
        <v>2021</v>
      </c>
      <c r="B1288" s="1" t="s">
        <v>29</v>
      </c>
      <c r="C1288" s="1">
        <v>9</v>
      </c>
      <c r="D1288" s="49">
        <v>94.921999999999997</v>
      </c>
      <c r="E1288" s="50">
        <v>80.656000000000006</v>
      </c>
      <c r="F1288" s="60">
        <v>83.37</v>
      </c>
      <c r="G1288" s="61">
        <v>1779.354</v>
      </c>
      <c r="H1288" s="62">
        <v>6.9</v>
      </c>
      <c r="I1288" s="63">
        <v>2.5000000000000001E-2</v>
      </c>
      <c r="J1288" s="68">
        <v>8.5440000000000005</v>
      </c>
      <c r="K1288" s="65">
        <v>37.478000000000002</v>
      </c>
      <c r="L1288" s="50">
        <v>5.5860000000000003</v>
      </c>
      <c r="M1288" s="66">
        <v>1.6E-2</v>
      </c>
      <c r="N1288" s="57">
        <v>51.835999999999999</v>
      </c>
      <c r="O1288" s="67">
        <v>6.8000000000000005E-2</v>
      </c>
      <c r="P1288" s="96"/>
      <c r="Q1288" s="93"/>
      <c r="R1288" s="93"/>
      <c r="S1288" s="93"/>
      <c r="T1288" s="93"/>
    </row>
    <row r="1289" spans="1:20" ht="14.25" customHeight="1" x14ac:dyDescent="0.35">
      <c r="A1289" s="1">
        <v>2021</v>
      </c>
      <c r="B1289" s="1" t="s">
        <v>29</v>
      </c>
      <c r="C1289" s="1">
        <v>10</v>
      </c>
      <c r="D1289" s="49">
        <v>108.875</v>
      </c>
      <c r="E1289" s="50">
        <v>92.625</v>
      </c>
      <c r="F1289" s="72">
        <v>83.665000000000006</v>
      </c>
      <c r="G1289" s="61">
        <v>1738.6089999999999</v>
      </c>
      <c r="H1289" s="62">
        <v>6.9</v>
      </c>
      <c r="I1289" s="63">
        <v>2.4E-2</v>
      </c>
      <c r="J1289" s="76">
        <v>8.4139999999999997</v>
      </c>
      <c r="K1289" s="65">
        <v>35.494999999999997</v>
      </c>
      <c r="L1289" s="50">
        <v>5.5110000000000001</v>
      </c>
      <c r="M1289" s="74">
        <v>1.6E-2</v>
      </c>
      <c r="N1289" s="57">
        <v>60.84</v>
      </c>
      <c r="O1289" s="75">
        <v>6.5000000000000002E-2</v>
      </c>
      <c r="P1289" s="96"/>
      <c r="Q1289" s="93"/>
      <c r="R1289" s="93"/>
      <c r="S1289" s="93"/>
      <c r="T1289" s="93"/>
    </row>
    <row r="1290" spans="1:20" ht="14.25" customHeight="1" x14ac:dyDescent="0.35">
      <c r="A1290" s="1">
        <v>2021</v>
      </c>
      <c r="B1290" s="1" t="s">
        <v>29</v>
      </c>
      <c r="C1290" s="1">
        <v>11</v>
      </c>
      <c r="D1290" s="49">
        <v>108.73399999999999</v>
      </c>
      <c r="E1290" s="50">
        <v>92.5</v>
      </c>
      <c r="F1290" s="72">
        <v>83.551000000000002</v>
      </c>
      <c r="G1290" s="61">
        <v>1675.2339999999999</v>
      </c>
      <c r="H1290" s="62">
        <v>6.9</v>
      </c>
      <c r="I1290" s="63">
        <v>2.5000000000000001E-2</v>
      </c>
      <c r="J1290" s="76">
        <v>8.4640000000000004</v>
      </c>
      <c r="K1290" s="65">
        <v>35.167999999999999</v>
      </c>
      <c r="L1290" s="50">
        <v>5.53</v>
      </c>
      <c r="M1290" s="74">
        <v>1.4999999999999999E-2</v>
      </c>
      <c r="N1290" s="57">
        <v>58.112000000000002</v>
      </c>
      <c r="O1290" s="75">
        <v>6.2E-2</v>
      </c>
      <c r="P1290" s="96"/>
      <c r="Q1290" s="93"/>
      <c r="R1290" s="93"/>
      <c r="S1290" s="93"/>
      <c r="T1290" s="93"/>
    </row>
    <row r="1291" spans="1:20" ht="14.25" customHeight="1" x14ac:dyDescent="0.35">
      <c r="A1291" s="1">
        <v>2021</v>
      </c>
      <c r="B1291" s="1" t="s">
        <v>29</v>
      </c>
      <c r="C1291" s="1">
        <v>12</v>
      </c>
      <c r="D1291" s="49">
        <v>110.75</v>
      </c>
      <c r="E1291" s="50">
        <v>94.25</v>
      </c>
      <c r="F1291" s="72">
        <v>83.346999999999994</v>
      </c>
      <c r="G1291" s="61">
        <v>1628.902</v>
      </c>
      <c r="H1291" s="62">
        <v>6.9</v>
      </c>
      <c r="I1291" s="63">
        <v>2.4E-2</v>
      </c>
      <c r="J1291" s="76">
        <v>8.6760000000000002</v>
      </c>
      <c r="K1291" s="65">
        <v>34.738999999999997</v>
      </c>
      <c r="L1291" s="50">
        <v>5.5469999999999997</v>
      </c>
      <c r="M1291" s="74">
        <v>1.4999999999999999E-2</v>
      </c>
      <c r="N1291" s="57">
        <v>56.036000000000001</v>
      </c>
      <c r="O1291" s="75">
        <v>6.6000000000000003E-2</v>
      </c>
      <c r="P1291" s="96"/>
      <c r="Q1291" s="93"/>
      <c r="R1291" s="93"/>
      <c r="S1291" s="93"/>
      <c r="T1291" s="93"/>
    </row>
    <row r="1292" spans="1:20" ht="14.25" customHeight="1" x14ac:dyDescent="0.35">
      <c r="A1292" s="1">
        <v>2021</v>
      </c>
      <c r="B1292" s="1" t="s">
        <v>29</v>
      </c>
      <c r="C1292" s="1">
        <v>13</v>
      </c>
      <c r="D1292" s="49">
        <v>111.75</v>
      </c>
      <c r="E1292" s="50">
        <v>95</v>
      </c>
      <c r="F1292" s="78">
        <v>83.682000000000002</v>
      </c>
      <c r="G1292" s="61">
        <v>1692.212</v>
      </c>
      <c r="H1292" s="62">
        <v>6.9</v>
      </c>
      <c r="I1292" s="63">
        <v>2.4E-2</v>
      </c>
      <c r="J1292" s="81">
        <v>8.7769999999999992</v>
      </c>
      <c r="K1292" s="65">
        <v>36</v>
      </c>
      <c r="L1292" s="50">
        <v>5.5439999999999996</v>
      </c>
      <c r="M1292" s="66">
        <v>1.4999999999999999E-2</v>
      </c>
      <c r="N1292" s="57">
        <v>56.301000000000002</v>
      </c>
      <c r="O1292" s="80">
        <v>7.0000000000000007E-2</v>
      </c>
      <c r="P1292" s="96"/>
      <c r="Q1292" s="93"/>
      <c r="R1292" s="93"/>
      <c r="S1292" s="93"/>
      <c r="T1292" s="93"/>
    </row>
    <row r="1293" spans="1:20" ht="14.25" customHeight="1" x14ac:dyDescent="0.35">
      <c r="A1293" s="1">
        <v>2021</v>
      </c>
      <c r="B1293" s="1" t="s">
        <v>29</v>
      </c>
      <c r="C1293" s="1">
        <v>14</v>
      </c>
      <c r="D1293" s="49">
        <v>110.73399999999999</v>
      </c>
      <c r="E1293" s="50">
        <v>94.063000000000002</v>
      </c>
      <c r="F1293" s="60">
        <v>83.875</v>
      </c>
      <c r="G1293" s="61">
        <v>1732.0530000000001</v>
      </c>
      <c r="H1293" s="62">
        <v>6.9</v>
      </c>
      <c r="I1293" s="63">
        <v>2.4E-2</v>
      </c>
      <c r="J1293" s="81">
        <v>8.6460000000000008</v>
      </c>
      <c r="K1293" s="82">
        <v>37.046999999999997</v>
      </c>
      <c r="L1293" s="50">
        <v>5.5350000000000001</v>
      </c>
      <c r="M1293" s="66">
        <v>1.4999999999999999E-2</v>
      </c>
      <c r="N1293" s="57">
        <v>57.54</v>
      </c>
      <c r="O1293" s="80">
        <v>7.1999999999999995E-2</v>
      </c>
      <c r="P1293" s="96"/>
      <c r="Q1293" s="93"/>
      <c r="R1293" s="93"/>
      <c r="S1293" s="93"/>
      <c r="T1293" s="93"/>
    </row>
    <row r="1294" spans="1:20" ht="14.25" customHeight="1" x14ac:dyDescent="0.35">
      <c r="A1294" s="1">
        <v>2021</v>
      </c>
      <c r="B1294" s="1" t="s">
        <v>29</v>
      </c>
      <c r="C1294" s="1">
        <v>15</v>
      </c>
      <c r="D1294" s="49">
        <v>105.188</v>
      </c>
      <c r="E1294" s="50">
        <v>89.281000000000006</v>
      </c>
      <c r="F1294" s="60">
        <v>83.828000000000003</v>
      </c>
      <c r="G1294" s="61">
        <v>1735.4949999999999</v>
      </c>
      <c r="H1294" s="62">
        <v>6.9</v>
      </c>
      <c r="I1294" s="63">
        <v>2.4E-2</v>
      </c>
      <c r="J1294" s="76">
        <v>8.6690000000000005</v>
      </c>
      <c r="K1294" s="65">
        <v>36.725000000000001</v>
      </c>
      <c r="L1294" s="50">
        <v>5.5380000000000003</v>
      </c>
      <c r="M1294" s="66">
        <v>1.4999999999999999E-2</v>
      </c>
      <c r="N1294" s="57">
        <v>57.14</v>
      </c>
      <c r="O1294" s="75">
        <v>7.1999999999999995E-2</v>
      </c>
      <c r="P1294" s="96"/>
      <c r="Q1294" s="93"/>
      <c r="R1294" s="93"/>
      <c r="S1294" s="93"/>
      <c r="T1294" s="93"/>
    </row>
    <row r="1295" spans="1:20" ht="14.25" customHeight="1" x14ac:dyDescent="0.35">
      <c r="A1295" s="1">
        <v>2021</v>
      </c>
      <c r="B1295" s="1" t="s">
        <v>29</v>
      </c>
      <c r="C1295" s="1">
        <v>16</v>
      </c>
      <c r="D1295" s="49">
        <v>108</v>
      </c>
      <c r="E1295" s="50">
        <v>91.781000000000006</v>
      </c>
      <c r="F1295" s="60">
        <v>83.846000000000004</v>
      </c>
      <c r="G1295" s="61">
        <v>1718.979</v>
      </c>
      <c r="H1295" s="62">
        <v>6.9</v>
      </c>
      <c r="I1295" s="63">
        <v>2.4E-2</v>
      </c>
      <c r="J1295" s="81">
        <v>8.6129999999999995</v>
      </c>
      <c r="K1295" s="61">
        <v>38.923000000000002</v>
      </c>
      <c r="L1295" s="62">
        <v>5.5330000000000004</v>
      </c>
      <c r="M1295" s="66">
        <v>1.4999999999999999E-2</v>
      </c>
      <c r="N1295" s="57">
        <v>57.706000000000003</v>
      </c>
      <c r="O1295" s="80">
        <v>7.4999999999999997E-2</v>
      </c>
      <c r="P1295" s="96"/>
      <c r="Q1295" s="93"/>
      <c r="R1295" s="93"/>
      <c r="S1295" s="93"/>
      <c r="T1295" s="93"/>
    </row>
    <row r="1296" spans="1:20" ht="14.25" customHeight="1" x14ac:dyDescent="0.35">
      <c r="A1296" s="1">
        <v>2021</v>
      </c>
      <c r="B1296" s="1" t="s">
        <v>29</v>
      </c>
      <c r="C1296" s="1">
        <v>17</v>
      </c>
      <c r="D1296" s="49">
        <v>108.40600000000001</v>
      </c>
      <c r="E1296" s="50">
        <v>92.218999999999994</v>
      </c>
      <c r="F1296" s="60">
        <v>83.983000000000004</v>
      </c>
      <c r="G1296" s="61">
        <v>1687.355</v>
      </c>
      <c r="H1296" s="62">
        <v>6.9</v>
      </c>
      <c r="I1296" s="63">
        <v>2.4E-2</v>
      </c>
      <c r="J1296" s="68">
        <v>8.5950000000000006</v>
      </c>
      <c r="K1296" s="65">
        <v>38.743000000000002</v>
      </c>
      <c r="L1296" s="50">
        <v>5.54</v>
      </c>
      <c r="M1296" s="66">
        <v>1.4999999999999999E-2</v>
      </c>
      <c r="N1296" s="57">
        <v>56.837000000000003</v>
      </c>
      <c r="O1296" s="67">
        <v>7.0000000000000007E-2</v>
      </c>
      <c r="P1296" s="96"/>
      <c r="Q1296" s="93"/>
      <c r="R1296" s="93"/>
      <c r="S1296" s="93"/>
      <c r="T1296" s="93"/>
    </row>
    <row r="1297" spans="1:20" ht="14.25" customHeight="1" x14ac:dyDescent="0.35">
      <c r="A1297" s="1">
        <v>2021</v>
      </c>
      <c r="B1297" s="1" t="s">
        <v>29</v>
      </c>
      <c r="C1297" s="1">
        <v>18</v>
      </c>
      <c r="D1297" s="49">
        <v>105.813</v>
      </c>
      <c r="E1297" s="50">
        <v>90</v>
      </c>
      <c r="F1297" s="60">
        <v>84.113</v>
      </c>
      <c r="G1297" s="61">
        <v>1629.491</v>
      </c>
      <c r="H1297" s="62">
        <v>6.9</v>
      </c>
      <c r="I1297" s="63">
        <v>2.3E-2</v>
      </c>
      <c r="J1297" s="68">
        <v>8.3350000000000009</v>
      </c>
      <c r="K1297" s="61">
        <v>37.075000000000003</v>
      </c>
      <c r="L1297" s="62">
        <v>5.5330000000000004</v>
      </c>
      <c r="M1297" s="66">
        <v>1.4999999999999999E-2</v>
      </c>
      <c r="N1297" s="57">
        <v>57.962000000000003</v>
      </c>
      <c r="O1297" s="67">
        <v>6.3E-2</v>
      </c>
      <c r="P1297" s="96"/>
      <c r="Q1297" s="93"/>
      <c r="R1297" s="93"/>
      <c r="S1297" s="93"/>
      <c r="T1297" s="93"/>
    </row>
    <row r="1298" spans="1:20" ht="14.25" customHeight="1" x14ac:dyDescent="0.35">
      <c r="A1298" s="1">
        <v>2021</v>
      </c>
      <c r="B1298" s="1" t="s">
        <v>29</v>
      </c>
      <c r="C1298" s="1">
        <v>19</v>
      </c>
      <c r="D1298" s="49">
        <v>108.297</v>
      </c>
      <c r="E1298" s="50">
        <v>92.156000000000006</v>
      </c>
      <c r="F1298" s="60">
        <v>84.283000000000001</v>
      </c>
      <c r="G1298" s="61">
        <v>1609.62</v>
      </c>
      <c r="H1298" s="62">
        <v>6.9</v>
      </c>
      <c r="I1298" s="63">
        <v>2.4E-2</v>
      </c>
      <c r="J1298" s="68">
        <v>8.5489999999999995</v>
      </c>
      <c r="K1298" s="65">
        <v>36.902000000000001</v>
      </c>
      <c r="L1298" s="50">
        <v>5.5419999999999998</v>
      </c>
      <c r="M1298" s="66">
        <v>1.4999999999999999E-2</v>
      </c>
      <c r="N1298" s="57">
        <v>56.713000000000001</v>
      </c>
      <c r="O1298" s="67">
        <v>0.06</v>
      </c>
      <c r="P1298" s="96"/>
      <c r="Q1298" s="93"/>
      <c r="R1298" s="93"/>
      <c r="S1298" s="93"/>
      <c r="T1298" s="93"/>
    </row>
    <row r="1299" spans="1:20" ht="14.25" customHeight="1" x14ac:dyDescent="0.35">
      <c r="A1299" s="1">
        <v>2021</v>
      </c>
      <c r="B1299" s="1" t="s">
        <v>29</v>
      </c>
      <c r="C1299" s="1">
        <v>20</v>
      </c>
      <c r="D1299" s="49">
        <v>111.64100000000001</v>
      </c>
      <c r="E1299" s="50">
        <v>95.031000000000006</v>
      </c>
      <c r="F1299" s="60">
        <v>84.373000000000005</v>
      </c>
      <c r="G1299" s="61">
        <v>1715.0840000000001</v>
      </c>
      <c r="H1299" s="62">
        <v>6.9009999999999998</v>
      </c>
      <c r="I1299" s="63">
        <v>2.4E-2</v>
      </c>
      <c r="J1299" s="68">
        <v>8.8219999999999992</v>
      </c>
      <c r="K1299" s="61">
        <v>39.531999999999996</v>
      </c>
      <c r="L1299" s="62">
        <v>5.5369999999999999</v>
      </c>
      <c r="M1299" s="66">
        <v>1.6E-2</v>
      </c>
      <c r="N1299" s="57">
        <v>57.173999999999999</v>
      </c>
      <c r="O1299" s="67">
        <v>6.8000000000000005E-2</v>
      </c>
      <c r="P1299" s="96"/>
      <c r="Q1299" s="93"/>
      <c r="R1299" s="93"/>
      <c r="S1299" s="93"/>
      <c r="T1299" s="93"/>
    </row>
    <row r="1300" spans="1:20" ht="14.25" customHeight="1" x14ac:dyDescent="0.35">
      <c r="A1300" s="1">
        <v>2021</v>
      </c>
      <c r="B1300" s="1" t="s">
        <v>29</v>
      </c>
      <c r="C1300" s="1">
        <v>21</v>
      </c>
      <c r="D1300" s="49">
        <v>112.047</v>
      </c>
      <c r="E1300" s="50">
        <v>95.375</v>
      </c>
      <c r="F1300" s="60">
        <v>84.436000000000007</v>
      </c>
      <c r="G1300" s="61">
        <v>1735.1179999999999</v>
      </c>
      <c r="H1300" s="62">
        <v>6.9</v>
      </c>
      <c r="I1300" s="63">
        <v>2.4E-2</v>
      </c>
      <c r="J1300" s="68">
        <v>8.65</v>
      </c>
      <c r="K1300" s="65">
        <v>40.229999999999997</v>
      </c>
      <c r="L1300" s="50">
        <v>5.5430000000000001</v>
      </c>
      <c r="M1300" s="66">
        <v>1.6E-2</v>
      </c>
      <c r="N1300" s="57">
        <v>56.374000000000002</v>
      </c>
      <c r="O1300" s="67">
        <v>6.8000000000000005E-2</v>
      </c>
      <c r="P1300" s="96"/>
      <c r="Q1300" s="93"/>
      <c r="R1300" s="93"/>
      <c r="S1300" s="93"/>
      <c r="T1300" s="93"/>
    </row>
    <row r="1301" spans="1:20" ht="14.25" customHeight="1" x14ac:dyDescent="0.35">
      <c r="A1301" s="1">
        <v>2021</v>
      </c>
      <c r="B1301" s="1" t="s">
        <v>29</v>
      </c>
      <c r="C1301" s="1">
        <v>22</v>
      </c>
      <c r="D1301" s="49">
        <v>113.422</v>
      </c>
      <c r="E1301" s="50">
        <v>96.5</v>
      </c>
      <c r="F1301" s="60">
        <v>84.242999999999995</v>
      </c>
      <c r="G1301" s="61">
        <v>1732.039</v>
      </c>
      <c r="H1301" s="62">
        <v>6.9</v>
      </c>
      <c r="I1301" s="63">
        <v>2.5000000000000001E-2</v>
      </c>
      <c r="J1301" s="68">
        <v>8.4420000000000002</v>
      </c>
      <c r="K1301" s="61">
        <v>40.850999999999999</v>
      </c>
      <c r="L1301" s="62">
        <v>5.5590000000000002</v>
      </c>
      <c r="M1301" s="66">
        <v>1.6E-2</v>
      </c>
      <c r="N1301" s="57">
        <v>54.441000000000003</v>
      </c>
      <c r="O1301" s="67">
        <v>6.4000000000000001E-2</v>
      </c>
      <c r="P1301" s="96"/>
      <c r="Q1301" s="93"/>
      <c r="R1301" s="93"/>
      <c r="S1301" s="93"/>
      <c r="T1301" s="93"/>
    </row>
    <row r="1302" spans="1:20" ht="14.25" customHeight="1" x14ac:dyDescent="0.35">
      <c r="A1302" s="1">
        <v>2021</v>
      </c>
      <c r="B1302" s="1" t="s">
        <v>29</v>
      </c>
      <c r="C1302" s="1">
        <v>23</v>
      </c>
      <c r="D1302" s="49">
        <v>113.60899999999999</v>
      </c>
      <c r="E1302" s="50">
        <v>96.625</v>
      </c>
      <c r="F1302" s="60">
        <v>84.052000000000007</v>
      </c>
      <c r="G1302" s="61">
        <v>1737.787</v>
      </c>
      <c r="H1302" s="62">
        <v>6.9009999999999998</v>
      </c>
      <c r="I1302" s="63">
        <v>2.5000000000000001E-2</v>
      </c>
      <c r="J1302" s="68">
        <v>8.3770000000000007</v>
      </c>
      <c r="K1302" s="65">
        <v>40.249000000000002</v>
      </c>
      <c r="L1302" s="50">
        <v>5.601</v>
      </c>
      <c r="M1302" s="66">
        <v>1.6E-2</v>
      </c>
      <c r="N1302" s="57">
        <v>49.512</v>
      </c>
      <c r="O1302" s="67">
        <v>0.06</v>
      </c>
      <c r="P1302" s="96"/>
      <c r="Q1302" s="93"/>
      <c r="R1302" s="93"/>
      <c r="S1302" s="93"/>
      <c r="T1302" s="93"/>
    </row>
    <row r="1303" spans="1:20" ht="14.25" customHeight="1" x14ac:dyDescent="0.35">
      <c r="A1303" s="1">
        <v>2021</v>
      </c>
      <c r="B1303" s="1" t="s">
        <v>29</v>
      </c>
      <c r="C1303" s="1">
        <v>24</v>
      </c>
      <c r="D1303" s="49">
        <v>110.34399999999999</v>
      </c>
      <c r="E1303" s="50">
        <v>93.875</v>
      </c>
      <c r="F1303" s="60">
        <v>84.152000000000001</v>
      </c>
      <c r="G1303" s="61">
        <v>1722.357</v>
      </c>
      <c r="H1303" s="62">
        <v>6.899</v>
      </c>
      <c r="I1303" s="63">
        <v>2.4E-2</v>
      </c>
      <c r="J1303" s="68">
        <v>8.3819999999999997</v>
      </c>
      <c r="K1303" s="61">
        <v>39.938000000000002</v>
      </c>
      <c r="L1303" s="62">
        <v>5.6260000000000003</v>
      </c>
      <c r="M1303" s="66">
        <v>1.4999999999999999E-2</v>
      </c>
      <c r="N1303" s="57">
        <v>46.787999999999997</v>
      </c>
      <c r="O1303" s="67">
        <v>6.0999999999999999E-2</v>
      </c>
      <c r="P1303" s="96"/>
      <c r="Q1303" s="93"/>
      <c r="R1303" s="93"/>
      <c r="S1303" s="93"/>
      <c r="T1303" s="93"/>
    </row>
    <row r="1304" spans="1:20" ht="14.25" customHeight="1" x14ac:dyDescent="0.35">
      <c r="A1304" s="1">
        <v>2021</v>
      </c>
      <c r="B1304" s="1" t="s">
        <v>29</v>
      </c>
      <c r="C1304" s="1">
        <v>25</v>
      </c>
      <c r="D1304" s="49">
        <v>106.71899999999999</v>
      </c>
      <c r="E1304" s="50">
        <v>90.843999999999994</v>
      </c>
      <c r="F1304" s="60">
        <v>83.998000000000005</v>
      </c>
      <c r="G1304" s="61">
        <v>1674.6590000000001</v>
      </c>
      <c r="H1304" s="62">
        <v>6.9</v>
      </c>
      <c r="I1304" s="63">
        <v>2.5000000000000001E-2</v>
      </c>
      <c r="J1304" s="68">
        <v>8.2140000000000004</v>
      </c>
      <c r="K1304" s="65">
        <v>39.04</v>
      </c>
      <c r="L1304" s="50">
        <v>5.6669999999999998</v>
      </c>
      <c r="M1304" s="66">
        <v>1.4999999999999999E-2</v>
      </c>
      <c r="N1304" s="57">
        <v>42.365000000000002</v>
      </c>
      <c r="O1304" s="67">
        <v>5.1999999999999998E-2</v>
      </c>
      <c r="P1304" s="96"/>
      <c r="Q1304" s="93"/>
      <c r="R1304" s="93"/>
      <c r="S1304" s="93"/>
      <c r="T1304" s="93"/>
    </row>
    <row r="1305" spans="1:20" ht="14.25" customHeight="1" x14ac:dyDescent="0.35">
      <c r="A1305" s="1">
        <v>2021</v>
      </c>
      <c r="B1305" s="1" t="s">
        <v>29</v>
      </c>
      <c r="C1305" s="1">
        <v>26</v>
      </c>
      <c r="D1305" s="49">
        <v>110.78100000000001</v>
      </c>
      <c r="E1305" s="50">
        <v>94.313000000000002</v>
      </c>
      <c r="F1305" s="60">
        <v>83.778999999999996</v>
      </c>
      <c r="G1305" s="61">
        <v>1653.4970000000001</v>
      </c>
      <c r="H1305" s="62">
        <v>6.9</v>
      </c>
      <c r="I1305" s="63">
        <v>2.5999999999999999E-2</v>
      </c>
      <c r="J1305" s="68">
        <v>8.6129999999999995</v>
      </c>
      <c r="K1305" s="61">
        <v>38.725000000000001</v>
      </c>
      <c r="L1305" s="62">
        <v>5.6870000000000003</v>
      </c>
      <c r="M1305" s="66">
        <v>1.4999999999999999E-2</v>
      </c>
      <c r="N1305" s="57">
        <v>40.661000000000001</v>
      </c>
      <c r="O1305" s="67">
        <v>5.0999999999999997E-2</v>
      </c>
      <c r="P1305" s="96"/>
      <c r="Q1305" s="93"/>
      <c r="R1305" s="93"/>
      <c r="S1305" s="93"/>
      <c r="T1305" s="93"/>
    </row>
    <row r="1306" spans="1:20" ht="14.25" customHeight="1" x14ac:dyDescent="0.35">
      <c r="A1306" s="1">
        <v>2021</v>
      </c>
      <c r="B1306" s="1" t="s">
        <v>29</v>
      </c>
      <c r="C1306" s="1">
        <v>27</v>
      </c>
      <c r="D1306" s="49">
        <v>110.21899999999999</v>
      </c>
      <c r="E1306" s="50">
        <v>93.718999999999994</v>
      </c>
      <c r="F1306" s="60">
        <v>84.141999999999996</v>
      </c>
      <c r="G1306" s="61">
        <v>1716.4380000000001</v>
      </c>
      <c r="H1306" s="62">
        <v>6.9</v>
      </c>
      <c r="I1306" s="63">
        <v>2.5999999999999999E-2</v>
      </c>
      <c r="J1306" s="68">
        <v>9.0500000000000007</v>
      </c>
      <c r="K1306" s="65">
        <v>39.813000000000002</v>
      </c>
      <c r="L1306" s="50">
        <v>5.6760000000000002</v>
      </c>
      <c r="M1306" s="66">
        <v>1.4999999999999999E-2</v>
      </c>
      <c r="N1306" s="57">
        <v>41.466999999999999</v>
      </c>
      <c r="O1306" s="67">
        <v>5.8999999999999997E-2</v>
      </c>
      <c r="P1306" s="96"/>
      <c r="Q1306" s="93"/>
      <c r="R1306" s="93"/>
      <c r="S1306" s="93"/>
      <c r="T1306" s="93"/>
    </row>
    <row r="1307" spans="1:20" ht="14.25" customHeight="1" x14ac:dyDescent="0.35">
      <c r="A1307" s="1">
        <v>2021</v>
      </c>
      <c r="B1307" s="1" t="s">
        <v>29</v>
      </c>
      <c r="C1307" s="1">
        <v>28</v>
      </c>
      <c r="D1307" s="49">
        <v>114.313</v>
      </c>
      <c r="E1307" s="50">
        <v>97.188000000000002</v>
      </c>
      <c r="F1307" s="60">
        <v>84.376999999999995</v>
      </c>
      <c r="G1307" s="61">
        <v>1741.944</v>
      </c>
      <c r="H1307" s="62">
        <v>6.9</v>
      </c>
      <c r="I1307" s="63">
        <v>2.5999999999999999E-2</v>
      </c>
      <c r="J1307" s="68">
        <v>8.8480000000000008</v>
      </c>
      <c r="K1307" s="61">
        <v>41.13</v>
      </c>
      <c r="L1307" s="62">
        <v>5.6710000000000003</v>
      </c>
      <c r="M1307" s="66">
        <v>1.4999999999999999E-2</v>
      </c>
      <c r="N1307" s="57">
        <v>42.106999999999999</v>
      </c>
      <c r="O1307" s="67">
        <v>5.8999999999999997E-2</v>
      </c>
      <c r="P1307" s="96"/>
      <c r="Q1307" s="93"/>
      <c r="R1307" s="93"/>
      <c r="S1307" s="93"/>
      <c r="T1307" s="93"/>
    </row>
    <row r="1308" spans="1:20" ht="14.25" customHeight="1" x14ac:dyDescent="0.35">
      <c r="A1308" s="1">
        <v>2021</v>
      </c>
      <c r="B1308" s="1" t="s">
        <v>29</v>
      </c>
      <c r="C1308" s="1">
        <v>29</v>
      </c>
      <c r="D1308" s="49">
        <v>114.76600000000001</v>
      </c>
      <c r="E1308" s="50">
        <v>97.563000000000002</v>
      </c>
      <c r="F1308" s="83">
        <v>84.427000000000007</v>
      </c>
      <c r="G1308" s="69">
        <v>1736.075</v>
      </c>
      <c r="H1308" s="50">
        <v>6.9009999999999998</v>
      </c>
      <c r="I1308" s="66">
        <v>2.5999999999999999E-2</v>
      </c>
      <c r="J1308" s="117">
        <v>8.8610000000000007</v>
      </c>
      <c r="K1308" s="61">
        <v>41.075000000000003</v>
      </c>
      <c r="L1308" s="62">
        <v>5.6630000000000003</v>
      </c>
      <c r="M1308" s="66">
        <v>1.4999999999999999E-2</v>
      </c>
      <c r="N1308" s="57">
        <v>42.9</v>
      </c>
      <c r="O1308" s="84">
        <v>6.0999999999999999E-2</v>
      </c>
      <c r="P1308" s="96"/>
      <c r="Q1308" s="93"/>
      <c r="R1308" s="93"/>
      <c r="S1308" s="93"/>
      <c r="T1308" s="93"/>
    </row>
    <row r="1309" spans="1:20" ht="14.25" customHeight="1" x14ac:dyDescent="0.35">
      <c r="A1309" s="1">
        <v>2021</v>
      </c>
      <c r="B1309" s="1" t="s">
        <v>29</v>
      </c>
      <c r="C1309" s="1">
        <v>30</v>
      </c>
      <c r="D1309" s="49">
        <v>112.375</v>
      </c>
      <c r="E1309" s="50">
        <v>95.531000000000006</v>
      </c>
      <c r="F1309" s="83">
        <v>84.203000000000003</v>
      </c>
      <c r="G1309" s="69">
        <v>1750.5350000000001</v>
      </c>
      <c r="H1309" s="50">
        <v>6.9</v>
      </c>
      <c r="I1309" s="66">
        <v>2.5999999999999999E-2</v>
      </c>
      <c r="J1309" s="117">
        <v>8.5850000000000009</v>
      </c>
      <c r="K1309" s="61">
        <v>41.658000000000001</v>
      </c>
      <c r="L1309" s="62">
        <v>5.5759999999999996</v>
      </c>
      <c r="M1309" s="66">
        <v>1.6E-2</v>
      </c>
      <c r="N1309" s="57">
        <v>52.941000000000003</v>
      </c>
      <c r="O1309" s="84">
        <v>0.06</v>
      </c>
      <c r="P1309" s="96"/>
      <c r="Q1309" s="93"/>
      <c r="R1309" s="93"/>
      <c r="S1309" s="93"/>
      <c r="T1309" s="93"/>
    </row>
    <row r="1310" spans="1:20" ht="14.25" customHeight="1" x14ac:dyDescent="0.35">
      <c r="A1310" s="1">
        <v>2021</v>
      </c>
      <c r="B1310" s="1" t="s">
        <v>29</v>
      </c>
      <c r="C1310" s="1">
        <v>31</v>
      </c>
      <c r="D1310" s="104">
        <v>114.78100000000001</v>
      </c>
      <c r="E1310" s="105">
        <v>97.593999999999994</v>
      </c>
      <c r="F1310" s="87">
        <v>84.144000000000005</v>
      </c>
      <c r="G1310" s="88">
        <v>1714.865</v>
      </c>
      <c r="H1310" s="89">
        <v>6.9</v>
      </c>
      <c r="I1310" s="90">
        <v>2.5999999999999999E-2</v>
      </c>
      <c r="J1310" s="131">
        <v>8.52</v>
      </c>
      <c r="K1310" s="61">
        <v>40.503999999999998</v>
      </c>
      <c r="L1310" s="64">
        <v>5.5030000000000001</v>
      </c>
      <c r="M1310" s="66">
        <v>1.4999999999999999E-2</v>
      </c>
      <c r="N1310" s="57">
        <v>61.792999999999999</v>
      </c>
      <c r="O1310" s="66">
        <v>5.7000000000000002E-2</v>
      </c>
      <c r="P1310" s="96"/>
      <c r="Q1310" s="93"/>
      <c r="R1310" s="93"/>
      <c r="S1310" s="93"/>
      <c r="T1310" s="93"/>
    </row>
    <row r="1311" spans="1:20" ht="14.25" customHeight="1" x14ac:dyDescent="0.35">
      <c r="A1311" s="1">
        <v>2021</v>
      </c>
      <c r="B1311" s="1" t="s">
        <v>30</v>
      </c>
      <c r="C1311" s="1">
        <v>1</v>
      </c>
      <c r="D1311" s="49">
        <v>107.422</v>
      </c>
      <c r="E1311" s="50">
        <v>91.313000000000002</v>
      </c>
      <c r="F1311" s="51">
        <v>84.174000000000007</v>
      </c>
      <c r="G1311" s="52">
        <v>1654.5650000000001</v>
      </c>
      <c r="H1311" s="53">
        <v>6.9</v>
      </c>
      <c r="I1311" s="54">
        <v>2.5999999999999999E-2</v>
      </c>
      <c r="J1311" s="59">
        <v>8.4039999999999999</v>
      </c>
      <c r="K1311" s="52">
        <v>39.003</v>
      </c>
      <c r="L1311" s="55">
        <v>5.5060000000000002</v>
      </c>
      <c r="M1311" s="56">
        <v>1.4999999999999999E-2</v>
      </c>
      <c r="N1311" s="57">
        <v>61.673999999999999</v>
      </c>
      <c r="O1311" s="58">
        <v>5.3999999999999999E-2</v>
      </c>
      <c r="P1311" s="96"/>
      <c r="Q1311" s="93"/>
      <c r="R1311" s="93"/>
      <c r="S1311" s="93"/>
      <c r="T1311" s="93"/>
    </row>
    <row r="1312" spans="1:20" ht="14.25" customHeight="1" x14ac:dyDescent="0.35">
      <c r="A1312" s="1">
        <v>2021</v>
      </c>
      <c r="B1312" s="1" t="s">
        <v>30</v>
      </c>
      <c r="C1312" s="1">
        <v>2</v>
      </c>
      <c r="D1312" s="49">
        <v>111.71899999999999</v>
      </c>
      <c r="E1312" s="50">
        <v>95</v>
      </c>
      <c r="F1312" s="60">
        <v>84.257000000000005</v>
      </c>
      <c r="G1312" s="61">
        <v>1640.3009999999999</v>
      </c>
      <c r="H1312" s="62">
        <v>6.9</v>
      </c>
      <c r="I1312" s="63">
        <v>2.7E-2</v>
      </c>
      <c r="J1312" s="68">
        <v>8.5609999999999999</v>
      </c>
      <c r="K1312" s="65">
        <v>39.442999999999998</v>
      </c>
      <c r="L1312" s="50">
        <v>5.508</v>
      </c>
      <c r="M1312" s="66">
        <v>1.4999999999999999E-2</v>
      </c>
      <c r="N1312" s="57">
        <v>61.34</v>
      </c>
      <c r="O1312" s="67">
        <v>5.3999999999999999E-2</v>
      </c>
      <c r="P1312" s="96"/>
      <c r="Q1312" s="93"/>
      <c r="R1312" s="93"/>
      <c r="S1312" s="93"/>
      <c r="T1312" s="93"/>
    </row>
    <row r="1313" spans="1:20" ht="14.25" customHeight="1" x14ac:dyDescent="0.35">
      <c r="A1313" s="1">
        <v>2021</v>
      </c>
      <c r="B1313" s="1" t="s">
        <v>30</v>
      </c>
      <c r="C1313" s="1">
        <v>3</v>
      </c>
      <c r="D1313" s="49">
        <v>113.14100000000001</v>
      </c>
      <c r="E1313" s="50">
        <v>96.188000000000002</v>
      </c>
      <c r="F1313" s="60">
        <v>84.361000000000004</v>
      </c>
      <c r="G1313" s="61">
        <v>1735.808</v>
      </c>
      <c r="H1313" s="62">
        <v>6.9</v>
      </c>
      <c r="I1313" s="63">
        <v>2.7E-2</v>
      </c>
      <c r="J1313" s="68">
        <v>8.6859999999999999</v>
      </c>
      <c r="K1313" s="65">
        <v>41.718000000000004</v>
      </c>
      <c r="L1313" s="50">
        <v>5.5019999999999998</v>
      </c>
      <c r="M1313" s="66">
        <v>1.4999999999999999E-2</v>
      </c>
      <c r="N1313" s="57">
        <v>62.091999999999999</v>
      </c>
      <c r="O1313" s="67">
        <v>6.0999999999999999E-2</v>
      </c>
      <c r="P1313" s="96"/>
      <c r="Q1313" s="93"/>
      <c r="R1313" s="93"/>
      <c r="S1313" s="93"/>
      <c r="T1313" s="93"/>
    </row>
    <row r="1314" spans="1:20" ht="14.25" customHeight="1" x14ac:dyDescent="0.35">
      <c r="A1314" s="1">
        <v>2021</v>
      </c>
      <c r="B1314" s="1" t="s">
        <v>30</v>
      </c>
      <c r="C1314" s="1">
        <v>4</v>
      </c>
      <c r="D1314" s="49">
        <v>115.01600000000001</v>
      </c>
      <c r="E1314" s="50">
        <v>97.875</v>
      </c>
      <c r="F1314" s="60">
        <v>84.515000000000001</v>
      </c>
      <c r="G1314" s="61">
        <v>1767.7760000000001</v>
      </c>
      <c r="H1314" s="62">
        <v>6.9</v>
      </c>
      <c r="I1314" s="63">
        <v>2.7E-2</v>
      </c>
      <c r="J1314" s="68">
        <v>8.4190000000000005</v>
      </c>
      <c r="K1314" s="65">
        <v>41.643999999999998</v>
      </c>
      <c r="L1314" s="50">
        <v>5.4729999999999999</v>
      </c>
      <c r="M1314" s="66">
        <v>1.4999999999999999E-2</v>
      </c>
      <c r="N1314" s="57">
        <v>66.489000000000004</v>
      </c>
      <c r="O1314" s="67">
        <v>5.8999999999999997E-2</v>
      </c>
      <c r="P1314" s="96"/>
      <c r="Q1314" s="93"/>
      <c r="R1314" s="93"/>
      <c r="S1314" s="93"/>
      <c r="T1314" s="93"/>
    </row>
    <row r="1315" spans="1:20" ht="14.25" customHeight="1" x14ac:dyDescent="0.35">
      <c r="A1315" s="1">
        <v>2021</v>
      </c>
      <c r="B1315" s="1" t="s">
        <v>30</v>
      </c>
      <c r="C1315" s="1">
        <v>5</v>
      </c>
      <c r="D1315" s="49">
        <v>110.76600000000001</v>
      </c>
      <c r="E1315" s="50">
        <v>94.218999999999994</v>
      </c>
      <c r="F1315" s="60">
        <v>84.54</v>
      </c>
      <c r="G1315" s="61">
        <v>1735.7139999999999</v>
      </c>
      <c r="H1315" s="62">
        <v>6.9</v>
      </c>
      <c r="I1315" s="63">
        <v>2.7E-2</v>
      </c>
      <c r="J1315" s="68">
        <v>8.4619999999999997</v>
      </c>
      <c r="K1315" s="65">
        <v>39.93</v>
      </c>
      <c r="L1315" s="50">
        <v>5.4660000000000002</v>
      </c>
      <c r="M1315" s="66">
        <v>1.4999999999999999E-2</v>
      </c>
      <c r="N1315" s="57">
        <v>67.484999999999999</v>
      </c>
      <c r="O1315" s="67">
        <v>5.8999999999999997E-2</v>
      </c>
      <c r="P1315" s="96"/>
      <c r="Q1315" s="93"/>
      <c r="R1315" s="93"/>
      <c r="S1315" s="93"/>
      <c r="T1315" s="93"/>
    </row>
    <row r="1316" spans="1:20" ht="14.25" customHeight="1" x14ac:dyDescent="0.35">
      <c r="A1316" s="1">
        <v>2021</v>
      </c>
      <c r="B1316" s="1" t="s">
        <v>30</v>
      </c>
      <c r="C1316" s="1">
        <v>6</v>
      </c>
      <c r="D1316" s="49">
        <v>112.15600000000001</v>
      </c>
      <c r="E1316" s="50">
        <v>95.281000000000006</v>
      </c>
      <c r="F1316" s="60">
        <v>84.225999999999999</v>
      </c>
      <c r="G1316" s="61">
        <v>1745.9749999999999</v>
      </c>
      <c r="H1316" s="62">
        <v>6.9</v>
      </c>
      <c r="I1316" s="63">
        <v>2.7E-2</v>
      </c>
      <c r="J1316" s="68">
        <v>8.6720000000000006</v>
      </c>
      <c r="K1316" s="65">
        <v>41.542000000000002</v>
      </c>
      <c r="L1316" s="50">
        <v>5.5049999999999999</v>
      </c>
      <c r="M1316" s="66">
        <v>1.6E-2</v>
      </c>
      <c r="N1316" s="57">
        <v>61.598999999999997</v>
      </c>
      <c r="O1316" s="67">
        <v>6.0999999999999999E-2</v>
      </c>
      <c r="P1316" s="96"/>
      <c r="Q1316" s="93"/>
      <c r="R1316" s="93"/>
      <c r="S1316" s="93"/>
      <c r="T1316" s="93"/>
    </row>
    <row r="1317" spans="1:20" ht="14.25" customHeight="1" x14ac:dyDescent="0.35">
      <c r="A1317" s="1">
        <v>2021</v>
      </c>
      <c r="B1317" s="1" t="s">
        <v>30</v>
      </c>
      <c r="C1317" s="1">
        <v>7</v>
      </c>
      <c r="D1317" s="49">
        <v>110.71899999999999</v>
      </c>
      <c r="E1317" s="50">
        <v>94.188000000000002</v>
      </c>
      <c r="F1317" s="60">
        <v>84.263999999999996</v>
      </c>
      <c r="G1317" s="61">
        <v>1717.5550000000001</v>
      </c>
      <c r="H1317" s="62">
        <v>6.9</v>
      </c>
      <c r="I1317" s="63">
        <v>2.7E-2</v>
      </c>
      <c r="J1317" s="68">
        <v>8.5120000000000005</v>
      </c>
      <c r="K1317" s="65">
        <v>40.887</v>
      </c>
      <c r="L1317" s="50">
        <v>5.5140000000000002</v>
      </c>
      <c r="M1317" s="66">
        <v>1.6E-2</v>
      </c>
      <c r="N1317" s="57">
        <v>60.293999999999997</v>
      </c>
      <c r="O1317" s="67">
        <v>5.8000000000000003E-2</v>
      </c>
      <c r="P1317" s="96"/>
      <c r="Q1317" s="93"/>
      <c r="R1317" s="93"/>
      <c r="S1317" s="93"/>
      <c r="T1317" s="93"/>
    </row>
    <row r="1318" spans="1:20" ht="14.25" customHeight="1" x14ac:dyDescent="0.35">
      <c r="A1318" s="1">
        <v>2021</v>
      </c>
      <c r="B1318" s="1" t="s">
        <v>30</v>
      </c>
      <c r="C1318" s="1">
        <v>8</v>
      </c>
      <c r="D1318" s="49">
        <v>107.65600000000001</v>
      </c>
      <c r="E1318" s="50">
        <v>91.593999999999994</v>
      </c>
      <c r="F1318" s="60">
        <v>84.421000000000006</v>
      </c>
      <c r="G1318" s="69">
        <v>1657.7719999999999</v>
      </c>
      <c r="H1318" s="62">
        <v>6.9</v>
      </c>
      <c r="I1318" s="63">
        <v>2.8000000000000001E-2</v>
      </c>
      <c r="J1318" s="71">
        <v>8.3290000000000006</v>
      </c>
      <c r="K1318" s="65">
        <v>41.015999999999998</v>
      </c>
      <c r="L1318" s="50">
        <v>5.4969999999999999</v>
      </c>
      <c r="M1318" s="66">
        <v>1.6E-2</v>
      </c>
      <c r="N1318" s="57">
        <v>63.003</v>
      </c>
      <c r="O1318" s="70">
        <v>5.3999999999999999E-2</v>
      </c>
      <c r="P1318" s="96"/>
      <c r="Q1318" s="93"/>
      <c r="R1318" s="93"/>
      <c r="S1318" s="93"/>
      <c r="T1318" s="93"/>
    </row>
    <row r="1319" spans="1:20" ht="14.25" customHeight="1" x14ac:dyDescent="0.35">
      <c r="A1319" s="1">
        <v>2021</v>
      </c>
      <c r="B1319" s="1" t="s">
        <v>30</v>
      </c>
      <c r="C1319" s="1">
        <v>9</v>
      </c>
      <c r="D1319" s="49">
        <v>97.5</v>
      </c>
      <c r="E1319" s="50">
        <v>82.906000000000006</v>
      </c>
      <c r="F1319" s="60">
        <v>84.317999999999998</v>
      </c>
      <c r="G1319" s="61">
        <v>1631.414</v>
      </c>
      <c r="H1319" s="62">
        <v>6.899</v>
      </c>
      <c r="I1319" s="63">
        <v>2.8000000000000001E-2</v>
      </c>
      <c r="J1319" s="68">
        <v>8.548</v>
      </c>
      <c r="K1319" s="65">
        <v>39.978999999999999</v>
      </c>
      <c r="L1319" s="50">
        <v>5.5</v>
      </c>
      <c r="M1319" s="66">
        <v>1.6E-2</v>
      </c>
      <c r="N1319" s="57">
        <v>62.305999999999997</v>
      </c>
      <c r="O1319" s="67">
        <v>5.5E-2</v>
      </c>
      <c r="P1319" s="96"/>
      <c r="Q1319" s="93"/>
      <c r="R1319" s="93"/>
      <c r="S1319" s="93"/>
      <c r="T1319" s="93"/>
    </row>
    <row r="1320" spans="1:20" ht="14.25" customHeight="1" x14ac:dyDescent="0.35">
      <c r="A1320" s="1">
        <v>2021</v>
      </c>
      <c r="B1320" s="1" t="s">
        <v>30</v>
      </c>
      <c r="C1320" s="1">
        <v>10</v>
      </c>
      <c r="D1320" s="49">
        <v>80.203000000000003</v>
      </c>
      <c r="E1320" s="50">
        <v>67.718999999999994</v>
      </c>
      <c r="F1320" s="72">
        <v>84.652000000000001</v>
      </c>
      <c r="G1320" s="61">
        <v>1728.29</v>
      </c>
      <c r="H1320" s="62">
        <v>6.9</v>
      </c>
      <c r="I1320" s="63">
        <v>2.9000000000000001E-2</v>
      </c>
      <c r="J1320" s="76">
        <v>8.4849999999999994</v>
      </c>
      <c r="K1320" s="65">
        <v>40.667000000000002</v>
      </c>
      <c r="L1320" s="50">
        <v>5.47</v>
      </c>
      <c r="M1320" s="74">
        <v>1.6E-2</v>
      </c>
      <c r="N1320" s="57">
        <v>66.781999999999996</v>
      </c>
      <c r="O1320" s="75">
        <v>0.06</v>
      </c>
      <c r="P1320" s="96"/>
      <c r="Q1320" s="93"/>
      <c r="R1320" s="93"/>
      <c r="S1320" s="93"/>
      <c r="T1320" s="93"/>
    </row>
    <row r="1321" spans="1:20" ht="14.25" customHeight="1" x14ac:dyDescent="0.35">
      <c r="A1321" s="1">
        <v>2021</v>
      </c>
      <c r="B1321" s="1" t="s">
        <v>30</v>
      </c>
      <c r="C1321" s="1">
        <v>11</v>
      </c>
      <c r="D1321" s="49">
        <v>61.094000000000001</v>
      </c>
      <c r="E1321" s="50">
        <v>51.530999999999999</v>
      </c>
      <c r="F1321" s="72">
        <v>84.853999999999999</v>
      </c>
      <c r="G1321" s="61">
        <v>1743.299</v>
      </c>
      <c r="H1321" s="62">
        <v>6.9</v>
      </c>
      <c r="I1321" s="63">
        <v>3.1E-2</v>
      </c>
      <c r="J1321" s="76">
        <v>8.2289999999999992</v>
      </c>
      <c r="K1321" s="65">
        <v>44.039000000000001</v>
      </c>
      <c r="L1321" s="50">
        <v>5.4790000000000001</v>
      </c>
      <c r="M1321" s="74">
        <v>1.7000000000000001E-2</v>
      </c>
      <c r="N1321" s="57">
        <v>65.456000000000003</v>
      </c>
      <c r="O1321" s="75">
        <v>6.0999999999999999E-2</v>
      </c>
      <c r="P1321" s="96"/>
      <c r="Q1321" s="93"/>
      <c r="R1321" s="93"/>
      <c r="S1321" s="93"/>
      <c r="T1321" s="93"/>
    </row>
    <row r="1322" spans="1:20" ht="14.25" customHeight="1" x14ac:dyDescent="0.35">
      <c r="A1322" s="1">
        <v>2021</v>
      </c>
      <c r="B1322" s="1" t="s">
        <v>30</v>
      </c>
      <c r="C1322" s="1">
        <v>12</v>
      </c>
      <c r="D1322" s="49">
        <v>51.469000000000001</v>
      </c>
      <c r="E1322" s="50">
        <v>43.530999999999999</v>
      </c>
      <c r="F1322" s="72">
        <v>85.13</v>
      </c>
      <c r="G1322" s="61">
        <v>1720.01</v>
      </c>
      <c r="H1322" s="62">
        <v>6.9</v>
      </c>
      <c r="I1322" s="63">
        <v>3.5000000000000003E-2</v>
      </c>
      <c r="J1322" s="76">
        <v>8.2639999999999993</v>
      </c>
      <c r="K1322" s="65">
        <v>45.426000000000002</v>
      </c>
      <c r="L1322" s="50">
        <v>5.49</v>
      </c>
      <c r="M1322" s="74">
        <v>1.7999999999999999E-2</v>
      </c>
      <c r="N1322" s="57">
        <v>63.835999999999999</v>
      </c>
      <c r="O1322" s="75">
        <v>6.4000000000000001E-2</v>
      </c>
      <c r="P1322" s="96"/>
      <c r="Q1322" s="93"/>
      <c r="R1322" s="93"/>
      <c r="S1322" s="93"/>
      <c r="T1322" s="93"/>
    </row>
    <row r="1323" spans="1:20" ht="14.25" customHeight="1" x14ac:dyDescent="0.35">
      <c r="A1323" s="1">
        <v>2021</v>
      </c>
      <c r="B1323" s="1" t="s">
        <v>30</v>
      </c>
      <c r="C1323" s="1">
        <v>13</v>
      </c>
      <c r="D1323" s="49">
        <v>35.578000000000003</v>
      </c>
      <c r="E1323" s="50">
        <v>30.155999999999999</v>
      </c>
      <c r="F1323" s="78">
        <v>85.097999999999999</v>
      </c>
      <c r="G1323" s="61">
        <v>1703.308</v>
      </c>
      <c r="H1323" s="62">
        <v>6.9</v>
      </c>
      <c r="I1323" s="63">
        <v>0.03</v>
      </c>
      <c r="J1323" s="81">
        <v>8.2850000000000001</v>
      </c>
      <c r="K1323" s="65">
        <v>44.927</v>
      </c>
      <c r="L1323" s="50">
        <v>5.4729999999999999</v>
      </c>
      <c r="M1323" s="66">
        <v>1.9E-2</v>
      </c>
      <c r="N1323" s="57">
        <v>67.012</v>
      </c>
      <c r="O1323" s="80">
        <v>6.7000000000000004E-2</v>
      </c>
      <c r="P1323" s="96"/>
      <c r="Q1323" s="93"/>
      <c r="R1323" s="93"/>
      <c r="S1323" s="93"/>
      <c r="T1323" s="93"/>
    </row>
    <row r="1324" spans="1:20" ht="14.25" customHeight="1" x14ac:dyDescent="0.35">
      <c r="A1324" s="1">
        <v>2021</v>
      </c>
      <c r="B1324" s="1" t="s">
        <v>30</v>
      </c>
      <c r="C1324" s="1">
        <v>14</v>
      </c>
      <c r="D1324" s="49">
        <v>20.234000000000002</v>
      </c>
      <c r="E1324" s="50">
        <v>17.312999999999999</v>
      </c>
      <c r="F1324" s="60">
        <v>84.965999999999994</v>
      </c>
      <c r="G1324" s="61">
        <v>1699.2429999999999</v>
      </c>
      <c r="H1324" s="62">
        <v>6.899</v>
      </c>
      <c r="I1324" s="63">
        <v>0.03</v>
      </c>
      <c r="J1324" s="81">
        <v>8.359</v>
      </c>
      <c r="K1324" s="82">
        <v>44.106999999999999</v>
      </c>
      <c r="L1324" s="50">
        <v>5.5860000000000003</v>
      </c>
      <c r="M1324" s="66">
        <v>1.7999999999999999E-2</v>
      </c>
      <c r="N1324" s="57">
        <v>51.664000000000001</v>
      </c>
      <c r="O1324" s="80">
        <v>7.3999999999999996E-2</v>
      </c>
      <c r="P1324" s="96"/>
      <c r="Q1324" s="93"/>
      <c r="R1324" s="93"/>
      <c r="S1324" s="93"/>
      <c r="T1324" s="93"/>
    </row>
    <row r="1325" spans="1:20" ht="14.25" customHeight="1" x14ac:dyDescent="0.35">
      <c r="A1325" s="1">
        <v>2021</v>
      </c>
      <c r="B1325" s="1" t="s">
        <v>30</v>
      </c>
      <c r="C1325" s="1">
        <v>15</v>
      </c>
      <c r="D1325" s="49">
        <v>9.266</v>
      </c>
      <c r="E1325" s="50">
        <v>8</v>
      </c>
      <c r="F1325" s="60">
        <v>81.668000000000006</v>
      </c>
      <c r="G1325" s="61">
        <v>1314.48</v>
      </c>
      <c r="H1325" s="62">
        <v>6.944</v>
      </c>
      <c r="I1325" s="63">
        <v>0.21299999999999999</v>
      </c>
      <c r="J1325" s="76">
        <v>8.4309999999999992</v>
      </c>
      <c r="K1325" s="65">
        <v>60.000999999999998</v>
      </c>
      <c r="L1325" s="50">
        <v>6.1959999999999997</v>
      </c>
      <c r="M1325" s="66">
        <v>3.2000000000000001E-2</v>
      </c>
      <c r="N1325" s="57">
        <v>28.51</v>
      </c>
      <c r="O1325" s="75">
        <v>7.0999999999999994E-2</v>
      </c>
      <c r="P1325" s="96"/>
      <c r="Q1325" s="93"/>
      <c r="R1325" s="93"/>
      <c r="S1325" s="93"/>
      <c r="T1325" s="93"/>
    </row>
    <row r="1326" spans="1:20" ht="14.25" customHeight="1" x14ac:dyDescent="0.35">
      <c r="A1326" s="1">
        <v>2021</v>
      </c>
      <c r="B1326" s="1" t="s">
        <v>30</v>
      </c>
      <c r="C1326" s="1">
        <v>16</v>
      </c>
      <c r="D1326" s="49">
        <v>0</v>
      </c>
      <c r="E1326" s="50">
        <v>0</v>
      </c>
      <c r="F1326" s="60">
        <v>0</v>
      </c>
      <c r="G1326" s="61">
        <v>0</v>
      </c>
      <c r="H1326" s="62">
        <v>0</v>
      </c>
      <c r="I1326" s="63">
        <v>0</v>
      </c>
      <c r="J1326" s="81">
        <v>0</v>
      </c>
      <c r="K1326" s="61">
        <v>0</v>
      </c>
      <c r="L1326" s="62">
        <v>0</v>
      </c>
      <c r="M1326" s="66">
        <v>0</v>
      </c>
      <c r="N1326" s="57">
        <v>0</v>
      </c>
      <c r="O1326" s="80">
        <v>0</v>
      </c>
      <c r="P1326" s="96"/>
      <c r="Q1326" s="93"/>
      <c r="R1326" s="93"/>
      <c r="S1326" s="93"/>
      <c r="T1326" s="93"/>
    </row>
    <row r="1327" spans="1:20" ht="14.25" customHeight="1" x14ac:dyDescent="0.35">
      <c r="A1327" s="1">
        <v>2021</v>
      </c>
      <c r="B1327" s="1" t="s">
        <v>30</v>
      </c>
      <c r="C1327" s="1">
        <v>17</v>
      </c>
      <c r="D1327" s="49">
        <v>0</v>
      </c>
      <c r="E1327" s="50">
        <v>0</v>
      </c>
      <c r="F1327" s="60">
        <v>0</v>
      </c>
      <c r="G1327" s="61">
        <v>0</v>
      </c>
      <c r="H1327" s="62">
        <v>0</v>
      </c>
      <c r="I1327" s="63">
        <v>0</v>
      </c>
      <c r="J1327" s="68">
        <v>0</v>
      </c>
      <c r="K1327" s="65">
        <v>0</v>
      </c>
      <c r="L1327" s="50">
        <v>0</v>
      </c>
      <c r="M1327" s="66">
        <v>0</v>
      </c>
      <c r="N1327" s="57">
        <v>0</v>
      </c>
      <c r="O1327" s="67">
        <v>0</v>
      </c>
      <c r="P1327" s="96"/>
      <c r="Q1327" s="93"/>
      <c r="R1327" s="93"/>
      <c r="S1327" s="93"/>
      <c r="T1327" s="93"/>
    </row>
    <row r="1328" spans="1:20" ht="14.25" customHeight="1" x14ac:dyDescent="0.35">
      <c r="A1328" s="1">
        <v>2021</v>
      </c>
      <c r="B1328" s="1" t="s">
        <v>30</v>
      </c>
      <c r="C1328" s="1">
        <v>18</v>
      </c>
      <c r="D1328" s="49">
        <v>0</v>
      </c>
      <c r="E1328" s="50">
        <v>0</v>
      </c>
      <c r="F1328" s="60">
        <v>0</v>
      </c>
      <c r="G1328" s="61">
        <v>0</v>
      </c>
      <c r="H1328" s="62">
        <v>0</v>
      </c>
      <c r="I1328" s="63">
        <v>0</v>
      </c>
      <c r="J1328" s="68">
        <v>0</v>
      </c>
      <c r="K1328" s="65">
        <v>0</v>
      </c>
      <c r="L1328" s="50">
        <v>0</v>
      </c>
      <c r="M1328" s="66">
        <v>0</v>
      </c>
      <c r="N1328" s="57">
        <v>0</v>
      </c>
      <c r="O1328" s="67">
        <v>0</v>
      </c>
      <c r="P1328" s="96"/>
      <c r="Q1328" s="93"/>
      <c r="R1328" s="93"/>
      <c r="S1328" s="93"/>
      <c r="T1328" s="93"/>
    </row>
    <row r="1329" spans="1:20" ht="14.25" customHeight="1" x14ac:dyDescent="0.35">
      <c r="A1329" s="1">
        <v>2021</v>
      </c>
      <c r="B1329" s="1" t="s">
        <v>30</v>
      </c>
      <c r="C1329" s="1">
        <v>19</v>
      </c>
      <c r="D1329" s="49">
        <v>0</v>
      </c>
      <c r="E1329" s="50">
        <v>0</v>
      </c>
      <c r="F1329" s="60">
        <v>0</v>
      </c>
      <c r="G1329" s="61">
        <v>0</v>
      </c>
      <c r="H1329" s="62">
        <v>0</v>
      </c>
      <c r="I1329" s="63">
        <v>0</v>
      </c>
      <c r="J1329" s="68">
        <v>0</v>
      </c>
      <c r="K1329" s="65">
        <v>0</v>
      </c>
      <c r="L1329" s="50">
        <v>0</v>
      </c>
      <c r="M1329" s="66">
        <v>0</v>
      </c>
      <c r="N1329" s="57">
        <v>0</v>
      </c>
      <c r="O1329" s="67">
        <v>0</v>
      </c>
      <c r="P1329" s="96"/>
      <c r="Q1329" s="93"/>
      <c r="R1329" s="93"/>
      <c r="S1329" s="93"/>
      <c r="T1329" s="93"/>
    </row>
    <row r="1330" spans="1:20" ht="14.25" customHeight="1" x14ac:dyDescent="0.35">
      <c r="A1330" s="1">
        <v>2021</v>
      </c>
      <c r="B1330" s="1" t="s">
        <v>30</v>
      </c>
      <c r="C1330" s="1">
        <v>20</v>
      </c>
      <c r="D1330" s="49">
        <v>0</v>
      </c>
      <c r="E1330" s="50">
        <v>0</v>
      </c>
      <c r="F1330" s="60">
        <v>0</v>
      </c>
      <c r="G1330" s="61">
        <v>0</v>
      </c>
      <c r="H1330" s="62">
        <v>0</v>
      </c>
      <c r="I1330" s="63">
        <v>0</v>
      </c>
      <c r="J1330" s="68">
        <v>0</v>
      </c>
      <c r="K1330" s="61">
        <v>0</v>
      </c>
      <c r="L1330" s="62">
        <v>0</v>
      </c>
      <c r="M1330" s="66">
        <v>0</v>
      </c>
      <c r="N1330" s="57">
        <v>0</v>
      </c>
      <c r="O1330" s="67">
        <v>0</v>
      </c>
      <c r="P1330" s="96"/>
      <c r="Q1330" s="93"/>
      <c r="R1330" s="93"/>
      <c r="S1330" s="93"/>
      <c r="T1330" s="93"/>
    </row>
    <row r="1331" spans="1:20" ht="14.25" customHeight="1" x14ac:dyDescent="0.35">
      <c r="A1331" s="1">
        <v>2021</v>
      </c>
      <c r="B1331" s="1" t="s">
        <v>30</v>
      </c>
      <c r="C1331" s="1">
        <v>21</v>
      </c>
      <c r="D1331" s="49">
        <v>0</v>
      </c>
      <c r="E1331" s="50">
        <v>0</v>
      </c>
      <c r="F1331" s="60">
        <v>0</v>
      </c>
      <c r="G1331" s="61">
        <v>0</v>
      </c>
      <c r="H1331" s="62">
        <v>0</v>
      </c>
      <c r="I1331" s="63">
        <v>0</v>
      </c>
      <c r="J1331" s="68">
        <v>0</v>
      </c>
      <c r="K1331" s="65">
        <v>0</v>
      </c>
      <c r="L1331" s="50">
        <v>0</v>
      </c>
      <c r="M1331" s="66">
        <v>0</v>
      </c>
      <c r="N1331" s="57">
        <v>0</v>
      </c>
      <c r="O1331" s="67">
        <v>0</v>
      </c>
      <c r="P1331" s="96"/>
      <c r="Q1331" s="93"/>
      <c r="R1331" s="93"/>
      <c r="S1331" s="93"/>
      <c r="T1331" s="93"/>
    </row>
    <row r="1332" spans="1:20" ht="14.25" customHeight="1" x14ac:dyDescent="0.35">
      <c r="A1332" s="1">
        <v>2021</v>
      </c>
      <c r="B1332" s="1" t="s">
        <v>30</v>
      </c>
      <c r="C1332" s="1">
        <v>22</v>
      </c>
      <c r="D1332" s="49">
        <v>0</v>
      </c>
      <c r="E1332" s="50">
        <v>0</v>
      </c>
      <c r="F1332" s="60">
        <v>0</v>
      </c>
      <c r="G1332" s="61">
        <v>0</v>
      </c>
      <c r="H1332" s="62">
        <v>0</v>
      </c>
      <c r="I1332" s="63">
        <v>0</v>
      </c>
      <c r="J1332" s="68">
        <v>0</v>
      </c>
      <c r="K1332" s="61">
        <v>0</v>
      </c>
      <c r="L1332" s="62">
        <v>0</v>
      </c>
      <c r="M1332" s="66">
        <v>0</v>
      </c>
      <c r="N1332" s="57">
        <v>0</v>
      </c>
      <c r="O1332" s="67">
        <v>0</v>
      </c>
      <c r="P1332" s="96"/>
      <c r="Q1332" s="93"/>
      <c r="R1332" s="93"/>
      <c r="S1332" s="93"/>
      <c r="T1332" s="93"/>
    </row>
    <row r="1333" spans="1:20" ht="14.25" customHeight="1" x14ac:dyDescent="0.35">
      <c r="A1333" s="1">
        <v>2021</v>
      </c>
      <c r="B1333" s="1" t="s">
        <v>30</v>
      </c>
      <c r="C1333" s="1">
        <v>23</v>
      </c>
      <c r="D1333" s="49">
        <v>0</v>
      </c>
      <c r="E1333" s="50">
        <v>0</v>
      </c>
      <c r="F1333" s="60">
        <v>0</v>
      </c>
      <c r="G1333" s="61">
        <v>0</v>
      </c>
      <c r="H1333" s="62">
        <v>0</v>
      </c>
      <c r="I1333" s="63">
        <v>0</v>
      </c>
      <c r="J1333" s="68">
        <v>0</v>
      </c>
      <c r="K1333" s="65">
        <v>0</v>
      </c>
      <c r="L1333" s="50">
        <v>0</v>
      </c>
      <c r="M1333" s="66">
        <v>0</v>
      </c>
      <c r="N1333" s="57">
        <v>0</v>
      </c>
      <c r="O1333" s="67">
        <v>0</v>
      </c>
      <c r="P1333" s="96"/>
      <c r="Q1333" s="93"/>
      <c r="R1333" s="93"/>
      <c r="S1333" s="93"/>
      <c r="T1333" s="93"/>
    </row>
    <row r="1334" spans="1:20" ht="14.25" customHeight="1" x14ac:dyDescent="0.35">
      <c r="A1334" s="1">
        <v>2021</v>
      </c>
      <c r="B1334" s="1" t="s">
        <v>30</v>
      </c>
      <c r="C1334" s="1">
        <v>24</v>
      </c>
      <c r="D1334" s="49">
        <v>0</v>
      </c>
      <c r="E1334" s="50">
        <v>0</v>
      </c>
      <c r="F1334" s="60">
        <v>0</v>
      </c>
      <c r="G1334" s="61">
        <v>0</v>
      </c>
      <c r="H1334" s="62">
        <v>0</v>
      </c>
      <c r="I1334" s="63">
        <v>0</v>
      </c>
      <c r="J1334" s="68">
        <v>0</v>
      </c>
      <c r="K1334" s="61">
        <v>0</v>
      </c>
      <c r="L1334" s="62">
        <v>0</v>
      </c>
      <c r="M1334" s="66">
        <v>0</v>
      </c>
      <c r="N1334" s="57">
        <v>0</v>
      </c>
      <c r="O1334" s="67">
        <v>0</v>
      </c>
      <c r="P1334" s="96"/>
      <c r="Q1334" s="93"/>
      <c r="R1334" s="93"/>
      <c r="S1334" s="93"/>
      <c r="T1334" s="93"/>
    </row>
    <row r="1335" spans="1:20" ht="14.25" customHeight="1" x14ac:dyDescent="0.35">
      <c r="A1335" s="1">
        <v>2021</v>
      </c>
      <c r="B1335" s="1" t="s">
        <v>30</v>
      </c>
      <c r="C1335" s="1">
        <v>25</v>
      </c>
      <c r="D1335" s="49">
        <v>0</v>
      </c>
      <c r="E1335" s="50">
        <v>0</v>
      </c>
      <c r="F1335" s="60">
        <v>0</v>
      </c>
      <c r="G1335" s="61">
        <v>0</v>
      </c>
      <c r="H1335" s="62">
        <v>0</v>
      </c>
      <c r="I1335" s="63">
        <v>0</v>
      </c>
      <c r="J1335" s="68">
        <v>0</v>
      </c>
      <c r="K1335" s="65">
        <v>0</v>
      </c>
      <c r="L1335" s="50">
        <v>0</v>
      </c>
      <c r="M1335" s="66">
        <v>0</v>
      </c>
      <c r="N1335" s="57">
        <v>0</v>
      </c>
      <c r="O1335" s="67">
        <v>0</v>
      </c>
      <c r="P1335" s="96"/>
      <c r="Q1335" s="93"/>
      <c r="R1335" s="93"/>
      <c r="S1335" s="93"/>
      <c r="T1335" s="93"/>
    </row>
    <row r="1336" spans="1:20" ht="14.25" customHeight="1" x14ac:dyDescent="0.35">
      <c r="A1336" s="1">
        <v>2021</v>
      </c>
      <c r="B1336" s="1" t="s">
        <v>30</v>
      </c>
      <c r="C1336" s="1">
        <v>26</v>
      </c>
      <c r="D1336" s="49">
        <v>0</v>
      </c>
      <c r="E1336" s="50">
        <v>0</v>
      </c>
      <c r="F1336" s="60">
        <v>0</v>
      </c>
      <c r="G1336" s="61">
        <v>0</v>
      </c>
      <c r="H1336" s="62">
        <v>0</v>
      </c>
      <c r="I1336" s="63">
        <v>0</v>
      </c>
      <c r="J1336" s="68">
        <v>0</v>
      </c>
      <c r="K1336" s="61">
        <v>0</v>
      </c>
      <c r="L1336" s="62">
        <v>0</v>
      </c>
      <c r="M1336" s="66">
        <v>0</v>
      </c>
      <c r="N1336" s="57">
        <v>0</v>
      </c>
      <c r="O1336" s="67">
        <v>0</v>
      </c>
      <c r="P1336" s="96"/>
      <c r="Q1336" s="93"/>
      <c r="R1336" s="93"/>
      <c r="S1336" s="93"/>
      <c r="T1336" s="93"/>
    </row>
    <row r="1337" spans="1:20" ht="14.25" customHeight="1" x14ac:dyDescent="0.35">
      <c r="A1337" s="1">
        <v>2021</v>
      </c>
      <c r="B1337" s="1" t="s">
        <v>30</v>
      </c>
      <c r="C1337" s="1">
        <v>27</v>
      </c>
      <c r="D1337" s="49">
        <v>0</v>
      </c>
      <c r="E1337" s="50">
        <v>0</v>
      </c>
      <c r="F1337" s="60">
        <v>0</v>
      </c>
      <c r="G1337" s="61">
        <v>0</v>
      </c>
      <c r="H1337" s="62">
        <v>0</v>
      </c>
      <c r="I1337" s="63">
        <v>0</v>
      </c>
      <c r="J1337" s="68">
        <v>0</v>
      </c>
      <c r="K1337" s="65">
        <v>0</v>
      </c>
      <c r="L1337" s="50">
        <v>0</v>
      </c>
      <c r="M1337" s="66">
        <v>0</v>
      </c>
      <c r="N1337" s="57">
        <v>0</v>
      </c>
      <c r="O1337" s="67">
        <v>0</v>
      </c>
      <c r="P1337" s="96"/>
      <c r="Q1337" s="93"/>
      <c r="R1337" s="93"/>
      <c r="S1337" s="93"/>
      <c r="T1337" s="93"/>
    </row>
    <row r="1338" spans="1:20" ht="14.25" customHeight="1" x14ac:dyDescent="0.35">
      <c r="A1338" s="1">
        <v>2021</v>
      </c>
      <c r="B1338" s="1" t="s">
        <v>30</v>
      </c>
      <c r="C1338" s="1">
        <v>28</v>
      </c>
      <c r="D1338" s="49">
        <v>0</v>
      </c>
      <c r="E1338" s="50">
        <v>0</v>
      </c>
      <c r="F1338" s="60">
        <v>0</v>
      </c>
      <c r="G1338" s="61">
        <v>0</v>
      </c>
      <c r="H1338" s="62">
        <v>0</v>
      </c>
      <c r="I1338" s="63">
        <v>0</v>
      </c>
      <c r="J1338" s="68">
        <v>0</v>
      </c>
      <c r="K1338" s="61">
        <v>0</v>
      </c>
      <c r="L1338" s="62">
        <v>0</v>
      </c>
      <c r="M1338" s="66">
        <v>0</v>
      </c>
      <c r="N1338" s="57">
        <v>0</v>
      </c>
      <c r="O1338" s="67">
        <v>0</v>
      </c>
      <c r="P1338" s="96"/>
      <c r="Q1338" s="93"/>
      <c r="R1338" s="93"/>
      <c r="S1338" s="93"/>
      <c r="T1338" s="93"/>
    </row>
    <row r="1339" spans="1:20" ht="14.25" customHeight="1" x14ac:dyDescent="0.35">
      <c r="A1339" s="1">
        <v>2021</v>
      </c>
      <c r="B1339" s="1" t="s">
        <v>30</v>
      </c>
      <c r="C1339" s="1">
        <v>29</v>
      </c>
      <c r="D1339" s="49">
        <v>0</v>
      </c>
      <c r="E1339" s="50">
        <v>0</v>
      </c>
      <c r="F1339" s="83">
        <v>0</v>
      </c>
      <c r="G1339" s="69">
        <v>0</v>
      </c>
      <c r="H1339" s="50">
        <v>0</v>
      </c>
      <c r="I1339" s="66">
        <v>0</v>
      </c>
      <c r="J1339" s="117">
        <v>0</v>
      </c>
      <c r="K1339" s="61">
        <v>0</v>
      </c>
      <c r="L1339" s="62">
        <v>0</v>
      </c>
      <c r="M1339" s="66">
        <v>0</v>
      </c>
      <c r="N1339" s="57">
        <v>0</v>
      </c>
      <c r="O1339" s="84">
        <v>0</v>
      </c>
      <c r="P1339" s="96"/>
      <c r="Q1339" s="93"/>
      <c r="R1339" s="93"/>
      <c r="S1339" s="93"/>
      <c r="T1339" s="93"/>
    </row>
    <row r="1340" spans="1:20" ht="14.25" customHeight="1" x14ac:dyDescent="0.35">
      <c r="A1340" s="1">
        <v>2021</v>
      </c>
      <c r="B1340" s="1" t="s">
        <v>30</v>
      </c>
      <c r="C1340" s="1">
        <v>30</v>
      </c>
      <c r="D1340" s="49">
        <v>0</v>
      </c>
      <c r="E1340" s="50">
        <v>0</v>
      </c>
      <c r="F1340" s="83">
        <v>0</v>
      </c>
      <c r="G1340" s="69">
        <v>0</v>
      </c>
      <c r="H1340" s="50">
        <v>0</v>
      </c>
      <c r="I1340" s="66">
        <v>0</v>
      </c>
      <c r="J1340" s="117">
        <v>0</v>
      </c>
      <c r="K1340" s="61">
        <v>0</v>
      </c>
      <c r="L1340" s="62">
        <v>0</v>
      </c>
      <c r="M1340" s="66">
        <v>0</v>
      </c>
      <c r="N1340" s="57">
        <v>0</v>
      </c>
      <c r="O1340" s="84">
        <v>0</v>
      </c>
      <c r="P1340" s="96"/>
      <c r="Q1340" s="93"/>
      <c r="R1340" s="93"/>
      <c r="S1340" s="93"/>
      <c r="T1340" s="93"/>
    </row>
    <row r="1341" spans="1:20" ht="14.25" customHeight="1" x14ac:dyDescent="0.35">
      <c r="A1341" s="1">
        <v>2021</v>
      </c>
      <c r="B1341" s="1" t="s">
        <v>30</v>
      </c>
      <c r="C1341" s="1">
        <v>31</v>
      </c>
      <c r="D1341" s="104">
        <v>0</v>
      </c>
      <c r="E1341" s="105">
        <v>0</v>
      </c>
      <c r="F1341" s="87">
        <v>0</v>
      </c>
      <c r="G1341" s="88">
        <v>0</v>
      </c>
      <c r="H1341" s="89">
        <v>0</v>
      </c>
      <c r="I1341" s="90">
        <v>0</v>
      </c>
      <c r="J1341" s="131">
        <v>0</v>
      </c>
      <c r="K1341" s="61">
        <v>0</v>
      </c>
      <c r="L1341" s="64">
        <v>0</v>
      </c>
      <c r="M1341" s="66">
        <v>0</v>
      </c>
      <c r="N1341" s="57">
        <v>0</v>
      </c>
      <c r="O1341" s="66">
        <v>0</v>
      </c>
      <c r="P1341" s="96"/>
      <c r="Q1341" s="93"/>
      <c r="R1341" s="93"/>
      <c r="S1341" s="93"/>
      <c r="T1341" s="93"/>
    </row>
    <row r="1342" spans="1:20" ht="14.25" customHeight="1" x14ac:dyDescent="0.35">
      <c r="A1342" s="1">
        <v>2021</v>
      </c>
      <c r="B1342" s="1" t="s">
        <v>31</v>
      </c>
      <c r="C1342" s="1">
        <v>1</v>
      </c>
      <c r="D1342" s="49">
        <v>18.547000000000001</v>
      </c>
      <c r="E1342" s="50">
        <v>0</v>
      </c>
      <c r="F1342" s="51">
        <v>0</v>
      </c>
      <c r="G1342" s="52">
        <v>0</v>
      </c>
      <c r="H1342" s="53">
        <v>0</v>
      </c>
      <c r="I1342" s="54">
        <v>0</v>
      </c>
      <c r="J1342" s="59">
        <v>0</v>
      </c>
      <c r="K1342" s="52">
        <v>0</v>
      </c>
      <c r="L1342" s="55">
        <v>0</v>
      </c>
      <c r="M1342" s="56">
        <v>0</v>
      </c>
      <c r="N1342" s="57">
        <v>0</v>
      </c>
      <c r="O1342" s="58">
        <v>0</v>
      </c>
      <c r="P1342" s="142">
        <v>0</v>
      </c>
      <c r="Q1342" s="245">
        <v>0</v>
      </c>
      <c r="R1342" s="93"/>
      <c r="S1342" s="93"/>
      <c r="T1342" s="93"/>
    </row>
    <row r="1343" spans="1:20" ht="14.25" customHeight="1" x14ac:dyDescent="0.35">
      <c r="A1343" s="1">
        <v>2021</v>
      </c>
      <c r="B1343" s="1" t="s">
        <v>31</v>
      </c>
      <c r="C1343" s="1">
        <v>2</v>
      </c>
      <c r="D1343" s="49">
        <v>54.921999999999997</v>
      </c>
      <c r="E1343" s="50">
        <v>47.375</v>
      </c>
      <c r="F1343" s="60">
        <v>84.328999999999994</v>
      </c>
      <c r="G1343" s="61">
        <v>1758.12</v>
      </c>
      <c r="H1343" s="62">
        <v>6.9</v>
      </c>
      <c r="I1343" s="63">
        <v>2.3E-2</v>
      </c>
      <c r="J1343" s="76">
        <v>8.4309999999999992</v>
      </c>
      <c r="K1343" s="65">
        <v>47.5</v>
      </c>
      <c r="L1343" s="50">
        <v>5.6580000000000004</v>
      </c>
      <c r="M1343" s="66">
        <v>1.4999999999999999E-2</v>
      </c>
      <c r="N1343" s="57">
        <v>43.252000000000002</v>
      </c>
      <c r="O1343" s="67">
        <v>7.6999999999999999E-2</v>
      </c>
      <c r="P1343" s="143">
        <v>96.555000000000007</v>
      </c>
      <c r="Q1343" s="246">
        <v>0.28799999999999998</v>
      </c>
      <c r="R1343" s="93"/>
      <c r="S1343" s="93"/>
      <c r="T1343" s="93"/>
    </row>
    <row r="1344" spans="1:20" ht="14.25" customHeight="1" x14ac:dyDescent="0.35">
      <c r="A1344" s="1">
        <v>2021</v>
      </c>
      <c r="B1344" s="1" t="s">
        <v>31</v>
      </c>
      <c r="C1344" s="1">
        <v>3</v>
      </c>
      <c r="D1344" s="49">
        <v>80.281000000000006</v>
      </c>
      <c r="E1344" s="50">
        <v>68.718999999999994</v>
      </c>
      <c r="F1344" s="60">
        <v>84.316999999999993</v>
      </c>
      <c r="G1344" s="61">
        <v>1766.8920000000001</v>
      </c>
      <c r="H1344" s="62">
        <v>6.9</v>
      </c>
      <c r="I1344" s="63">
        <v>2.9000000000000001E-2</v>
      </c>
      <c r="J1344" s="76">
        <v>8.4049999999999994</v>
      </c>
      <c r="K1344" s="65">
        <v>46.134999999999998</v>
      </c>
      <c r="L1344" s="50">
        <v>5.6340000000000003</v>
      </c>
      <c r="M1344" s="66">
        <v>1.4E-2</v>
      </c>
      <c r="N1344" s="57">
        <v>45.783999999999999</v>
      </c>
      <c r="O1344" s="67">
        <v>8.2000000000000003E-2</v>
      </c>
      <c r="P1344" s="143">
        <v>96.585999999999999</v>
      </c>
      <c r="Q1344" s="246">
        <v>0.27</v>
      </c>
      <c r="R1344" s="93"/>
      <c r="S1344" s="93"/>
      <c r="T1344" s="93"/>
    </row>
    <row r="1345" spans="1:20" ht="14.25" customHeight="1" x14ac:dyDescent="0.35">
      <c r="A1345" s="1">
        <v>2021</v>
      </c>
      <c r="B1345" s="1" t="s">
        <v>31</v>
      </c>
      <c r="C1345" s="1">
        <v>4</v>
      </c>
      <c r="D1345" s="49">
        <v>97.781000000000006</v>
      </c>
      <c r="E1345" s="50">
        <v>83.468999999999994</v>
      </c>
      <c r="F1345" s="60">
        <v>84.518000000000001</v>
      </c>
      <c r="G1345" s="61">
        <v>1723.3150000000001</v>
      </c>
      <c r="H1345" s="62">
        <v>6.9</v>
      </c>
      <c r="I1345" s="63">
        <v>2.5000000000000001E-2</v>
      </c>
      <c r="J1345" s="76">
        <v>8.2330000000000005</v>
      </c>
      <c r="K1345" s="65">
        <v>44.335000000000001</v>
      </c>
      <c r="L1345" s="50">
        <v>5.6059999999999999</v>
      </c>
      <c r="M1345" s="66">
        <v>1.4E-2</v>
      </c>
      <c r="N1345" s="57">
        <v>48.817999999999998</v>
      </c>
      <c r="O1345" s="67">
        <v>7.0999999999999994E-2</v>
      </c>
      <c r="P1345" s="143">
        <v>96.436999999999998</v>
      </c>
      <c r="Q1345" s="246">
        <v>0.25800000000000001</v>
      </c>
      <c r="R1345" s="93"/>
      <c r="S1345" s="93"/>
      <c r="T1345" s="93"/>
    </row>
    <row r="1346" spans="1:20" ht="14.25" customHeight="1" x14ac:dyDescent="0.35">
      <c r="A1346" s="1">
        <v>2021</v>
      </c>
      <c r="B1346" s="1" t="s">
        <v>31</v>
      </c>
      <c r="C1346" s="1">
        <v>5</v>
      </c>
      <c r="D1346" s="49">
        <v>99.171999999999997</v>
      </c>
      <c r="E1346" s="50">
        <v>84.5</v>
      </c>
      <c r="F1346" s="60">
        <v>84.44</v>
      </c>
      <c r="G1346" s="61">
        <v>1620.019</v>
      </c>
      <c r="H1346" s="62">
        <v>6.9</v>
      </c>
      <c r="I1346" s="63">
        <v>2.4E-2</v>
      </c>
      <c r="J1346" s="76">
        <v>8.0549999999999997</v>
      </c>
      <c r="K1346" s="65">
        <v>40.533999999999999</v>
      </c>
      <c r="L1346" s="50">
        <v>5.5759999999999996</v>
      </c>
      <c r="M1346" s="66">
        <v>1.4E-2</v>
      </c>
      <c r="N1346" s="57">
        <v>52.353000000000002</v>
      </c>
      <c r="O1346" s="67">
        <v>5.6000000000000001E-2</v>
      </c>
      <c r="P1346" s="143">
        <v>97.465999999999994</v>
      </c>
      <c r="Q1346" s="246">
        <v>0.255</v>
      </c>
      <c r="R1346" s="93"/>
      <c r="S1346" s="93"/>
      <c r="T1346" s="93"/>
    </row>
    <row r="1347" spans="1:20" ht="14.25" customHeight="1" x14ac:dyDescent="0.35">
      <c r="A1347" s="1">
        <v>2021</v>
      </c>
      <c r="B1347" s="1" t="s">
        <v>31</v>
      </c>
      <c r="C1347" s="1">
        <v>6</v>
      </c>
      <c r="D1347" s="49">
        <v>100.297</v>
      </c>
      <c r="E1347" s="50">
        <v>85.563000000000002</v>
      </c>
      <c r="F1347" s="60">
        <v>84.268000000000001</v>
      </c>
      <c r="G1347" s="61">
        <v>1567.5609999999999</v>
      </c>
      <c r="H1347" s="62">
        <v>6.9</v>
      </c>
      <c r="I1347" s="63">
        <v>2.3E-2</v>
      </c>
      <c r="J1347" s="76">
        <v>7.9909999999999997</v>
      </c>
      <c r="K1347" s="65">
        <v>39.087000000000003</v>
      </c>
      <c r="L1347" s="50">
        <v>5.5810000000000004</v>
      </c>
      <c r="M1347" s="66">
        <v>1.4E-2</v>
      </c>
      <c r="N1347" s="57">
        <v>51.655000000000001</v>
      </c>
      <c r="O1347" s="67">
        <v>5.2999999999999999E-2</v>
      </c>
      <c r="P1347" s="143">
        <v>97.950999999999993</v>
      </c>
      <c r="Q1347" s="246">
        <v>0.251</v>
      </c>
      <c r="R1347" s="93"/>
      <c r="S1347" s="93"/>
      <c r="T1347" s="93"/>
    </row>
    <row r="1348" spans="1:20" ht="14.25" customHeight="1" x14ac:dyDescent="0.35">
      <c r="A1348" s="1">
        <v>2021</v>
      </c>
      <c r="B1348" s="1" t="s">
        <v>31</v>
      </c>
      <c r="C1348" s="1">
        <v>7</v>
      </c>
      <c r="D1348" s="49">
        <v>104.703</v>
      </c>
      <c r="E1348" s="50">
        <v>89.188000000000002</v>
      </c>
      <c r="F1348" s="60">
        <v>84.656000000000006</v>
      </c>
      <c r="G1348" s="61">
        <v>1567.731</v>
      </c>
      <c r="H1348" s="62">
        <v>6.9</v>
      </c>
      <c r="I1348" s="63">
        <v>2.3E-2</v>
      </c>
      <c r="J1348" s="76">
        <v>8.5939999999999994</v>
      </c>
      <c r="K1348" s="65">
        <v>37.665999999999997</v>
      </c>
      <c r="L1348" s="50">
        <v>5.5709999999999997</v>
      </c>
      <c r="M1348" s="66">
        <v>1.4E-2</v>
      </c>
      <c r="N1348" s="57">
        <v>53.039000000000001</v>
      </c>
      <c r="O1348" s="67">
        <v>5.7000000000000002E-2</v>
      </c>
      <c r="P1348" s="143">
        <v>96.968000000000004</v>
      </c>
      <c r="Q1348" s="246">
        <v>0.249</v>
      </c>
      <c r="R1348" s="93"/>
      <c r="S1348" s="93"/>
      <c r="T1348" s="93"/>
    </row>
    <row r="1349" spans="1:20" ht="14.25" customHeight="1" x14ac:dyDescent="0.35">
      <c r="A1349" s="1">
        <v>2021</v>
      </c>
      <c r="B1349" s="1" t="s">
        <v>31</v>
      </c>
      <c r="C1349" s="1">
        <v>8</v>
      </c>
      <c r="D1349" s="49">
        <v>104.96899999999999</v>
      </c>
      <c r="E1349" s="50">
        <v>89.343999999999994</v>
      </c>
      <c r="F1349" s="60">
        <v>84.667000000000002</v>
      </c>
      <c r="G1349" s="69">
        <v>1676.701</v>
      </c>
      <c r="H1349" s="62">
        <v>6.8970000000000002</v>
      </c>
      <c r="I1349" s="63">
        <v>2.3E-2</v>
      </c>
      <c r="J1349" s="132">
        <v>8.7319999999999993</v>
      </c>
      <c r="K1349" s="65">
        <v>38.734999999999999</v>
      </c>
      <c r="L1349" s="50">
        <v>5.5350000000000001</v>
      </c>
      <c r="M1349" s="66">
        <v>1.4E-2</v>
      </c>
      <c r="N1349" s="57">
        <v>57.755000000000003</v>
      </c>
      <c r="O1349" s="70">
        <v>6.4000000000000001E-2</v>
      </c>
      <c r="P1349" s="143">
        <v>96.468999999999994</v>
      </c>
      <c r="Q1349" s="246">
        <v>0.251</v>
      </c>
      <c r="R1349" s="93"/>
      <c r="S1349" s="93"/>
      <c r="T1349" s="93"/>
    </row>
    <row r="1350" spans="1:20" ht="14.25" customHeight="1" x14ac:dyDescent="0.35">
      <c r="A1350" s="1">
        <v>2021</v>
      </c>
      <c r="B1350" s="1" t="s">
        <v>31</v>
      </c>
      <c r="C1350" s="1">
        <v>9</v>
      </c>
      <c r="D1350" s="49">
        <v>102.28100000000001</v>
      </c>
      <c r="E1350" s="50">
        <v>86.843999999999994</v>
      </c>
      <c r="F1350" s="60">
        <v>84.975999999999999</v>
      </c>
      <c r="G1350" s="61">
        <v>1725.9269999999999</v>
      </c>
      <c r="H1350" s="62">
        <v>6.9</v>
      </c>
      <c r="I1350" s="63">
        <v>2.4E-2</v>
      </c>
      <c r="J1350" s="76">
        <v>8.5869999999999997</v>
      </c>
      <c r="K1350" s="65">
        <v>40.402000000000001</v>
      </c>
      <c r="L1350" s="50">
        <v>5.516</v>
      </c>
      <c r="M1350" s="66">
        <v>1.4E-2</v>
      </c>
      <c r="N1350" s="57">
        <v>60.134</v>
      </c>
      <c r="O1350" s="67">
        <v>6.6000000000000003E-2</v>
      </c>
      <c r="P1350" s="143">
        <v>96.581999999999994</v>
      </c>
      <c r="Q1350" s="246">
        <v>0.253</v>
      </c>
      <c r="R1350" s="93"/>
      <c r="S1350" s="93"/>
      <c r="T1350" s="93"/>
    </row>
    <row r="1351" spans="1:20" ht="14.25" customHeight="1" x14ac:dyDescent="0.35">
      <c r="A1351" s="1">
        <v>2021</v>
      </c>
      <c r="B1351" s="1" t="s">
        <v>31</v>
      </c>
      <c r="C1351" s="1">
        <v>10</v>
      </c>
      <c r="D1351" s="49">
        <v>103.23399999999999</v>
      </c>
      <c r="E1351" s="50">
        <v>87.688000000000002</v>
      </c>
      <c r="F1351" s="72">
        <v>84.840999999999994</v>
      </c>
      <c r="G1351" s="61">
        <v>1722.7639999999999</v>
      </c>
      <c r="H1351" s="62">
        <v>6.9</v>
      </c>
      <c r="I1351" s="63">
        <v>2.3E-2</v>
      </c>
      <c r="J1351" s="76">
        <v>8.39</v>
      </c>
      <c r="K1351" s="65">
        <v>40.238</v>
      </c>
      <c r="L1351" s="50">
        <v>5.5709999999999997</v>
      </c>
      <c r="M1351" s="74">
        <v>1.4E-2</v>
      </c>
      <c r="N1351" s="57">
        <v>53.701000000000001</v>
      </c>
      <c r="O1351" s="75">
        <v>6.6000000000000003E-2</v>
      </c>
      <c r="P1351" s="143">
        <v>96.457999999999998</v>
      </c>
      <c r="Q1351" s="246">
        <v>0.251</v>
      </c>
      <c r="R1351" s="93"/>
      <c r="S1351" s="93"/>
      <c r="T1351" s="93"/>
    </row>
    <row r="1352" spans="1:20" ht="14.25" customHeight="1" x14ac:dyDescent="0.35">
      <c r="A1352" s="1">
        <v>2021</v>
      </c>
      <c r="B1352" s="1" t="s">
        <v>31</v>
      </c>
      <c r="C1352" s="1">
        <v>11</v>
      </c>
      <c r="D1352" s="49">
        <v>106.313</v>
      </c>
      <c r="E1352" s="50">
        <v>90.313000000000002</v>
      </c>
      <c r="F1352" s="72">
        <v>84.971000000000004</v>
      </c>
      <c r="G1352" s="61">
        <v>1715.452</v>
      </c>
      <c r="H1352" s="62">
        <v>6.9</v>
      </c>
      <c r="I1352" s="63">
        <v>2.3E-2</v>
      </c>
      <c r="J1352" s="76">
        <v>8.5210000000000008</v>
      </c>
      <c r="K1352" s="65">
        <v>40.317999999999998</v>
      </c>
      <c r="L1352" s="50">
        <v>5.5750000000000002</v>
      </c>
      <c r="M1352" s="74">
        <v>1.4E-2</v>
      </c>
      <c r="N1352" s="57">
        <v>52.591000000000001</v>
      </c>
      <c r="O1352" s="75">
        <v>6.6000000000000003E-2</v>
      </c>
      <c r="P1352" s="143">
        <v>96.314999999999998</v>
      </c>
      <c r="Q1352" s="246">
        <v>0.245</v>
      </c>
      <c r="R1352" s="93"/>
      <c r="S1352" s="93"/>
      <c r="T1352" s="93"/>
    </row>
    <row r="1353" spans="1:20" ht="14.25" customHeight="1" x14ac:dyDescent="0.35">
      <c r="A1353" s="1">
        <v>2021</v>
      </c>
      <c r="B1353" s="1" t="s">
        <v>31</v>
      </c>
      <c r="C1353" s="1">
        <v>12</v>
      </c>
      <c r="D1353" s="49">
        <v>105.84399999999999</v>
      </c>
      <c r="E1353" s="50">
        <v>90</v>
      </c>
      <c r="F1353" s="72">
        <v>84.682000000000002</v>
      </c>
      <c r="G1353" s="61">
        <v>1651.7909999999999</v>
      </c>
      <c r="H1353" s="62">
        <v>6.9</v>
      </c>
      <c r="I1353" s="63">
        <v>2.3E-2</v>
      </c>
      <c r="J1353" s="76">
        <v>8.4030000000000005</v>
      </c>
      <c r="K1353" s="65">
        <v>37.634</v>
      </c>
      <c r="L1353" s="50">
        <v>5.5670000000000002</v>
      </c>
      <c r="M1353" s="74">
        <v>1.4E-2</v>
      </c>
      <c r="N1353" s="57">
        <v>53.606999999999999</v>
      </c>
      <c r="O1353" s="75">
        <v>5.8999999999999997E-2</v>
      </c>
      <c r="P1353" s="143">
        <v>97.057000000000002</v>
      </c>
      <c r="Q1353" s="246">
        <v>0.253</v>
      </c>
      <c r="R1353" s="93"/>
      <c r="S1353" s="93"/>
      <c r="T1353" s="93"/>
    </row>
    <row r="1354" spans="1:20" ht="14.25" customHeight="1" x14ac:dyDescent="0.35">
      <c r="A1354" s="1">
        <v>2021</v>
      </c>
      <c r="B1354" s="1" t="s">
        <v>31</v>
      </c>
      <c r="C1354" s="1">
        <v>13</v>
      </c>
      <c r="D1354" s="49">
        <v>105.938</v>
      </c>
      <c r="E1354" s="50">
        <v>90</v>
      </c>
      <c r="F1354" s="78">
        <v>84.236000000000004</v>
      </c>
      <c r="G1354" s="61">
        <v>1622.575</v>
      </c>
      <c r="H1354" s="62">
        <v>6.9</v>
      </c>
      <c r="I1354" s="63">
        <v>2.3E-2</v>
      </c>
      <c r="J1354" s="81">
        <v>8.5730000000000004</v>
      </c>
      <c r="K1354" s="65">
        <v>37.191000000000003</v>
      </c>
      <c r="L1354" s="50">
        <v>5.5629999999999997</v>
      </c>
      <c r="M1354" s="66">
        <v>1.4E-2</v>
      </c>
      <c r="N1354" s="57">
        <v>53.996000000000002</v>
      </c>
      <c r="O1354" s="80">
        <v>5.8999999999999997E-2</v>
      </c>
      <c r="P1354" s="143">
        <v>97.293999999999997</v>
      </c>
      <c r="Q1354" s="246">
        <v>0.253</v>
      </c>
      <c r="R1354" s="93"/>
      <c r="S1354" s="93"/>
      <c r="T1354" s="93"/>
    </row>
    <row r="1355" spans="1:20" ht="14.25" customHeight="1" x14ac:dyDescent="0.35">
      <c r="A1355" s="1">
        <v>2021</v>
      </c>
      <c r="B1355" s="1" t="s">
        <v>31</v>
      </c>
      <c r="C1355" s="1">
        <v>14</v>
      </c>
      <c r="D1355" s="49">
        <v>104.828</v>
      </c>
      <c r="E1355" s="50">
        <v>89.063000000000002</v>
      </c>
      <c r="F1355" s="60">
        <v>84.156000000000006</v>
      </c>
      <c r="G1355" s="61">
        <v>1729.8209999999999</v>
      </c>
      <c r="H1355" s="62">
        <v>6.9</v>
      </c>
      <c r="I1355" s="63">
        <v>2.3E-2</v>
      </c>
      <c r="J1355" s="81">
        <v>8.7710000000000008</v>
      </c>
      <c r="K1355" s="82">
        <v>39.146999999999998</v>
      </c>
      <c r="L1355" s="50">
        <v>5.5670000000000002</v>
      </c>
      <c r="M1355" s="66">
        <v>1.4E-2</v>
      </c>
      <c r="N1355" s="57">
        <v>53.502000000000002</v>
      </c>
      <c r="O1355" s="80">
        <v>6.6000000000000003E-2</v>
      </c>
      <c r="P1355" s="143">
        <v>96.650999999999996</v>
      </c>
      <c r="Q1355" s="246">
        <v>0.254</v>
      </c>
      <c r="R1355" s="93"/>
      <c r="S1355" s="93"/>
      <c r="T1355" s="93"/>
    </row>
    <row r="1356" spans="1:20" ht="14.25" customHeight="1" x14ac:dyDescent="0.35">
      <c r="A1356" s="1">
        <v>2021</v>
      </c>
      <c r="B1356" s="1" t="s">
        <v>31</v>
      </c>
      <c r="C1356" s="1">
        <v>15</v>
      </c>
      <c r="D1356" s="49">
        <v>108.15600000000001</v>
      </c>
      <c r="E1356" s="50">
        <v>91.875</v>
      </c>
      <c r="F1356" s="60">
        <v>83.98</v>
      </c>
      <c r="G1356" s="61">
        <v>1751.9010000000001</v>
      </c>
      <c r="H1356" s="62">
        <v>6.9</v>
      </c>
      <c r="I1356" s="63">
        <v>2.4E-2</v>
      </c>
      <c r="J1356" s="76">
        <v>8.6189999999999998</v>
      </c>
      <c r="K1356" s="65">
        <v>39.865000000000002</v>
      </c>
      <c r="L1356" s="50">
        <v>5.5739999999999998</v>
      </c>
      <c r="M1356" s="66">
        <v>1.4E-2</v>
      </c>
      <c r="N1356" s="57">
        <v>52.77</v>
      </c>
      <c r="O1356" s="75">
        <v>6.5000000000000002E-2</v>
      </c>
      <c r="P1356" s="143">
        <v>96.557000000000002</v>
      </c>
      <c r="Q1356" s="246">
        <v>0.251</v>
      </c>
      <c r="R1356" s="93"/>
      <c r="S1356" s="93"/>
      <c r="T1356" s="93"/>
    </row>
    <row r="1357" spans="1:20" ht="14.25" customHeight="1" x14ac:dyDescent="0.35">
      <c r="A1357" s="1">
        <v>2021</v>
      </c>
      <c r="B1357" s="1" t="s">
        <v>31</v>
      </c>
      <c r="C1357" s="1">
        <v>16</v>
      </c>
      <c r="D1357" s="49">
        <v>108.39100000000001</v>
      </c>
      <c r="E1357" s="50">
        <v>92.125</v>
      </c>
      <c r="F1357" s="60">
        <v>83.808999999999997</v>
      </c>
      <c r="G1357" s="61">
        <v>1756.04</v>
      </c>
      <c r="H1357" s="62">
        <v>6.9</v>
      </c>
      <c r="I1357" s="63">
        <v>2.3E-2</v>
      </c>
      <c r="J1357" s="81">
        <v>8.7379999999999995</v>
      </c>
      <c r="K1357" s="61">
        <v>38.933</v>
      </c>
      <c r="L1357" s="62">
        <v>5.5839999999999996</v>
      </c>
      <c r="M1357" s="66">
        <v>1.4E-2</v>
      </c>
      <c r="N1357" s="57">
        <v>51.564</v>
      </c>
      <c r="O1357" s="80">
        <v>8.5999999999999993E-2</v>
      </c>
      <c r="P1357" s="143">
        <v>96.438999999999993</v>
      </c>
      <c r="Q1357" s="246">
        <v>0.252</v>
      </c>
      <c r="R1357" s="93"/>
      <c r="S1357" s="93"/>
      <c r="T1357" s="93"/>
    </row>
    <row r="1358" spans="1:20" ht="14.25" customHeight="1" x14ac:dyDescent="0.35">
      <c r="A1358" s="1">
        <v>2021</v>
      </c>
      <c r="B1358" s="1" t="s">
        <v>31</v>
      </c>
      <c r="C1358" s="1">
        <v>17</v>
      </c>
      <c r="D1358" s="49">
        <v>109.65600000000001</v>
      </c>
      <c r="E1358" s="50">
        <v>93.125</v>
      </c>
      <c r="F1358" s="60">
        <v>83.873999999999995</v>
      </c>
      <c r="G1358" s="61">
        <v>1749.316</v>
      </c>
      <c r="H1358" s="62">
        <v>6.9</v>
      </c>
      <c r="I1358" s="63">
        <v>2.4E-2</v>
      </c>
      <c r="J1358" s="68">
        <v>8.9510000000000005</v>
      </c>
      <c r="K1358" s="65">
        <v>38.517000000000003</v>
      </c>
      <c r="L1358" s="50">
        <v>5.601</v>
      </c>
      <c r="M1358" s="66">
        <v>1.4E-2</v>
      </c>
      <c r="N1358" s="57">
        <v>49.805999999999997</v>
      </c>
      <c r="O1358" s="67">
        <v>7.0000000000000007E-2</v>
      </c>
      <c r="P1358" s="143">
        <v>96.405000000000001</v>
      </c>
      <c r="Q1358" s="246">
        <v>0.249</v>
      </c>
      <c r="R1358" s="93"/>
      <c r="S1358" s="93"/>
      <c r="T1358" s="93"/>
    </row>
    <row r="1359" spans="1:20" ht="14.25" customHeight="1" x14ac:dyDescent="0.35">
      <c r="A1359" s="1">
        <v>2021</v>
      </c>
      <c r="B1359" s="1" t="s">
        <v>31</v>
      </c>
      <c r="C1359" s="1">
        <v>18</v>
      </c>
      <c r="D1359" s="49">
        <v>109.047</v>
      </c>
      <c r="E1359" s="50">
        <v>92.625</v>
      </c>
      <c r="F1359" s="60">
        <v>83.695999999999998</v>
      </c>
      <c r="G1359" s="61">
        <v>1722.905</v>
      </c>
      <c r="H1359" s="62">
        <v>6.9</v>
      </c>
      <c r="I1359" s="63">
        <v>2.3E-2</v>
      </c>
      <c r="J1359" s="68">
        <v>8.9849999999999994</v>
      </c>
      <c r="K1359" s="61">
        <v>38.436</v>
      </c>
      <c r="L1359" s="62">
        <v>5.6189999999999998</v>
      </c>
      <c r="M1359" s="66">
        <v>1.4E-2</v>
      </c>
      <c r="N1359" s="57">
        <v>47.668999999999997</v>
      </c>
      <c r="O1359" s="67">
        <v>6.2E-2</v>
      </c>
      <c r="P1359" s="143">
        <v>96.477999999999994</v>
      </c>
      <c r="Q1359" s="246">
        <v>0.247</v>
      </c>
      <c r="R1359" s="93"/>
      <c r="S1359" s="93"/>
      <c r="T1359" s="93"/>
    </row>
    <row r="1360" spans="1:20" ht="14.25" customHeight="1" x14ac:dyDescent="0.35">
      <c r="A1360" s="1">
        <v>2021</v>
      </c>
      <c r="B1360" s="1" t="s">
        <v>31</v>
      </c>
      <c r="C1360" s="1">
        <v>19</v>
      </c>
      <c r="D1360" s="49">
        <v>109.46899999999999</v>
      </c>
      <c r="E1360" s="50">
        <v>92.968999999999994</v>
      </c>
      <c r="F1360" s="60">
        <v>83.543999999999997</v>
      </c>
      <c r="G1360" s="61">
        <v>1629.675</v>
      </c>
      <c r="H1360" s="62">
        <v>6.9</v>
      </c>
      <c r="I1360" s="63">
        <v>2.3E-2</v>
      </c>
      <c r="J1360" s="68">
        <v>8.7650000000000006</v>
      </c>
      <c r="K1360" s="65">
        <v>36.194000000000003</v>
      </c>
      <c r="L1360" s="50">
        <v>5.6210000000000004</v>
      </c>
      <c r="M1360" s="66">
        <v>1.4E-2</v>
      </c>
      <c r="N1360" s="57">
        <v>47.417000000000002</v>
      </c>
      <c r="O1360" s="67">
        <v>5.7000000000000002E-2</v>
      </c>
      <c r="P1360" s="143">
        <v>96.507000000000005</v>
      </c>
      <c r="Q1360" s="246">
        <v>0.251</v>
      </c>
      <c r="R1360" s="93"/>
      <c r="S1360" s="93"/>
      <c r="T1360" s="93"/>
    </row>
    <row r="1361" spans="1:20" ht="14.25" customHeight="1" x14ac:dyDescent="0.35">
      <c r="A1361" s="1">
        <v>2021</v>
      </c>
      <c r="B1361" s="1" t="s">
        <v>31</v>
      </c>
      <c r="C1361" s="1">
        <v>20</v>
      </c>
      <c r="D1361" s="49">
        <v>111.688</v>
      </c>
      <c r="E1361" s="50">
        <v>94.968999999999994</v>
      </c>
      <c r="F1361" s="60">
        <v>83.730999999999995</v>
      </c>
      <c r="G1361" s="61">
        <v>1608.9580000000001</v>
      </c>
      <c r="H1361" s="62">
        <v>6.9009999999999998</v>
      </c>
      <c r="I1361" s="63">
        <v>2.1999999999999999E-2</v>
      </c>
      <c r="J1361" s="68">
        <v>8.8610000000000007</v>
      </c>
      <c r="K1361" s="61">
        <v>36.049999999999997</v>
      </c>
      <c r="L1361" s="62">
        <v>5.633</v>
      </c>
      <c r="M1361" s="66">
        <v>1.4E-2</v>
      </c>
      <c r="N1361" s="57">
        <v>46.223999999999997</v>
      </c>
      <c r="O1361" s="67">
        <v>5.8000000000000003E-2</v>
      </c>
      <c r="P1361" s="143">
        <v>96.606999999999999</v>
      </c>
      <c r="Q1361" s="246">
        <v>0.247</v>
      </c>
      <c r="R1361" s="93"/>
      <c r="S1361" s="93"/>
      <c r="T1361" s="93"/>
    </row>
    <row r="1362" spans="1:20" ht="14.25" customHeight="1" x14ac:dyDescent="0.35">
      <c r="A1362" s="1">
        <v>2021</v>
      </c>
      <c r="B1362" s="1" t="s">
        <v>31</v>
      </c>
      <c r="C1362" s="1">
        <v>21</v>
      </c>
      <c r="D1362" s="49">
        <v>111.64100000000001</v>
      </c>
      <c r="E1362" s="50">
        <v>94.968999999999994</v>
      </c>
      <c r="F1362" s="60">
        <v>84.6</v>
      </c>
      <c r="G1362" s="61">
        <v>1725.5229999999999</v>
      </c>
      <c r="H1362" s="62">
        <v>6.899</v>
      </c>
      <c r="I1362" s="63">
        <v>2.3E-2</v>
      </c>
      <c r="J1362" s="68">
        <v>8.9529999999999994</v>
      </c>
      <c r="K1362" s="65">
        <v>38.923999999999999</v>
      </c>
      <c r="L1362" s="50">
        <v>5.6369999999999996</v>
      </c>
      <c r="M1362" s="66">
        <v>1.4E-2</v>
      </c>
      <c r="N1362" s="57">
        <v>45.661999999999999</v>
      </c>
      <c r="O1362" s="67">
        <v>6.5000000000000002E-2</v>
      </c>
      <c r="P1362" s="143">
        <v>96.566000000000003</v>
      </c>
      <c r="Q1362" s="246">
        <v>0.246</v>
      </c>
      <c r="R1362" s="93"/>
      <c r="S1362" s="93"/>
      <c r="T1362" s="93"/>
    </row>
    <row r="1363" spans="1:20" ht="14.25" customHeight="1" x14ac:dyDescent="0.35">
      <c r="A1363" s="1">
        <v>2021</v>
      </c>
      <c r="B1363" s="1" t="s">
        <v>31</v>
      </c>
      <c r="C1363" s="1">
        <v>22</v>
      </c>
      <c r="D1363" s="49">
        <v>112.65600000000001</v>
      </c>
      <c r="E1363" s="50">
        <v>95.75</v>
      </c>
      <c r="F1363" s="60">
        <v>84.75</v>
      </c>
      <c r="G1363" s="61">
        <v>1757.5509999999999</v>
      </c>
      <c r="H1363" s="62">
        <v>6.9</v>
      </c>
      <c r="I1363" s="63">
        <v>4.7E-2</v>
      </c>
      <c r="J1363" s="68">
        <v>8.7070000000000007</v>
      </c>
      <c r="K1363" s="61">
        <v>39.640999999999998</v>
      </c>
      <c r="L1363" s="62">
        <v>5.6239999999999997</v>
      </c>
      <c r="M1363" s="66">
        <v>1.4E-2</v>
      </c>
      <c r="N1363" s="57">
        <v>47.198</v>
      </c>
      <c r="O1363" s="67">
        <v>6.7000000000000004E-2</v>
      </c>
      <c r="P1363" s="143">
        <v>96.683000000000007</v>
      </c>
      <c r="Q1363" s="246">
        <v>0.246</v>
      </c>
      <c r="R1363" s="93"/>
      <c r="S1363" s="93"/>
      <c r="T1363" s="93"/>
    </row>
    <row r="1364" spans="1:20" ht="14.25" customHeight="1" x14ac:dyDescent="0.35">
      <c r="A1364" s="1">
        <v>2021</v>
      </c>
      <c r="B1364" s="1" t="s">
        <v>31</v>
      </c>
      <c r="C1364" s="1">
        <v>23</v>
      </c>
      <c r="D1364" s="49">
        <v>111.813</v>
      </c>
      <c r="E1364" s="50">
        <v>94.968999999999994</v>
      </c>
      <c r="F1364" s="60">
        <v>84.147000000000006</v>
      </c>
      <c r="G1364" s="61">
        <v>1755.1469999999999</v>
      </c>
      <c r="H1364" s="62">
        <v>6.9</v>
      </c>
      <c r="I1364" s="63">
        <v>2.1999999999999999E-2</v>
      </c>
      <c r="J1364" s="68">
        <v>8.7799999999999994</v>
      </c>
      <c r="K1364" s="65">
        <v>39.612000000000002</v>
      </c>
      <c r="L1364" s="50">
        <v>5.6239999999999997</v>
      </c>
      <c r="M1364" s="66">
        <v>1.4E-2</v>
      </c>
      <c r="N1364" s="57">
        <v>47.064</v>
      </c>
      <c r="O1364" s="67">
        <v>6.6000000000000003E-2</v>
      </c>
      <c r="P1364" s="143">
        <v>96.753</v>
      </c>
      <c r="Q1364" s="246">
        <v>0.24399999999999999</v>
      </c>
      <c r="R1364" s="93"/>
      <c r="S1364" s="93"/>
      <c r="T1364" s="93"/>
    </row>
    <row r="1365" spans="1:20" ht="14.25" customHeight="1" x14ac:dyDescent="0.35">
      <c r="A1365" s="1">
        <v>2021</v>
      </c>
      <c r="B1365" s="1" t="s">
        <v>31</v>
      </c>
      <c r="C1365" s="1">
        <v>24</v>
      </c>
      <c r="D1365" s="49">
        <v>112.90600000000001</v>
      </c>
      <c r="E1365" s="50">
        <v>95.968999999999994</v>
      </c>
      <c r="F1365" s="60">
        <v>83.706000000000003</v>
      </c>
      <c r="G1365" s="61">
        <v>1757.511</v>
      </c>
      <c r="H1365" s="62">
        <v>6.9</v>
      </c>
      <c r="I1365" s="63">
        <v>2.1999999999999999E-2</v>
      </c>
      <c r="J1365" s="68">
        <v>8.6560000000000006</v>
      </c>
      <c r="K1365" s="61">
        <v>39.137999999999998</v>
      </c>
      <c r="L1365" s="62">
        <v>5.6050000000000004</v>
      </c>
      <c r="M1365" s="66">
        <v>1.4E-2</v>
      </c>
      <c r="N1365" s="57">
        <v>49.058</v>
      </c>
      <c r="O1365" s="67">
        <v>6.3E-2</v>
      </c>
      <c r="P1365" s="143">
        <v>96.748000000000005</v>
      </c>
      <c r="Q1365" s="246">
        <v>0.24399999999999999</v>
      </c>
      <c r="R1365" s="93"/>
      <c r="S1365" s="93"/>
      <c r="T1365" s="93"/>
    </row>
    <row r="1366" spans="1:20" ht="14.25" customHeight="1" x14ac:dyDescent="0.35">
      <c r="A1366" s="1">
        <v>2021</v>
      </c>
      <c r="B1366" s="1" t="s">
        <v>31</v>
      </c>
      <c r="C1366" s="1">
        <v>25</v>
      </c>
      <c r="D1366" s="49">
        <v>113.875</v>
      </c>
      <c r="E1366" s="50">
        <v>96.781000000000006</v>
      </c>
      <c r="F1366" s="60">
        <v>83.647999999999996</v>
      </c>
      <c r="G1366" s="61">
        <v>1718.6</v>
      </c>
      <c r="H1366" s="62">
        <v>6.9</v>
      </c>
      <c r="I1366" s="63">
        <v>2.1999999999999999E-2</v>
      </c>
      <c r="J1366" s="68">
        <v>8.6259999999999994</v>
      </c>
      <c r="K1366" s="65">
        <v>38.302</v>
      </c>
      <c r="L1366" s="50">
        <v>5.5869999999999997</v>
      </c>
      <c r="M1366" s="66">
        <v>1.4E-2</v>
      </c>
      <c r="N1366" s="57">
        <v>50.954999999999998</v>
      </c>
      <c r="O1366" s="67">
        <v>0.06</v>
      </c>
      <c r="P1366" s="143">
        <v>96.972999999999999</v>
      </c>
      <c r="Q1366" s="246">
        <v>0.25</v>
      </c>
      <c r="R1366" s="93"/>
      <c r="S1366" s="93"/>
      <c r="T1366" s="93"/>
    </row>
    <row r="1367" spans="1:20" ht="14.25" customHeight="1" x14ac:dyDescent="0.35">
      <c r="A1367" s="1">
        <v>2021</v>
      </c>
      <c r="B1367" s="1" t="s">
        <v>31</v>
      </c>
      <c r="C1367" s="1">
        <v>26</v>
      </c>
      <c r="D1367" s="49">
        <v>110.01600000000001</v>
      </c>
      <c r="E1367" s="50">
        <v>93.438000000000002</v>
      </c>
      <c r="F1367" s="60">
        <v>83.004999999999995</v>
      </c>
      <c r="G1367" s="61">
        <v>1640.8389999999999</v>
      </c>
      <c r="H1367" s="62">
        <v>6.9</v>
      </c>
      <c r="I1367" s="63">
        <v>2.1999999999999999E-2</v>
      </c>
      <c r="J1367" s="68">
        <v>8.657</v>
      </c>
      <c r="K1367" s="61">
        <v>35.777000000000001</v>
      </c>
      <c r="L1367" s="62">
        <v>5.5919999999999996</v>
      </c>
      <c r="M1367" s="66">
        <v>1.4E-2</v>
      </c>
      <c r="N1367" s="57">
        <v>50.753999999999998</v>
      </c>
      <c r="O1367" s="67">
        <v>5.6000000000000001E-2</v>
      </c>
      <c r="P1367" s="143">
        <v>96.700999999999993</v>
      </c>
      <c r="Q1367" s="246">
        <v>0.251</v>
      </c>
      <c r="R1367" s="93"/>
      <c r="S1367" s="93"/>
      <c r="T1367" s="93"/>
    </row>
    <row r="1368" spans="1:20" ht="14.25" customHeight="1" x14ac:dyDescent="0.35">
      <c r="A1368" s="1">
        <v>2021</v>
      </c>
      <c r="B1368" s="1" t="s">
        <v>31</v>
      </c>
      <c r="C1368" s="1">
        <v>27</v>
      </c>
      <c r="D1368" s="49">
        <v>111.73399999999999</v>
      </c>
      <c r="E1368" s="50">
        <v>95</v>
      </c>
      <c r="F1368" s="60">
        <v>82.915000000000006</v>
      </c>
      <c r="G1368" s="61">
        <v>1633.2919999999999</v>
      </c>
      <c r="H1368" s="62">
        <v>6.9</v>
      </c>
      <c r="I1368" s="63">
        <v>2.1999999999999999E-2</v>
      </c>
      <c r="J1368" s="68">
        <v>8.8000000000000007</v>
      </c>
      <c r="K1368" s="65">
        <v>36.029000000000003</v>
      </c>
      <c r="L1368" s="50">
        <v>5.609</v>
      </c>
      <c r="M1368" s="66">
        <v>1.4E-2</v>
      </c>
      <c r="N1368" s="57">
        <v>48.743000000000002</v>
      </c>
      <c r="O1368" s="67">
        <v>5.6000000000000001E-2</v>
      </c>
      <c r="P1368" s="143">
        <v>96.91</v>
      </c>
      <c r="Q1368" s="246">
        <v>0.24399999999999999</v>
      </c>
      <c r="R1368" s="93"/>
      <c r="S1368" s="93"/>
      <c r="T1368" s="93"/>
    </row>
    <row r="1369" spans="1:20" ht="14.25" customHeight="1" x14ac:dyDescent="0.35">
      <c r="A1369" s="1">
        <v>2021</v>
      </c>
      <c r="B1369" s="1" t="s">
        <v>31</v>
      </c>
      <c r="C1369" s="1">
        <v>28</v>
      </c>
      <c r="D1369" s="49">
        <v>111.23399999999999</v>
      </c>
      <c r="E1369" s="50">
        <v>94.438000000000002</v>
      </c>
      <c r="F1369" s="60">
        <v>83.206000000000003</v>
      </c>
      <c r="G1369" s="61">
        <v>1714.8889999999999</v>
      </c>
      <c r="H1369" s="62">
        <v>6.9</v>
      </c>
      <c r="I1369" s="63">
        <v>2.1999999999999999E-2</v>
      </c>
      <c r="J1369" s="68">
        <v>8.8480000000000008</v>
      </c>
      <c r="K1369" s="61">
        <v>37.442999999999998</v>
      </c>
      <c r="L1369" s="62">
        <v>5.6059999999999999</v>
      </c>
      <c r="M1369" s="66">
        <v>1.4E-2</v>
      </c>
      <c r="N1369" s="57">
        <v>48.933</v>
      </c>
      <c r="O1369" s="67">
        <v>6.0999999999999999E-2</v>
      </c>
      <c r="P1369" s="143">
        <v>96.54</v>
      </c>
      <c r="Q1369" s="246">
        <v>0.253</v>
      </c>
      <c r="R1369" s="93"/>
      <c r="S1369" s="93"/>
      <c r="T1369" s="93"/>
    </row>
    <row r="1370" spans="1:20" ht="14.25" customHeight="1" x14ac:dyDescent="0.35">
      <c r="A1370" s="1">
        <v>2021</v>
      </c>
      <c r="B1370" s="1" t="s">
        <v>31</v>
      </c>
      <c r="C1370" s="1">
        <v>29</v>
      </c>
      <c r="D1370" s="49">
        <v>109.60899999999999</v>
      </c>
      <c r="E1370" s="50">
        <v>93.093999999999994</v>
      </c>
      <c r="F1370" s="83">
        <v>83.379000000000005</v>
      </c>
      <c r="G1370" s="69">
        <v>1733.4680000000001</v>
      </c>
      <c r="H1370" s="50">
        <v>6.9</v>
      </c>
      <c r="I1370" s="66">
        <v>2.1999999999999999E-2</v>
      </c>
      <c r="J1370" s="117">
        <v>8.6869999999999994</v>
      </c>
      <c r="K1370" s="61">
        <v>37.618000000000002</v>
      </c>
      <c r="L1370" s="62">
        <v>5.5940000000000003</v>
      </c>
      <c r="M1370" s="66">
        <v>1.4E-2</v>
      </c>
      <c r="N1370" s="57">
        <v>50.534999999999997</v>
      </c>
      <c r="O1370" s="84">
        <v>0.06</v>
      </c>
      <c r="P1370" s="143">
        <v>96.563000000000002</v>
      </c>
      <c r="Q1370" s="246">
        <v>0.254</v>
      </c>
      <c r="R1370" s="93"/>
      <c r="S1370" s="93"/>
      <c r="T1370" s="93"/>
    </row>
    <row r="1371" spans="1:20" ht="14.25" customHeight="1" x14ac:dyDescent="0.35">
      <c r="A1371" s="1">
        <v>2021</v>
      </c>
      <c r="B1371" s="1" t="s">
        <v>31</v>
      </c>
      <c r="C1371" s="1">
        <v>30</v>
      </c>
      <c r="D1371" s="104">
        <v>110.65600000000001</v>
      </c>
      <c r="E1371" s="105">
        <v>93.875</v>
      </c>
      <c r="F1371" s="83">
        <v>83.546999999999997</v>
      </c>
      <c r="G1371" s="69">
        <v>1750.0820000000001</v>
      </c>
      <c r="H1371" s="50">
        <v>6.9</v>
      </c>
      <c r="I1371" s="66">
        <v>2.1999999999999999E-2</v>
      </c>
      <c r="J1371" s="117">
        <v>8.5470000000000006</v>
      </c>
      <c r="K1371" s="61">
        <v>38.369999999999997</v>
      </c>
      <c r="L1371" s="62">
        <v>5.5890000000000004</v>
      </c>
      <c r="M1371" s="66">
        <v>1.4E-2</v>
      </c>
      <c r="N1371" s="57">
        <v>50.96</v>
      </c>
      <c r="O1371" s="84">
        <v>6.0999999999999999E-2</v>
      </c>
      <c r="P1371" s="143">
        <v>96.619</v>
      </c>
      <c r="Q1371" s="246">
        <v>0.25</v>
      </c>
      <c r="R1371" s="93"/>
      <c r="S1371" s="93"/>
      <c r="T1371" s="93"/>
    </row>
    <row r="1372" spans="1:20" ht="14.25" customHeight="1" x14ac:dyDescent="0.35">
      <c r="A1372" s="1">
        <v>2021</v>
      </c>
      <c r="B1372" s="1" t="s">
        <v>32</v>
      </c>
      <c r="C1372" s="1">
        <v>1</v>
      </c>
      <c r="D1372" s="12">
        <v>112.953</v>
      </c>
      <c r="E1372" s="13">
        <v>96</v>
      </c>
      <c r="F1372" s="51">
        <v>83.543999999999997</v>
      </c>
      <c r="G1372" s="52">
        <v>1758.472</v>
      </c>
      <c r="H1372" s="53">
        <v>6.9</v>
      </c>
      <c r="I1372" s="54">
        <v>2.1999999999999999E-2</v>
      </c>
      <c r="J1372" s="59">
        <v>8.3369999999999997</v>
      </c>
      <c r="K1372" s="52">
        <v>38.226999999999997</v>
      </c>
      <c r="L1372" s="55">
        <v>5.5350000000000001</v>
      </c>
      <c r="M1372" s="54">
        <v>1.4E-2</v>
      </c>
      <c r="N1372" s="57">
        <v>57.6</v>
      </c>
      <c r="O1372" s="58">
        <v>6.2E-2</v>
      </c>
      <c r="P1372" s="96"/>
      <c r="Q1372" s="93"/>
      <c r="R1372" s="93"/>
      <c r="S1372" s="93"/>
      <c r="T1372" s="93"/>
    </row>
    <row r="1373" spans="1:20" ht="14.25" customHeight="1" x14ac:dyDescent="0.35">
      <c r="A1373" s="1">
        <v>2021</v>
      </c>
      <c r="B1373" s="1" t="s">
        <v>32</v>
      </c>
      <c r="C1373" s="1">
        <v>2</v>
      </c>
      <c r="D1373" s="12">
        <v>114.313</v>
      </c>
      <c r="E1373" s="13">
        <v>97</v>
      </c>
      <c r="F1373" s="60">
        <v>83.600999999999999</v>
      </c>
      <c r="G1373" s="61">
        <v>1727.5429999999999</v>
      </c>
      <c r="H1373" s="62">
        <v>6.9</v>
      </c>
      <c r="I1373" s="63">
        <v>2.1999999999999999E-2</v>
      </c>
      <c r="J1373" s="68">
        <v>8.1809999999999992</v>
      </c>
      <c r="K1373" s="65">
        <v>38.395000000000003</v>
      </c>
      <c r="L1373" s="50">
        <v>5.5460000000000003</v>
      </c>
      <c r="M1373" s="63">
        <v>1.4E-2</v>
      </c>
      <c r="N1373" s="57">
        <v>56.228999999999999</v>
      </c>
      <c r="O1373" s="67">
        <v>6.2E-2</v>
      </c>
      <c r="P1373" s="96"/>
      <c r="Q1373" s="93"/>
      <c r="R1373" s="93"/>
      <c r="S1373" s="93"/>
      <c r="T1373" s="93"/>
    </row>
    <row r="1374" spans="1:20" ht="14.25" customHeight="1" x14ac:dyDescent="0.35">
      <c r="A1374" s="1">
        <v>2021</v>
      </c>
      <c r="B1374" s="1" t="s">
        <v>32</v>
      </c>
      <c r="C1374" s="1">
        <v>3</v>
      </c>
      <c r="D1374" s="12">
        <v>110.078</v>
      </c>
      <c r="E1374" s="13">
        <v>93.5</v>
      </c>
      <c r="F1374" s="60">
        <v>83.682000000000002</v>
      </c>
      <c r="G1374" s="61">
        <v>1653.117</v>
      </c>
      <c r="H1374" s="62">
        <v>6.9</v>
      </c>
      <c r="I1374" s="63">
        <v>2.1000000000000001E-2</v>
      </c>
      <c r="J1374" s="68">
        <v>8.1609999999999996</v>
      </c>
      <c r="K1374" s="65">
        <v>36.345999999999997</v>
      </c>
      <c r="L1374" s="50">
        <v>5.5439999999999996</v>
      </c>
      <c r="M1374" s="63">
        <v>1.4E-2</v>
      </c>
      <c r="N1374" s="57">
        <v>56.597000000000001</v>
      </c>
      <c r="O1374" s="67">
        <v>5.8000000000000003E-2</v>
      </c>
      <c r="P1374" s="96"/>
      <c r="Q1374" s="93"/>
      <c r="R1374" s="93"/>
      <c r="S1374" s="93"/>
      <c r="T1374" s="93"/>
    </row>
    <row r="1375" spans="1:20" ht="14.25" customHeight="1" x14ac:dyDescent="0.35">
      <c r="A1375" s="1">
        <v>2021</v>
      </c>
      <c r="B1375" s="1" t="s">
        <v>32</v>
      </c>
      <c r="C1375" s="1">
        <v>4</v>
      </c>
      <c r="D1375" s="12">
        <v>113.85899999999999</v>
      </c>
      <c r="E1375" s="13">
        <v>96.718999999999994</v>
      </c>
      <c r="F1375" s="60">
        <v>83.590999999999994</v>
      </c>
      <c r="G1375" s="61">
        <v>1622.1579999999999</v>
      </c>
      <c r="H1375" s="62">
        <v>6.9</v>
      </c>
      <c r="I1375" s="63">
        <v>2.1999999999999999E-2</v>
      </c>
      <c r="J1375" s="68">
        <v>8.4269999999999996</v>
      </c>
      <c r="K1375" s="65">
        <v>35.744</v>
      </c>
      <c r="L1375" s="50">
        <v>5.5670000000000002</v>
      </c>
      <c r="M1375" s="63">
        <v>1.4E-2</v>
      </c>
      <c r="N1375" s="57">
        <v>53.534999999999997</v>
      </c>
      <c r="O1375" s="67">
        <v>5.8000000000000003E-2</v>
      </c>
      <c r="P1375" s="96"/>
      <c r="Q1375" s="93"/>
      <c r="R1375" s="93"/>
      <c r="S1375" s="93"/>
      <c r="T1375" s="93"/>
    </row>
    <row r="1376" spans="1:20" ht="14.25" customHeight="1" x14ac:dyDescent="0.35">
      <c r="A1376" s="1">
        <v>2021</v>
      </c>
      <c r="B1376" s="1" t="s">
        <v>32</v>
      </c>
      <c r="C1376" s="1">
        <v>5</v>
      </c>
      <c r="D1376" s="12">
        <v>114.328</v>
      </c>
      <c r="E1376" s="13">
        <v>97.093999999999994</v>
      </c>
      <c r="F1376" s="60">
        <v>83.27</v>
      </c>
      <c r="G1376" s="61">
        <v>1689.2149999999999</v>
      </c>
      <c r="H1376" s="62">
        <v>6.9</v>
      </c>
      <c r="I1376" s="63">
        <v>2.3E-2</v>
      </c>
      <c r="J1376" s="68">
        <v>8.8829999999999991</v>
      </c>
      <c r="K1376" s="65">
        <v>37.015000000000001</v>
      </c>
      <c r="L1376" s="50">
        <v>5.5670000000000002</v>
      </c>
      <c r="M1376" s="63">
        <v>1.4E-2</v>
      </c>
      <c r="N1376" s="57">
        <v>53.404000000000003</v>
      </c>
      <c r="O1376" s="67">
        <v>6.2E-2</v>
      </c>
      <c r="P1376" s="96"/>
      <c r="Q1376" s="93"/>
      <c r="R1376" s="93"/>
      <c r="S1376" s="93"/>
      <c r="T1376" s="93"/>
    </row>
    <row r="1377" spans="1:20" ht="14.25" customHeight="1" x14ac:dyDescent="0.35">
      <c r="A1377" s="1">
        <v>2021</v>
      </c>
      <c r="B1377" s="1" t="s">
        <v>32</v>
      </c>
      <c r="C1377" s="1">
        <v>6</v>
      </c>
      <c r="D1377" s="12">
        <v>114.453</v>
      </c>
      <c r="E1377" s="13">
        <v>97.156000000000006</v>
      </c>
      <c r="F1377" s="60">
        <v>83.379000000000005</v>
      </c>
      <c r="G1377" s="61">
        <v>1720.663</v>
      </c>
      <c r="H1377" s="62">
        <v>6.9</v>
      </c>
      <c r="I1377" s="63">
        <v>2.1999999999999999E-2</v>
      </c>
      <c r="J1377" s="68">
        <v>8.5690000000000008</v>
      </c>
      <c r="K1377" s="65">
        <v>37.850999999999999</v>
      </c>
      <c r="L1377" s="50">
        <v>5.5590000000000002</v>
      </c>
      <c r="M1377" s="63">
        <v>1.4E-2</v>
      </c>
      <c r="N1377" s="57">
        <v>54.661999999999999</v>
      </c>
      <c r="O1377" s="67">
        <v>6.7000000000000004E-2</v>
      </c>
      <c r="P1377" s="96"/>
      <c r="Q1377" s="93"/>
      <c r="R1377" s="93"/>
      <c r="S1377" s="93"/>
      <c r="T1377" s="93"/>
    </row>
    <row r="1378" spans="1:20" ht="14.25" customHeight="1" x14ac:dyDescent="0.35">
      <c r="A1378" s="1">
        <v>2021</v>
      </c>
      <c r="B1378" s="1" t="s">
        <v>32</v>
      </c>
      <c r="C1378" s="1">
        <v>7</v>
      </c>
      <c r="D1378" s="12">
        <v>111.813</v>
      </c>
      <c r="E1378" s="13">
        <v>94.968999999999994</v>
      </c>
      <c r="F1378" s="60">
        <v>83.03</v>
      </c>
      <c r="G1378" s="61">
        <v>1739.066</v>
      </c>
      <c r="H1378" s="62">
        <v>6.9</v>
      </c>
      <c r="I1378" s="63">
        <v>2.1999999999999999E-2</v>
      </c>
      <c r="J1378" s="68">
        <v>8.843</v>
      </c>
      <c r="K1378" s="65">
        <v>38.531999999999996</v>
      </c>
      <c r="L1378" s="50">
        <v>5.5640000000000001</v>
      </c>
      <c r="M1378" s="63">
        <v>1.4E-2</v>
      </c>
      <c r="N1378" s="57">
        <v>54.030999999999999</v>
      </c>
      <c r="O1378" s="67">
        <v>0.06</v>
      </c>
      <c r="P1378" s="96"/>
      <c r="Q1378" s="93"/>
      <c r="R1378" s="93"/>
      <c r="S1378" s="93"/>
      <c r="T1378" s="93"/>
    </row>
    <row r="1379" spans="1:20" ht="14.25" customHeight="1" x14ac:dyDescent="0.35">
      <c r="A1379" s="1">
        <v>2021</v>
      </c>
      <c r="B1379" s="1" t="s">
        <v>32</v>
      </c>
      <c r="C1379" s="1">
        <v>8</v>
      </c>
      <c r="D1379" s="12">
        <v>114.578</v>
      </c>
      <c r="E1379" s="13">
        <v>97.281000000000006</v>
      </c>
      <c r="F1379" s="60">
        <v>83.039000000000001</v>
      </c>
      <c r="G1379" s="69">
        <v>1746.105</v>
      </c>
      <c r="H1379" s="62">
        <v>6.9</v>
      </c>
      <c r="I1379" s="63">
        <v>2.3E-2</v>
      </c>
      <c r="J1379" s="71">
        <v>8.61</v>
      </c>
      <c r="K1379" s="65">
        <v>38.100999999999999</v>
      </c>
      <c r="L1379" s="50">
        <v>5.4649999999999999</v>
      </c>
      <c r="M1379" s="63">
        <v>1.4E-2</v>
      </c>
      <c r="N1379" s="57">
        <v>68.087000000000003</v>
      </c>
      <c r="O1379" s="70">
        <v>5.6000000000000001E-2</v>
      </c>
      <c r="P1379" s="96"/>
      <c r="Q1379" s="93"/>
      <c r="R1379" s="93"/>
      <c r="S1379" s="93"/>
      <c r="T1379" s="93"/>
    </row>
    <row r="1380" spans="1:20" ht="14.25" customHeight="1" x14ac:dyDescent="0.35">
      <c r="A1380" s="1">
        <v>2021</v>
      </c>
      <c r="B1380" s="1" t="s">
        <v>32</v>
      </c>
      <c r="C1380" s="1">
        <v>9</v>
      </c>
      <c r="D1380" s="12">
        <v>75.766000000000005</v>
      </c>
      <c r="E1380" s="13">
        <v>64.343999999999994</v>
      </c>
      <c r="F1380" s="60">
        <v>81.841999999999999</v>
      </c>
      <c r="G1380" s="61">
        <v>1736.357</v>
      </c>
      <c r="H1380" s="62">
        <v>6.91</v>
      </c>
      <c r="I1380" s="63">
        <v>2.1999999999999999E-2</v>
      </c>
      <c r="J1380" s="68">
        <v>7.93</v>
      </c>
      <c r="K1380" s="65">
        <v>36.4</v>
      </c>
      <c r="L1380" s="50">
        <v>5.3940000000000001</v>
      </c>
      <c r="M1380" s="63">
        <v>1.9E-2</v>
      </c>
      <c r="N1380" s="57">
        <v>82.759</v>
      </c>
      <c r="O1380" s="67">
        <v>0.05</v>
      </c>
      <c r="P1380" s="96"/>
      <c r="Q1380" s="93"/>
      <c r="R1380" s="93"/>
      <c r="S1380" s="93"/>
      <c r="T1380" s="93"/>
    </row>
    <row r="1381" spans="1:20" ht="14.25" customHeight="1" x14ac:dyDescent="0.35">
      <c r="A1381" s="1">
        <v>2021</v>
      </c>
      <c r="B1381" s="1" t="s">
        <v>32</v>
      </c>
      <c r="C1381" s="1">
        <v>10</v>
      </c>
      <c r="D1381" s="12">
        <v>101.73399999999999</v>
      </c>
      <c r="E1381" s="13">
        <v>86.406000000000006</v>
      </c>
      <c r="F1381" s="72">
        <v>82.438999999999993</v>
      </c>
      <c r="G1381" s="61">
        <v>1673.5930000000001</v>
      </c>
      <c r="H1381" s="62">
        <v>6.9020000000000001</v>
      </c>
      <c r="I1381" s="63">
        <v>2.1999999999999999E-2</v>
      </c>
      <c r="J1381" s="76">
        <v>8.0259999999999998</v>
      </c>
      <c r="K1381" s="65">
        <v>36.948999999999998</v>
      </c>
      <c r="L1381" s="50">
        <v>5.3639999999999999</v>
      </c>
      <c r="M1381" s="110">
        <v>2.3E-2</v>
      </c>
      <c r="N1381" s="57">
        <v>85.477000000000004</v>
      </c>
      <c r="O1381" s="75">
        <v>5.5E-2</v>
      </c>
      <c r="P1381" s="96"/>
      <c r="Q1381" s="93"/>
      <c r="R1381" s="93"/>
      <c r="S1381" s="93"/>
      <c r="T1381" s="93"/>
    </row>
    <row r="1382" spans="1:20" ht="14.25" customHeight="1" x14ac:dyDescent="0.35">
      <c r="A1382" s="1">
        <v>2021</v>
      </c>
      <c r="B1382" s="1" t="s">
        <v>32</v>
      </c>
      <c r="C1382" s="1">
        <v>11</v>
      </c>
      <c r="D1382" s="12">
        <v>113.64100000000001</v>
      </c>
      <c r="E1382" s="13">
        <v>96.593999999999994</v>
      </c>
      <c r="F1382" s="72">
        <v>81.83</v>
      </c>
      <c r="G1382" s="61">
        <v>1629.509</v>
      </c>
      <c r="H1382" s="62">
        <v>6.9</v>
      </c>
      <c r="I1382" s="63">
        <v>2.1999999999999999E-2</v>
      </c>
      <c r="J1382" s="76">
        <v>8.3469999999999995</v>
      </c>
      <c r="K1382" s="65">
        <v>34.758000000000003</v>
      </c>
      <c r="L1382" s="50">
        <v>5.3630000000000004</v>
      </c>
      <c r="M1382" s="110">
        <v>1.4E-2</v>
      </c>
      <c r="N1382" s="57">
        <v>85.843999999999994</v>
      </c>
      <c r="O1382" s="75">
        <v>5.1999999999999998E-2</v>
      </c>
      <c r="P1382" s="96"/>
      <c r="Q1382" s="93"/>
      <c r="R1382" s="93"/>
      <c r="S1382" s="93"/>
      <c r="T1382" s="93"/>
    </row>
    <row r="1383" spans="1:20" ht="14.25" customHeight="1" x14ac:dyDescent="0.35">
      <c r="A1383" s="1">
        <v>2021</v>
      </c>
      <c r="B1383" s="1" t="s">
        <v>32</v>
      </c>
      <c r="C1383" s="1">
        <v>12</v>
      </c>
      <c r="D1383" s="12">
        <v>111.35899999999999</v>
      </c>
      <c r="E1383" s="13">
        <v>94.718999999999994</v>
      </c>
      <c r="F1383" s="72">
        <v>81.02</v>
      </c>
      <c r="G1383" s="61">
        <v>1725.6120000000001</v>
      </c>
      <c r="H1383" s="62">
        <v>6.9</v>
      </c>
      <c r="I1383" s="63">
        <v>2.1999999999999999E-2</v>
      </c>
      <c r="J1383" s="76">
        <v>8.5589999999999993</v>
      </c>
      <c r="K1383" s="65">
        <v>35.36</v>
      </c>
      <c r="L1383" s="50">
        <v>5.343</v>
      </c>
      <c r="M1383" s="110">
        <v>1.4E-2</v>
      </c>
      <c r="N1383" s="57">
        <v>89.591999999999999</v>
      </c>
      <c r="O1383" s="75">
        <v>5.3999999999999999E-2</v>
      </c>
      <c r="P1383" s="96"/>
      <c r="Q1383" s="93"/>
      <c r="R1383" s="93"/>
      <c r="S1383" s="93"/>
      <c r="T1383" s="93"/>
    </row>
    <row r="1384" spans="1:20" ht="14.25" customHeight="1" x14ac:dyDescent="0.35">
      <c r="A1384" s="1">
        <v>2021</v>
      </c>
      <c r="B1384" s="1" t="s">
        <v>32</v>
      </c>
      <c r="C1384" s="1">
        <v>13</v>
      </c>
      <c r="D1384" s="12">
        <v>110.14100000000001</v>
      </c>
      <c r="E1384" s="13">
        <v>93.718999999999994</v>
      </c>
      <c r="F1384" s="78">
        <v>81.423000000000002</v>
      </c>
      <c r="G1384" s="61">
        <v>1768.921</v>
      </c>
      <c r="H1384" s="62">
        <v>6.9</v>
      </c>
      <c r="I1384" s="63">
        <v>2.1999999999999999E-2</v>
      </c>
      <c r="J1384" s="81">
        <v>8.3119999999999994</v>
      </c>
      <c r="K1384" s="65">
        <v>35.954000000000001</v>
      </c>
      <c r="L1384" s="50">
        <v>5.34</v>
      </c>
      <c r="M1384" s="63">
        <v>1.4E-2</v>
      </c>
      <c r="N1384" s="57">
        <v>90.432000000000002</v>
      </c>
      <c r="O1384" s="80">
        <v>5.6000000000000001E-2</v>
      </c>
      <c r="P1384" s="96"/>
      <c r="Q1384" s="93"/>
      <c r="R1384" s="93"/>
      <c r="S1384" s="93"/>
      <c r="T1384" s="93"/>
    </row>
    <row r="1385" spans="1:20" ht="14.25" customHeight="1" x14ac:dyDescent="0.35">
      <c r="A1385" s="1">
        <v>2021</v>
      </c>
      <c r="B1385" s="1" t="s">
        <v>32</v>
      </c>
      <c r="C1385" s="1">
        <v>14</v>
      </c>
      <c r="D1385" s="12">
        <v>109.25</v>
      </c>
      <c r="E1385" s="13">
        <v>92.968999999999994</v>
      </c>
      <c r="F1385" s="60">
        <v>81.548000000000002</v>
      </c>
      <c r="G1385" s="61">
        <v>1763.5889999999999</v>
      </c>
      <c r="H1385" s="62">
        <v>6.9</v>
      </c>
      <c r="I1385" s="63">
        <v>2.1999999999999999E-2</v>
      </c>
      <c r="J1385" s="81">
        <v>8.4190000000000005</v>
      </c>
      <c r="K1385" s="82">
        <v>35.402999999999999</v>
      </c>
      <c r="L1385" s="50">
        <v>5.3360000000000003</v>
      </c>
      <c r="M1385" s="63">
        <v>1.4E-2</v>
      </c>
      <c r="N1385" s="57">
        <v>91.385000000000005</v>
      </c>
      <c r="O1385" s="80">
        <v>5.6000000000000001E-2</v>
      </c>
      <c r="P1385" s="96"/>
      <c r="Q1385" s="93"/>
      <c r="R1385" s="93"/>
      <c r="S1385" s="93"/>
      <c r="T1385" s="93"/>
    </row>
    <row r="1386" spans="1:20" ht="14.25" customHeight="1" x14ac:dyDescent="0.35">
      <c r="A1386" s="1">
        <v>2021</v>
      </c>
      <c r="B1386" s="1" t="s">
        <v>32</v>
      </c>
      <c r="C1386" s="1">
        <v>15</v>
      </c>
      <c r="D1386" s="12">
        <v>110.203</v>
      </c>
      <c r="E1386" s="13">
        <v>93.688000000000002</v>
      </c>
      <c r="F1386" s="60">
        <v>81.923000000000002</v>
      </c>
      <c r="G1386" s="61">
        <v>1726.0229999999999</v>
      </c>
      <c r="H1386" s="62">
        <v>6.9</v>
      </c>
      <c r="I1386" s="63">
        <v>2.3E-2</v>
      </c>
      <c r="J1386" s="76">
        <v>8.4030000000000005</v>
      </c>
      <c r="K1386" s="65">
        <v>35.625</v>
      </c>
      <c r="L1386" s="50">
        <v>5.1539999999999999</v>
      </c>
      <c r="M1386" s="63">
        <v>1.4E-2</v>
      </c>
      <c r="N1386" s="144">
        <v>142.99199999999999</v>
      </c>
      <c r="O1386" s="75">
        <v>5.2999999999999999E-2</v>
      </c>
      <c r="P1386" s="96"/>
      <c r="Q1386" s="93"/>
      <c r="R1386" s="93"/>
      <c r="S1386" s="93"/>
      <c r="T1386" s="93"/>
    </row>
    <row r="1387" spans="1:20" ht="14.25" customHeight="1" x14ac:dyDescent="0.35">
      <c r="A1387" s="1">
        <v>2021</v>
      </c>
      <c r="B1387" s="1" t="s">
        <v>32</v>
      </c>
      <c r="C1387" s="1">
        <v>16</v>
      </c>
      <c r="D1387" s="12">
        <v>112.125</v>
      </c>
      <c r="E1387" s="13">
        <v>95.313000000000002</v>
      </c>
      <c r="F1387" s="60">
        <v>82.01</v>
      </c>
      <c r="G1387" s="61">
        <v>1705.501</v>
      </c>
      <c r="H1387" s="62">
        <v>6.9</v>
      </c>
      <c r="I1387" s="63">
        <v>2.1999999999999999E-2</v>
      </c>
      <c r="J1387" s="81">
        <v>8.5470000000000006</v>
      </c>
      <c r="K1387" s="61">
        <v>35.354999999999997</v>
      </c>
      <c r="L1387" s="62">
        <v>5.0179999999999998</v>
      </c>
      <c r="M1387" s="63">
        <v>1.4E-2</v>
      </c>
      <c r="N1387" s="57">
        <v>189.38900000000001</v>
      </c>
      <c r="O1387" s="80">
        <v>0.05</v>
      </c>
      <c r="P1387" s="96"/>
      <c r="Q1387" s="93"/>
      <c r="R1387" s="93"/>
      <c r="S1387" s="93"/>
      <c r="T1387" s="93"/>
    </row>
    <row r="1388" spans="1:20" ht="14.25" customHeight="1" x14ac:dyDescent="0.35">
      <c r="A1388" s="1">
        <v>2021</v>
      </c>
      <c r="B1388" s="1" t="s">
        <v>32</v>
      </c>
      <c r="C1388" s="1">
        <v>17</v>
      </c>
      <c r="D1388" s="12">
        <v>111.26600000000001</v>
      </c>
      <c r="E1388" s="13">
        <v>94.563000000000002</v>
      </c>
      <c r="F1388" s="60">
        <v>81.540000000000006</v>
      </c>
      <c r="G1388" s="61">
        <v>1641.212</v>
      </c>
      <c r="H1388" s="62">
        <v>6.9</v>
      </c>
      <c r="I1388" s="63">
        <v>2.1999999999999999E-2</v>
      </c>
      <c r="J1388" s="68">
        <v>8.3550000000000004</v>
      </c>
      <c r="K1388" s="65">
        <v>34.703000000000003</v>
      </c>
      <c r="L1388" s="50">
        <v>5.0309999999999997</v>
      </c>
      <c r="M1388" s="63">
        <v>1.4E-2</v>
      </c>
      <c r="N1388" s="57">
        <v>183.62799999999999</v>
      </c>
      <c r="O1388" s="67">
        <v>4.8000000000000001E-2</v>
      </c>
      <c r="P1388" s="96"/>
      <c r="Q1388" s="93"/>
      <c r="R1388" s="93"/>
      <c r="S1388" s="93"/>
      <c r="T1388" s="93"/>
    </row>
    <row r="1389" spans="1:20" ht="14.25" customHeight="1" x14ac:dyDescent="0.35">
      <c r="A1389" s="1">
        <v>2021</v>
      </c>
      <c r="B1389" s="1" t="s">
        <v>32</v>
      </c>
      <c r="C1389" s="1">
        <v>18</v>
      </c>
      <c r="D1389" s="12">
        <v>102.078</v>
      </c>
      <c r="E1389" s="13">
        <v>86.656000000000006</v>
      </c>
      <c r="F1389" s="60">
        <v>81.001999999999995</v>
      </c>
      <c r="G1389" s="61">
        <v>1573.636</v>
      </c>
      <c r="H1389" s="145">
        <v>6.9</v>
      </c>
      <c r="I1389" s="63">
        <v>2.1000000000000001E-2</v>
      </c>
      <c r="J1389" s="68">
        <v>8.3710000000000004</v>
      </c>
      <c r="K1389" s="61">
        <v>32.371000000000002</v>
      </c>
      <c r="L1389" s="145">
        <v>5.109</v>
      </c>
      <c r="M1389" s="63">
        <v>1.4E-2</v>
      </c>
      <c r="N1389" s="144">
        <v>155.983</v>
      </c>
      <c r="O1389" s="67">
        <v>4.8000000000000001E-2</v>
      </c>
      <c r="P1389" s="96"/>
      <c r="Q1389" s="93"/>
      <c r="R1389" s="93"/>
      <c r="S1389" s="93"/>
      <c r="T1389" s="93"/>
    </row>
    <row r="1390" spans="1:20" ht="14.25" customHeight="1" x14ac:dyDescent="0.35">
      <c r="A1390" s="1">
        <v>2021</v>
      </c>
      <c r="B1390" s="1" t="s">
        <v>32</v>
      </c>
      <c r="C1390" s="1">
        <v>19</v>
      </c>
      <c r="D1390" s="12">
        <v>114</v>
      </c>
      <c r="E1390" s="13">
        <v>97.093999999999994</v>
      </c>
      <c r="F1390" s="60">
        <v>81.078999999999994</v>
      </c>
      <c r="G1390" s="61">
        <v>1682.5740000000001</v>
      </c>
      <c r="H1390" s="62">
        <v>6.9</v>
      </c>
      <c r="I1390" s="63">
        <v>2.3E-2</v>
      </c>
      <c r="J1390" s="68">
        <v>8.7080000000000002</v>
      </c>
      <c r="K1390" s="65">
        <v>34.414999999999999</v>
      </c>
      <c r="L1390" s="50">
        <v>5.22</v>
      </c>
      <c r="M1390" s="63">
        <v>1.4E-2</v>
      </c>
      <c r="N1390" s="57">
        <v>119.19</v>
      </c>
      <c r="O1390" s="67">
        <v>5.1999999999999998E-2</v>
      </c>
      <c r="P1390" s="96"/>
      <c r="Q1390" s="93"/>
      <c r="R1390" s="93"/>
      <c r="S1390" s="93"/>
      <c r="T1390" s="93"/>
    </row>
    <row r="1391" spans="1:20" ht="14.25" customHeight="1" x14ac:dyDescent="0.35">
      <c r="A1391" s="1">
        <v>2021</v>
      </c>
      <c r="B1391" s="1" t="s">
        <v>32</v>
      </c>
      <c r="C1391" s="1">
        <v>20</v>
      </c>
      <c r="D1391" s="12">
        <v>111.938</v>
      </c>
      <c r="E1391" s="13">
        <v>95.218999999999994</v>
      </c>
      <c r="F1391" s="60">
        <v>81.14</v>
      </c>
      <c r="G1391" s="61">
        <v>1717.0309999999999</v>
      </c>
      <c r="H1391" s="62">
        <v>6.9</v>
      </c>
      <c r="I1391" s="63">
        <v>2.3E-2</v>
      </c>
      <c r="J1391" s="68">
        <v>8.6950000000000003</v>
      </c>
      <c r="K1391" s="61">
        <v>35.615000000000002</v>
      </c>
      <c r="L1391" s="62">
        <v>5.2249999999999996</v>
      </c>
      <c r="M1391" s="63">
        <v>1.4E-2</v>
      </c>
      <c r="N1391" s="57">
        <v>117.58199999999999</v>
      </c>
      <c r="O1391" s="67">
        <v>5.5E-2</v>
      </c>
      <c r="P1391" s="96"/>
      <c r="Q1391" s="93"/>
      <c r="R1391" s="93"/>
      <c r="S1391" s="93"/>
      <c r="T1391" s="93"/>
    </row>
    <row r="1392" spans="1:20" ht="14.25" customHeight="1" x14ac:dyDescent="0.35">
      <c r="A1392" s="1">
        <v>2021</v>
      </c>
      <c r="B1392" s="1" t="s">
        <v>32</v>
      </c>
      <c r="C1392" s="1">
        <v>21</v>
      </c>
      <c r="D1392" s="12">
        <v>111.75</v>
      </c>
      <c r="E1392" s="13">
        <v>95.093999999999994</v>
      </c>
      <c r="F1392" s="60">
        <v>81.215000000000003</v>
      </c>
      <c r="G1392" s="61">
        <v>1704.0730000000001</v>
      </c>
      <c r="H1392" s="62">
        <v>6.9</v>
      </c>
      <c r="I1392" s="63">
        <v>2.4E-2</v>
      </c>
      <c r="J1392" s="68">
        <v>8.6750000000000007</v>
      </c>
      <c r="K1392" s="65">
        <v>37.106999999999999</v>
      </c>
      <c r="L1392" s="50">
        <v>5.2249999999999996</v>
      </c>
      <c r="M1392" s="63">
        <v>1.4E-2</v>
      </c>
      <c r="N1392" s="57">
        <v>117.277</v>
      </c>
      <c r="O1392" s="67">
        <v>5.3999999999999999E-2</v>
      </c>
      <c r="P1392" s="96"/>
      <c r="Q1392" s="93"/>
      <c r="R1392" s="93"/>
      <c r="S1392" s="93"/>
      <c r="T1392" s="93"/>
    </row>
    <row r="1393" spans="1:20" ht="14.25" customHeight="1" x14ac:dyDescent="0.35">
      <c r="A1393" s="1">
        <v>2021</v>
      </c>
      <c r="B1393" s="1" t="s">
        <v>32</v>
      </c>
      <c r="C1393" s="1">
        <v>22</v>
      </c>
      <c r="D1393" s="12">
        <v>108.40600000000001</v>
      </c>
      <c r="E1393" s="13">
        <v>92.25</v>
      </c>
      <c r="F1393" s="60">
        <v>81.13</v>
      </c>
      <c r="G1393" s="61">
        <v>1719.6980000000001</v>
      </c>
      <c r="H1393" s="62">
        <v>6.9</v>
      </c>
      <c r="I1393" s="63">
        <v>2.3E-2</v>
      </c>
      <c r="J1393" s="68">
        <v>8.5649999999999995</v>
      </c>
      <c r="K1393" s="61">
        <v>36.704000000000001</v>
      </c>
      <c r="L1393" s="62">
        <v>5.4139999999999997</v>
      </c>
      <c r="M1393" s="63">
        <v>1.4E-2</v>
      </c>
      <c r="N1393" s="57">
        <v>84.561000000000007</v>
      </c>
      <c r="O1393" s="67">
        <v>5.2999999999999999E-2</v>
      </c>
      <c r="P1393" s="96"/>
      <c r="Q1393" s="93"/>
      <c r="R1393" s="93"/>
      <c r="S1393" s="93"/>
      <c r="T1393" s="93"/>
    </row>
    <row r="1394" spans="1:20" ht="14.25" customHeight="1" x14ac:dyDescent="0.35">
      <c r="A1394" s="1">
        <v>2021</v>
      </c>
      <c r="B1394" s="1" t="s">
        <v>32</v>
      </c>
      <c r="C1394" s="1">
        <v>23</v>
      </c>
      <c r="D1394" s="12">
        <v>112.313</v>
      </c>
      <c r="E1394" s="13">
        <v>95.625</v>
      </c>
      <c r="F1394" s="60">
        <v>80.876999999999995</v>
      </c>
      <c r="G1394" s="61">
        <v>1704.684</v>
      </c>
      <c r="H1394" s="62">
        <v>6.9</v>
      </c>
      <c r="I1394" s="63">
        <v>2.4E-2</v>
      </c>
      <c r="J1394" s="68">
        <v>8.7919999999999998</v>
      </c>
      <c r="K1394" s="65">
        <v>35.969000000000001</v>
      </c>
      <c r="L1394" s="50">
        <v>5.5730000000000004</v>
      </c>
      <c r="M1394" s="63">
        <v>1.4E-2</v>
      </c>
      <c r="N1394" s="57">
        <v>52.860999999999997</v>
      </c>
      <c r="O1394" s="67">
        <v>5.3999999999999999E-2</v>
      </c>
      <c r="P1394" s="96"/>
      <c r="Q1394" s="93"/>
      <c r="R1394" s="93"/>
      <c r="S1394" s="93"/>
      <c r="T1394" s="93"/>
    </row>
    <row r="1395" spans="1:20" ht="14.25" customHeight="1" x14ac:dyDescent="0.35">
      <c r="A1395" s="1">
        <v>2021</v>
      </c>
      <c r="B1395" s="1" t="s">
        <v>32</v>
      </c>
      <c r="C1395" s="1">
        <v>24</v>
      </c>
      <c r="D1395" s="12">
        <v>112.563</v>
      </c>
      <c r="E1395" s="13">
        <v>95.688000000000002</v>
      </c>
      <c r="F1395" s="60">
        <v>81.138000000000005</v>
      </c>
      <c r="G1395" s="61">
        <v>1640.06</v>
      </c>
      <c r="H1395" s="62">
        <v>6.9</v>
      </c>
      <c r="I1395" s="63">
        <v>2.3E-2</v>
      </c>
      <c r="J1395" s="68">
        <v>8.6590000000000007</v>
      </c>
      <c r="K1395" s="61">
        <v>36.563000000000002</v>
      </c>
      <c r="L1395" s="62">
        <v>5.5830000000000002</v>
      </c>
      <c r="M1395" s="63">
        <v>1.4E-2</v>
      </c>
      <c r="N1395" s="57">
        <v>51.814999999999998</v>
      </c>
      <c r="O1395" s="67">
        <v>5.3999999999999999E-2</v>
      </c>
      <c r="P1395" s="96"/>
      <c r="Q1395" s="93"/>
      <c r="R1395" s="93"/>
      <c r="S1395" s="93"/>
      <c r="T1395" s="93"/>
    </row>
    <row r="1396" spans="1:20" ht="14.25" customHeight="1" x14ac:dyDescent="0.35">
      <c r="A1396" s="1">
        <v>2021</v>
      </c>
      <c r="B1396" s="1" t="s">
        <v>32</v>
      </c>
      <c r="C1396" s="1">
        <v>25</v>
      </c>
      <c r="D1396" s="12">
        <v>111.703</v>
      </c>
      <c r="E1396" s="13">
        <v>95.093999999999994</v>
      </c>
      <c r="F1396" s="60">
        <v>80.305000000000007</v>
      </c>
      <c r="G1396" s="61">
        <v>1620.7550000000001</v>
      </c>
      <c r="H1396" s="62">
        <v>6.9</v>
      </c>
      <c r="I1396" s="63">
        <v>2.3E-2</v>
      </c>
      <c r="J1396" s="68">
        <v>8.7539999999999996</v>
      </c>
      <c r="K1396" s="65">
        <v>36.74</v>
      </c>
      <c r="L1396" s="50">
        <v>5.5839999999999996</v>
      </c>
      <c r="M1396" s="63">
        <v>1.4E-2</v>
      </c>
      <c r="N1396" s="57">
        <v>51.372999999999998</v>
      </c>
      <c r="O1396" s="67">
        <v>5.3999999999999999E-2</v>
      </c>
      <c r="P1396" s="96"/>
      <c r="Q1396" s="93"/>
      <c r="R1396" s="93"/>
      <c r="S1396" s="93"/>
      <c r="T1396" s="93"/>
    </row>
    <row r="1397" spans="1:20" ht="14.25" customHeight="1" x14ac:dyDescent="0.35">
      <c r="A1397" s="1">
        <v>2021</v>
      </c>
      <c r="B1397" s="1" t="s">
        <v>32</v>
      </c>
      <c r="C1397" s="1">
        <v>26</v>
      </c>
      <c r="D1397" s="12">
        <v>110.78100000000001</v>
      </c>
      <c r="E1397" s="13">
        <v>94.281000000000006</v>
      </c>
      <c r="F1397" s="60">
        <v>80.460999999999999</v>
      </c>
      <c r="G1397" s="61">
        <v>1692.4480000000001</v>
      </c>
      <c r="H1397" s="62">
        <v>6.9</v>
      </c>
      <c r="I1397" s="63">
        <v>2.4E-2</v>
      </c>
      <c r="J1397" s="68">
        <v>8.8520000000000003</v>
      </c>
      <c r="K1397" s="61">
        <v>37.720999999999997</v>
      </c>
      <c r="L1397" s="62">
        <v>5.5919999999999996</v>
      </c>
      <c r="M1397" s="63">
        <v>1.4E-2</v>
      </c>
      <c r="N1397" s="57">
        <v>50.591000000000001</v>
      </c>
      <c r="O1397" s="67">
        <v>5.7000000000000002E-2</v>
      </c>
      <c r="P1397" s="96"/>
      <c r="Q1397" s="93"/>
      <c r="R1397" s="93"/>
      <c r="S1397" s="93"/>
      <c r="T1397" s="93"/>
    </row>
    <row r="1398" spans="1:20" ht="14.25" customHeight="1" x14ac:dyDescent="0.35">
      <c r="A1398" s="1">
        <v>2021</v>
      </c>
      <c r="B1398" s="1" t="s">
        <v>32</v>
      </c>
      <c r="C1398" s="1">
        <v>27</v>
      </c>
      <c r="D1398" s="12">
        <v>108.078</v>
      </c>
      <c r="E1398" s="13">
        <v>91.875</v>
      </c>
      <c r="F1398" s="60">
        <v>80.972999999999999</v>
      </c>
      <c r="G1398" s="61">
        <v>1729.9960000000001</v>
      </c>
      <c r="H1398" s="62">
        <v>6.9009999999999998</v>
      </c>
      <c r="I1398" s="63">
        <v>2.4E-2</v>
      </c>
      <c r="J1398" s="68">
        <v>8.8480000000000008</v>
      </c>
      <c r="K1398" s="65">
        <v>40.832000000000001</v>
      </c>
      <c r="L1398" s="50">
        <v>5.57</v>
      </c>
      <c r="M1398" s="63">
        <v>1.4E-2</v>
      </c>
      <c r="N1398" s="57">
        <v>52.98</v>
      </c>
      <c r="O1398" s="67">
        <v>0.06</v>
      </c>
      <c r="P1398" s="96"/>
      <c r="Q1398" s="93"/>
      <c r="R1398" s="93"/>
      <c r="S1398" s="93"/>
      <c r="T1398" s="93"/>
    </row>
    <row r="1399" spans="1:20" ht="14.25" customHeight="1" x14ac:dyDescent="0.35">
      <c r="A1399" s="1">
        <v>2021</v>
      </c>
      <c r="B1399" s="1" t="s">
        <v>32</v>
      </c>
      <c r="C1399" s="1">
        <v>28</v>
      </c>
      <c r="D1399" s="12">
        <v>104.203</v>
      </c>
      <c r="E1399" s="13">
        <v>88.593999999999994</v>
      </c>
      <c r="F1399" s="60">
        <v>81.412000000000006</v>
      </c>
      <c r="G1399" s="61">
        <v>1730.4949999999999</v>
      </c>
      <c r="H1399" s="62">
        <v>6.9</v>
      </c>
      <c r="I1399" s="63">
        <v>2.4E-2</v>
      </c>
      <c r="J1399" s="68">
        <v>8.8390000000000004</v>
      </c>
      <c r="K1399" s="61">
        <v>41.363</v>
      </c>
      <c r="L1399" s="62">
        <v>5.5330000000000004</v>
      </c>
      <c r="M1399" s="63">
        <v>1.4E-2</v>
      </c>
      <c r="N1399" s="57">
        <v>57.646000000000001</v>
      </c>
      <c r="O1399" s="67">
        <v>6.3E-2</v>
      </c>
      <c r="P1399" s="96"/>
      <c r="Q1399" s="93"/>
      <c r="R1399" s="93"/>
      <c r="S1399" s="93"/>
      <c r="T1399" s="93"/>
    </row>
    <row r="1400" spans="1:20" ht="14.25" customHeight="1" x14ac:dyDescent="0.35">
      <c r="A1400" s="1">
        <v>2021</v>
      </c>
      <c r="B1400" s="1" t="s">
        <v>32</v>
      </c>
      <c r="C1400" s="1">
        <v>29</v>
      </c>
      <c r="D1400" s="12">
        <v>96.563000000000002</v>
      </c>
      <c r="E1400" s="13">
        <v>82</v>
      </c>
      <c r="F1400" s="83">
        <v>81.545000000000002</v>
      </c>
      <c r="G1400" s="69">
        <v>1746.2170000000001</v>
      </c>
      <c r="H1400" s="50">
        <v>6.9</v>
      </c>
      <c r="I1400" s="66">
        <v>2.4E-2</v>
      </c>
      <c r="J1400" s="117">
        <v>8.8480000000000008</v>
      </c>
      <c r="K1400" s="61">
        <v>42.832000000000001</v>
      </c>
      <c r="L1400" s="62">
        <v>5.2380000000000004</v>
      </c>
      <c r="M1400" s="63">
        <v>1.4E-2</v>
      </c>
      <c r="N1400" s="57">
        <v>129.84200000000001</v>
      </c>
      <c r="O1400" s="84">
        <v>6.8000000000000005E-2</v>
      </c>
      <c r="P1400" s="96"/>
      <c r="Q1400" s="93"/>
      <c r="R1400" s="93"/>
      <c r="S1400" s="93"/>
      <c r="T1400" s="93"/>
    </row>
    <row r="1401" spans="1:20" ht="14.25" customHeight="1" x14ac:dyDescent="0.35">
      <c r="A1401" s="1">
        <v>2021</v>
      </c>
      <c r="B1401" s="1" t="s">
        <v>32</v>
      </c>
      <c r="C1401" s="1">
        <v>30</v>
      </c>
      <c r="D1401" s="12">
        <v>91.016000000000005</v>
      </c>
      <c r="E1401" s="13">
        <v>77.343999999999994</v>
      </c>
      <c r="F1401" s="83">
        <v>81.222999999999999</v>
      </c>
      <c r="G1401" s="69">
        <v>1756.4349999999999</v>
      </c>
      <c r="H1401" s="50">
        <v>6.9</v>
      </c>
      <c r="I1401" s="66">
        <v>2.5000000000000001E-2</v>
      </c>
      <c r="J1401" s="117">
        <v>9.2420000000000009</v>
      </c>
      <c r="K1401" s="61">
        <v>43.121000000000002</v>
      </c>
      <c r="L1401" s="62">
        <v>5.085</v>
      </c>
      <c r="M1401" s="63">
        <v>1.4E-2</v>
      </c>
      <c r="N1401" s="57">
        <v>161.90600000000001</v>
      </c>
      <c r="O1401" s="84">
        <v>6.5000000000000002E-2</v>
      </c>
      <c r="P1401" s="96"/>
      <c r="Q1401" s="93"/>
      <c r="R1401" s="93"/>
      <c r="S1401" s="93"/>
      <c r="T1401" s="93"/>
    </row>
    <row r="1402" spans="1:20" ht="14.25" customHeight="1" x14ac:dyDescent="0.35">
      <c r="A1402" s="1">
        <v>2021</v>
      </c>
      <c r="B1402" s="1" t="s">
        <v>32</v>
      </c>
      <c r="C1402" s="1">
        <v>31</v>
      </c>
      <c r="D1402" s="85">
        <v>107.46899999999999</v>
      </c>
      <c r="E1402" s="86">
        <v>91.343999999999994</v>
      </c>
      <c r="F1402" s="87">
        <v>80.626000000000005</v>
      </c>
      <c r="G1402" s="88">
        <v>1674.82</v>
      </c>
      <c r="H1402" s="89">
        <v>6.9</v>
      </c>
      <c r="I1402" s="90">
        <v>2.3E-2</v>
      </c>
      <c r="J1402" s="131">
        <v>8.8879999999999999</v>
      </c>
      <c r="K1402" s="61">
        <v>42.722000000000001</v>
      </c>
      <c r="L1402" s="64">
        <v>5.1100000000000003</v>
      </c>
      <c r="M1402" s="63">
        <v>1.4E-2</v>
      </c>
      <c r="N1402" s="57">
        <v>152.89500000000001</v>
      </c>
      <c r="O1402" s="66">
        <v>5.8999999999999997E-2</v>
      </c>
      <c r="P1402" s="96"/>
      <c r="Q1402" s="93"/>
      <c r="R1402" s="93"/>
      <c r="S1402" s="93"/>
      <c r="T1402" s="93"/>
    </row>
    <row r="1403" spans="1:20" ht="14.25" customHeight="1" x14ac:dyDescent="0.35">
      <c r="A1403" s="1">
        <v>2021</v>
      </c>
      <c r="B1403" s="1" t="s">
        <v>33</v>
      </c>
      <c r="C1403" s="1">
        <v>1</v>
      </c>
      <c r="D1403" s="49">
        <v>90.875</v>
      </c>
      <c r="E1403" s="50">
        <v>77.156000000000006</v>
      </c>
      <c r="F1403" s="51">
        <v>80.254999999999995</v>
      </c>
      <c r="G1403" s="52">
        <v>1621.164</v>
      </c>
      <c r="H1403" s="53">
        <v>6.9</v>
      </c>
      <c r="I1403" s="54">
        <v>2.4E-2</v>
      </c>
      <c r="J1403" s="59">
        <v>8.8710000000000004</v>
      </c>
      <c r="K1403" s="52">
        <v>41.619</v>
      </c>
      <c r="L1403" s="55">
        <v>5.1189999999999998</v>
      </c>
      <c r="M1403" s="54">
        <v>1.4E-2</v>
      </c>
      <c r="N1403" s="57">
        <v>149.78399999999999</v>
      </c>
      <c r="O1403" s="58">
        <v>5.8000000000000003E-2</v>
      </c>
      <c r="P1403" s="96"/>
      <c r="Q1403" s="93"/>
      <c r="R1403" s="93"/>
      <c r="S1403" s="93"/>
      <c r="T1403" s="93"/>
    </row>
    <row r="1404" spans="1:20" ht="14.25" customHeight="1" x14ac:dyDescent="0.35">
      <c r="A1404" s="1">
        <v>2021</v>
      </c>
      <c r="B1404" s="1" t="s">
        <v>33</v>
      </c>
      <c r="C1404" s="1">
        <v>2</v>
      </c>
      <c r="D1404" s="49">
        <v>109.547</v>
      </c>
      <c r="E1404" s="50">
        <v>93.156000000000006</v>
      </c>
      <c r="F1404" s="60">
        <v>80.403999999999996</v>
      </c>
      <c r="G1404" s="61">
        <v>1697.5630000000001</v>
      </c>
      <c r="H1404" s="62">
        <v>6.9</v>
      </c>
      <c r="I1404" s="63">
        <v>2.3E-2</v>
      </c>
      <c r="J1404" s="68">
        <v>9.1039999999999992</v>
      </c>
      <c r="K1404" s="65">
        <v>41.453000000000003</v>
      </c>
      <c r="L1404" s="50">
        <v>5.1120000000000001</v>
      </c>
      <c r="M1404" s="63">
        <v>1.4E-2</v>
      </c>
      <c r="N1404" s="57">
        <v>151.98599999999999</v>
      </c>
      <c r="O1404" s="67">
        <v>6.2E-2</v>
      </c>
      <c r="P1404" s="96"/>
      <c r="Q1404" s="93"/>
      <c r="R1404" s="93"/>
      <c r="S1404" s="93"/>
      <c r="T1404" s="93"/>
    </row>
    <row r="1405" spans="1:20" ht="14.25" customHeight="1" x14ac:dyDescent="0.35">
      <c r="A1405" s="1">
        <v>2021</v>
      </c>
      <c r="B1405" s="1" t="s">
        <v>33</v>
      </c>
      <c r="C1405" s="1">
        <v>3</v>
      </c>
      <c r="D1405" s="49">
        <v>112.53100000000001</v>
      </c>
      <c r="E1405" s="50">
        <v>95.688000000000002</v>
      </c>
      <c r="F1405" s="60">
        <v>80.478999999999999</v>
      </c>
      <c r="G1405" s="61">
        <v>1747.1959999999999</v>
      </c>
      <c r="H1405" s="62">
        <v>6.9</v>
      </c>
      <c r="I1405" s="63">
        <v>2.3E-2</v>
      </c>
      <c r="J1405" s="68">
        <v>9.0210000000000008</v>
      </c>
      <c r="K1405" s="65">
        <v>43.776000000000003</v>
      </c>
      <c r="L1405" s="50">
        <v>5.1029999999999998</v>
      </c>
      <c r="M1405" s="63">
        <v>1.6E-2</v>
      </c>
      <c r="N1405" s="57">
        <v>155.30699999999999</v>
      </c>
      <c r="O1405" s="67">
        <v>6.6000000000000003E-2</v>
      </c>
      <c r="P1405" s="96"/>
      <c r="Q1405" s="93"/>
      <c r="R1405" s="93"/>
      <c r="S1405" s="93"/>
      <c r="T1405" s="93"/>
    </row>
    <row r="1406" spans="1:20" ht="14.25" customHeight="1" x14ac:dyDescent="0.35">
      <c r="A1406" s="1">
        <v>2021</v>
      </c>
      <c r="B1406" s="1" t="s">
        <v>33</v>
      </c>
      <c r="C1406" s="1">
        <v>4</v>
      </c>
      <c r="D1406" s="49">
        <v>114.40600000000001</v>
      </c>
      <c r="E1406" s="50">
        <v>97.438000000000002</v>
      </c>
      <c r="F1406" s="60">
        <v>80.245999999999995</v>
      </c>
      <c r="G1406" s="61">
        <v>1769.0920000000001</v>
      </c>
      <c r="H1406" s="62">
        <v>6.9</v>
      </c>
      <c r="I1406" s="63">
        <v>2.3E-2</v>
      </c>
      <c r="J1406" s="68">
        <v>8.9440000000000008</v>
      </c>
      <c r="K1406" s="65">
        <v>43.908999999999999</v>
      </c>
      <c r="L1406" s="50">
        <v>5.1070000000000002</v>
      </c>
      <c r="M1406" s="63">
        <v>1.4E-2</v>
      </c>
      <c r="N1406" s="57">
        <v>153.75299999999999</v>
      </c>
      <c r="O1406" s="67">
        <v>6.8000000000000005E-2</v>
      </c>
      <c r="P1406" s="96"/>
      <c r="Q1406" s="93"/>
      <c r="R1406" s="93"/>
      <c r="S1406" s="93"/>
      <c r="T1406" s="93"/>
    </row>
    <row r="1407" spans="1:20" ht="14.25" customHeight="1" x14ac:dyDescent="0.35">
      <c r="A1407" s="1">
        <v>2021</v>
      </c>
      <c r="B1407" s="1" t="s">
        <v>33</v>
      </c>
      <c r="C1407" s="1">
        <v>5</v>
      </c>
      <c r="D1407" s="49">
        <v>113.10899999999999</v>
      </c>
      <c r="E1407" s="50">
        <v>96.343999999999994</v>
      </c>
      <c r="F1407" s="60">
        <v>80.183000000000007</v>
      </c>
      <c r="G1407" s="61">
        <v>1797.8889999999999</v>
      </c>
      <c r="H1407" s="62">
        <v>6.9</v>
      </c>
      <c r="I1407" s="63">
        <v>2.3E-2</v>
      </c>
      <c r="J1407" s="68">
        <v>8.7110000000000003</v>
      </c>
      <c r="K1407" s="65">
        <v>44.625999999999998</v>
      </c>
      <c r="L1407" s="50">
        <v>5.1760000000000002</v>
      </c>
      <c r="M1407" s="63">
        <v>1.4E-2</v>
      </c>
      <c r="N1407" s="57">
        <v>132.381</v>
      </c>
      <c r="O1407" s="67">
        <v>6.2E-2</v>
      </c>
      <c r="P1407" s="96"/>
      <c r="Q1407" s="93"/>
      <c r="R1407" s="93"/>
      <c r="S1407" s="93"/>
      <c r="T1407" s="93"/>
    </row>
    <row r="1408" spans="1:20" ht="14.25" customHeight="1" x14ac:dyDescent="0.35">
      <c r="A1408" s="1">
        <v>2021</v>
      </c>
      <c r="B1408" s="1" t="s">
        <v>33</v>
      </c>
      <c r="C1408" s="1">
        <v>6</v>
      </c>
      <c r="D1408" s="49">
        <v>110.828</v>
      </c>
      <c r="E1408" s="50">
        <v>94.188000000000002</v>
      </c>
      <c r="F1408" s="60">
        <v>80.021000000000001</v>
      </c>
      <c r="G1408" s="61">
        <v>1791.9</v>
      </c>
      <c r="H1408" s="62">
        <v>6.9</v>
      </c>
      <c r="I1408" s="63">
        <v>2.3E-2</v>
      </c>
      <c r="J1408" s="68">
        <v>8.6809999999999992</v>
      </c>
      <c r="K1408" s="65">
        <v>45.18</v>
      </c>
      <c r="L1408" s="50">
        <v>5.2309999999999999</v>
      </c>
      <c r="M1408" s="63">
        <v>1.4E-2</v>
      </c>
      <c r="N1408" s="57">
        <v>115.572</v>
      </c>
      <c r="O1408" s="67">
        <v>6.0999999999999999E-2</v>
      </c>
      <c r="P1408" s="96"/>
      <c r="Q1408" s="93"/>
      <c r="R1408" s="93"/>
      <c r="S1408" s="93"/>
      <c r="T1408" s="93"/>
    </row>
    <row r="1409" spans="1:20" ht="14.25" customHeight="1" x14ac:dyDescent="0.35">
      <c r="A1409" s="1">
        <v>2021</v>
      </c>
      <c r="B1409" s="1" t="s">
        <v>33</v>
      </c>
      <c r="C1409" s="1">
        <v>7</v>
      </c>
      <c r="D1409" s="49">
        <v>115.60899999999999</v>
      </c>
      <c r="E1409" s="50">
        <v>98.25</v>
      </c>
      <c r="F1409" s="60">
        <v>80.055999999999997</v>
      </c>
      <c r="G1409" s="61">
        <v>1718.895</v>
      </c>
      <c r="H1409" s="62">
        <v>6.9</v>
      </c>
      <c r="I1409" s="63">
        <v>2.1999999999999999E-2</v>
      </c>
      <c r="J1409" s="68">
        <v>8.3670000000000009</v>
      </c>
      <c r="K1409" s="65">
        <v>42.344000000000001</v>
      </c>
      <c r="L1409" s="50">
        <v>5.2080000000000002</v>
      </c>
      <c r="M1409" s="63">
        <v>1.4E-2</v>
      </c>
      <c r="N1409" s="57">
        <v>121.595</v>
      </c>
      <c r="O1409" s="67">
        <v>5.6000000000000001E-2</v>
      </c>
      <c r="P1409" s="96"/>
      <c r="Q1409" s="93"/>
      <c r="R1409" s="93"/>
      <c r="S1409" s="93"/>
      <c r="T1409" s="93"/>
    </row>
    <row r="1410" spans="1:20" ht="14.25" customHeight="1" x14ac:dyDescent="0.35">
      <c r="A1410" s="1">
        <v>2021</v>
      </c>
      <c r="B1410" s="1" t="s">
        <v>33</v>
      </c>
      <c r="C1410" s="1">
        <v>8</v>
      </c>
      <c r="D1410" s="49">
        <v>114.203</v>
      </c>
      <c r="E1410" s="50">
        <v>97.063000000000002</v>
      </c>
      <c r="F1410" s="60">
        <v>79.748000000000005</v>
      </c>
      <c r="G1410" s="69">
        <v>1670.8579999999999</v>
      </c>
      <c r="H1410" s="62">
        <v>6.9</v>
      </c>
      <c r="I1410" s="63">
        <v>2.3E-2</v>
      </c>
      <c r="J1410" s="71">
        <v>8.3360000000000003</v>
      </c>
      <c r="K1410" s="65">
        <v>40.918999999999997</v>
      </c>
      <c r="L1410" s="50">
        <v>5.21</v>
      </c>
      <c r="M1410" s="63">
        <v>1.4E-2</v>
      </c>
      <c r="N1410" s="57">
        <v>121.223</v>
      </c>
      <c r="O1410" s="70">
        <v>5.2999999999999999E-2</v>
      </c>
      <c r="P1410" s="96"/>
      <c r="Q1410" s="93"/>
      <c r="R1410" s="93"/>
      <c r="S1410" s="93"/>
      <c r="T1410" s="93"/>
    </row>
    <row r="1411" spans="1:20" ht="14.25" customHeight="1" x14ac:dyDescent="0.35">
      <c r="A1411" s="1">
        <v>2021</v>
      </c>
      <c r="B1411" s="1" t="s">
        <v>33</v>
      </c>
      <c r="C1411" s="1">
        <v>9</v>
      </c>
      <c r="D1411" s="49">
        <v>110.28100000000001</v>
      </c>
      <c r="E1411" s="50">
        <v>93.688000000000002</v>
      </c>
      <c r="F1411" s="60">
        <v>79.832999999999998</v>
      </c>
      <c r="G1411" s="61">
        <v>1749.74</v>
      </c>
      <c r="H1411" s="62">
        <v>6.9009999999999998</v>
      </c>
      <c r="I1411" s="63">
        <v>2.3E-2</v>
      </c>
      <c r="J1411" s="68">
        <v>8.4090000000000007</v>
      </c>
      <c r="K1411" s="65">
        <v>42.713000000000001</v>
      </c>
      <c r="L1411" s="50">
        <v>5.1959999999999997</v>
      </c>
      <c r="M1411" s="63">
        <v>1.4E-2</v>
      </c>
      <c r="N1411" s="57">
        <v>125.2</v>
      </c>
      <c r="O1411" s="67">
        <v>0.06</v>
      </c>
      <c r="P1411" s="96"/>
      <c r="Q1411" s="93"/>
      <c r="R1411" s="93"/>
      <c r="S1411" s="93"/>
      <c r="T1411" s="93"/>
    </row>
    <row r="1412" spans="1:20" ht="14.25" customHeight="1" x14ac:dyDescent="0.35">
      <c r="A1412" s="1">
        <v>2021</v>
      </c>
      <c r="B1412" s="1" t="s">
        <v>33</v>
      </c>
      <c r="C1412" s="1">
        <v>10</v>
      </c>
      <c r="D1412" s="49">
        <v>107.09399999999999</v>
      </c>
      <c r="E1412" s="50">
        <v>91</v>
      </c>
      <c r="F1412" s="72">
        <v>80.180999999999997</v>
      </c>
      <c r="G1412" s="61">
        <v>1797.896</v>
      </c>
      <c r="H1412" s="62">
        <v>6.899</v>
      </c>
      <c r="I1412" s="63">
        <v>2.4E-2</v>
      </c>
      <c r="J1412" s="76">
        <v>8.3070000000000004</v>
      </c>
      <c r="K1412" s="65">
        <v>43.307000000000002</v>
      </c>
      <c r="L1412" s="50">
        <v>5.1920000000000002</v>
      </c>
      <c r="M1412" s="110">
        <v>1.4E-2</v>
      </c>
      <c r="N1412" s="57">
        <v>126.532</v>
      </c>
      <c r="O1412" s="75">
        <v>5.8999999999999997E-2</v>
      </c>
      <c r="P1412" s="96"/>
      <c r="Q1412" s="93"/>
      <c r="R1412" s="93"/>
      <c r="S1412" s="93"/>
      <c r="T1412" s="93"/>
    </row>
    <row r="1413" spans="1:20" ht="14.25" customHeight="1" x14ac:dyDescent="0.35">
      <c r="A1413" s="1">
        <v>2021</v>
      </c>
      <c r="B1413" s="1" t="s">
        <v>33</v>
      </c>
      <c r="C1413" s="1">
        <v>11</v>
      </c>
      <c r="D1413" s="49">
        <v>104.73399999999999</v>
      </c>
      <c r="E1413" s="50">
        <v>89.093999999999994</v>
      </c>
      <c r="F1413" s="72">
        <v>80.626999999999995</v>
      </c>
      <c r="G1413" s="61">
        <v>1796.4749999999999</v>
      </c>
      <c r="H1413" s="62">
        <v>6.9</v>
      </c>
      <c r="I1413" s="63">
        <v>2.4E-2</v>
      </c>
      <c r="J1413" s="76">
        <v>8.1449999999999996</v>
      </c>
      <c r="K1413" s="65">
        <v>43.911000000000001</v>
      </c>
      <c r="L1413" s="50">
        <v>5.1609999999999996</v>
      </c>
      <c r="M1413" s="110">
        <v>1.4E-2</v>
      </c>
      <c r="N1413" s="57">
        <v>135.96</v>
      </c>
      <c r="O1413" s="75">
        <v>5.8999999999999997E-2</v>
      </c>
      <c r="P1413" s="96"/>
      <c r="Q1413" s="93"/>
      <c r="R1413" s="93"/>
      <c r="S1413" s="93"/>
      <c r="T1413" s="93"/>
    </row>
    <row r="1414" spans="1:20" ht="14.25" customHeight="1" x14ac:dyDescent="0.35">
      <c r="A1414" s="1">
        <v>2021</v>
      </c>
      <c r="B1414" s="1" t="s">
        <v>33</v>
      </c>
      <c r="C1414" s="1">
        <v>12</v>
      </c>
      <c r="D1414" s="49">
        <v>104.188</v>
      </c>
      <c r="E1414" s="50">
        <v>88.563000000000002</v>
      </c>
      <c r="F1414" s="72">
        <v>81.061999999999998</v>
      </c>
      <c r="G1414" s="61">
        <v>1749.605</v>
      </c>
      <c r="H1414" s="62">
        <v>6.9</v>
      </c>
      <c r="I1414" s="63">
        <v>2.3E-2</v>
      </c>
      <c r="J1414" s="76">
        <v>8.125</v>
      </c>
      <c r="K1414" s="65">
        <v>41.314999999999998</v>
      </c>
      <c r="L1414" s="50">
        <v>5.0229999999999997</v>
      </c>
      <c r="M1414" s="110">
        <v>1.4E-2</v>
      </c>
      <c r="N1414" s="57">
        <v>190.107</v>
      </c>
      <c r="O1414" s="75">
        <v>5.6000000000000001E-2</v>
      </c>
      <c r="P1414" s="96"/>
      <c r="Q1414" s="93"/>
      <c r="R1414" s="93"/>
      <c r="S1414" s="93"/>
      <c r="T1414" s="93"/>
    </row>
    <row r="1415" spans="1:20" ht="14.25" customHeight="1" x14ac:dyDescent="0.35">
      <c r="A1415" s="1">
        <v>2021</v>
      </c>
      <c r="B1415" s="1" t="s">
        <v>33</v>
      </c>
      <c r="C1415" s="1">
        <v>13</v>
      </c>
      <c r="D1415" s="49">
        <v>102.28100000000001</v>
      </c>
      <c r="E1415" s="50">
        <v>86.968999999999994</v>
      </c>
      <c r="F1415" s="78">
        <v>81.09</v>
      </c>
      <c r="G1415" s="61">
        <v>1727.269</v>
      </c>
      <c r="H1415" s="62">
        <v>6.9</v>
      </c>
      <c r="I1415" s="63">
        <v>2.3E-2</v>
      </c>
      <c r="J1415" s="81">
        <v>8.0229999999999997</v>
      </c>
      <c r="K1415" s="65">
        <v>39.823999999999998</v>
      </c>
      <c r="L1415" s="50">
        <v>4.9210000000000003</v>
      </c>
      <c r="M1415" s="63">
        <v>1.4E-2</v>
      </c>
      <c r="N1415" s="57">
        <v>236.22800000000001</v>
      </c>
      <c r="O1415" s="80">
        <v>5.6000000000000001E-2</v>
      </c>
      <c r="P1415" s="96"/>
      <c r="Q1415" s="93"/>
      <c r="R1415" s="93"/>
      <c r="S1415" s="93"/>
      <c r="T1415" s="93"/>
    </row>
    <row r="1416" spans="1:20" ht="14.25" customHeight="1" x14ac:dyDescent="0.35">
      <c r="A1416" s="1">
        <v>2021</v>
      </c>
      <c r="B1416" s="1" t="s">
        <v>33</v>
      </c>
      <c r="C1416" s="1">
        <v>14</v>
      </c>
      <c r="D1416" s="49">
        <v>98.921999999999997</v>
      </c>
      <c r="E1416" s="50">
        <v>84.156000000000006</v>
      </c>
      <c r="F1416" s="60">
        <v>80.802000000000007</v>
      </c>
      <c r="G1416" s="61">
        <v>1677.625</v>
      </c>
      <c r="H1416" s="62">
        <v>6.9</v>
      </c>
      <c r="I1416" s="63">
        <v>2.3E-2</v>
      </c>
      <c r="J1416" s="81">
        <v>8.0470000000000006</v>
      </c>
      <c r="K1416" s="82">
        <v>37.593000000000004</v>
      </c>
      <c r="L1416" s="50">
        <v>4.9269999999999996</v>
      </c>
      <c r="M1416" s="63">
        <v>1.4E-2</v>
      </c>
      <c r="N1416" s="57">
        <v>232.751</v>
      </c>
      <c r="O1416" s="80">
        <v>5.0999999999999997E-2</v>
      </c>
      <c r="P1416" s="96"/>
      <c r="Q1416" s="93"/>
      <c r="R1416" s="93"/>
      <c r="S1416" s="93"/>
      <c r="T1416" s="93"/>
    </row>
    <row r="1417" spans="1:20" ht="14.25" customHeight="1" x14ac:dyDescent="0.35">
      <c r="A1417" s="1">
        <v>2021</v>
      </c>
      <c r="B1417" s="1" t="s">
        <v>33</v>
      </c>
      <c r="C1417" s="1">
        <v>15</v>
      </c>
      <c r="D1417" s="49">
        <v>103.047</v>
      </c>
      <c r="E1417" s="50">
        <v>87.625</v>
      </c>
      <c r="F1417" s="60">
        <v>80.459000000000003</v>
      </c>
      <c r="G1417" s="61">
        <v>1614.7729999999999</v>
      </c>
      <c r="H1417" s="62">
        <v>6.9</v>
      </c>
      <c r="I1417" s="63">
        <v>2.3E-2</v>
      </c>
      <c r="J1417" s="76">
        <v>8.4109999999999996</v>
      </c>
      <c r="K1417" s="65">
        <v>36.875</v>
      </c>
      <c r="L1417" s="50">
        <v>5.0110000000000001</v>
      </c>
      <c r="M1417" s="63">
        <v>1.4E-2</v>
      </c>
      <c r="N1417" s="57">
        <v>194.38300000000001</v>
      </c>
      <c r="O1417" s="75">
        <v>5.5E-2</v>
      </c>
      <c r="P1417" s="96"/>
      <c r="Q1417" s="93"/>
      <c r="R1417" s="93"/>
      <c r="S1417" s="93"/>
      <c r="T1417" s="93"/>
    </row>
    <row r="1418" spans="1:20" ht="14.25" customHeight="1" x14ac:dyDescent="0.35">
      <c r="A1418" s="1">
        <v>2021</v>
      </c>
      <c r="B1418" s="1" t="s">
        <v>33</v>
      </c>
      <c r="C1418" s="1">
        <v>16</v>
      </c>
      <c r="D1418" s="49">
        <v>102.65600000000001</v>
      </c>
      <c r="E1418" s="50">
        <v>87.313000000000002</v>
      </c>
      <c r="F1418" s="60">
        <v>79.983000000000004</v>
      </c>
      <c r="G1418" s="61">
        <v>1715.835</v>
      </c>
      <c r="H1418" s="62">
        <v>6.9</v>
      </c>
      <c r="I1418" s="63">
        <v>2.3E-2</v>
      </c>
      <c r="J1418" s="81">
        <v>8.5809999999999995</v>
      </c>
      <c r="K1418" s="61">
        <v>38.588999999999999</v>
      </c>
      <c r="L1418" s="62">
        <v>5.0819999999999999</v>
      </c>
      <c r="M1418" s="63">
        <v>1.4E-2</v>
      </c>
      <c r="N1418" s="57">
        <v>162.845</v>
      </c>
      <c r="O1418" s="80">
        <v>0.06</v>
      </c>
      <c r="P1418" s="96"/>
      <c r="Q1418" s="93"/>
      <c r="R1418" s="93"/>
      <c r="S1418" s="93"/>
      <c r="T1418" s="93"/>
    </row>
    <row r="1419" spans="1:20" ht="14.25" customHeight="1" x14ac:dyDescent="0.35">
      <c r="A1419" s="1">
        <v>2021</v>
      </c>
      <c r="B1419" s="1" t="s">
        <v>33</v>
      </c>
      <c r="C1419" s="1">
        <v>17</v>
      </c>
      <c r="D1419" s="49">
        <v>101.875</v>
      </c>
      <c r="E1419" s="50">
        <v>86.781000000000006</v>
      </c>
      <c r="F1419" s="60">
        <v>79.991</v>
      </c>
      <c r="G1419" s="61">
        <v>1735.85</v>
      </c>
      <c r="H1419" s="62">
        <v>6.9</v>
      </c>
      <c r="I1419" s="63">
        <v>2.3E-2</v>
      </c>
      <c r="J1419" s="68">
        <v>8.3689999999999998</v>
      </c>
      <c r="K1419" s="65">
        <v>37.389000000000003</v>
      </c>
      <c r="L1419" s="50">
        <v>5.0529999999999999</v>
      </c>
      <c r="M1419" s="63">
        <v>1.4E-2</v>
      </c>
      <c r="N1419" s="57">
        <v>174.36099999999999</v>
      </c>
      <c r="O1419" s="67">
        <v>5.7000000000000002E-2</v>
      </c>
      <c r="P1419" s="96"/>
      <c r="Q1419" s="93"/>
      <c r="R1419" s="93"/>
      <c r="S1419" s="93"/>
      <c r="T1419" s="93"/>
    </row>
    <row r="1420" spans="1:20" ht="14.25" customHeight="1" x14ac:dyDescent="0.35">
      <c r="A1420" s="1">
        <v>2021</v>
      </c>
      <c r="B1420" s="1" t="s">
        <v>33</v>
      </c>
      <c r="C1420" s="1">
        <v>18</v>
      </c>
      <c r="D1420" s="49">
        <v>99.781000000000006</v>
      </c>
      <c r="E1420" s="50">
        <v>84.781000000000006</v>
      </c>
      <c r="F1420" s="60">
        <v>79.775999999999996</v>
      </c>
      <c r="G1420" s="61">
        <v>1734.722</v>
      </c>
      <c r="H1420" s="62">
        <v>6.9</v>
      </c>
      <c r="I1420" s="63">
        <v>2.4E-2</v>
      </c>
      <c r="J1420" s="68">
        <v>8.2759999999999998</v>
      </c>
      <c r="K1420" s="61">
        <v>36.204999999999998</v>
      </c>
      <c r="L1420" s="62">
        <v>5.0579999999999998</v>
      </c>
      <c r="M1420" s="63">
        <v>1.4E-2</v>
      </c>
      <c r="N1420" s="57">
        <v>172.81800000000001</v>
      </c>
      <c r="O1420" s="67">
        <v>5.3999999999999999E-2</v>
      </c>
      <c r="P1420" s="96"/>
      <c r="Q1420" s="93"/>
      <c r="R1420" s="93"/>
      <c r="S1420" s="93"/>
      <c r="T1420" s="93"/>
    </row>
    <row r="1421" spans="1:20" ht="14.25" customHeight="1" x14ac:dyDescent="0.35">
      <c r="A1421" s="1">
        <v>2021</v>
      </c>
      <c r="B1421" s="1" t="s">
        <v>33</v>
      </c>
      <c r="C1421" s="1">
        <v>19</v>
      </c>
      <c r="D1421" s="49">
        <v>111.51600000000001</v>
      </c>
      <c r="E1421" s="50">
        <v>94.938000000000002</v>
      </c>
      <c r="F1421" s="60">
        <v>79.796000000000006</v>
      </c>
      <c r="G1421" s="61">
        <v>1737.614</v>
      </c>
      <c r="H1421" s="62">
        <v>6.9</v>
      </c>
      <c r="I1421" s="63">
        <v>2.3E-2</v>
      </c>
      <c r="J1421" s="68">
        <v>8.468</v>
      </c>
      <c r="K1421" s="65">
        <v>37.170999999999999</v>
      </c>
      <c r="L1421" s="50">
        <v>5.0979999999999999</v>
      </c>
      <c r="M1421" s="63">
        <v>1.4E-2</v>
      </c>
      <c r="N1421" s="57">
        <v>157.96100000000001</v>
      </c>
      <c r="O1421" s="67">
        <v>0.06</v>
      </c>
      <c r="P1421" s="96"/>
      <c r="Q1421" s="93"/>
      <c r="R1421" s="93"/>
      <c r="S1421" s="93"/>
      <c r="T1421" s="93"/>
    </row>
    <row r="1422" spans="1:20" ht="14.25" customHeight="1" x14ac:dyDescent="0.35">
      <c r="A1422" s="1">
        <v>2021</v>
      </c>
      <c r="B1422" s="1" t="s">
        <v>33</v>
      </c>
      <c r="C1422" s="1">
        <v>20</v>
      </c>
      <c r="D1422" s="49">
        <v>107.60899999999999</v>
      </c>
      <c r="E1422" s="50">
        <v>91.656000000000006</v>
      </c>
      <c r="F1422" s="60">
        <v>79.587999999999994</v>
      </c>
      <c r="G1422" s="61">
        <v>1737.287</v>
      </c>
      <c r="H1422" s="62">
        <v>6.9</v>
      </c>
      <c r="I1422" s="63">
        <v>2.3E-2</v>
      </c>
      <c r="J1422" s="68">
        <v>8.2970000000000006</v>
      </c>
      <c r="K1422" s="61">
        <v>38.124000000000002</v>
      </c>
      <c r="L1422" s="62">
        <v>5.1109999999999998</v>
      </c>
      <c r="M1422" s="63">
        <v>1.4E-2</v>
      </c>
      <c r="N1422" s="57">
        <v>152.631</v>
      </c>
      <c r="O1422" s="67">
        <v>5.6000000000000001E-2</v>
      </c>
      <c r="P1422" s="96"/>
      <c r="Q1422" s="93"/>
      <c r="R1422" s="93"/>
      <c r="S1422" s="93"/>
      <c r="T1422" s="93"/>
    </row>
    <row r="1423" spans="1:20" ht="14.25" customHeight="1" x14ac:dyDescent="0.35">
      <c r="A1423" s="1">
        <v>2021</v>
      </c>
      <c r="B1423" s="1" t="s">
        <v>33</v>
      </c>
      <c r="C1423" s="1">
        <v>21</v>
      </c>
      <c r="D1423" s="49">
        <v>106.84399999999999</v>
      </c>
      <c r="E1423" s="50">
        <v>91.063000000000002</v>
      </c>
      <c r="F1423" s="60">
        <v>79.774000000000001</v>
      </c>
      <c r="G1423" s="61">
        <v>1699.086</v>
      </c>
      <c r="H1423" s="62">
        <v>6.9</v>
      </c>
      <c r="I1423" s="63">
        <v>2.3E-2</v>
      </c>
      <c r="J1423" s="68">
        <v>8.3770000000000007</v>
      </c>
      <c r="K1423" s="65">
        <v>36.734999999999999</v>
      </c>
      <c r="L1423" s="50">
        <v>5.109</v>
      </c>
      <c r="M1423" s="63">
        <v>1.4E-2</v>
      </c>
      <c r="N1423" s="57">
        <v>152.94800000000001</v>
      </c>
      <c r="O1423" s="67">
        <v>0.05</v>
      </c>
      <c r="P1423" s="96"/>
      <c r="Q1423" s="93"/>
      <c r="R1423" s="93"/>
      <c r="S1423" s="93"/>
      <c r="T1423" s="93"/>
    </row>
    <row r="1424" spans="1:20" ht="14.25" customHeight="1" x14ac:dyDescent="0.35">
      <c r="A1424" s="1">
        <v>2021</v>
      </c>
      <c r="B1424" s="1" t="s">
        <v>33</v>
      </c>
      <c r="C1424" s="1">
        <v>22</v>
      </c>
      <c r="D1424" s="49">
        <v>107.813</v>
      </c>
      <c r="E1424" s="50">
        <v>91.875</v>
      </c>
      <c r="F1424" s="60">
        <v>79.903999999999996</v>
      </c>
      <c r="G1424" s="61">
        <v>1638.223</v>
      </c>
      <c r="H1424" s="62">
        <v>6.9</v>
      </c>
      <c r="I1424" s="63">
        <v>2.3E-2</v>
      </c>
      <c r="J1424" s="68">
        <v>8.7289999999999992</v>
      </c>
      <c r="K1424" s="61">
        <v>35.034999999999997</v>
      </c>
      <c r="L1424" s="62">
        <v>5.1059999999999999</v>
      </c>
      <c r="M1424" s="63">
        <v>1.4E-2</v>
      </c>
      <c r="N1424" s="57">
        <v>154.14500000000001</v>
      </c>
      <c r="O1424" s="67">
        <v>0.05</v>
      </c>
      <c r="P1424" s="96"/>
      <c r="Q1424" s="93"/>
      <c r="R1424" s="93"/>
      <c r="S1424" s="93"/>
      <c r="T1424" s="93"/>
    </row>
    <row r="1425" spans="1:20" ht="14.25" customHeight="1" x14ac:dyDescent="0.35">
      <c r="A1425" s="1">
        <v>2021</v>
      </c>
      <c r="B1425" s="1" t="s">
        <v>33</v>
      </c>
      <c r="C1425" s="1">
        <v>23</v>
      </c>
      <c r="D1425" s="49">
        <v>111</v>
      </c>
      <c r="E1425" s="50">
        <v>94.625</v>
      </c>
      <c r="F1425" s="60">
        <v>79.94</v>
      </c>
      <c r="G1425" s="61">
        <v>1716.03</v>
      </c>
      <c r="H1425" s="62">
        <v>6.9</v>
      </c>
      <c r="I1425" s="63">
        <v>2.3E-2</v>
      </c>
      <c r="J1425" s="68">
        <v>9.1750000000000007</v>
      </c>
      <c r="K1425" s="65">
        <v>35.959000000000003</v>
      </c>
      <c r="L1425" s="50">
        <v>5.1040000000000001</v>
      </c>
      <c r="M1425" s="63">
        <v>1.4E-2</v>
      </c>
      <c r="N1425" s="57">
        <v>154.96899999999999</v>
      </c>
      <c r="O1425" s="67">
        <v>5.5E-2</v>
      </c>
      <c r="P1425" s="96"/>
      <c r="Q1425" s="93"/>
      <c r="R1425" s="93"/>
      <c r="S1425" s="93"/>
      <c r="T1425" s="93"/>
    </row>
    <row r="1426" spans="1:20" ht="14.25" customHeight="1" x14ac:dyDescent="0.35">
      <c r="A1426" s="1">
        <v>2021</v>
      </c>
      <c r="B1426" s="1" t="s">
        <v>33</v>
      </c>
      <c r="C1426" s="1">
        <v>24</v>
      </c>
      <c r="D1426" s="49">
        <v>111.453</v>
      </c>
      <c r="E1426" s="50">
        <v>95</v>
      </c>
      <c r="F1426" s="60">
        <v>79.606999999999999</v>
      </c>
      <c r="G1426" s="61">
        <v>1760.29</v>
      </c>
      <c r="H1426" s="62">
        <v>6.9</v>
      </c>
      <c r="I1426" s="63">
        <v>2.3E-2</v>
      </c>
      <c r="J1426" s="68">
        <v>9.0869999999999997</v>
      </c>
      <c r="K1426" s="61">
        <v>36.679000000000002</v>
      </c>
      <c r="L1426" s="62">
        <v>5.1580000000000004</v>
      </c>
      <c r="M1426" s="63">
        <v>1.4E-2</v>
      </c>
      <c r="N1426" s="57">
        <v>138.75299999999999</v>
      </c>
      <c r="O1426" s="67">
        <v>5.6000000000000001E-2</v>
      </c>
      <c r="P1426" s="96"/>
      <c r="Q1426" s="93"/>
      <c r="R1426" s="93"/>
      <c r="S1426" s="93"/>
      <c r="T1426" s="93"/>
    </row>
    <row r="1427" spans="1:20" ht="14.25" customHeight="1" x14ac:dyDescent="0.35">
      <c r="A1427" s="1">
        <v>2021</v>
      </c>
      <c r="B1427" s="1" t="s">
        <v>33</v>
      </c>
      <c r="C1427" s="1">
        <v>25</v>
      </c>
      <c r="D1427" s="49">
        <v>110.64100000000001</v>
      </c>
      <c r="E1427" s="50">
        <v>94.313000000000002</v>
      </c>
      <c r="F1427" s="60">
        <v>78.775000000000006</v>
      </c>
      <c r="G1427" s="61">
        <v>1770.6679999999999</v>
      </c>
      <c r="H1427" s="62">
        <v>6.9</v>
      </c>
      <c r="I1427" s="63">
        <v>2.3E-2</v>
      </c>
      <c r="J1427" s="68">
        <v>8.6210000000000004</v>
      </c>
      <c r="K1427" s="65">
        <v>35.232999999999997</v>
      </c>
      <c r="L1427" s="50">
        <v>5.1980000000000004</v>
      </c>
      <c r="M1427" s="63">
        <v>1.4E-2</v>
      </c>
      <c r="N1427" s="57">
        <v>125.099</v>
      </c>
      <c r="O1427" s="67">
        <v>4.8000000000000001E-2</v>
      </c>
      <c r="P1427" s="96"/>
      <c r="Q1427" s="93"/>
      <c r="R1427" s="93"/>
      <c r="S1427" s="93"/>
      <c r="T1427" s="93"/>
    </row>
    <row r="1428" spans="1:20" ht="14.25" customHeight="1" x14ac:dyDescent="0.35">
      <c r="A1428" s="1">
        <v>2021</v>
      </c>
      <c r="B1428" s="1" t="s">
        <v>33</v>
      </c>
      <c r="C1428" s="1">
        <v>26</v>
      </c>
      <c r="D1428" s="49">
        <v>106.797</v>
      </c>
      <c r="E1428" s="50">
        <v>90.968999999999994</v>
      </c>
      <c r="F1428" s="60">
        <v>78.950999999999993</v>
      </c>
      <c r="G1428" s="61">
        <v>1671.6369999999999</v>
      </c>
      <c r="H1428" s="62">
        <v>6.9</v>
      </c>
      <c r="I1428" s="63">
        <v>2.3E-2</v>
      </c>
      <c r="J1428" s="68">
        <v>8.09</v>
      </c>
      <c r="K1428" s="61">
        <v>35.353000000000002</v>
      </c>
      <c r="L1428" s="62">
        <v>5.2069999999999999</v>
      </c>
      <c r="M1428" s="63">
        <v>1.4E-2</v>
      </c>
      <c r="N1428" s="57">
        <v>122.593</v>
      </c>
      <c r="O1428" s="67">
        <v>4.8000000000000001E-2</v>
      </c>
      <c r="P1428" s="96"/>
      <c r="Q1428" s="93"/>
      <c r="R1428" s="93"/>
      <c r="S1428" s="93"/>
      <c r="T1428" s="93"/>
    </row>
    <row r="1429" spans="1:20" ht="14.25" customHeight="1" x14ac:dyDescent="0.35">
      <c r="A1429" s="1">
        <v>2021</v>
      </c>
      <c r="B1429" s="1" t="s">
        <v>33</v>
      </c>
      <c r="C1429" s="1">
        <v>27</v>
      </c>
      <c r="D1429" s="49">
        <v>107.125</v>
      </c>
      <c r="E1429" s="50">
        <v>91.281000000000006</v>
      </c>
      <c r="F1429" s="60">
        <v>78.906999999999996</v>
      </c>
      <c r="G1429" s="61">
        <v>1653.923</v>
      </c>
      <c r="H1429" s="62">
        <v>6.9</v>
      </c>
      <c r="I1429" s="63">
        <v>2.3E-2</v>
      </c>
      <c r="J1429" s="68">
        <v>8.2759999999999998</v>
      </c>
      <c r="K1429" s="65">
        <v>36.231000000000002</v>
      </c>
      <c r="L1429" s="50">
        <v>5.2210000000000001</v>
      </c>
      <c r="M1429" s="63">
        <v>1.4E-2</v>
      </c>
      <c r="N1429" s="57">
        <v>118.316</v>
      </c>
      <c r="O1429" s="67">
        <v>4.8000000000000001E-2</v>
      </c>
      <c r="P1429" s="96"/>
      <c r="Q1429" s="93"/>
      <c r="R1429" s="93"/>
      <c r="S1429" s="93"/>
      <c r="T1429" s="93"/>
    </row>
    <row r="1430" spans="1:20" ht="14.25" customHeight="1" x14ac:dyDescent="0.35">
      <c r="A1430" s="1">
        <v>2021</v>
      </c>
      <c r="B1430" s="1" t="s">
        <v>33</v>
      </c>
      <c r="C1430" s="1">
        <v>28</v>
      </c>
      <c r="D1430" s="49">
        <v>106.328</v>
      </c>
      <c r="E1430" s="50">
        <v>90.625</v>
      </c>
      <c r="F1430" s="60">
        <v>78.989000000000004</v>
      </c>
      <c r="G1430" s="61">
        <v>1627.287</v>
      </c>
      <c r="H1430" s="62">
        <v>6.9</v>
      </c>
      <c r="I1430" s="63">
        <v>2.3E-2</v>
      </c>
      <c r="J1430" s="68">
        <v>8.407</v>
      </c>
      <c r="K1430" s="61">
        <v>35.811999999999998</v>
      </c>
      <c r="L1430" s="62">
        <v>5.2190000000000003</v>
      </c>
      <c r="M1430" s="63">
        <v>1.4E-2</v>
      </c>
      <c r="N1430" s="57">
        <v>117.786</v>
      </c>
      <c r="O1430" s="67">
        <v>4.9000000000000002E-2</v>
      </c>
      <c r="P1430" s="96"/>
      <c r="Q1430" s="93"/>
      <c r="R1430" s="93"/>
      <c r="S1430" s="93"/>
      <c r="T1430" s="93"/>
    </row>
    <row r="1431" spans="1:20" ht="14.25" customHeight="1" x14ac:dyDescent="0.35">
      <c r="A1431" s="1">
        <v>2021</v>
      </c>
      <c r="B1431" s="1" t="s">
        <v>33</v>
      </c>
      <c r="C1431" s="1">
        <v>29</v>
      </c>
      <c r="D1431" s="49">
        <v>105.703</v>
      </c>
      <c r="E1431" s="50">
        <v>90</v>
      </c>
      <c r="F1431" s="83">
        <v>78.986000000000004</v>
      </c>
      <c r="G1431" s="69">
        <v>1651.7170000000001</v>
      </c>
      <c r="H1431" s="50">
        <v>6.9</v>
      </c>
      <c r="I1431" s="66">
        <v>2.4E-2</v>
      </c>
      <c r="J1431" s="117">
        <v>8.6809999999999992</v>
      </c>
      <c r="K1431" s="61">
        <v>36.478000000000002</v>
      </c>
      <c r="L1431" s="62">
        <v>5.27</v>
      </c>
      <c r="M1431" s="63">
        <v>1.4E-2</v>
      </c>
      <c r="N1431" s="57">
        <v>106.547</v>
      </c>
      <c r="O1431" s="84">
        <v>5.5E-2</v>
      </c>
      <c r="P1431" s="96"/>
      <c r="Q1431" s="93"/>
      <c r="R1431" s="93"/>
      <c r="S1431" s="93"/>
      <c r="T1431" s="93"/>
    </row>
    <row r="1432" spans="1:20" ht="14.25" customHeight="1" x14ac:dyDescent="0.35">
      <c r="A1432" s="1">
        <v>2021</v>
      </c>
      <c r="B1432" s="1" t="s">
        <v>33</v>
      </c>
      <c r="C1432" s="1">
        <v>30</v>
      </c>
      <c r="D1432" s="104">
        <v>105.71899999999999</v>
      </c>
      <c r="E1432" s="105">
        <v>90</v>
      </c>
      <c r="F1432" s="83">
        <v>79.037000000000006</v>
      </c>
      <c r="G1432" s="69">
        <v>1753.4870000000001</v>
      </c>
      <c r="H1432" s="50">
        <v>6.9</v>
      </c>
      <c r="I1432" s="66">
        <v>2.4E-2</v>
      </c>
      <c r="J1432" s="117">
        <v>8.577</v>
      </c>
      <c r="K1432" s="61">
        <v>39.588000000000001</v>
      </c>
      <c r="L1432" s="62">
        <v>5.298</v>
      </c>
      <c r="M1432" s="63">
        <v>1.4E-2</v>
      </c>
      <c r="N1432" s="57">
        <v>99.072999999999993</v>
      </c>
      <c r="O1432" s="84">
        <v>6.0999999999999999E-2</v>
      </c>
      <c r="P1432" s="96"/>
      <c r="Q1432" s="93"/>
      <c r="R1432" s="93"/>
      <c r="S1432" s="93"/>
      <c r="T1432" s="93"/>
    </row>
    <row r="1433" spans="1:20" ht="14.25" customHeight="1" x14ac:dyDescent="0.35">
      <c r="A1433" s="1">
        <v>2021</v>
      </c>
      <c r="B1433" s="1" t="s">
        <v>34</v>
      </c>
      <c r="C1433" s="1">
        <v>1</v>
      </c>
      <c r="D1433" s="49">
        <v>105.78100000000001</v>
      </c>
      <c r="E1433" s="50">
        <v>90.031000000000006</v>
      </c>
      <c r="F1433" s="51">
        <v>79.015000000000001</v>
      </c>
      <c r="G1433" s="52">
        <v>1752.251</v>
      </c>
      <c r="H1433" s="53">
        <v>6.9</v>
      </c>
      <c r="I1433" s="54">
        <v>2.4E-2</v>
      </c>
      <c r="J1433" s="59">
        <v>8.3379999999999992</v>
      </c>
      <c r="K1433" s="52">
        <v>39.277000000000001</v>
      </c>
      <c r="L1433" s="55">
        <v>5.2839999999999998</v>
      </c>
      <c r="M1433" s="56">
        <v>1.4E-2</v>
      </c>
      <c r="N1433" s="57">
        <v>102.414</v>
      </c>
      <c r="O1433" s="58">
        <v>6.0999999999999999E-2</v>
      </c>
      <c r="P1433" s="96"/>
      <c r="Q1433" s="93"/>
      <c r="R1433" s="93"/>
      <c r="S1433" s="93"/>
      <c r="T1433" s="93"/>
    </row>
    <row r="1434" spans="1:20" ht="14.25" customHeight="1" x14ac:dyDescent="0.35">
      <c r="A1434" s="1">
        <v>2021</v>
      </c>
      <c r="B1434" s="1" t="s">
        <v>34</v>
      </c>
      <c r="C1434" s="1">
        <v>2</v>
      </c>
      <c r="D1434" s="49">
        <v>106.34399999999999</v>
      </c>
      <c r="E1434" s="50">
        <v>90.563000000000002</v>
      </c>
      <c r="F1434" s="60">
        <v>78.587000000000003</v>
      </c>
      <c r="G1434" s="61">
        <v>1752.203</v>
      </c>
      <c r="H1434" s="62">
        <v>6.9</v>
      </c>
      <c r="I1434" s="63">
        <v>2.5000000000000001E-2</v>
      </c>
      <c r="J1434" s="68">
        <v>8.4060000000000006</v>
      </c>
      <c r="K1434" s="65">
        <v>37.69</v>
      </c>
      <c r="L1434" s="50">
        <v>5.2830000000000004</v>
      </c>
      <c r="M1434" s="66">
        <v>1.4E-2</v>
      </c>
      <c r="N1434" s="57">
        <v>102.74299999999999</v>
      </c>
      <c r="O1434" s="67">
        <v>5.6000000000000001E-2</v>
      </c>
      <c r="P1434" s="96"/>
      <c r="Q1434" s="93"/>
      <c r="R1434" s="93"/>
      <c r="S1434" s="93"/>
      <c r="T1434" s="93"/>
    </row>
    <row r="1435" spans="1:20" ht="14.25" customHeight="1" x14ac:dyDescent="0.35">
      <c r="A1435" s="1">
        <v>2021</v>
      </c>
      <c r="B1435" s="1" t="s">
        <v>34</v>
      </c>
      <c r="C1435" s="1">
        <v>3</v>
      </c>
      <c r="D1435" s="49">
        <v>106.813</v>
      </c>
      <c r="E1435" s="50">
        <v>90.938000000000002</v>
      </c>
      <c r="F1435" s="60">
        <v>78.608999999999995</v>
      </c>
      <c r="G1435" s="61">
        <v>1763.758</v>
      </c>
      <c r="H1435" s="62">
        <v>6.9</v>
      </c>
      <c r="I1435" s="63">
        <v>2.5000000000000001E-2</v>
      </c>
      <c r="J1435" s="68">
        <v>8.4309999999999992</v>
      </c>
      <c r="K1435" s="65">
        <v>37.201000000000001</v>
      </c>
      <c r="L1435" s="50">
        <v>5.2279999999999998</v>
      </c>
      <c r="M1435" s="66">
        <v>1.4999999999999999E-2</v>
      </c>
      <c r="N1435" s="57">
        <v>117.10899999999999</v>
      </c>
      <c r="O1435" s="67">
        <v>5.5E-2</v>
      </c>
      <c r="P1435" s="96"/>
      <c r="Q1435" s="93"/>
      <c r="R1435" s="93"/>
      <c r="S1435" s="93"/>
      <c r="T1435" s="93"/>
    </row>
    <row r="1436" spans="1:20" ht="14.25" customHeight="1" x14ac:dyDescent="0.35">
      <c r="A1436" s="1">
        <v>2021</v>
      </c>
      <c r="B1436" s="1" t="s">
        <v>34</v>
      </c>
      <c r="C1436" s="1">
        <v>4</v>
      </c>
      <c r="D1436" s="49">
        <v>103.203</v>
      </c>
      <c r="E1436" s="50">
        <v>88</v>
      </c>
      <c r="F1436" s="60">
        <v>78.424999999999997</v>
      </c>
      <c r="G1436" s="61">
        <v>1755.3230000000001</v>
      </c>
      <c r="H1436" s="62">
        <v>6.9</v>
      </c>
      <c r="I1436" s="63">
        <v>2.4E-2</v>
      </c>
      <c r="J1436" s="68">
        <v>8.3450000000000006</v>
      </c>
      <c r="K1436" s="65">
        <v>38.042999999999999</v>
      </c>
      <c r="L1436" s="50">
        <v>5.2089999999999996</v>
      </c>
      <c r="M1436" s="66">
        <v>1.6E-2</v>
      </c>
      <c r="N1436" s="57">
        <v>122.261</v>
      </c>
      <c r="O1436" s="67">
        <v>5.6000000000000001E-2</v>
      </c>
      <c r="P1436" s="96"/>
      <c r="Q1436" s="93"/>
      <c r="R1436" s="93"/>
      <c r="S1436" s="93"/>
      <c r="T1436" s="93"/>
    </row>
    <row r="1437" spans="1:20" ht="14.25" customHeight="1" x14ac:dyDescent="0.35">
      <c r="A1437" s="1">
        <v>2021</v>
      </c>
      <c r="B1437" s="1" t="s">
        <v>34</v>
      </c>
      <c r="C1437" s="1">
        <v>5</v>
      </c>
      <c r="D1437" s="49">
        <v>105.96899999999999</v>
      </c>
      <c r="E1437" s="50">
        <v>90.188000000000002</v>
      </c>
      <c r="F1437" s="60">
        <v>78.168000000000006</v>
      </c>
      <c r="G1437" s="61">
        <v>1693.75</v>
      </c>
      <c r="H1437" s="62">
        <v>6.9</v>
      </c>
      <c r="I1437" s="63">
        <v>2.4E-2</v>
      </c>
      <c r="J1437" s="68">
        <v>8.3059999999999992</v>
      </c>
      <c r="K1437" s="65">
        <v>37.304000000000002</v>
      </c>
      <c r="L1437" s="50">
        <v>5.2110000000000003</v>
      </c>
      <c r="M1437" s="66">
        <v>1.6E-2</v>
      </c>
      <c r="N1437" s="57">
        <v>121.664</v>
      </c>
      <c r="O1437" s="67">
        <v>0.05</v>
      </c>
      <c r="P1437" s="96"/>
      <c r="Q1437" s="93"/>
      <c r="R1437" s="93"/>
      <c r="S1437" s="93"/>
      <c r="T1437" s="93"/>
    </row>
    <row r="1438" spans="1:20" ht="14.25" customHeight="1" x14ac:dyDescent="0.35">
      <c r="A1438" s="1">
        <v>2021</v>
      </c>
      <c r="B1438" s="1" t="s">
        <v>34</v>
      </c>
      <c r="C1438" s="1">
        <v>6</v>
      </c>
      <c r="D1438" s="49">
        <v>95.358999999999995</v>
      </c>
      <c r="E1438" s="50">
        <v>81.156000000000006</v>
      </c>
      <c r="F1438" s="60">
        <v>77.927000000000007</v>
      </c>
      <c r="G1438" s="61">
        <v>1589.1120000000001</v>
      </c>
      <c r="H1438" s="62">
        <v>6.9</v>
      </c>
      <c r="I1438" s="63">
        <v>2.5000000000000001E-2</v>
      </c>
      <c r="J1438" s="68">
        <v>8.3919999999999995</v>
      </c>
      <c r="K1438" s="65">
        <v>34.196800000000003</v>
      </c>
      <c r="L1438" s="50">
        <v>5.2104999999999997</v>
      </c>
      <c r="M1438" s="66">
        <v>1.5599999999999999E-2</v>
      </c>
      <c r="N1438" s="57">
        <v>121.506</v>
      </c>
      <c r="O1438" s="67">
        <v>4.9200000000000001E-2</v>
      </c>
      <c r="P1438" s="96"/>
      <c r="Q1438" s="93"/>
      <c r="R1438" s="93"/>
      <c r="S1438" s="93"/>
      <c r="T1438" s="93"/>
    </row>
    <row r="1439" spans="1:20" ht="14.25" customHeight="1" x14ac:dyDescent="0.35">
      <c r="A1439" s="1">
        <v>2021</v>
      </c>
      <c r="B1439" s="1" t="s">
        <v>34</v>
      </c>
      <c r="C1439" s="1">
        <v>7</v>
      </c>
      <c r="D1439" s="49">
        <v>105.53100000000001</v>
      </c>
      <c r="E1439" s="50">
        <v>89.968999999999994</v>
      </c>
      <c r="F1439" s="60">
        <v>77.873999999999995</v>
      </c>
      <c r="G1439" s="61">
        <v>1712.19</v>
      </c>
      <c r="H1439" s="62">
        <v>6.9</v>
      </c>
      <c r="I1439" s="63">
        <v>2.5999999999999999E-2</v>
      </c>
      <c r="J1439" s="68">
        <v>8.7059999999999995</v>
      </c>
      <c r="K1439" s="65">
        <v>37.365000000000002</v>
      </c>
      <c r="L1439" s="50">
        <v>5.218</v>
      </c>
      <c r="M1439" s="66">
        <v>1.6E-2</v>
      </c>
      <c r="N1439" s="57">
        <v>119.544</v>
      </c>
      <c r="O1439" s="67">
        <v>5.7000000000000002E-2</v>
      </c>
      <c r="P1439" s="96"/>
      <c r="Q1439" s="93"/>
      <c r="R1439" s="93"/>
      <c r="S1439" s="93"/>
      <c r="T1439" s="93"/>
    </row>
    <row r="1440" spans="1:20" ht="14.25" customHeight="1" x14ac:dyDescent="0.35">
      <c r="A1440" s="1">
        <v>2021</v>
      </c>
      <c r="B1440" s="1" t="s">
        <v>34</v>
      </c>
      <c r="C1440" s="1">
        <v>8</v>
      </c>
      <c r="D1440" s="49">
        <v>105.51600000000001</v>
      </c>
      <c r="E1440" s="50">
        <v>90</v>
      </c>
      <c r="F1440" s="60">
        <v>78.320999999999998</v>
      </c>
      <c r="G1440" s="69">
        <v>1768.66</v>
      </c>
      <c r="H1440" s="62">
        <v>6.9</v>
      </c>
      <c r="I1440" s="63">
        <v>2.5999999999999999E-2</v>
      </c>
      <c r="J1440" s="71">
        <v>8.4550000000000001</v>
      </c>
      <c r="K1440" s="65">
        <v>39.603000000000002</v>
      </c>
      <c r="L1440" s="50">
        <v>5.2130000000000001</v>
      </c>
      <c r="M1440" s="66">
        <v>1.6E-2</v>
      </c>
      <c r="N1440" s="57">
        <v>120.87</v>
      </c>
      <c r="O1440" s="70">
        <v>5.8999999999999997E-2</v>
      </c>
      <c r="P1440" s="96"/>
      <c r="Q1440" s="93"/>
      <c r="R1440" s="93"/>
      <c r="S1440" s="93"/>
      <c r="T1440" s="93"/>
    </row>
    <row r="1441" spans="1:20" ht="14.25" customHeight="1" x14ac:dyDescent="0.35">
      <c r="A1441" s="1">
        <v>2021</v>
      </c>
      <c r="B1441" s="1" t="s">
        <v>34</v>
      </c>
      <c r="C1441" s="1">
        <v>9</v>
      </c>
      <c r="D1441" s="49">
        <v>43.25</v>
      </c>
      <c r="E1441" s="50">
        <v>36.625</v>
      </c>
      <c r="F1441" s="60">
        <v>76.311999999999998</v>
      </c>
      <c r="G1441" s="61">
        <v>1789.6369999999999</v>
      </c>
      <c r="H1441" s="62">
        <v>6.9039999999999999</v>
      </c>
      <c r="I1441" s="63">
        <v>5.8999999999999997E-2</v>
      </c>
      <c r="J1441" s="68">
        <v>8.6</v>
      </c>
      <c r="K1441" s="65">
        <v>51.878999999999998</v>
      </c>
      <c r="L1441" s="50">
        <v>5.36</v>
      </c>
      <c r="M1441" s="66">
        <v>2.7E-2</v>
      </c>
      <c r="N1441" s="57">
        <v>90.228999999999999</v>
      </c>
      <c r="O1441" s="67">
        <v>6.5000000000000002E-2</v>
      </c>
      <c r="P1441" s="96"/>
      <c r="Q1441" s="93"/>
      <c r="R1441" s="93"/>
      <c r="S1441" s="93"/>
      <c r="T1441" s="93"/>
    </row>
    <row r="1442" spans="1:20" ht="14.25" customHeight="1" x14ac:dyDescent="0.35">
      <c r="A1442" s="1">
        <v>2021</v>
      </c>
      <c r="B1442" s="1" t="s">
        <v>34</v>
      </c>
      <c r="C1442" s="1">
        <v>10</v>
      </c>
      <c r="D1442" s="49">
        <v>108.328</v>
      </c>
      <c r="E1442" s="50">
        <v>92.406000000000006</v>
      </c>
      <c r="F1442" s="72">
        <v>77.554000000000002</v>
      </c>
      <c r="G1442" s="61">
        <v>1723.1389999999999</v>
      </c>
      <c r="H1442" s="62">
        <v>6.9</v>
      </c>
      <c r="I1442" s="63">
        <v>2.4E-2</v>
      </c>
      <c r="J1442" s="76">
        <v>8.3420000000000005</v>
      </c>
      <c r="K1442" s="65">
        <v>38.752000000000002</v>
      </c>
      <c r="L1442" s="50">
        <v>5.101</v>
      </c>
      <c r="M1442" s="74">
        <v>1.6E-2</v>
      </c>
      <c r="N1442" s="57">
        <v>156.84800000000001</v>
      </c>
      <c r="O1442" s="75">
        <v>5.8999999999999997E-2</v>
      </c>
      <c r="P1442" s="96"/>
      <c r="Q1442" s="93"/>
      <c r="R1442" s="93"/>
      <c r="S1442" s="93"/>
      <c r="T1442" s="93"/>
    </row>
    <row r="1443" spans="1:20" ht="14.25" customHeight="1" x14ac:dyDescent="0.35">
      <c r="A1443" s="1">
        <v>2021</v>
      </c>
      <c r="B1443" s="1" t="s">
        <v>34</v>
      </c>
      <c r="C1443" s="1">
        <v>11</v>
      </c>
      <c r="D1443" s="49">
        <v>107.313</v>
      </c>
      <c r="E1443" s="50">
        <v>91.468999999999994</v>
      </c>
      <c r="F1443" s="72">
        <v>77.411000000000001</v>
      </c>
      <c r="G1443" s="61">
        <v>1699.241</v>
      </c>
      <c r="H1443" s="62">
        <v>6.9</v>
      </c>
      <c r="I1443" s="63">
        <v>2.3E-2</v>
      </c>
      <c r="J1443" s="76">
        <v>8.5</v>
      </c>
      <c r="K1443" s="65">
        <v>39.96</v>
      </c>
      <c r="L1443" s="50">
        <v>5.0229999999999997</v>
      </c>
      <c r="M1443" s="74">
        <v>1.4E-2</v>
      </c>
      <c r="N1443" s="57">
        <v>187.572</v>
      </c>
      <c r="O1443" s="75">
        <v>0.06</v>
      </c>
      <c r="P1443" s="96"/>
      <c r="Q1443" s="93"/>
      <c r="R1443" s="93"/>
      <c r="S1443" s="93"/>
      <c r="T1443" s="93"/>
    </row>
    <row r="1444" spans="1:20" ht="14.25" customHeight="1" x14ac:dyDescent="0.35">
      <c r="A1444" s="1">
        <v>2021</v>
      </c>
      <c r="B1444" s="1" t="s">
        <v>34</v>
      </c>
      <c r="C1444" s="1">
        <v>12</v>
      </c>
      <c r="D1444" s="49">
        <v>103.922</v>
      </c>
      <c r="E1444" s="50">
        <v>88.593999999999994</v>
      </c>
      <c r="F1444" s="72">
        <v>77.227000000000004</v>
      </c>
      <c r="G1444" s="61">
        <v>1626.0650000000001</v>
      </c>
      <c r="H1444" s="62">
        <v>6.9</v>
      </c>
      <c r="I1444" s="63">
        <v>2.3E-2</v>
      </c>
      <c r="J1444" s="76">
        <v>8.3829999999999991</v>
      </c>
      <c r="K1444" s="65">
        <v>38.866999999999997</v>
      </c>
      <c r="L1444" s="50">
        <v>5.0199999999999996</v>
      </c>
      <c r="M1444" s="74">
        <v>1.4E-2</v>
      </c>
      <c r="N1444" s="57">
        <v>188.721</v>
      </c>
      <c r="O1444" s="75">
        <v>5.2999999999999999E-2</v>
      </c>
      <c r="P1444" s="96"/>
      <c r="Q1444" s="93"/>
      <c r="R1444" s="93"/>
      <c r="S1444" s="93"/>
      <c r="T1444" s="93"/>
    </row>
    <row r="1445" spans="1:20" ht="14.25" customHeight="1" x14ac:dyDescent="0.35">
      <c r="A1445" s="1">
        <v>2021</v>
      </c>
      <c r="B1445" s="1" t="s">
        <v>34</v>
      </c>
      <c r="C1445" s="1">
        <v>13</v>
      </c>
      <c r="D1445" s="49">
        <v>105.563</v>
      </c>
      <c r="E1445" s="50">
        <v>90</v>
      </c>
      <c r="F1445" s="78">
        <v>76.981999999999999</v>
      </c>
      <c r="G1445" s="61">
        <v>1570.0329999999999</v>
      </c>
      <c r="H1445" s="62">
        <v>6.9</v>
      </c>
      <c r="I1445" s="63">
        <v>2.4E-2</v>
      </c>
      <c r="J1445" s="81">
        <v>8.6679999999999993</v>
      </c>
      <c r="K1445" s="65">
        <v>36.399000000000001</v>
      </c>
      <c r="L1445" s="50">
        <v>5.0140000000000002</v>
      </c>
      <c r="M1445" s="66">
        <v>1.4E-2</v>
      </c>
      <c r="N1445" s="57">
        <v>191.065</v>
      </c>
      <c r="O1445" s="80">
        <v>5.8000000000000003E-2</v>
      </c>
      <c r="P1445" s="96"/>
      <c r="Q1445" s="93"/>
      <c r="R1445" s="93"/>
      <c r="S1445" s="93"/>
      <c r="T1445" s="93"/>
    </row>
    <row r="1446" spans="1:20" ht="14.25" customHeight="1" x14ac:dyDescent="0.35">
      <c r="A1446" s="1">
        <v>2021</v>
      </c>
      <c r="B1446" s="1" t="s">
        <v>34</v>
      </c>
      <c r="C1446" s="1">
        <v>14</v>
      </c>
      <c r="D1446" s="49">
        <v>99.358999999999995</v>
      </c>
      <c r="E1446" s="50">
        <v>84.875</v>
      </c>
      <c r="F1446" s="60">
        <v>75.819999999999993</v>
      </c>
      <c r="G1446" s="61">
        <v>1606.1869999999999</v>
      </c>
      <c r="H1446" s="62">
        <v>6.9</v>
      </c>
      <c r="I1446" s="63">
        <v>2.5000000000000001E-2</v>
      </c>
      <c r="J1446" s="81">
        <v>8.9809999999999999</v>
      </c>
      <c r="K1446" s="82">
        <v>34.061</v>
      </c>
      <c r="L1446" s="50">
        <v>4.9829999999999997</v>
      </c>
      <c r="M1446" s="66">
        <v>1.4E-2</v>
      </c>
      <c r="N1446" s="57">
        <v>204.43600000000001</v>
      </c>
      <c r="O1446" s="80">
        <v>5.6000000000000001E-2</v>
      </c>
      <c r="P1446" s="96"/>
      <c r="Q1446" s="93"/>
      <c r="R1446" s="93"/>
      <c r="S1446" s="93"/>
      <c r="T1446" s="93"/>
    </row>
    <row r="1447" spans="1:20" ht="14.25" customHeight="1" x14ac:dyDescent="0.35">
      <c r="A1447" s="1">
        <v>2021</v>
      </c>
      <c r="B1447" s="1" t="s">
        <v>34</v>
      </c>
      <c r="C1447" s="1">
        <v>15</v>
      </c>
      <c r="D1447" s="49">
        <v>97.858999999999995</v>
      </c>
      <c r="E1447" s="50">
        <v>83.688000000000002</v>
      </c>
      <c r="F1447" s="60">
        <v>75.5</v>
      </c>
      <c r="G1447" s="61">
        <v>1635.01</v>
      </c>
      <c r="H1447" s="62">
        <v>6.9</v>
      </c>
      <c r="I1447" s="63">
        <v>2.5999999999999999E-2</v>
      </c>
      <c r="J1447" s="76">
        <v>8.6560000000000006</v>
      </c>
      <c r="K1447" s="65">
        <v>34.411999999999999</v>
      </c>
      <c r="L1447" s="50">
        <v>4.9950000000000001</v>
      </c>
      <c r="M1447" s="66">
        <v>1.4E-2</v>
      </c>
      <c r="N1447" s="57">
        <v>200.02799999999999</v>
      </c>
      <c r="O1447" s="75">
        <v>5.8000000000000003E-2</v>
      </c>
      <c r="P1447" s="96"/>
      <c r="Q1447" s="93"/>
      <c r="R1447" s="93"/>
      <c r="S1447" s="93"/>
      <c r="T1447" s="93"/>
    </row>
    <row r="1448" spans="1:20" ht="14.25" customHeight="1" x14ac:dyDescent="0.35">
      <c r="A1448" s="1">
        <v>2021</v>
      </c>
      <c r="B1448" s="1" t="s">
        <v>34</v>
      </c>
      <c r="C1448" s="1">
        <v>16</v>
      </c>
      <c r="D1448" s="49">
        <v>99.391000000000005</v>
      </c>
      <c r="E1448" s="50">
        <v>85</v>
      </c>
      <c r="F1448" s="60">
        <v>75.837000000000003</v>
      </c>
      <c r="G1448" s="61">
        <v>1673.7529999999999</v>
      </c>
      <c r="H1448" s="62">
        <v>6.9</v>
      </c>
      <c r="I1448" s="63">
        <v>2.5999999999999999E-2</v>
      </c>
      <c r="J1448" s="81">
        <v>8.5909999999999993</v>
      </c>
      <c r="K1448" s="61">
        <v>35.256</v>
      </c>
      <c r="L1448" s="62">
        <v>4.9889999999999999</v>
      </c>
      <c r="M1448" s="66">
        <v>1.4E-2</v>
      </c>
      <c r="N1448" s="57">
        <v>202.29900000000001</v>
      </c>
      <c r="O1448" s="80">
        <v>5.6000000000000001E-2</v>
      </c>
      <c r="P1448" s="96"/>
      <c r="Q1448" s="93"/>
      <c r="R1448" s="93"/>
      <c r="S1448" s="93"/>
      <c r="T1448" s="93"/>
    </row>
    <row r="1449" spans="1:20" ht="14.25" customHeight="1" x14ac:dyDescent="0.35">
      <c r="A1449" s="1">
        <v>2021</v>
      </c>
      <c r="B1449" s="1" t="s">
        <v>34</v>
      </c>
      <c r="C1449" s="1">
        <v>17</v>
      </c>
      <c r="D1449" s="49">
        <v>99.375</v>
      </c>
      <c r="E1449" s="50">
        <v>84.843999999999994</v>
      </c>
      <c r="F1449" s="60">
        <v>76.319000000000003</v>
      </c>
      <c r="G1449" s="61">
        <v>1683.414</v>
      </c>
      <c r="H1449" s="62">
        <v>6.9</v>
      </c>
      <c r="I1449" s="63">
        <v>2.7E-2</v>
      </c>
      <c r="J1449" s="68">
        <v>8.593</v>
      </c>
      <c r="K1449" s="65">
        <v>35.027000000000001</v>
      </c>
      <c r="L1449" s="50">
        <v>5.032</v>
      </c>
      <c r="M1449" s="66">
        <v>1.4E-2</v>
      </c>
      <c r="N1449" s="57">
        <v>184.14500000000001</v>
      </c>
      <c r="O1449" s="67">
        <v>5.7000000000000002E-2</v>
      </c>
      <c r="P1449" s="96"/>
      <c r="Q1449" s="93"/>
      <c r="R1449" s="93"/>
      <c r="S1449" s="93"/>
      <c r="T1449" s="93"/>
    </row>
    <row r="1450" spans="1:20" ht="14.25" customHeight="1" x14ac:dyDescent="0.35">
      <c r="A1450" s="1">
        <v>2021</v>
      </c>
      <c r="B1450" s="1" t="s">
        <v>34</v>
      </c>
      <c r="C1450" s="1">
        <v>18</v>
      </c>
      <c r="D1450" s="49">
        <v>105.75</v>
      </c>
      <c r="E1450" s="50">
        <v>90.313000000000002</v>
      </c>
      <c r="F1450" s="60">
        <v>76.224000000000004</v>
      </c>
      <c r="G1450" s="61">
        <v>1674.211</v>
      </c>
      <c r="H1450" s="62">
        <v>6.9</v>
      </c>
      <c r="I1450" s="63">
        <v>2.7E-2</v>
      </c>
      <c r="J1450" s="68">
        <v>8.7789999999999999</v>
      </c>
      <c r="K1450" s="61">
        <v>34.281999999999996</v>
      </c>
      <c r="L1450" s="62">
        <v>5.0540000000000003</v>
      </c>
      <c r="M1450" s="66">
        <v>1.4E-2</v>
      </c>
      <c r="N1450" s="57">
        <v>174.167</v>
      </c>
      <c r="O1450" s="67">
        <v>5.6000000000000001E-2</v>
      </c>
      <c r="P1450" s="96"/>
      <c r="Q1450" s="93"/>
      <c r="R1450" s="93"/>
      <c r="S1450" s="93"/>
      <c r="T1450" s="93"/>
    </row>
    <row r="1451" spans="1:20" ht="14.25" customHeight="1" x14ac:dyDescent="0.35">
      <c r="A1451" s="1">
        <v>2021</v>
      </c>
      <c r="B1451" s="1" t="s">
        <v>34</v>
      </c>
      <c r="C1451" s="1">
        <v>19</v>
      </c>
      <c r="D1451" s="49">
        <v>105.422</v>
      </c>
      <c r="E1451" s="50">
        <v>89.968999999999994</v>
      </c>
      <c r="F1451" s="60">
        <v>76.055000000000007</v>
      </c>
      <c r="G1451" s="61">
        <v>1596.7049999999999</v>
      </c>
      <c r="H1451" s="62">
        <v>6.9</v>
      </c>
      <c r="I1451" s="63">
        <v>2.5999999999999999E-2</v>
      </c>
      <c r="J1451" s="68">
        <v>8.7690000000000001</v>
      </c>
      <c r="K1451" s="65">
        <v>32.545999999999999</v>
      </c>
      <c r="L1451" s="50">
        <v>5.0739999999999998</v>
      </c>
      <c r="M1451" s="66">
        <v>1.4E-2</v>
      </c>
      <c r="N1451" s="57">
        <v>166.88399999999999</v>
      </c>
      <c r="O1451" s="67">
        <v>5.0999999999999997E-2</v>
      </c>
      <c r="P1451" s="96"/>
      <c r="Q1451" s="93"/>
      <c r="R1451" s="93"/>
      <c r="S1451" s="93"/>
      <c r="T1451" s="93"/>
    </row>
    <row r="1452" spans="1:20" ht="14.25" customHeight="1" x14ac:dyDescent="0.35">
      <c r="A1452" s="1">
        <v>2021</v>
      </c>
      <c r="B1452" s="1" t="s">
        <v>34</v>
      </c>
      <c r="C1452" s="1">
        <v>20</v>
      </c>
      <c r="D1452" s="49">
        <v>105.25</v>
      </c>
      <c r="E1452" s="50">
        <v>89.875</v>
      </c>
      <c r="F1452" s="60">
        <v>75.903999999999996</v>
      </c>
      <c r="G1452" s="61">
        <v>1546.682</v>
      </c>
      <c r="H1452" s="62">
        <v>6.9</v>
      </c>
      <c r="I1452" s="63">
        <v>2.5999999999999999E-2</v>
      </c>
      <c r="J1452" s="68">
        <v>8.8450000000000006</v>
      </c>
      <c r="K1452" s="61">
        <v>31.628</v>
      </c>
      <c r="L1452" s="62">
        <v>5.0860000000000003</v>
      </c>
      <c r="M1452" s="66">
        <v>1.4E-2</v>
      </c>
      <c r="N1452" s="57">
        <v>161.98699999999999</v>
      </c>
      <c r="O1452" s="67">
        <v>5.5E-2</v>
      </c>
      <c r="P1452" s="96"/>
      <c r="Q1452" s="93"/>
      <c r="R1452" s="93"/>
      <c r="S1452" s="93"/>
      <c r="T1452" s="93"/>
    </row>
    <row r="1453" spans="1:20" ht="14.25" customHeight="1" x14ac:dyDescent="0.35">
      <c r="A1453" s="1">
        <v>2021</v>
      </c>
      <c r="B1453" s="1" t="s">
        <v>34</v>
      </c>
      <c r="C1453" s="1">
        <v>21</v>
      </c>
      <c r="D1453" s="49">
        <v>104.26600000000001</v>
      </c>
      <c r="E1453" s="50">
        <v>89.125</v>
      </c>
      <c r="F1453" s="60">
        <v>76.266000000000005</v>
      </c>
      <c r="G1453" s="61">
        <v>1620.2760000000001</v>
      </c>
      <c r="H1453" s="62">
        <v>6.9</v>
      </c>
      <c r="I1453" s="63">
        <v>2.5999999999999999E-2</v>
      </c>
      <c r="J1453" s="68">
        <v>9.0109999999999992</v>
      </c>
      <c r="K1453" s="65">
        <v>32.119</v>
      </c>
      <c r="L1453" s="50">
        <v>5.202</v>
      </c>
      <c r="M1453" s="66">
        <v>1.4E-2</v>
      </c>
      <c r="N1453" s="57">
        <v>128.35300000000001</v>
      </c>
      <c r="O1453" s="67">
        <v>5.6000000000000001E-2</v>
      </c>
      <c r="P1453" s="96"/>
      <c r="Q1453" s="93"/>
      <c r="R1453" s="93"/>
      <c r="S1453" s="93"/>
      <c r="T1453" s="93"/>
    </row>
    <row r="1454" spans="1:20" ht="14.25" customHeight="1" x14ac:dyDescent="0.35">
      <c r="A1454" s="1">
        <v>2021</v>
      </c>
      <c r="B1454" s="1" t="s">
        <v>34</v>
      </c>
      <c r="C1454" s="1">
        <v>22</v>
      </c>
      <c r="D1454" s="49">
        <v>105.25</v>
      </c>
      <c r="E1454" s="50">
        <v>89.938000000000002</v>
      </c>
      <c r="F1454" s="60">
        <v>76.248000000000005</v>
      </c>
      <c r="G1454" s="61">
        <v>1674.5540000000001</v>
      </c>
      <c r="H1454" s="62">
        <v>6.9</v>
      </c>
      <c r="I1454" s="63">
        <v>2.5999999999999999E-2</v>
      </c>
      <c r="J1454" s="68">
        <v>8.9369999999999994</v>
      </c>
      <c r="K1454" s="61">
        <v>33.402000000000001</v>
      </c>
      <c r="L1454" s="62">
        <v>5.2859999999999996</v>
      </c>
      <c r="M1454" s="66">
        <v>1.4E-2</v>
      </c>
      <c r="N1454" s="57">
        <v>101.79900000000001</v>
      </c>
      <c r="O1454" s="67">
        <v>5.8000000000000003E-2</v>
      </c>
      <c r="P1454" s="96"/>
      <c r="Q1454" s="93"/>
      <c r="R1454" s="93"/>
      <c r="S1454" s="93"/>
      <c r="T1454" s="93"/>
    </row>
    <row r="1455" spans="1:20" ht="14.25" customHeight="1" x14ac:dyDescent="0.35">
      <c r="A1455" s="1">
        <v>2021</v>
      </c>
      <c r="B1455" s="1" t="s">
        <v>34</v>
      </c>
      <c r="C1455" s="1">
        <v>23</v>
      </c>
      <c r="D1455" s="49">
        <v>110.922</v>
      </c>
      <c r="E1455" s="50">
        <v>94.563000000000002</v>
      </c>
      <c r="F1455" s="60">
        <v>75.617000000000004</v>
      </c>
      <c r="G1455" s="61">
        <v>1680.9849999999999</v>
      </c>
      <c r="H1455" s="62">
        <v>6.9</v>
      </c>
      <c r="I1455" s="63">
        <v>2.5999999999999999E-2</v>
      </c>
      <c r="J1455" s="68">
        <v>8.7729999999999997</v>
      </c>
      <c r="K1455" s="65">
        <v>33.808999999999997</v>
      </c>
      <c r="L1455" s="50">
        <v>5.2670000000000003</v>
      </c>
      <c r="M1455" s="66">
        <v>1.4E-2</v>
      </c>
      <c r="N1455" s="57">
        <v>106.39700000000001</v>
      </c>
      <c r="O1455" s="67">
        <v>5.3999999999999999E-2</v>
      </c>
      <c r="P1455" s="96"/>
      <c r="Q1455" s="93"/>
      <c r="R1455" s="93"/>
      <c r="S1455" s="93"/>
      <c r="T1455" s="93"/>
    </row>
    <row r="1456" spans="1:20" ht="14.25" customHeight="1" x14ac:dyDescent="0.35">
      <c r="A1456" s="1">
        <v>2021</v>
      </c>
      <c r="B1456" s="1" t="s">
        <v>34</v>
      </c>
      <c r="C1456" s="1">
        <v>24</v>
      </c>
      <c r="D1456" s="49">
        <v>108.563</v>
      </c>
      <c r="E1456" s="50">
        <v>92.5</v>
      </c>
      <c r="F1456" s="60">
        <v>74.378</v>
      </c>
      <c r="G1456" s="61">
        <v>1478.502</v>
      </c>
      <c r="H1456" s="62">
        <v>6.9</v>
      </c>
      <c r="I1456" s="63">
        <v>2.5999999999999999E-2</v>
      </c>
      <c r="J1456" s="68">
        <v>8.2390000000000008</v>
      </c>
      <c r="K1456" s="61">
        <v>27.259</v>
      </c>
      <c r="L1456" s="62">
        <v>5.258</v>
      </c>
      <c r="M1456" s="66">
        <v>1.4E-2</v>
      </c>
      <c r="N1456" s="57">
        <v>108.82</v>
      </c>
      <c r="O1456" s="67">
        <v>4.9000000000000002E-2</v>
      </c>
      <c r="P1456" s="96"/>
      <c r="Q1456" s="93"/>
      <c r="R1456" s="93"/>
      <c r="S1456" s="93"/>
      <c r="T1456" s="93"/>
    </row>
    <row r="1457" spans="1:20" ht="14.25" customHeight="1" x14ac:dyDescent="0.35">
      <c r="A1457" s="1">
        <v>2021</v>
      </c>
      <c r="B1457" s="1" t="s">
        <v>34</v>
      </c>
      <c r="C1457" s="1">
        <v>25</v>
      </c>
      <c r="D1457" s="49">
        <v>105.828</v>
      </c>
      <c r="E1457" s="50">
        <v>90.156000000000006</v>
      </c>
      <c r="F1457" s="60">
        <v>74.372</v>
      </c>
      <c r="G1457" s="61">
        <v>1484.0609999999999</v>
      </c>
      <c r="H1457" s="62">
        <v>6.9009999999999998</v>
      </c>
      <c r="I1457" s="63">
        <v>2.3E-2</v>
      </c>
      <c r="J1457" s="68">
        <v>7.6890000000000001</v>
      </c>
      <c r="K1457" s="65">
        <v>28.221</v>
      </c>
      <c r="L1457" s="50">
        <v>5.2549999999999999</v>
      </c>
      <c r="M1457" s="66">
        <v>1.4E-2</v>
      </c>
      <c r="N1457" s="57">
        <v>109.839</v>
      </c>
      <c r="O1457" s="67">
        <v>0.05</v>
      </c>
      <c r="P1457" s="96"/>
      <c r="Q1457" s="93"/>
      <c r="R1457" s="93"/>
      <c r="S1457" s="93"/>
      <c r="T1457" s="93"/>
    </row>
    <row r="1458" spans="1:20" ht="14.25" customHeight="1" x14ac:dyDescent="0.35">
      <c r="A1458" s="1">
        <v>2021</v>
      </c>
      <c r="B1458" s="1" t="s">
        <v>34</v>
      </c>
      <c r="C1458" s="1">
        <v>26</v>
      </c>
      <c r="D1458" s="49">
        <v>102.73399999999999</v>
      </c>
      <c r="E1458" s="50">
        <v>87.5</v>
      </c>
      <c r="F1458" s="60">
        <v>74.177000000000007</v>
      </c>
      <c r="G1458" s="61">
        <v>1476.944</v>
      </c>
      <c r="H1458" s="62">
        <v>6.9</v>
      </c>
      <c r="I1458" s="63">
        <v>2.5000000000000001E-2</v>
      </c>
      <c r="J1458" s="68">
        <v>7.7830000000000004</v>
      </c>
      <c r="K1458" s="61">
        <v>30.13</v>
      </c>
      <c r="L1458" s="62">
        <v>5.2679999999999998</v>
      </c>
      <c r="M1458" s="66">
        <v>1.4E-2</v>
      </c>
      <c r="N1458" s="57">
        <v>106.476</v>
      </c>
      <c r="O1458" s="67">
        <v>4.3999999999999997E-2</v>
      </c>
      <c r="P1458" s="96"/>
      <c r="Q1458" s="93"/>
      <c r="R1458" s="93"/>
      <c r="S1458" s="93"/>
      <c r="T1458" s="93"/>
    </row>
    <row r="1459" spans="1:20" ht="14.25" customHeight="1" x14ac:dyDescent="0.35">
      <c r="A1459" s="1">
        <v>2021</v>
      </c>
      <c r="B1459" s="1" t="s">
        <v>34</v>
      </c>
      <c r="C1459" s="1">
        <v>27</v>
      </c>
      <c r="D1459" s="12">
        <v>99.843999999999994</v>
      </c>
      <c r="E1459" s="13">
        <v>85.093999999999994</v>
      </c>
      <c r="F1459" s="60">
        <v>74.27</v>
      </c>
      <c r="G1459" s="61">
        <v>1533.3109999999999</v>
      </c>
      <c r="H1459" s="62">
        <v>6.9</v>
      </c>
      <c r="I1459" s="63">
        <v>2.4E-2</v>
      </c>
      <c r="J1459" s="68">
        <v>8.3320000000000007</v>
      </c>
      <c r="K1459" s="65">
        <v>30.408000000000001</v>
      </c>
      <c r="L1459" s="50">
        <v>5.2480000000000002</v>
      </c>
      <c r="M1459" s="66">
        <v>1.4E-2</v>
      </c>
      <c r="N1459" s="57">
        <v>111.274</v>
      </c>
      <c r="O1459" s="67">
        <v>4.9000000000000002E-2</v>
      </c>
      <c r="P1459" s="96"/>
      <c r="Q1459" s="93"/>
      <c r="R1459" s="93"/>
      <c r="S1459" s="93"/>
      <c r="T1459" s="93"/>
    </row>
    <row r="1460" spans="1:20" ht="14.25" customHeight="1" x14ac:dyDescent="0.35">
      <c r="A1460" s="1">
        <v>2021</v>
      </c>
      <c r="B1460" s="1" t="s">
        <v>34</v>
      </c>
      <c r="C1460" s="1">
        <v>28</v>
      </c>
      <c r="D1460" s="12">
        <v>99.641000000000005</v>
      </c>
      <c r="E1460" s="13">
        <v>84.968999999999994</v>
      </c>
      <c r="F1460" s="60">
        <v>74.192999999999998</v>
      </c>
      <c r="G1460" s="61">
        <v>1626.019</v>
      </c>
      <c r="H1460" s="62">
        <v>6.9</v>
      </c>
      <c r="I1460" s="63">
        <v>2.4E-2</v>
      </c>
      <c r="J1460" s="68">
        <v>8.5039999999999996</v>
      </c>
      <c r="K1460" s="61">
        <v>31.43</v>
      </c>
      <c r="L1460" s="62">
        <v>5.2380000000000004</v>
      </c>
      <c r="M1460" s="66">
        <v>1.4E-2</v>
      </c>
      <c r="N1460" s="57">
        <v>114.01600000000001</v>
      </c>
      <c r="O1460" s="67">
        <v>5.3999999999999999E-2</v>
      </c>
      <c r="P1460" s="96"/>
      <c r="Q1460" s="93"/>
      <c r="R1460" s="93"/>
      <c r="S1460" s="93"/>
      <c r="T1460" s="93"/>
    </row>
    <row r="1461" spans="1:20" ht="14.25" customHeight="1" x14ac:dyDescent="0.35">
      <c r="A1461" s="1">
        <v>2021</v>
      </c>
      <c r="B1461" s="1" t="s">
        <v>34</v>
      </c>
      <c r="C1461" s="1">
        <v>29</v>
      </c>
      <c r="D1461" s="12">
        <v>99.625</v>
      </c>
      <c r="E1461" s="13">
        <v>85</v>
      </c>
      <c r="F1461" s="83">
        <v>74.372</v>
      </c>
      <c r="G1461" s="69">
        <v>1656.02</v>
      </c>
      <c r="H1461" s="50">
        <v>6.9</v>
      </c>
      <c r="I1461" s="66">
        <v>2.4E-2</v>
      </c>
      <c r="J1461" s="117">
        <v>8.56</v>
      </c>
      <c r="K1461" s="61">
        <v>32.779000000000003</v>
      </c>
      <c r="L1461" s="62">
        <v>5.2439999999999998</v>
      </c>
      <c r="M1461" s="66">
        <v>1.4999999999999999E-2</v>
      </c>
      <c r="N1461" s="57">
        <v>112.352</v>
      </c>
      <c r="O1461" s="84">
        <v>5.5E-2</v>
      </c>
      <c r="P1461" s="96"/>
      <c r="Q1461" s="93"/>
      <c r="R1461" s="93"/>
      <c r="S1461" s="93"/>
      <c r="T1461" s="93"/>
    </row>
    <row r="1462" spans="1:20" ht="14.25" customHeight="1" x14ac:dyDescent="0.35">
      <c r="A1462" s="1">
        <v>2021</v>
      </c>
      <c r="B1462" s="1" t="s">
        <v>34</v>
      </c>
      <c r="C1462" s="1">
        <v>30</v>
      </c>
      <c r="D1462" s="12">
        <v>100.64100000000001</v>
      </c>
      <c r="E1462" s="13">
        <v>85.875</v>
      </c>
      <c r="F1462" s="83">
        <v>74.072999999999993</v>
      </c>
      <c r="G1462" s="69">
        <v>1614.865</v>
      </c>
      <c r="H1462" s="50">
        <v>6.9</v>
      </c>
      <c r="I1462" s="66">
        <v>2.4E-2</v>
      </c>
      <c r="J1462" s="117">
        <v>8.4049999999999994</v>
      </c>
      <c r="K1462" s="61">
        <v>30.614000000000001</v>
      </c>
      <c r="L1462" s="62">
        <v>5.24</v>
      </c>
      <c r="M1462" s="66">
        <v>1.4E-2</v>
      </c>
      <c r="N1462" s="57">
        <v>113.419</v>
      </c>
      <c r="O1462" s="84">
        <v>0.05</v>
      </c>
      <c r="P1462" s="96"/>
      <c r="Q1462" s="93"/>
      <c r="R1462" s="93"/>
      <c r="S1462" s="93"/>
      <c r="T1462" s="93"/>
    </row>
    <row r="1463" spans="1:20" ht="14.25" customHeight="1" x14ac:dyDescent="0.35">
      <c r="A1463" s="1">
        <v>2021</v>
      </c>
      <c r="B1463" s="1" t="s">
        <v>34</v>
      </c>
      <c r="C1463" s="1">
        <v>31</v>
      </c>
      <c r="D1463" s="85">
        <v>104.65600000000001</v>
      </c>
      <c r="E1463" s="86">
        <v>89.218999999999994</v>
      </c>
      <c r="F1463" s="87">
        <v>74.058000000000007</v>
      </c>
      <c r="G1463" s="88">
        <v>1593.704</v>
      </c>
      <c r="H1463" s="89">
        <v>6.9</v>
      </c>
      <c r="I1463" s="90">
        <v>2.4E-2</v>
      </c>
      <c r="J1463" s="131">
        <v>8.3780000000000001</v>
      </c>
      <c r="K1463" s="61">
        <v>29.696999999999999</v>
      </c>
      <c r="L1463" s="64">
        <v>5.2409999999999997</v>
      </c>
      <c r="M1463" s="66">
        <v>1.4E-2</v>
      </c>
      <c r="N1463" s="57">
        <v>113.024</v>
      </c>
      <c r="O1463" s="66">
        <v>5.0999999999999997E-2</v>
      </c>
      <c r="P1463" s="96"/>
      <c r="Q1463" s="93"/>
      <c r="R1463" s="93"/>
      <c r="S1463" s="93"/>
      <c r="T1463" s="93"/>
    </row>
    <row r="1464" spans="1:20" ht="14.25" customHeight="1" x14ac:dyDescent="0.35">
      <c r="A1464" s="1">
        <v>2020</v>
      </c>
      <c r="B1464" s="1" t="s">
        <v>22</v>
      </c>
      <c r="C1464" s="1">
        <v>1</v>
      </c>
      <c r="D1464" s="50">
        <v>113.453</v>
      </c>
      <c r="E1464" s="146">
        <v>96.688000000000002</v>
      </c>
      <c r="F1464" s="147">
        <v>75.117000000000004</v>
      </c>
      <c r="G1464" s="69">
        <v>1653.91</v>
      </c>
      <c r="H1464" s="50">
        <v>6.9</v>
      </c>
      <c r="I1464" s="50">
        <v>0.105</v>
      </c>
      <c r="J1464" s="148">
        <v>7.407</v>
      </c>
      <c r="K1464" s="149">
        <v>28.873000000000001</v>
      </c>
      <c r="L1464" s="50">
        <v>5.4930000000000003</v>
      </c>
      <c r="M1464" s="50">
        <v>5.7000000000000002E-2</v>
      </c>
      <c r="N1464" s="69">
        <v>63.543999999999997</v>
      </c>
      <c r="O1464" s="150">
        <v>3.9E-2</v>
      </c>
      <c r="P1464" s="96"/>
      <c r="Q1464" s="93"/>
      <c r="R1464" s="93"/>
      <c r="S1464" s="93"/>
      <c r="T1464" s="93"/>
    </row>
    <row r="1465" spans="1:20" ht="14.25" customHeight="1" x14ac:dyDescent="0.35">
      <c r="A1465" s="1">
        <v>2020</v>
      </c>
      <c r="B1465" s="1" t="s">
        <v>22</v>
      </c>
      <c r="C1465" s="1">
        <v>2</v>
      </c>
      <c r="D1465" s="50">
        <v>112.98399999999999</v>
      </c>
      <c r="E1465" s="146">
        <v>96.093999999999994</v>
      </c>
      <c r="F1465" s="147">
        <v>75.036000000000001</v>
      </c>
      <c r="G1465" s="69">
        <v>1631.8589999999999</v>
      </c>
      <c r="H1465" s="50">
        <v>6.9</v>
      </c>
      <c r="I1465" s="50">
        <v>0.114</v>
      </c>
      <c r="J1465" s="148">
        <v>7.6829999999999998</v>
      </c>
      <c r="K1465" s="149">
        <v>29.361999999999998</v>
      </c>
      <c r="L1465" s="50">
        <v>5.5060000000000002</v>
      </c>
      <c r="M1465" s="50">
        <v>5.8000000000000003E-2</v>
      </c>
      <c r="N1465" s="69">
        <v>61.447000000000003</v>
      </c>
      <c r="O1465" s="150">
        <v>3.6999999999999998E-2</v>
      </c>
      <c r="P1465" s="96"/>
      <c r="Q1465" s="93"/>
      <c r="R1465" s="93"/>
      <c r="S1465" s="93"/>
      <c r="T1465" s="93"/>
    </row>
    <row r="1466" spans="1:20" ht="14.25" customHeight="1" x14ac:dyDescent="0.35">
      <c r="A1466" s="1">
        <v>2020</v>
      </c>
      <c r="B1466" s="1" t="s">
        <v>22</v>
      </c>
      <c r="C1466" s="1">
        <v>3</v>
      </c>
      <c r="D1466" s="50">
        <v>113.59399999999999</v>
      </c>
      <c r="E1466" s="146">
        <v>96.656000000000006</v>
      </c>
      <c r="F1466" s="147">
        <v>75.497</v>
      </c>
      <c r="G1466" s="151">
        <v>1707.4159999999999</v>
      </c>
      <c r="H1466" s="50">
        <v>6.9</v>
      </c>
      <c r="I1466" s="50">
        <v>0.09</v>
      </c>
      <c r="J1466" s="148">
        <v>7.8419999999999996</v>
      </c>
      <c r="K1466" s="149">
        <v>30.181000000000001</v>
      </c>
      <c r="L1466" s="50">
        <v>5.4340000000000002</v>
      </c>
      <c r="M1466" s="50">
        <v>5.6000000000000001E-2</v>
      </c>
      <c r="N1466" s="69">
        <v>72.692999999999998</v>
      </c>
      <c r="O1466" s="150">
        <v>4.2999999999999997E-2</v>
      </c>
      <c r="P1466" s="96"/>
      <c r="Q1466" s="93"/>
      <c r="R1466" s="93"/>
      <c r="S1466" s="93"/>
      <c r="T1466" s="93"/>
    </row>
    <row r="1467" spans="1:20" ht="14.25" customHeight="1" x14ac:dyDescent="0.35">
      <c r="A1467" s="1">
        <v>2020</v>
      </c>
      <c r="B1467" s="1" t="s">
        <v>22</v>
      </c>
      <c r="C1467" s="1">
        <v>4</v>
      </c>
      <c r="D1467" s="50">
        <v>114.14100000000001</v>
      </c>
      <c r="E1467" s="146">
        <v>97.125</v>
      </c>
      <c r="F1467" s="147">
        <v>75.286000000000001</v>
      </c>
      <c r="G1467" s="69">
        <v>1690.9929999999999</v>
      </c>
      <c r="H1467" s="50">
        <v>6.9</v>
      </c>
      <c r="I1467" s="50">
        <v>7.6999999999999999E-2</v>
      </c>
      <c r="J1467" s="148">
        <v>7.7779999999999996</v>
      </c>
      <c r="K1467" s="149">
        <v>30.06</v>
      </c>
      <c r="L1467" s="50">
        <v>5.41</v>
      </c>
      <c r="M1467" s="50">
        <v>5.2999999999999999E-2</v>
      </c>
      <c r="N1467" s="69">
        <v>76.605999999999995</v>
      </c>
      <c r="O1467" s="150">
        <v>4.2000000000000003E-2</v>
      </c>
      <c r="P1467" s="96"/>
      <c r="Q1467" s="93"/>
      <c r="R1467" s="93"/>
      <c r="S1467" s="93"/>
      <c r="T1467" s="93"/>
    </row>
    <row r="1468" spans="1:20" ht="14.25" customHeight="1" x14ac:dyDescent="0.35">
      <c r="A1468" s="1">
        <v>2020</v>
      </c>
      <c r="B1468" s="1" t="s">
        <v>22</v>
      </c>
      <c r="C1468" s="1">
        <v>5</v>
      </c>
      <c r="D1468" s="50">
        <v>113.375</v>
      </c>
      <c r="E1468" s="146">
        <v>96.406000000000006</v>
      </c>
      <c r="F1468" s="147">
        <v>75.328000000000003</v>
      </c>
      <c r="G1468" s="69">
        <v>1653.7059999999999</v>
      </c>
      <c r="H1468" s="50">
        <v>6.9</v>
      </c>
      <c r="I1468" s="50">
        <v>8.1000000000000003E-2</v>
      </c>
      <c r="J1468" s="148">
        <v>7.9729999999999999</v>
      </c>
      <c r="K1468" s="149">
        <v>28.544</v>
      </c>
      <c r="L1468" s="50">
        <v>5.4039999999999999</v>
      </c>
      <c r="M1468" s="50">
        <v>5.5E-2</v>
      </c>
      <c r="N1468" s="69">
        <v>77.625</v>
      </c>
      <c r="O1468" s="150">
        <v>0.04</v>
      </c>
      <c r="P1468" s="96"/>
      <c r="Q1468" s="93"/>
      <c r="R1468" s="93"/>
      <c r="S1468" s="93"/>
      <c r="T1468" s="93"/>
    </row>
    <row r="1469" spans="1:20" ht="14.25" customHeight="1" x14ac:dyDescent="0.35">
      <c r="A1469" s="1">
        <v>2020</v>
      </c>
      <c r="B1469" s="1" t="s">
        <v>22</v>
      </c>
      <c r="C1469" s="1">
        <v>6</v>
      </c>
      <c r="D1469" s="50">
        <v>111.547</v>
      </c>
      <c r="E1469" s="146">
        <v>94.968999999999994</v>
      </c>
      <c r="F1469" s="147">
        <v>75.537999999999997</v>
      </c>
      <c r="G1469" s="69">
        <v>1641.683</v>
      </c>
      <c r="H1469" s="50">
        <v>6.9</v>
      </c>
      <c r="I1469" s="50">
        <v>7.0999999999999994E-2</v>
      </c>
      <c r="J1469" s="148">
        <v>7.6970000000000001</v>
      </c>
      <c r="K1469" s="149">
        <v>28.361000000000001</v>
      </c>
      <c r="L1469" s="50">
        <v>5.4039999999999999</v>
      </c>
      <c r="M1469" s="50">
        <v>5.8000000000000003E-2</v>
      </c>
      <c r="N1469" s="69">
        <v>77.935000000000002</v>
      </c>
      <c r="O1469" s="150">
        <v>3.7999999999999999E-2</v>
      </c>
      <c r="P1469" s="96"/>
      <c r="Q1469" s="93"/>
      <c r="R1469" s="93"/>
      <c r="S1469" s="93"/>
      <c r="T1469" s="93"/>
    </row>
    <row r="1470" spans="1:20" ht="14.25" customHeight="1" x14ac:dyDescent="0.35">
      <c r="A1470" s="1">
        <v>2020</v>
      </c>
      <c r="B1470" s="1" t="s">
        <v>22</v>
      </c>
      <c r="C1470" s="1">
        <v>7</v>
      </c>
      <c r="D1470" s="50">
        <v>111.625</v>
      </c>
      <c r="E1470" s="146">
        <v>95</v>
      </c>
      <c r="F1470" s="147">
        <v>75.603999999999999</v>
      </c>
      <c r="G1470" s="69">
        <v>1738.2139999999999</v>
      </c>
      <c r="H1470" s="50">
        <v>6.9</v>
      </c>
      <c r="I1470" s="50">
        <v>7.1999999999999995E-2</v>
      </c>
      <c r="J1470" s="148">
        <v>7.8760000000000003</v>
      </c>
      <c r="K1470" s="149">
        <v>30.247</v>
      </c>
      <c r="L1470" s="50">
        <v>5.3979999999999997</v>
      </c>
      <c r="M1470" s="50">
        <v>5.8000000000000003E-2</v>
      </c>
      <c r="N1470" s="69">
        <v>78.676000000000002</v>
      </c>
      <c r="O1470" s="150">
        <v>4.4999999999999998E-2</v>
      </c>
      <c r="P1470" s="96"/>
      <c r="Q1470" s="93"/>
      <c r="R1470" s="93"/>
      <c r="S1470" s="93"/>
      <c r="T1470" s="93"/>
    </row>
    <row r="1471" spans="1:20" ht="14.25" customHeight="1" x14ac:dyDescent="0.35">
      <c r="A1471" s="1">
        <v>2020</v>
      </c>
      <c r="B1471" s="1" t="s">
        <v>22</v>
      </c>
      <c r="C1471" s="1">
        <v>8</v>
      </c>
      <c r="D1471" s="50">
        <v>112.64100000000001</v>
      </c>
      <c r="E1471" s="146">
        <v>95.813000000000002</v>
      </c>
      <c r="F1471" s="147">
        <v>75.325999999999993</v>
      </c>
      <c r="G1471" s="69">
        <v>1780.807</v>
      </c>
      <c r="H1471" s="50">
        <v>6.9</v>
      </c>
      <c r="I1471" s="50">
        <v>7.5999999999999998E-2</v>
      </c>
      <c r="J1471" s="148">
        <v>7.83</v>
      </c>
      <c r="K1471" s="149">
        <v>30.786999999999999</v>
      </c>
      <c r="L1471" s="50">
        <v>5.4009999999999998</v>
      </c>
      <c r="M1471" s="50">
        <v>5.7000000000000002E-2</v>
      </c>
      <c r="N1471" s="69">
        <v>78.292000000000002</v>
      </c>
      <c r="O1471" s="150">
        <v>4.7E-2</v>
      </c>
      <c r="P1471" s="96"/>
      <c r="Q1471" s="93"/>
      <c r="R1471" s="93"/>
      <c r="S1471" s="93"/>
      <c r="T1471" s="93"/>
    </row>
    <row r="1472" spans="1:20" ht="14.25" customHeight="1" x14ac:dyDescent="0.35">
      <c r="A1472" s="1">
        <v>2020</v>
      </c>
      <c r="B1472" s="1" t="s">
        <v>22</v>
      </c>
      <c r="C1472" s="1">
        <v>9</v>
      </c>
      <c r="D1472" s="50">
        <v>113.828</v>
      </c>
      <c r="E1472" s="146">
        <v>96.938000000000002</v>
      </c>
      <c r="F1472" s="147">
        <v>75.373999999999995</v>
      </c>
      <c r="G1472" s="69">
        <v>1787.6759999999999</v>
      </c>
      <c r="H1472" s="50">
        <v>6.9</v>
      </c>
      <c r="I1472" s="50">
        <v>7.3999999999999996E-2</v>
      </c>
      <c r="J1472" s="148">
        <v>7.6740000000000004</v>
      </c>
      <c r="K1472" s="149">
        <v>30.585000000000001</v>
      </c>
      <c r="L1472" s="50">
        <v>5.4050000000000002</v>
      </c>
      <c r="M1472" s="50">
        <v>5.6000000000000001E-2</v>
      </c>
      <c r="N1472" s="69">
        <v>77.688000000000002</v>
      </c>
      <c r="O1472" s="150">
        <v>4.2000000000000003E-2</v>
      </c>
      <c r="P1472" s="96"/>
      <c r="Q1472" s="93"/>
      <c r="R1472" s="93"/>
      <c r="S1472" s="93"/>
      <c r="T1472" s="93"/>
    </row>
    <row r="1473" spans="1:20" ht="14.25" customHeight="1" x14ac:dyDescent="0.35">
      <c r="A1473" s="1">
        <v>2020</v>
      </c>
      <c r="B1473" s="1" t="s">
        <v>22</v>
      </c>
      <c r="C1473" s="1">
        <v>10</v>
      </c>
      <c r="D1473" s="50">
        <v>117.625</v>
      </c>
      <c r="E1473" s="146">
        <v>99.968999999999994</v>
      </c>
      <c r="F1473" s="152">
        <v>75.168000000000006</v>
      </c>
      <c r="G1473" s="69">
        <v>1794.557</v>
      </c>
      <c r="H1473" s="50">
        <v>6.9</v>
      </c>
      <c r="I1473" s="50">
        <v>7.3999999999999996E-2</v>
      </c>
      <c r="J1473" s="153">
        <v>7.5979999999999999</v>
      </c>
      <c r="K1473" s="149">
        <v>30.561</v>
      </c>
      <c r="L1473" s="50">
        <v>5.4249999999999998</v>
      </c>
      <c r="M1473" s="77">
        <v>5.6000000000000001E-2</v>
      </c>
      <c r="N1473" s="69">
        <v>74.111000000000004</v>
      </c>
      <c r="O1473" s="154">
        <v>4.2000000000000003E-2</v>
      </c>
      <c r="P1473" s="96"/>
      <c r="Q1473" s="93"/>
      <c r="R1473" s="93"/>
      <c r="S1473" s="93"/>
      <c r="T1473" s="93"/>
    </row>
    <row r="1474" spans="1:20" ht="14.25" customHeight="1" x14ac:dyDescent="0.35">
      <c r="A1474" s="1">
        <v>2020</v>
      </c>
      <c r="B1474" s="1" t="s">
        <v>22</v>
      </c>
      <c r="C1474" s="1">
        <v>11</v>
      </c>
      <c r="D1474" s="50">
        <v>114.84399999999999</v>
      </c>
      <c r="E1474" s="146">
        <v>97.563000000000002</v>
      </c>
      <c r="F1474" s="152">
        <v>74.816999999999993</v>
      </c>
      <c r="G1474" s="69">
        <v>1756.299</v>
      </c>
      <c r="H1474" s="50">
        <v>6.9</v>
      </c>
      <c r="I1474" s="50">
        <v>0.08</v>
      </c>
      <c r="J1474" s="153">
        <v>7.6159999999999997</v>
      </c>
      <c r="K1474" s="149">
        <v>29.707000000000001</v>
      </c>
      <c r="L1474" s="50">
        <v>5.452</v>
      </c>
      <c r="M1474" s="77">
        <v>5.3999999999999999E-2</v>
      </c>
      <c r="N1474" s="69">
        <v>69.427000000000007</v>
      </c>
      <c r="O1474" s="154">
        <v>0.04</v>
      </c>
      <c r="P1474" s="96"/>
      <c r="Q1474" s="93"/>
      <c r="R1474" s="93"/>
      <c r="S1474" s="93"/>
      <c r="T1474" s="93"/>
    </row>
    <row r="1475" spans="1:20" ht="14.25" customHeight="1" x14ac:dyDescent="0.35">
      <c r="A1475" s="1">
        <v>2020</v>
      </c>
      <c r="B1475" s="1" t="s">
        <v>22</v>
      </c>
      <c r="C1475" s="1">
        <v>12</v>
      </c>
      <c r="D1475" s="50">
        <v>114.03100000000001</v>
      </c>
      <c r="E1475" s="146">
        <v>96.843999999999994</v>
      </c>
      <c r="F1475" s="152">
        <v>74.867999999999995</v>
      </c>
      <c r="G1475" s="69">
        <v>1694.577</v>
      </c>
      <c r="H1475" s="50">
        <v>6.9</v>
      </c>
      <c r="I1475" s="50">
        <v>7.9000000000000001E-2</v>
      </c>
      <c r="J1475" s="153">
        <v>7.4569999999999999</v>
      </c>
      <c r="K1475" s="149">
        <v>27.937999999999999</v>
      </c>
      <c r="L1475" s="50">
        <v>5.4450000000000003</v>
      </c>
      <c r="M1475" s="77">
        <v>5.1999999999999998E-2</v>
      </c>
      <c r="N1475" s="69">
        <v>70.731999999999999</v>
      </c>
      <c r="O1475" s="154">
        <v>3.5999999999999997E-2</v>
      </c>
      <c r="P1475" s="96"/>
      <c r="Q1475" s="93"/>
      <c r="R1475" s="93"/>
      <c r="S1475" s="93"/>
      <c r="T1475" s="93"/>
    </row>
    <row r="1476" spans="1:20" ht="14.25" customHeight="1" x14ac:dyDescent="0.35">
      <c r="A1476" s="1">
        <v>2020</v>
      </c>
      <c r="B1476" s="1" t="s">
        <v>22</v>
      </c>
      <c r="C1476" s="1">
        <v>13</v>
      </c>
      <c r="D1476" s="50">
        <v>111.59399999999999</v>
      </c>
      <c r="E1476" s="146">
        <v>94.906000000000006</v>
      </c>
      <c r="F1476" s="152">
        <v>74.864999999999995</v>
      </c>
      <c r="G1476" s="69">
        <v>1675.442</v>
      </c>
      <c r="H1476" s="50">
        <v>6.9</v>
      </c>
      <c r="I1476" s="50">
        <v>8.2000000000000003E-2</v>
      </c>
      <c r="J1476" s="153">
        <v>7.5880000000000001</v>
      </c>
      <c r="K1476" s="149">
        <v>28.242999999999999</v>
      </c>
      <c r="L1476" s="50">
        <v>5.4530000000000003</v>
      </c>
      <c r="M1476" s="50">
        <v>5.6000000000000001E-2</v>
      </c>
      <c r="N1476" s="69">
        <v>69.522999999999996</v>
      </c>
      <c r="O1476" s="154">
        <v>3.5999999999999997E-2</v>
      </c>
      <c r="P1476" s="96"/>
      <c r="Q1476" s="93"/>
      <c r="R1476" s="93"/>
      <c r="S1476" s="93"/>
      <c r="T1476" s="93"/>
    </row>
    <row r="1477" spans="1:20" ht="14.25" customHeight="1" x14ac:dyDescent="0.35">
      <c r="A1477" s="1">
        <v>2020</v>
      </c>
      <c r="B1477" s="1" t="s">
        <v>22</v>
      </c>
      <c r="C1477" s="1">
        <v>14</v>
      </c>
      <c r="D1477" s="50">
        <v>111.75</v>
      </c>
      <c r="E1477" s="146">
        <v>95.063000000000002</v>
      </c>
      <c r="F1477" s="147">
        <v>74.83</v>
      </c>
      <c r="G1477" s="69">
        <v>1742.4079999999999</v>
      </c>
      <c r="H1477" s="50">
        <v>6.9</v>
      </c>
      <c r="I1477" s="50">
        <v>7.9000000000000001E-2</v>
      </c>
      <c r="J1477" s="153">
        <v>8.0329999999999995</v>
      </c>
      <c r="K1477" s="155">
        <v>27.920999999999999</v>
      </c>
      <c r="L1477" s="50">
        <v>5.4390000000000001</v>
      </c>
      <c r="M1477" s="50">
        <v>5.7000000000000002E-2</v>
      </c>
      <c r="N1477" s="69">
        <v>71.86</v>
      </c>
      <c r="O1477" s="154">
        <v>4.2000000000000003E-2</v>
      </c>
      <c r="P1477" s="96"/>
      <c r="Q1477" s="93"/>
      <c r="R1477" s="93"/>
      <c r="S1477" s="93"/>
      <c r="T1477" s="93"/>
    </row>
    <row r="1478" spans="1:20" ht="14.25" customHeight="1" x14ac:dyDescent="0.35">
      <c r="A1478" s="1">
        <v>2020</v>
      </c>
      <c r="B1478" s="1" t="s">
        <v>22</v>
      </c>
      <c r="C1478" s="1">
        <v>15</v>
      </c>
      <c r="D1478" s="50">
        <v>111.563</v>
      </c>
      <c r="E1478" s="146">
        <v>94.875</v>
      </c>
      <c r="F1478" s="147">
        <v>74.963999999999999</v>
      </c>
      <c r="G1478" s="69">
        <v>1752.739</v>
      </c>
      <c r="H1478" s="50">
        <v>6.9</v>
      </c>
      <c r="I1478" s="50">
        <v>7.5999999999999998E-2</v>
      </c>
      <c r="J1478" s="153">
        <v>7.8789999999999996</v>
      </c>
      <c r="K1478" s="149">
        <v>28.917000000000002</v>
      </c>
      <c r="L1478" s="50">
        <v>5.4390000000000001</v>
      </c>
      <c r="M1478" s="50">
        <v>5.5E-2</v>
      </c>
      <c r="N1478" s="69">
        <v>71.539000000000001</v>
      </c>
      <c r="O1478" s="154">
        <v>4.2000000000000003E-2</v>
      </c>
      <c r="P1478" s="96"/>
      <c r="Q1478" s="93"/>
      <c r="R1478" s="93"/>
      <c r="S1478" s="93"/>
      <c r="T1478" s="93"/>
    </row>
    <row r="1479" spans="1:20" ht="14.25" customHeight="1" x14ac:dyDescent="0.35">
      <c r="A1479" s="1">
        <v>2020</v>
      </c>
      <c r="B1479" s="1" t="s">
        <v>22</v>
      </c>
      <c r="C1479" s="1">
        <v>16</v>
      </c>
      <c r="D1479" s="50">
        <v>114.21899999999999</v>
      </c>
      <c r="E1479" s="146">
        <v>97.156000000000006</v>
      </c>
      <c r="F1479" s="147">
        <v>74.941000000000003</v>
      </c>
      <c r="G1479" s="69">
        <v>1757.15</v>
      </c>
      <c r="H1479" s="50">
        <v>6.9</v>
      </c>
      <c r="I1479" s="50">
        <v>7.6999999999999999E-2</v>
      </c>
      <c r="J1479" s="153">
        <v>7.9870000000000001</v>
      </c>
      <c r="K1479" s="149">
        <v>32.587000000000003</v>
      </c>
      <c r="L1479" s="50">
        <v>5.4550000000000001</v>
      </c>
      <c r="M1479" s="50">
        <v>5.7000000000000002E-2</v>
      </c>
      <c r="N1479" s="69">
        <v>69.081999999999994</v>
      </c>
      <c r="O1479" s="154">
        <v>4.3999999999999997E-2</v>
      </c>
      <c r="P1479" s="96"/>
      <c r="Q1479" s="93"/>
      <c r="R1479" s="93"/>
      <c r="S1479" s="93"/>
      <c r="T1479" s="93"/>
    </row>
    <row r="1480" spans="1:20" ht="14.25" customHeight="1" x14ac:dyDescent="0.35">
      <c r="A1480" s="1">
        <v>2020</v>
      </c>
      <c r="B1480" s="1" t="s">
        <v>22</v>
      </c>
      <c r="C1480" s="1">
        <v>17</v>
      </c>
      <c r="D1480" s="50">
        <v>114.203</v>
      </c>
      <c r="E1480" s="146">
        <v>97.093999999999994</v>
      </c>
      <c r="F1480" s="147">
        <v>74.933999999999997</v>
      </c>
      <c r="G1480" s="69">
        <v>1778.9069999999999</v>
      </c>
      <c r="H1480" s="50">
        <v>6.9</v>
      </c>
      <c r="I1480" s="50">
        <v>7.6999999999999999E-2</v>
      </c>
      <c r="J1480" s="148">
        <v>8.1240000000000006</v>
      </c>
      <c r="K1480" s="149">
        <v>30.861000000000001</v>
      </c>
      <c r="L1480" s="50">
        <v>5.4470000000000001</v>
      </c>
      <c r="M1480" s="50">
        <v>0.06</v>
      </c>
      <c r="N1480" s="69">
        <v>70.301000000000002</v>
      </c>
      <c r="O1480" s="150">
        <v>4.3999999999999997E-2</v>
      </c>
      <c r="P1480" s="96"/>
      <c r="Q1480" s="93"/>
      <c r="R1480" s="93"/>
      <c r="S1480" s="93"/>
      <c r="T1480" s="93"/>
    </row>
    <row r="1481" spans="1:20" ht="14.25" customHeight="1" x14ac:dyDescent="0.35">
      <c r="A1481" s="1">
        <v>2020</v>
      </c>
      <c r="B1481" s="1" t="s">
        <v>22</v>
      </c>
      <c r="C1481" s="1">
        <v>18</v>
      </c>
      <c r="D1481" s="50">
        <v>112.46899999999999</v>
      </c>
      <c r="E1481" s="146">
        <v>95.781000000000006</v>
      </c>
      <c r="F1481" s="147">
        <v>74.929000000000002</v>
      </c>
      <c r="G1481" s="69">
        <v>1752.079</v>
      </c>
      <c r="H1481" s="50">
        <v>6.9</v>
      </c>
      <c r="I1481" s="50">
        <v>7.6999999999999999E-2</v>
      </c>
      <c r="J1481" s="148">
        <v>8.2050000000000001</v>
      </c>
      <c r="K1481" s="149">
        <v>31.379000000000001</v>
      </c>
      <c r="L1481" s="50">
        <v>5.45</v>
      </c>
      <c r="M1481" s="50">
        <v>5.8999999999999997E-2</v>
      </c>
      <c r="N1481" s="69">
        <v>69.724000000000004</v>
      </c>
      <c r="O1481" s="150">
        <v>4.2000000000000003E-2</v>
      </c>
      <c r="P1481" s="96"/>
      <c r="Q1481" s="93"/>
      <c r="R1481" s="93"/>
      <c r="S1481" s="93"/>
      <c r="T1481" s="93"/>
    </row>
    <row r="1482" spans="1:20" ht="14.25" customHeight="1" x14ac:dyDescent="0.35">
      <c r="A1482" s="1">
        <v>2020</v>
      </c>
      <c r="B1482" s="1" t="s">
        <v>22</v>
      </c>
      <c r="C1482" s="1">
        <v>19</v>
      </c>
      <c r="D1482" s="50">
        <v>111.563</v>
      </c>
      <c r="E1482" s="146">
        <v>95.031000000000006</v>
      </c>
      <c r="F1482" s="147">
        <v>75.119</v>
      </c>
      <c r="G1482" s="69">
        <v>1680.183</v>
      </c>
      <c r="H1482" s="50">
        <v>6.9</v>
      </c>
      <c r="I1482" s="50">
        <v>0.08</v>
      </c>
      <c r="J1482" s="148">
        <v>7.9249999999999998</v>
      </c>
      <c r="K1482" s="149">
        <v>29.722000000000001</v>
      </c>
      <c r="L1482" s="50">
        <v>5.4459999999999997</v>
      </c>
      <c r="M1482" s="50">
        <v>5.7000000000000002E-2</v>
      </c>
      <c r="N1482" s="69">
        <v>70.251000000000005</v>
      </c>
      <c r="O1482" s="150">
        <v>3.7999999999999999E-2</v>
      </c>
      <c r="P1482" s="96"/>
      <c r="Q1482" s="93"/>
      <c r="R1482" s="93"/>
      <c r="S1482" s="93"/>
      <c r="T1482" s="93"/>
    </row>
    <row r="1483" spans="1:20" ht="14.25" customHeight="1" x14ac:dyDescent="0.35">
      <c r="A1483" s="1">
        <v>2020</v>
      </c>
      <c r="B1483" s="1" t="s">
        <v>22</v>
      </c>
      <c r="C1483" s="1">
        <v>20</v>
      </c>
      <c r="D1483" s="50">
        <v>111.453</v>
      </c>
      <c r="E1483" s="146">
        <v>94.938000000000002</v>
      </c>
      <c r="F1483" s="147">
        <v>75.105000000000004</v>
      </c>
      <c r="G1483" s="69">
        <v>1690.99</v>
      </c>
      <c r="H1483" s="50">
        <v>6.9</v>
      </c>
      <c r="I1483" s="50">
        <v>8.1000000000000003E-2</v>
      </c>
      <c r="J1483" s="148">
        <v>7.9459999999999997</v>
      </c>
      <c r="K1483" s="149">
        <v>30.282</v>
      </c>
      <c r="L1483" s="50">
        <v>5.452</v>
      </c>
      <c r="M1483" s="50">
        <v>5.6000000000000001E-2</v>
      </c>
      <c r="N1483" s="69">
        <v>69.284999999999997</v>
      </c>
      <c r="O1483" s="150">
        <v>3.7999999999999999E-2</v>
      </c>
      <c r="P1483" s="96"/>
      <c r="Q1483" s="93"/>
      <c r="R1483" s="93"/>
      <c r="S1483" s="93"/>
      <c r="T1483" s="93"/>
    </row>
    <row r="1484" spans="1:20" ht="14.25" customHeight="1" x14ac:dyDescent="0.35">
      <c r="A1484" s="1">
        <v>2020</v>
      </c>
      <c r="B1484" s="1" t="s">
        <v>22</v>
      </c>
      <c r="C1484" s="1">
        <v>21</v>
      </c>
      <c r="D1484" s="50">
        <v>111.59399999999999</v>
      </c>
      <c r="E1484" s="146">
        <v>94.938000000000002</v>
      </c>
      <c r="F1484" s="147">
        <v>75.141000000000005</v>
      </c>
      <c r="G1484" s="69">
        <v>1728.1220000000001</v>
      </c>
      <c r="H1484" s="50">
        <v>6.9</v>
      </c>
      <c r="I1484" s="50">
        <v>7.5999999999999998E-2</v>
      </c>
      <c r="J1484" s="148">
        <v>8.2929999999999993</v>
      </c>
      <c r="K1484" s="149">
        <v>29.831</v>
      </c>
      <c r="L1484" s="50">
        <v>5.4459999999999997</v>
      </c>
      <c r="M1484" s="50">
        <v>5.5E-2</v>
      </c>
      <c r="N1484" s="69">
        <v>70.379000000000005</v>
      </c>
      <c r="O1484" s="150">
        <v>4.3999999999999997E-2</v>
      </c>
      <c r="P1484" s="96"/>
      <c r="Q1484" s="93"/>
      <c r="R1484" s="93"/>
      <c r="S1484" s="93"/>
      <c r="T1484" s="93"/>
    </row>
    <row r="1485" spans="1:20" ht="14.25" customHeight="1" x14ac:dyDescent="0.35">
      <c r="A1485" s="1">
        <v>2020</v>
      </c>
      <c r="B1485" s="1" t="s">
        <v>22</v>
      </c>
      <c r="C1485" s="1">
        <v>22</v>
      </c>
      <c r="D1485" s="50">
        <v>110.34399999999999</v>
      </c>
      <c r="E1485" s="146">
        <v>93.813000000000002</v>
      </c>
      <c r="F1485" s="147">
        <v>75.212000000000003</v>
      </c>
      <c r="G1485" s="69">
        <v>1796.6110000000001</v>
      </c>
      <c r="H1485" s="50">
        <v>6.9</v>
      </c>
      <c r="I1485" s="50">
        <v>7.2999999999999995E-2</v>
      </c>
      <c r="J1485" s="148">
        <v>7.9550000000000001</v>
      </c>
      <c r="K1485" s="149">
        <v>31.573</v>
      </c>
      <c r="L1485" s="50">
        <v>5.4359999999999999</v>
      </c>
      <c r="M1485" s="50">
        <v>5.5E-2</v>
      </c>
      <c r="N1485" s="69">
        <v>72.278999999999996</v>
      </c>
      <c r="O1485" s="150">
        <v>4.9000000000000002E-2</v>
      </c>
      <c r="P1485" s="96"/>
      <c r="Q1485" s="93"/>
      <c r="R1485" s="93"/>
      <c r="S1485" s="93"/>
      <c r="T1485" s="93"/>
    </row>
    <row r="1486" spans="1:20" ht="14.25" customHeight="1" x14ac:dyDescent="0.35">
      <c r="A1486" s="1">
        <v>2020</v>
      </c>
      <c r="B1486" s="1" t="s">
        <v>22</v>
      </c>
      <c r="C1486" s="1">
        <v>23</v>
      </c>
      <c r="D1486" s="50">
        <v>115.422</v>
      </c>
      <c r="E1486" s="146">
        <v>98.156000000000006</v>
      </c>
      <c r="F1486" s="147">
        <v>75.457999999999998</v>
      </c>
      <c r="G1486" s="69">
        <v>1780.5440000000001</v>
      </c>
      <c r="H1486" s="50">
        <v>6.9</v>
      </c>
      <c r="I1486" s="50">
        <v>7.4999999999999997E-2</v>
      </c>
      <c r="J1486" s="148">
        <v>7.9349999999999996</v>
      </c>
      <c r="K1486" s="149">
        <v>32.345999999999997</v>
      </c>
      <c r="L1486" s="50">
        <v>5.4450000000000003</v>
      </c>
      <c r="M1486" s="50">
        <v>5.3999999999999999E-2</v>
      </c>
      <c r="N1486" s="69">
        <v>70.831999999999994</v>
      </c>
      <c r="O1486" s="150">
        <v>4.3999999999999997E-2</v>
      </c>
      <c r="P1486" s="96"/>
      <c r="Q1486" s="93"/>
      <c r="R1486" s="93"/>
      <c r="S1486" s="93"/>
      <c r="T1486" s="93"/>
    </row>
    <row r="1487" spans="1:20" ht="14.25" customHeight="1" x14ac:dyDescent="0.35">
      <c r="A1487" s="1">
        <v>2020</v>
      </c>
      <c r="B1487" s="1" t="s">
        <v>22</v>
      </c>
      <c r="C1487" s="1">
        <v>24</v>
      </c>
      <c r="D1487" s="50">
        <v>113.40600000000001</v>
      </c>
      <c r="E1487" s="146">
        <v>96.406000000000006</v>
      </c>
      <c r="F1487" s="147">
        <v>75.444000000000003</v>
      </c>
      <c r="G1487" s="69">
        <v>1790.444</v>
      </c>
      <c r="H1487" s="50">
        <v>6.9</v>
      </c>
      <c r="I1487" s="50">
        <v>7.9000000000000001E-2</v>
      </c>
      <c r="J1487" s="148">
        <v>7.9169999999999998</v>
      </c>
      <c r="K1487" s="149">
        <v>32.237000000000002</v>
      </c>
      <c r="L1487" s="50">
        <v>5.4409999999999998</v>
      </c>
      <c r="M1487" s="50">
        <v>0.05</v>
      </c>
      <c r="N1487" s="69">
        <v>71.275000000000006</v>
      </c>
      <c r="O1487" s="150">
        <v>4.4999999999999998E-2</v>
      </c>
      <c r="P1487" s="96"/>
      <c r="Q1487" s="93"/>
      <c r="R1487" s="93"/>
      <c r="S1487" s="93"/>
      <c r="T1487" s="93"/>
    </row>
    <row r="1488" spans="1:20" ht="14.25" customHeight="1" x14ac:dyDescent="0.35">
      <c r="A1488" s="1">
        <v>2020</v>
      </c>
      <c r="B1488" s="1" t="s">
        <v>22</v>
      </c>
      <c r="C1488" s="1">
        <v>25</v>
      </c>
      <c r="D1488" s="50">
        <v>112.953</v>
      </c>
      <c r="E1488" s="146">
        <v>96.093999999999994</v>
      </c>
      <c r="F1488" s="147">
        <v>75.427999999999997</v>
      </c>
      <c r="G1488" s="69">
        <v>1760.126</v>
      </c>
      <c r="H1488" s="50">
        <v>6.9</v>
      </c>
      <c r="I1488" s="50">
        <v>0.08</v>
      </c>
      <c r="J1488" s="148">
        <v>8.0090000000000003</v>
      </c>
      <c r="K1488" s="149">
        <v>31.759</v>
      </c>
      <c r="L1488" s="50">
        <v>5.4420000000000002</v>
      </c>
      <c r="M1488" s="50">
        <v>4.2000000000000003E-2</v>
      </c>
      <c r="N1488" s="69">
        <v>71.156000000000006</v>
      </c>
      <c r="O1488" s="150">
        <v>4.7E-2</v>
      </c>
      <c r="P1488" s="96"/>
      <c r="Q1488" s="93"/>
      <c r="R1488" s="93"/>
      <c r="S1488" s="93"/>
      <c r="T1488" s="93"/>
    </row>
    <row r="1489" spans="1:20" ht="14.25" customHeight="1" x14ac:dyDescent="0.35">
      <c r="A1489" s="1">
        <v>2020</v>
      </c>
      <c r="B1489" s="1" t="s">
        <v>22</v>
      </c>
      <c r="C1489" s="1">
        <v>26</v>
      </c>
      <c r="D1489" s="50">
        <v>112.875</v>
      </c>
      <c r="E1489" s="146">
        <v>95.906000000000006</v>
      </c>
      <c r="F1489" s="147">
        <v>74.932000000000002</v>
      </c>
      <c r="G1489" s="69">
        <v>1678.66</v>
      </c>
      <c r="H1489" s="50">
        <v>6.9</v>
      </c>
      <c r="I1489" s="50">
        <v>8.4000000000000005E-2</v>
      </c>
      <c r="J1489" s="148">
        <v>7.81</v>
      </c>
      <c r="K1489" s="149">
        <v>30.31</v>
      </c>
      <c r="L1489" s="50">
        <v>5.452</v>
      </c>
      <c r="M1489" s="50">
        <v>5.2999999999999999E-2</v>
      </c>
      <c r="N1489" s="69">
        <v>69.608999999999995</v>
      </c>
      <c r="O1489" s="150">
        <v>3.9E-2</v>
      </c>
      <c r="P1489" s="96"/>
      <c r="Q1489" s="93"/>
      <c r="R1489" s="93"/>
      <c r="S1489" s="93"/>
      <c r="T1489" s="93"/>
    </row>
    <row r="1490" spans="1:20" ht="14.25" customHeight="1" x14ac:dyDescent="0.35">
      <c r="A1490" s="1">
        <v>2020</v>
      </c>
      <c r="B1490" s="1" t="s">
        <v>22</v>
      </c>
      <c r="C1490" s="1">
        <v>27</v>
      </c>
      <c r="D1490" s="50">
        <v>111.73399999999999</v>
      </c>
      <c r="E1490" s="146">
        <v>95.031000000000006</v>
      </c>
      <c r="F1490" s="147">
        <v>75.197000000000003</v>
      </c>
      <c r="G1490" s="69">
        <v>1610.578</v>
      </c>
      <c r="H1490" s="50">
        <v>6.9</v>
      </c>
      <c r="I1490" s="50">
        <v>8.5999999999999993E-2</v>
      </c>
      <c r="J1490" s="148">
        <v>7.8959999999999999</v>
      </c>
      <c r="K1490" s="149">
        <v>29.132000000000001</v>
      </c>
      <c r="L1490" s="50">
        <v>5.4560000000000004</v>
      </c>
      <c r="M1490" s="50">
        <v>4.2000000000000003E-2</v>
      </c>
      <c r="N1490" s="69">
        <v>69.006</v>
      </c>
      <c r="O1490" s="150">
        <v>3.5000000000000003E-2</v>
      </c>
      <c r="P1490" s="96"/>
      <c r="Q1490" s="93"/>
      <c r="R1490" s="93"/>
      <c r="S1490" s="93"/>
      <c r="T1490" s="93"/>
    </row>
    <row r="1491" spans="1:20" ht="14.25" customHeight="1" x14ac:dyDescent="0.35">
      <c r="A1491" s="1">
        <v>2020</v>
      </c>
      <c r="B1491" s="1" t="s">
        <v>22</v>
      </c>
      <c r="C1491" s="1">
        <v>28</v>
      </c>
      <c r="D1491" s="50">
        <v>111.65600000000001</v>
      </c>
      <c r="E1491" s="146">
        <v>94.875</v>
      </c>
      <c r="F1491" s="147">
        <v>75.497</v>
      </c>
      <c r="G1491" s="69">
        <v>1704.441</v>
      </c>
      <c r="H1491" s="50">
        <v>6.9</v>
      </c>
      <c r="I1491" s="50">
        <v>7.5999999999999998E-2</v>
      </c>
      <c r="J1491" s="148">
        <v>8.1829999999999998</v>
      </c>
      <c r="K1491" s="149">
        <v>30.318999999999999</v>
      </c>
      <c r="L1491" s="50">
        <v>5.44</v>
      </c>
      <c r="M1491" s="50">
        <v>5.1999999999999998E-2</v>
      </c>
      <c r="N1491" s="69">
        <v>71.352999999999994</v>
      </c>
      <c r="O1491" s="150">
        <v>4.8000000000000001E-2</v>
      </c>
      <c r="P1491" s="96"/>
      <c r="Q1491" s="93"/>
      <c r="R1491" s="93"/>
      <c r="S1491" s="93"/>
      <c r="T1491" s="93"/>
    </row>
    <row r="1492" spans="1:20" ht="14.25" customHeight="1" x14ac:dyDescent="0.35">
      <c r="A1492" s="1">
        <v>2020</v>
      </c>
      <c r="B1492" s="1" t="s">
        <v>22</v>
      </c>
      <c r="C1492" s="1">
        <v>29</v>
      </c>
      <c r="D1492" s="50">
        <v>112.48399999999999</v>
      </c>
      <c r="E1492" s="146">
        <v>95.625</v>
      </c>
      <c r="F1492" s="147">
        <v>75.534999999999997</v>
      </c>
      <c r="G1492" s="69">
        <v>1747.7270000000001</v>
      </c>
      <c r="H1492" s="50">
        <v>6.9</v>
      </c>
      <c r="I1492" s="50">
        <v>7.9000000000000001E-2</v>
      </c>
      <c r="J1492" s="148">
        <v>8.0670000000000002</v>
      </c>
      <c r="K1492" s="149">
        <v>31.637</v>
      </c>
      <c r="L1492" s="50">
        <v>5.4359999999999999</v>
      </c>
      <c r="M1492" s="50">
        <v>5.7000000000000002E-2</v>
      </c>
      <c r="N1492" s="69">
        <v>72.125</v>
      </c>
      <c r="O1492" s="150">
        <v>4.4999999999999998E-2</v>
      </c>
      <c r="P1492" s="96"/>
      <c r="Q1492" s="93"/>
      <c r="R1492" s="93"/>
      <c r="S1492" s="93"/>
      <c r="T1492" s="93"/>
    </row>
    <row r="1493" spans="1:20" ht="14.25" customHeight="1" x14ac:dyDescent="0.35">
      <c r="A1493" s="1">
        <v>2020</v>
      </c>
      <c r="B1493" s="1" t="s">
        <v>22</v>
      </c>
      <c r="C1493" s="1">
        <v>30</v>
      </c>
      <c r="D1493" s="50">
        <v>112.672</v>
      </c>
      <c r="E1493" s="146">
        <v>95.781000000000006</v>
      </c>
      <c r="F1493" s="147">
        <v>75.366</v>
      </c>
      <c r="G1493" s="69">
        <v>1788.4659999999999</v>
      </c>
      <c r="H1493" s="50">
        <v>6.9</v>
      </c>
      <c r="I1493" s="50">
        <v>0.08</v>
      </c>
      <c r="J1493" s="148">
        <v>8.2309999999999999</v>
      </c>
      <c r="K1493" s="149">
        <v>32.741999999999997</v>
      </c>
      <c r="L1493" s="50">
        <v>5.4349999999999996</v>
      </c>
      <c r="M1493" s="50">
        <v>6.2E-2</v>
      </c>
      <c r="N1493" s="69">
        <v>72.159000000000006</v>
      </c>
      <c r="O1493" s="150">
        <v>0.05</v>
      </c>
      <c r="P1493" s="96"/>
      <c r="Q1493" s="93"/>
      <c r="R1493" s="93"/>
      <c r="S1493" s="93"/>
      <c r="T1493" s="93"/>
    </row>
    <row r="1494" spans="1:20" ht="14.25" customHeight="1" x14ac:dyDescent="0.35">
      <c r="A1494" s="1">
        <v>2020</v>
      </c>
      <c r="B1494" s="1" t="s">
        <v>22</v>
      </c>
      <c r="C1494" s="1">
        <v>31</v>
      </c>
      <c r="D1494" s="50">
        <v>114.25</v>
      </c>
      <c r="E1494" s="146">
        <v>97.063000000000002</v>
      </c>
      <c r="F1494" s="147">
        <v>75.754999999999995</v>
      </c>
      <c r="G1494" s="69">
        <v>1799.9749999999999</v>
      </c>
      <c r="H1494" s="50">
        <v>6.9</v>
      </c>
      <c r="I1494" s="50">
        <v>7.9000000000000001E-2</v>
      </c>
      <c r="J1494" s="148">
        <v>7.9050000000000002</v>
      </c>
      <c r="K1494" s="149">
        <v>34.22</v>
      </c>
      <c r="L1494" s="50">
        <v>5.4119999999999999</v>
      </c>
      <c r="M1494" s="50">
        <v>6.0999999999999999E-2</v>
      </c>
      <c r="N1494" s="69">
        <v>76.016000000000005</v>
      </c>
      <c r="O1494" s="150">
        <v>4.7E-2</v>
      </c>
      <c r="P1494" s="96"/>
      <c r="Q1494" s="93"/>
      <c r="R1494" s="93"/>
      <c r="S1494" s="93"/>
      <c r="T1494" s="93"/>
    </row>
    <row r="1495" spans="1:20" ht="14.25" customHeight="1" x14ac:dyDescent="0.35">
      <c r="A1495" s="1">
        <v>2020</v>
      </c>
      <c r="B1495" s="1" t="s">
        <v>23</v>
      </c>
      <c r="C1495" s="1">
        <v>1</v>
      </c>
      <c r="D1495" s="12">
        <v>114.09399999999999</v>
      </c>
      <c r="E1495" s="13">
        <v>97.093999999999994</v>
      </c>
      <c r="F1495" s="156">
        <v>76</v>
      </c>
      <c r="G1495" s="157">
        <v>1767.749</v>
      </c>
      <c r="H1495" s="44">
        <v>6.9</v>
      </c>
      <c r="I1495" s="45">
        <v>8.5999999999999993E-2</v>
      </c>
      <c r="J1495" s="158">
        <v>8.1150000000000002</v>
      </c>
      <c r="K1495" s="157">
        <v>34.372</v>
      </c>
      <c r="L1495" s="45">
        <v>5.4020000000000001</v>
      </c>
      <c r="M1495" s="159">
        <v>5.8999999999999997E-2</v>
      </c>
      <c r="N1495" s="15">
        <v>78.203000000000003</v>
      </c>
      <c r="O1495" s="160">
        <v>4.7E-2</v>
      </c>
      <c r="P1495" s="96"/>
      <c r="Q1495" s="93"/>
      <c r="R1495" s="93"/>
      <c r="S1495" s="93"/>
      <c r="T1495" s="93"/>
    </row>
    <row r="1496" spans="1:20" ht="14.25" customHeight="1" x14ac:dyDescent="0.35">
      <c r="A1496" s="1">
        <v>2020</v>
      </c>
      <c r="B1496" s="1" t="s">
        <v>24</v>
      </c>
      <c r="C1496" s="1">
        <v>2</v>
      </c>
      <c r="D1496" s="12">
        <v>113.797</v>
      </c>
      <c r="E1496" s="13">
        <v>96.875</v>
      </c>
      <c r="F1496" s="161">
        <v>75.555000000000007</v>
      </c>
      <c r="G1496" s="162">
        <v>1683.231</v>
      </c>
      <c r="H1496" s="163">
        <v>6.9</v>
      </c>
      <c r="I1496" s="16">
        <v>9.2999999999999999E-2</v>
      </c>
      <c r="J1496" s="164">
        <v>7.9340000000000002</v>
      </c>
      <c r="K1496" s="165">
        <v>32.924999999999997</v>
      </c>
      <c r="L1496" s="13">
        <v>5.4109999999999996</v>
      </c>
      <c r="M1496" s="166">
        <v>5.1999999999999998E-2</v>
      </c>
      <c r="N1496" s="15">
        <v>76.200999999999993</v>
      </c>
      <c r="O1496" s="167">
        <v>4.2000000000000003E-2</v>
      </c>
      <c r="P1496" s="96"/>
      <c r="Q1496" s="93"/>
      <c r="R1496" s="93"/>
      <c r="S1496" s="93"/>
      <c r="T1496" s="93"/>
    </row>
    <row r="1497" spans="1:20" ht="14.25" customHeight="1" x14ac:dyDescent="0.35">
      <c r="A1497" s="1">
        <v>2020</v>
      </c>
      <c r="B1497" s="1" t="s">
        <v>23</v>
      </c>
      <c r="C1497" s="1">
        <v>3</v>
      </c>
      <c r="D1497" s="12">
        <v>111.64100000000001</v>
      </c>
      <c r="E1497" s="13">
        <v>95</v>
      </c>
      <c r="F1497" s="161">
        <v>74.67</v>
      </c>
      <c r="G1497" s="162">
        <v>1609.0029999999999</v>
      </c>
      <c r="H1497" s="163">
        <v>6.9</v>
      </c>
      <c r="I1497" s="16">
        <v>8.3000000000000004E-2</v>
      </c>
      <c r="J1497" s="164">
        <v>7.8019999999999996</v>
      </c>
      <c r="K1497" s="165">
        <v>30.988</v>
      </c>
      <c r="L1497" s="13">
        <v>5.4130000000000003</v>
      </c>
      <c r="M1497" s="166">
        <v>5.5E-2</v>
      </c>
      <c r="N1497" s="15">
        <v>75.906000000000006</v>
      </c>
      <c r="O1497" s="167">
        <v>0.04</v>
      </c>
      <c r="P1497" s="96"/>
      <c r="Q1497" s="93"/>
      <c r="R1497" s="93"/>
      <c r="S1497" s="93"/>
      <c r="T1497" s="93"/>
    </row>
    <row r="1498" spans="1:20" ht="14.25" customHeight="1" x14ac:dyDescent="0.35">
      <c r="A1498" s="1">
        <v>2020</v>
      </c>
      <c r="B1498" s="1" t="s">
        <v>23</v>
      </c>
      <c r="C1498" s="1">
        <v>4</v>
      </c>
      <c r="D1498" s="12">
        <v>19.734000000000002</v>
      </c>
      <c r="E1498" s="13">
        <v>16.594000000000001</v>
      </c>
      <c r="F1498" s="161">
        <v>70.67</v>
      </c>
      <c r="G1498" s="162">
        <v>1679.7670000000001</v>
      </c>
      <c r="H1498" s="163">
        <v>6.8860000000000001</v>
      </c>
      <c r="I1498" s="16">
        <v>0.109</v>
      </c>
      <c r="J1498" s="164">
        <v>8.5549999999999997</v>
      </c>
      <c r="K1498" s="165">
        <v>57.706000000000003</v>
      </c>
      <c r="L1498" s="13">
        <v>6.0469999999999997</v>
      </c>
      <c r="M1498" s="166">
        <v>5.3999999999999999E-2</v>
      </c>
      <c r="N1498" s="15">
        <v>28.074999999999999</v>
      </c>
      <c r="O1498" s="167">
        <v>4.5999999999999999E-2</v>
      </c>
      <c r="P1498" s="96"/>
      <c r="Q1498" s="93"/>
      <c r="R1498" s="93"/>
      <c r="S1498" s="93"/>
      <c r="T1498" s="93"/>
    </row>
    <row r="1499" spans="1:20" ht="14.25" customHeight="1" x14ac:dyDescent="0.35">
      <c r="A1499" s="1">
        <v>2020</v>
      </c>
      <c r="B1499" s="1" t="s">
        <v>23</v>
      </c>
      <c r="C1499" s="1">
        <v>5</v>
      </c>
      <c r="D1499" s="12">
        <v>33.984000000000002</v>
      </c>
      <c r="E1499" s="13">
        <v>28.844000000000001</v>
      </c>
      <c r="F1499" s="161">
        <v>70.81</v>
      </c>
      <c r="G1499" s="162">
        <v>1726.7629999999999</v>
      </c>
      <c r="H1499" s="163">
        <v>6.8570000000000002</v>
      </c>
      <c r="I1499" s="16">
        <v>7.5999999999999998E-2</v>
      </c>
      <c r="J1499" s="164">
        <v>8.7390000000000008</v>
      </c>
      <c r="K1499" s="165">
        <v>52.052</v>
      </c>
      <c r="L1499" s="13">
        <v>5.9139999999999997</v>
      </c>
      <c r="M1499" s="166">
        <v>5.8000000000000003E-2</v>
      </c>
      <c r="N1499" s="15">
        <v>42.274000000000001</v>
      </c>
      <c r="O1499" s="167">
        <v>0.04</v>
      </c>
      <c r="P1499" s="96"/>
      <c r="Q1499" s="93"/>
      <c r="R1499" s="93"/>
      <c r="S1499" s="93"/>
      <c r="T1499" s="93"/>
    </row>
    <row r="1500" spans="1:20" ht="14.25" customHeight="1" x14ac:dyDescent="0.35">
      <c r="A1500" s="1">
        <v>2020</v>
      </c>
      <c r="B1500" s="1" t="s">
        <v>23</v>
      </c>
      <c r="C1500" s="1">
        <v>6</v>
      </c>
      <c r="D1500" s="12">
        <v>115.172</v>
      </c>
      <c r="E1500" s="13">
        <v>97.906000000000006</v>
      </c>
      <c r="F1500" s="161">
        <v>74.634</v>
      </c>
      <c r="G1500" s="162">
        <v>1773.508</v>
      </c>
      <c r="H1500" s="163">
        <v>6.9</v>
      </c>
      <c r="I1500" s="16">
        <v>8.5000000000000006E-2</v>
      </c>
      <c r="J1500" s="164">
        <v>8.1389999999999993</v>
      </c>
      <c r="K1500" s="165">
        <v>33.99</v>
      </c>
      <c r="L1500" s="13">
        <v>5.3869999999999996</v>
      </c>
      <c r="M1500" s="166">
        <v>0.06</v>
      </c>
      <c r="N1500" s="15">
        <v>80.900000000000006</v>
      </c>
      <c r="O1500" s="167">
        <v>4.1000000000000002E-2</v>
      </c>
      <c r="P1500" s="96"/>
      <c r="Q1500" s="93"/>
      <c r="R1500" s="93"/>
      <c r="S1500" s="93"/>
      <c r="T1500" s="93"/>
    </row>
    <row r="1501" spans="1:20" ht="14.25" customHeight="1" x14ac:dyDescent="0.35">
      <c r="A1501" s="1">
        <v>2020</v>
      </c>
      <c r="B1501" s="1" t="s">
        <v>23</v>
      </c>
      <c r="C1501" s="1">
        <v>7</v>
      </c>
      <c r="D1501" s="12">
        <v>117.578</v>
      </c>
      <c r="E1501" s="13">
        <v>100</v>
      </c>
      <c r="F1501" s="161">
        <v>75.063999999999993</v>
      </c>
      <c r="G1501" s="162">
        <v>1777.9090000000001</v>
      </c>
      <c r="H1501" s="163">
        <v>6.9</v>
      </c>
      <c r="I1501" s="16">
        <v>8.5999999999999993E-2</v>
      </c>
      <c r="J1501" s="164">
        <v>8.1159999999999997</v>
      </c>
      <c r="K1501" s="165">
        <v>31.896000000000001</v>
      </c>
      <c r="L1501" s="13">
        <v>5.4690000000000003</v>
      </c>
      <c r="M1501" s="166">
        <v>5.7000000000000002E-2</v>
      </c>
      <c r="N1501" s="15">
        <v>67.772999999999996</v>
      </c>
      <c r="O1501" s="167">
        <v>4.2999999999999997E-2</v>
      </c>
      <c r="P1501" s="96"/>
      <c r="Q1501" s="93"/>
      <c r="R1501" s="93"/>
      <c r="S1501" s="93"/>
      <c r="T1501" s="93"/>
    </row>
    <row r="1502" spans="1:20" ht="14.25" customHeight="1" x14ac:dyDescent="0.35">
      <c r="A1502" s="1">
        <v>2020</v>
      </c>
      <c r="B1502" s="1" t="s">
        <v>23</v>
      </c>
      <c r="C1502" s="1">
        <v>8</v>
      </c>
      <c r="D1502" s="12">
        <v>113.15600000000001</v>
      </c>
      <c r="E1502" s="13">
        <v>96.281000000000006</v>
      </c>
      <c r="F1502" s="161">
        <v>75.024000000000001</v>
      </c>
      <c r="G1502" s="22">
        <v>1716.1320000000001</v>
      </c>
      <c r="H1502" s="163">
        <v>6.9</v>
      </c>
      <c r="I1502" s="16">
        <v>9.5000000000000001E-2</v>
      </c>
      <c r="J1502" s="168">
        <v>8.2200000000000006</v>
      </c>
      <c r="K1502" s="165">
        <v>30.936</v>
      </c>
      <c r="L1502" s="13">
        <v>5.53</v>
      </c>
      <c r="M1502" s="166">
        <v>5.6000000000000001E-2</v>
      </c>
      <c r="N1502" s="15">
        <v>58.066000000000003</v>
      </c>
      <c r="O1502" s="167">
        <v>4.2000000000000003E-2</v>
      </c>
      <c r="P1502" s="96"/>
      <c r="Q1502" s="93"/>
      <c r="R1502" s="93"/>
      <c r="S1502" s="93"/>
      <c r="T1502" s="93"/>
    </row>
    <row r="1503" spans="1:20" ht="14.25" customHeight="1" x14ac:dyDescent="0.35">
      <c r="A1503" s="1">
        <v>2020</v>
      </c>
      <c r="B1503" s="1" t="s">
        <v>23</v>
      </c>
      <c r="C1503" s="1">
        <v>9</v>
      </c>
      <c r="D1503" s="12">
        <v>111.922</v>
      </c>
      <c r="E1503" s="13">
        <v>95.093999999999994</v>
      </c>
      <c r="F1503" s="161">
        <v>74.436000000000007</v>
      </c>
      <c r="G1503" s="162">
        <v>1625.0319999999999</v>
      </c>
      <c r="H1503" s="163">
        <v>6.9</v>
      </c>
      <c r="I1503" s="16">
        <v>8.7999999999999995E-2</v>
      </c>
      <c r="J1503" s="164">
        <v>7.9820000000000002</v>
      </c>
      <c r="K1503" s="165">
        <v>29.606999999999999</v>
      </c>
      <c r="L1503" s="13">
        <v>5.5350000000000001</v>
      </c>
      <c r="M1503" s="166">
        <v>5.5E-2</v>
      </c>
      <c r="N1503" s="15">
        <v>57.447000000000003</v>
      </c>
      <c r="O1503" s="167">
        <v>3.6999999999999998E-2</v>
      </c>
      <c r="P1503" s="96"/>
      <c r="Q1503" s="93"/>
      <c r="R1503" s="93"/>
      <c r="S1503" s="93"/>
      <c r="T1503" s="93"/>
    </row>
    <row r="1504" spans="1:20" ht="14.25" customHeight="1" x14ac:dyDescent="0.35">
      <c r="A1504" s="1">
        <v>2020</v>
      </c>
      <c r="B1504" s="1" t="s">
        <v>23</v>
      </c>
      <c r="C1504" s="1">
        <v>10</v>
      </c>
      <c r="D1504" s="12">
        <v>111.85899999999999</v>
      </c>
      <c r="E1504" s="13">
        <v>94.843999999999994</v>
      </c>
      <c r="F1504" s="169">
        <v>74.61</v>
      </c>
      <c r="G1504" s="162">
        <v>1553.8130000000001</v>
      </c>
      <c r="H1504" s="163">
        <v>6.9</v>
      </c>
      <c r="I1504" s="16">
        <v>7.0000000000000007E-2</v>
      </c>
      <c r="J1504" s="170">
        <v>8.1080000000000005</v>
      </c>
      <c r="K1504" s="165">
        <v>28.585000000000001</v>
      </c>
      <c r="L1504" s="13">
        <v>5.5350000000000001</v>
      </c>
      <c r="M1504" s="171">
        <v>5.5E-2</v>
      </c>
      <c r="N1504" s="15">
        <v>57.26</v>
      </c>
      <c r="O1504" s="172">
        <v>3.6999999999999998E-2</v>
      </c>
      <c r="P1504" s="96"/>
      <c r="Q1504" s="93"/>
      <c r="R1504" s="93"/>
      <c r="S1504" s="93"/>
      <c r="T1504" s="93"/>
    </row>
    <row r="1505" spans="1:20" ht="14.25" customHeight="1" x14ac:dyDescent="0.35">
      <c r="A1505" s="1">
        <v>2020</v>
      </c>
      <c r="B1505" s="1" t="s">
        <v>23</v>
      </c>
      <c r="C1505" s="1">
        <v>11</v>
      </c>
      <c r="D1505" s="12">
        <v>111.65600000000001</v>
      </c>
      <c r="E1505" s="13">
        <v>94.968999999999994</v>
      </c>
      <c r="F1505" s="169">
        <v>75.072000000000003</v>
      </c>
      <c r="G1505" s="162">
        <v>1670.5170000000001</v>
      </c>
      <c r="H1505" s="163">
        <v>6.9</v>
      </c>
      <c r="I1505" s="16">
        <v>8.3000000000000004E-2</v>
      </c>
      <c r="J1505" s="170">
        <v>8.5660000000000007</v>
      </c>
      <c r="K1505" s="165">
        <v>31.300999999999998</v>
      </c>
      <c r="L1505" s="13">
        <v>5.5339999999999998</v>
      </c>
      <c r="M1505" s="171">
        <v>5.2999999999999999E-2</v>
      </c>
      <c r="N1505" s="15">
        <v>57.564</v>
      </c>
      <c r="O1505" s="172">
        <v>4.4999999999999998E-2</v>
      </c>
      <c r="P1505" s="96"/>
      <c r="Q1505" s="93"/>
      <c r="R1505" s="93"/>
      <c r="S1505" s="93"/>
      <c r="T1505" s="93"/>
    </row>
    <row r="1506" spans="1:20" ht="14.25" customHeight="1" x14ac:dyDescent="0.35">
      <c r="A1506" s="1">
        <v>2020</v>
      </c>
      <c r="B1506" s="1" t="s">
        <v>23</v>
      </c>
      <c r="C1506" s="1">
        <v>12</v>
      </c>
      <c r="D1506" s="12">
        <v>112.46899999999999</v>
      </c>
      <c r="E1506" s="13">
        <v>95.656000000000006</v>
      </c>
      <c r="F1506" s="169">
        <v>75.17</v>
      </c>
      <c r="G1506" s="162">
        <v>1746.116</v>
      </c>
      <c r="H1506" s="163">
        <v>6.9</v>
      </c>
      <c r="I1506" s="16">
        <v>8.7999999999999995E-2</v>
      </c>
      <c r="J1506" s="170">
        <v>8.5210000000000008</v>
      </c>
      <c r="K1506" s="165">
        <v>32.567999999999998</v>
      </c>
      <c r="L1506" s="13">
        <v>5.5270000000000001</v>
      </c>
      <c r="M1506" s="171">
        <v>5.3999999999999999E-2</v>
      </c>
      <c r="N1506" s="15">
        <v>58.530999999999999</v>
      </c>
      <c r="O1506" s="172">
        <v>4.3999999999999997E-2</v>
      </c>
      <c r="P1506" s="96"/>
      <c r="Q1506" s="93"/>
      <c r="R1506" s="93"/>
      <c r="S1506" s="93"/>
      <c r="T1506" s="93"/>
    </row>
    <row r="1507" spans="1:20" ht="14.25" customHeight="1" x14ac:dyDescent="0.35">
      <c r="A1507" s="1">
        <v>2020</v>
      </c>
      <c r="B1507" s="1" t="s">
        <v>23</v>
      </c>
      <c r="C1507" s="1">
        <v>13</v>
      </c>
      <c r="D1507" s="12">
        <v>115.797</v>
      </c>
      <c r="E1507" s="13">
        <v>98.531000000000006</v>
      </c>
      <c r="F1507" s="173">
        <v>75.233999999999995</v>
      </c>
      <c r="G1507" s="162">
        <v>1702.396</v>
      </c>
      <c r="H1507" s="163">
        <v>6.9</v>
      </c>
      <c r="I1507" s="16">
        <v>9.0999999999999998E-2</v>
      </c>
      <c r="J1507" s="174">
        <v>8.3810000000000002</v>
      </c>
      <c r="K1507" s="165">
        <v>31.677</v>
      </c>
      <c r="L1507" s="13">
        <v>5.5389999999999997</v>
      </c>
      <c r="M1507" s="166">
        <v>5.6000000000000001E-2</v>
      </c>
      <c r="N1507" s="15">
        <v>56.843000000000004</v>
      </c>
      <c r="O1507" s="175">
        <v>4.3999999999999997E-2</v>
      </c>
      <c r="P1507" s="96"/>
      <c r="Q1507" s="93"/>
      <c r="R1507" s="93"/>
      <c r="S1507" s="93"/>
      <c r="T1507" s="93"/>
    </row>
    <row r="1508" spans="1:20" ht="14.25" customHeight="1" x14ac:dyDescent="0.35">
      <c r="A1508" s="1">
        <v>2020</v>
      </c>
      <c r="B1508" s="1" t="s">
        <v>23</v>
      </c>
      <c r="C1508" s="1">
        <v>14</v>
      </c>
      <c r="D1508" s="12">
        <v>114.01600000000001</v>
      </c>
      <c r="E1508" s="13">
        <v>97</v>
      </c>
      <c r="F1508" s="161">
        <v>75.146000000000001</v>
      </c>
      <c r="G1508" s="162">
        <v>1702.662</v>
      </c>
      <c r="H1508" s="163">
        <v>6.9</v>
      </c>
      <c r="I1508" s="16">
        <v>9.2999999999999999E-2</v>
      </c>
      <c r="J1508" s="174">
        <v>8.4019999999999992</v>
      </c>
      <c r="K1508" s="176">
        <v>30.995999999999999</v>
      </c>
      <c r="L1508" s="13">
        <v>5.5119999999999996</v>
      </c>
      <c r="M1508" s="166">
        <v>4.9000000000000002E-2</v>
      </c>
      <c r="N1508" s="15">
        <v>60.533999999999999</v>
      </c>
      <c r="O1508" s="175">
        <v>4.1000000000000002E-2</v>
      </c>
      <c r="P1508" s="96"/>
      <c r="Q1508" s="93"/>
      <c r="R1508" s="93"/>
      <c r="S1508" s="93"/>
      <c r="T1508" s="93"/>
    </row>
    <row r="1509" spans="1:20" ht="14.25" customHeight="1" x14ac:dyDescent="0.35">
      <c r="A1509" s="1">
        <v>2020</v>
      </c>
      <c r="B1509" s="1" t="s">
        <v>23</v>
      </c>
      <c r="C1509" s="1">
        <v>15</v>
      </c>
      <c r="D1509" s="12">
        <v>114.625</v>
      </c>
      <c r="E1509" s="13">
        <v>97.375</v>
      </c>
      <c r="F1509" s="161">
        <v>75.180999999999997</v>
      </c>
      <c r="G1509" s="162">
        <v>1705.048</v>
      </c>
      <c r="H1509" s="163">
        <v>6.9</v>
      </c>
      <c r="I1509" s="16">
        <v>0.1</v>
      </c>
      <c r="J1509" s="170">
        <v>8.4309999999999992</v>
      </c>
      <c r="K1509" s="165">
        <v>31.475999999999999</v>
      </c>
      <c r="L1509" s="13">
        <v>5.49</v>
      </c>
      <c r="M1509" s="166">
        <v>4.9000000000000002E-2</v>
      </c>
      <c r="N1509" s="15">
        <v>63.877000000000002</v>
      </c>
      <c r="O1509" s="172">
        <v>4.1000000000000002E-2</v>
      </c>
      <c r="P1509" s="96"/>
      <c r="Q1509" s="93"/>
      <c r="R1509" s="93"/>
      <c r="S1509" s="93"/>
      <c r="T1509" s="93"/>
    </row>
    <row r="1510" spans="1:20" ht="14.25" customHeight="1" x14ac:dyDescent="0.35">
      <c r="A1510" s="1">
        <v>2020</v>
      </c>
      <c r="B1510" s="1" t="s">
        <v>23</v>
      </c>
      <c r="C1510" s="1">
        <v>16</v>
      </c>
      <c r="D1510" s="12">
        <v>113.10899999999999</v>
      </c>
      <c r="E1510" s="13">
        <v>96.156000000000006</v>
      </c>
      <c r="F1510" s="161">
        <v>75.253</v>
      </c>
      <c r="G1510" s="162">
        <v>1633.9380000000001</v>
      </c>
      <c r="H1510" s="163">
        <v>6.9</v>
      </c>
      <c r="I1510" s="16">
        <v>0.10199999999999999</v>
      </c>
      <c r="J1510" s="174">
        <v>8.3529999999999998</v>
      </c>
      <c r="K1510" s="162">
        <v>30.207999999999998</v>
      </c>
      <c r="L1510" s="163">
        <v>5.5</v>
      </c>
      <c r="M1510" s="166">
        <v>4.2000000000000003E-2</v>
      </c>
      <c r="N1510" s="15">
        <v>62.253</v>
      </c>
      <c r="O1510" s="172">
        <v>3.7999999999999999E-2</v>
      </c>
      <c r="P1510" s="96"/>
      <c r="Q1510" s="93"/>
      <c r="R1510" s="93"/>
      <c r="S1510" s="93"/>
      <c r="T1510" s="93"/>
    </row>
    <row r="1511" spans="1:20" ht="14.25" customHeight="1" x14ac:dyDescent="0.35">
      <c r="A1511" s="1">
        <v>2020</v>
      </c>
      <c r="B1511" s="1" t="s">
        <v>23</v>
      </c>
      <c r="C1511" s="1">
        <v>17</v>
      </c>
      <c r="D1511" s="12">
        <v>111.813</v>
      </c>
      <c r="E1511" s="13">
        <v>94.968999999999994</v>
      </c>
      <c r="F1511" s="161">
        <v>75.227000000000004</v>
      </c>
      <c r="G1511" s="162">
        <v>1602.404</v>
      </c>
      <c r="H1511" s="163">
        <v>6.9</v>
      </c>
      <c r="I1511" s="16">
        <v>9.8000000000000004E-2</v>
      </c>
      <c r="J1511" s="164">
        <v>8.3070000000000004</v>
      </c>
      <c r="K1511" s="165">
        <v>29.085000000000001</v>
      </c>
      <c r="L1511" s="13">
        <v>5.4980000000000002</v>
      </c>
      <c r="M1511" s="166">
        <v>4.7E-2</v>
      </c>
      <c r="N1511" s="15">
        <v>62.427999999999997</v>
      </c>
      <c r="O1511" s="167">
        <v>3.6999999999999998E-2</v>
      </c>
      <c r="P1511" s="96"/>
      <c r="Q1511" s="93"/>
      <c r="R1511" s="93"/>
      <c r="S1511" s="93"/>
      <c r="T1511" s="93"/>
    </row>
    <row r="1512" spans="1:20" ht="14.25" customHeight="1" x14ac:dyDescent="0.35">
      <c r="A1512" s="1">
        <v>2020</v>
      </c>
      <c r="B1512" s="1" t="s">
        <v>23</v>
      </c>
      <c r="C1512" s="1">
        <v>18</v>
      </c>
      <c r="D1512" s="12">
        <v>111.73399999999999</v>
      </c>
      <c r="E1512" s="13">
        <v>94.906000000000006</v>
      </c>
      <c r="F1512" s="161">
        <v>75.567999999999998</v>
      </c>
      <c r="G1512" s="162">
        <v>1686.2190000000001</v>
      </c>
      <c r="H1512" s="163">
        <v>6.9</v>
      </c>
      <c r="I1512" s="16">
        <v>9.8000000000000004E-2</v>
      </c>
      <c r="J1512" s="164">
        <v>9.0530000000000008</v>
      </c>
      <c r="K1512" s="162">
        <v>29.635000000000002</v>
      </c>
      <c r="L1512" s="163">
        <v>5.484</v>
      </c>
      <c r="M1512" s="166">
        <v>3.7999999999999999E-2</v>
      </c>
      <c r="N1512" s="15">
        <v>64.447000000000003</v>
      </c>
      <c r="O1512" s="167">
        <v>4.9000000000000002E-2</v>
      </c>
      <c r="P1512" s="96"/>
      <c r="Q1512" s="93"/>
      <c r="R1512" s="93"/>
      <c r="S1512" s="93"/>
      <c r="T1512" s="93"/>
    </row>
    <row r="1513" spans="1:20" ht="14.25" customHeight="1" x14ac:dyDescent="0.35">
      <c r="A1513" s="1">
        <v>2020</v>
      </c>
      <c r="B1513" s="1" t="s">
        <v>23</v>
      </c>
      <c r="C1513" s="1">
        <v>19</v>
      </c>
      <c r="D1513" s="12">
        <v>110.438</v>
      </c>
      <c r="E1513" s="13">
        <v>93.938000000000002</v>
      </c>
      <c r="F1513" s="161">
        <v>75.844999999999999</v>
      </c>
      <c r="G1513" s="162">
        <v>1723.1569999999999</v>
      </c>
      <c r="H1513" s="163">
        <v>6.9</v>
      </c>
      <c r="I1513" s="16">
        <v>8.8999999999999996E-2</v>
      </c>
      <c r="J1513" s="164">
        <v>8.5239999999999991</v>
      </c>
      <c r="K1513" s="165">
        <v>31.120999999999999</v>
      </c>
      <c r="L1513" s="13">
        <v>5.4880000000000004</v>
      </c>
      <c r="M1513" s="166">
        <v>3.5000000000000003E-2</v>
      </c>
      <c r="N1513" s="15">
        <v>63.954999999999998</v>
      </c>
      <c r="O1513" s="167">
        <v>4.3999999999999997E-2</v>
      </c>
      <c r="P1513" s="96"/>
      <c r="Q1513" s="93"/>
      <c r="R1513" s="93"/>
      <c r="S1513" s="93"/>
      <c r="T1513" s="93"/>
    </row>
    <row r="1514" spans="1:20" ht="14.25" customHeight="1" x14ac:dyDescent="0.35">
      <c r="A1514" s="1">
        <v>2020</v>
      </c>
      <c r="B1514" s="1" t="s">
        <v>23</v>
      </c>
      <c r="C1514" s="1">
        <v>20</v>
      </c>
      <c r="D1514" s="12">
        <v>111.53100000000001</v>
      </c>
      <c r="E1514" s="13">
        <v>94.906000000000006</v>
      </c>
      <c r="F1514" s="161">
        <v>76.087999999999994</v>
      </c>
      <c r="G1514" s="162">
        <v>1701.922</v>
      </c>
      <c r="H1514" s="163">
        <v>6.9</v>
      </c>
      <c r="I1514" s="16">
        <v>8.8999999999999996E-2</v>
      </c>
      <c r="J1514" s="164">
        <v>8.56</v>
      </c>
      <c r="K1514" s="162">
        <v>30.91</v>
      </c>
      <c r="L1514" s="163">
        <v>5.4889999999999999</v>
      </c>
      <c r="M1514" s="166">
        <v>3.4000000000000002E-2</v>
      </c>
      <c r="N1514" s="15">
        <v>63.972999999999999</v>
      </c>
      <c r="O1514" s="167">
        <v>4.4999999999999998E-2</v>
      </c>
      <c r="P1514" s="96"/>
      <c r="Q1514" s="93"/>
      <c r="R1514" s="93"/>
      <c r="S1514" s="93"/>
      <c r="T1514" s="93"/>
    </row>
    <row r="1515" spans="1:20" ht="14.25" customHeight="1" x14ac:dyDescent="0.35">
      <c r="A1515" s="1">
        <v>2020</v>
      </c>
      <c r="B1515" s="1" t="s">
        <v>23</v>
      </c>
      <c r="C1515" s="1">
        <v>21</v>
      </c>
      <c r="D1515" s="12">
        <v>112.90600000000001</v>
      </c>
      <c r="E1515" s="13">
        <v>95.938000000000002</v>
      </c>
      <c r="F1515" s="161">
        <v>75.989000000000004</v>
      </c>
      <c r="G1515" s="162">
        <v>1719.691</v>
      </c>
      <c r="H1515" s="163">
        <v>6.9</v>
      </c>
      <c r="I1515" s="16">
        <v>0.09</v>
      </c>
      <c r="J1515" s="164">
        <v>8.5860000000000003</v>
      </c>
      <c r="K1515" s="165">
        <v>31.878</v>
      </c>
      <c r="L1515" s="13">
        <v>5.4889999999999999</v>
      </c>
      <c r="M1515" s="166">
        <v>5.1999999999999998E-2</v>
      </c>
      <c r="N1515" s="15">
        <v>63.997</v>
      </c>
      <c r="O1515" s="167">
        <v>4.4999999999999998E-2</v>
      </c>
      <c r="P1515" s="96"/>
      <c r="Q1515" s="93"/>
      <c r="R1515" s="93"/>
      <c r="S1515" s="93"/>
      <c r="T1515" s="93"/>
    </row>
    <row r="1516" spans="1:20" ht="14.25" customHeight="1" x14ac:dyDescent="0.35">
      <c r="A1516" s="1">
        <v>2020</v>
      </c>
      <c r="B1516" s="1" t="s">
        <v>23</v>
      </c>
      <c r="C1516" s="1">
        <v>22</v>
      </c>
      <c r="D1516" s="12">
        <v>113.40600000000001</v>
      </c>
      <c r="E1516" s="13">
        <v>96.531000000000006</v>
      </c>
      <c r="F1516" s="161">
        <v>75.816999999999993</v>
      </c>
      <c r="G1516" s="162">
        <v>1693.4770000000001</v>
      </c>
      <c r="H1516" s="163">
        <v>6.9</v>
      </c>
      <c r="I1516" s="16">
        <v>8.5999999999999993E-2</v>
      </c>
      <c r="J1516" s="164">
        <v>8.3160000000000007</v>
      </c>
      <c r="K1516" s="162">
        <v>31.173999999999999</v>
      </c>
      <c r="L1516" s="163">
        <v>5.48</v>
      </c>
      <c r="M1516" s="166">
        <v>6.0999999999999999E-2</v>
      </c>
      <c r="N1516" s="15">
        <v>65.087999999999994</v>
      </c>
      <c r="O1516" s="167">
        <v>4.2999999999999997E-2</v>
      </c>
      <c r="P1516" s="96"/>
      <c r="Q1516" s="93"/>
      <c r="R1516" s="93"/>
      <c r="S1516" s="93"/>
      <c r="T1516" s="93"/>
    </row>
    <row r="1517" spans="1:20" ht="14.25" customHeight="1" x14ac:dyDescent="0.35">
      <c r="A1517" s="1">
        <v>2020</v>
      </c>
      <c r="B1517" s="1" t="s">
        <v>23</v>
      </c>
      <c r="C1517" s="1">
        <v>23</v>
      </c>
      <c r="D1517" s="12">
        <v>111.672</v>
      </c>
      <c r="E1517" s="13">
        <v>94.938000000000002</v>
      </c>
      <c r="F1517" s="161">
        <v>75.558000000000007</v>
      </c>
      <c r="G1517" s="162">
        <v>1606.05</v>
      </c>
      <c r="H1517" s="163">
        <v>6.9</v>
      </c>
      <c r="I1517" s="16">
        <v>0.08</v>
      </c>
      <c r="J1517" s="164">
        <v>8.0869999999999997</v>
      </c>
      <c r="K1517" s="165">
        <v>30.010999999999999</v>
      </c>
      <c r="L1517" s="13">
        <v>5.4829999999999997</v>
      </c>
      <c r="M1517" s="166">
        <v>6.2E-2</v>
      </c>
      <c r="N1517" s="15">
        <v>64.811999999999998</v>
      </c>
      <c r="O1517" s="167">
        <v>3.7999999999999999E-2</v>
      </c>
      <c r="P1517" s="96"/>
      <c r="Q1517" s="93"/>
      <c r="R1517" s="93"/>
      <c r="S1517" s="93"/>
      <c r="T1517" s="93"/>
    </row>
    <row r="1518" spans="1:20" ht="14.25" customHeight="1" x14ac:dyDescent="0.35">
      <c r="A1518" s="1">
        <v>2020</v>
      </c>
      <c r="B1518" s="1" t="s">
        <v>23</v>
      </c>
      <c r="C1518" s="1">
        <v>24</v>
      </c>
      <c r="D1518" s="12">
        <v>111.65600000000001</v>
      </c>
      <c r="E1518" s="13">
        <v>94.968999999999994</v>
      </c>
      <c r="F1518" s="161">
        <v>75.721000000000004</v>
      </c>
      <c r="G1518" s="162">
        <v>1570.3320000000001</v>
      </c>
      <c r="H1518" s="163">
        <v>6.9</v>
      </c>
      <c r="I1518" s="16">
        <v>8.5000000000000006E-2</v>
      </c>
      <c r="J1518" s="164">
        <v>8.1419999999999995</v>
      </c>
      <c r="K1518" s="162">
        <v>29.381</v>
      </c>
      <c r="L1518" s="163">
        <v>5.4779999999999998</v>
      </c>
      <c r="M1518" s="166">
        <v>5.8999999999999997E-2</v>
      </c>
      <c r="N1518" s="15">
        <v>65.405000000000001</v>
      </c>
      <c r="O1518" s="167">
        <v>3.7999999999999999E-2</v>
      </c>
      <c r="P1518" s="96"/>
      <c r="Q1518" s="93"/>
      <c r="R1518" s="93"/>
      <c r="S1518" s="93"/>
      <c r="T1518" s="93"/>
    </row>
    <row r="1519" spans="1:20" ht="14.25" customHeight="1" x14ac:dyDescent="0.35">
      <c r="A1519" s="1">
        <v>2020</v>
      </c>
      <c r="B1519" s="1" t="s">
        <v>23</v>
      </c>
      <c r="C1519" s="1">
        <v>25</v>
      </c>
      <c r="D1519" s="12">
        <v>109.313</v>
      </c>
      <c r="E1519" s="13">
        <v>92.813000000000002</v>
      </c>
      <c r="F1519" s="161">
        <v>76.009</v>
      </c>
      <c r="G1519" s="162">
        <v>1664.4010000000001</v>
      </c>
      <c r="H1519" s="163">
        <v>6.9</v>
      </c>
      <c r="I1519" s="16">
        <v>0.09</v>
      </c>
      <c r="J1519" s="164">
        <v>8.423</v>
      </c>
      <c r="K1519" s="165">
        <v>31.48</v>
      </c>
      <c r="L1519" s="13">
        <v>5.492</v>
      </c>
      <c r="M1519" s="166">
        <v>6.0999999999999999E-2</v>
      </c>
      <c r="N1519" s="15">
        <v>63.267000000000003</v>
      </c>
      <c r="O1519" s="167">
        <v>4.4999999999999998E-2</v>
      </c>
      <c r="P1519" s="96"/>
      <c r="Q1519" s="93"/>
      <c r="R1519" s="93"/>
      <c r="S1519" s="93"/>
      <c r="T1519" s="93"/>
    </row>
    <row r="1520" spans="1:20" ht="14.25" customHeight="1" x14ac:dyDescent="0.35">
      <c r="A1520" s="1">
        <v>2020</v>
      </c>
      <c r="B1520" s="1" t="s">
        <v>23</v>
      </c>
      <c r="C1520" s="1">
        <v>26</v>
      </c>
      <c r="D1520" s="12">
        <v>107.453</v>
      </c>
      <c r="E1520" s="13">
        <v>91.406000000000006</v>
      </c>
      <c r="F1520" s="161">
        <v>76.462000000000003</v>
      </c>
      <c r="G1520" s="162">
        <v>1740.1669999999999</v>
      </c>
      <c r="H1520" s="163">
        <v>6.9</v>
      </c>
      <c r="I1520" s="16">
        <v>0.123</v>
      </c>
      <c r="J1520" s="164">
        <v>8.6940000000000008</v>
      </c>
      <c r="K1520" s="162">
        <v>31.94</v>
      </c>
      <c r="L1520" s="163">
        <v>5.4859999999999998</v>
      </c>
      <c r="M1520" s="166">
        <v>6.0999999999999999E-2</v>
      </c>
      <c r="N1520" s="15">
        <v>64.313999999999993</v>
      </c>
      <c r="O1520" s="167">
        <v>4.7E-2</v>
      </c>
      <c r="P1520" s="96"/>
      <c r="Q1520" s="93"/>
      <c r="R1520" s="93"/>
      <c r="S1520" s="93"/>
      <c r="T1520" s="93"/>
    </row>
    <row r="1521" spans="1:20" ht="14.25" customHeight="1" x14ac:dyDescent="0.35">
      <c r="A1521" s="1">
        <v>2020</v>
      </c>
      <c r="B1521" s="1" t="s">
        <v>23</v>
      </c>
      <c r="C1521" s="1">
        <v>27</v>
      </c>
      <c r="D1521" s="12">
        <v>106.71899999999999</v>
      </c>
      <c r="E1521" s="13">
        <v>90.625</v>
      </c>
      <c r="F1521" s="161">
        <v>76.486999999999995</v>
      </c>
      <c r="G1521" s="162">
        <v>1744.11</v>
      </c>
      <c r="H1521" s="163">
        <v>6.9</v>
      </c>
      <c r="I1521" s="16">
        <v>9.2999999999999999E-2</v>
      </c>
      <c r="J1521" s="164">
        <v>8.4280000000000008</v>
      </c>
      <c r="K1521" s="165">
        <v>32.024000000000001</v>
      </c>
      <c r="L1521" s="13">
        <v>5.4909999999999997</v>
      </c>
      <c r="M1521" s="166">
        <v>0.06</v>
      </c>
      <c r="N1521" s="15">
        <v>63.585999999999999</v>
      </c>
      <c r="O1521" s="167">
        <v>4.4999999999999998E-2</v>
      </c>
      <c r="P1521" s="96"/>
      <c r="Q1521" s="93"/>
      <c r="R1521" s="93"/>
      <c r="S1521" s="93"/>
      <c r="T1521" s="93"/>
    </row>
    <row r="1522" spans="1:20" ht="14.25" customHeight="1" x14ac:dyDescent="0.35">
      <c r="A1522" s="1">
        <v>2020</v>
      </c>
      <c r="B1522" s="1" t="s">
        <v>23</v>
      </c>
      <c r="C1522" s="1">
        <v>28</v>
      </c>
      <c r="D1522" s="42">
        <v>109.188</v>
      </c>
      <c r="E1522" s="43">
        <v>92.813000000000002</v>
      </c>
      <c r="F1522" s="161">
        <v>76.917000000000002</v>
      </c>
      <c r="G1522" s="162">
        <v>1764.9659999999999</v>
      </c>
      <c r="H1522" s="163">
        <v>6.9</v>
      </c>
      <c r="I1522" s="16">
        <v>0.115</v>
      </c>
      <c r="J1522" s="164">
        <v>8.1950000000000003</v>
      </c>
      <c r="K1522" s="162">
        <v>32.972999999999999</v>
      </c>
      <c r="L1522" s="163">
        <v>5.4889999999999999</v>
      </c>
      <c r="M1522" s="166">
        <v>6.3E-2</v>
      </c>
      <c r="N1522" s="15">
        <v>63.82</v>
      </c>
      <c r="O1522" s="167">
        <v>4.5999999999999999E-2</v>
      </c>
      <c r="P1522" s="96"/>
      <c r="Q1522" s="93"/>
      <c r="R1522" s="93"/>
      <c r="S1522" s="93"/>
      <c r="T1522" s="93"/>
    </row>
    <row r="1523" spans="1:20" ht="14.25" customHeight="1" x14ac:dyDescent="0.35">
      <c r="A1523" s="1">
        <v>2021</v>
      </c>
      <c r="B1523" s="1" t="s">
        <v>23</v>
      </c>
      <c r="C1523" s="1">
        <v>29</v>
      </c>
      <c r="D1523" s="85">
        <v>108.922</v>
      </c>
      <c r="E1523" s="86">
        <v>92.593999999999994</v>
      </c>
      <c r="F1523" s="161">
        <v>76.378</v>
      </c>
      <c r="G1523" s="177">
        <v>1752</v>
      </c>
      <c r="H1523" s="163">
        <v>6.9</v>
      </c>
      <c r="I1523" s="16">
        <v>0.14399999999999999</v>
      </c>
      <c r="J1523" s="164">
        <v>8.3529999999999998</v>
      </c>
      <c r="K1523" s="177">
        <v>33</v>
      </c>
      <c r="L1523" s="163">
        <v>5.4859999999999998</v>
      </c>
      <c r="M1523" s="166">
        <v>6.2E-2</v>
      </c>
      <c r="N1523" s="15">
        <v>64.233999999999995</v>
      </c>
      <c r="O1523" s="167">
        <v>4.5999999999999999E-2</v>
      </c>
      <c r="P1523" s="96"/>
      <c r="Q1523" s="93"/>
      <c r="R1523" s="93"/>
      <c r="S1523" s="93"/>
      <c r="T1523" s="93"/>
    </row>
    <row r="1524" spans="1:20" ht="14.25" customHeight="1" x14ac:dyDescent="0.35">
      <c r="A1524" s="1">
        <v>2020</v>
      </c>
      <c r="B1524" s="1" t="s">
        <v>25</v>
      </c>
      <c r="C1524" s="1">
        <v>1</v>
      </c>
      <c r="D1524" s="12">
        <v>109.59399999999999</v>
      </c>
      <c r="E1524" s="13">
        <v>93.168000000000006</v>
      </c>
      <c r="F1524" s="156">
        <v>75.542000000000002</v>
      </c>
      <c r="G1524" s="157">
        <v>1714.0509999999999</v>
      </c>
      <c r="H1524" s="44">
        <v>6.9</v>
      </c>
      <c r="I1524" s="45">
        <v>0.14000000000000001</v>
      </c>
      <c r="J1524" s="158">
        <v>8.2520000000000007</v>
      </c>
      <c r="K1524" s="157">
        <v>31.065000000000001</v>
      </c>
      <c r="L1524" s="45">
        <v>5.4790000000000001</v>
      </c>
      <c r="M1524" s="159">
        <v>6.0999999999999999E-2</v>
      </c>
      <c r="N1524" s="15">
        <v>65.355000000000004</v>
      </c>
      <c r="O1524" s="160">
        <v>0.04</v>
      </c>
      <c r="P1524" s="96"/>
      <c r="Q1524" s="93"/>
      <c r="R1524" s="93"/>
      <c r="S1524" s="93"/>
      <c r="T1524" s="93"/>
    </row>
    <row r="1525" spans="1:20" ht="14.25" customHeight="1" x14ac:dyDescent="0.35">
      <c r="A1525" s="1">
        <v>2020</v>
      </c>
      <c r="B1525" s="1" t="s">
        <v>25</v>
      </c>
      <c r="C1525" s="1">
        <v>2</v>
      </c>
      <c r="D1525" s="12">
        <v>108.26600000000001</v>
      </c>
      <c r="E1525" s="13">
        <v>92.125</v>
      </c>
      <c r="F1525" s="161">
        <v>75.536000000000001</v>
      </c>
      <c r="G1525" s="162">
        <v>1653.6559999999999</v>
      </c>
      <c r="H1525" s="163">
        <v>6.9</v>
      </c>
      <c r="I1525" s="16">
        <v>0.11799999999999999</v>
      </c>
      <c r="J1525" s="164">
        <v>8.1829999999999998</v>
      </c>
      <c r="K1525" s="165">
        <v>28.861000000000001</v>
      </c>
      <c r="L1525" s="13">
        <v>5.4880000000000004</v>
      </c>
      <c r="M1525" s="166">
        <v>0.06</v>
      </c>
      <c r="N1525" s="15">
        <v>64.025999999999996</v>
      </c>
      <c r="O1525" s="167">
        <v>0.04</v>
      </c>
      <c r="P1525" s="96"/>
      <c r="Q1525" s="93"/>
      <c r="R1525" s="93"/>
      <c r="S1525" s="93"/>
      <c r="T1525" s="93"/>
    </row>
    <row r="1526" spans="1:20" ht="14.25" customHeight="1" x14ac:dyDescent="0.35">
      <c r="A1526" s="1">
        <v>2020</v>
      </c>
      <c r="B1526" s="1" t="s">
        <v>25</v>
      </c>
      <c r="C1526" s="1">
        <v>3</v>
      </c>
      <c r="D1526" s="12">
        <v>109.938</v>
      </c>
      <c r="E1526" s="13">
        <v>93.406000000000006</v>
      </c>
      <c r="F1526" s="161">
        <v>76.006</v>
      </c>
      <c r="G1526" s="162">
        <v>1756.874</v>
      </c>
      <c r="H1526" s="163">
        <v>6.9009999999999998</v>
      </c>
      <c r="I1526" s="16">
        <v>0.128</v>
      </c>
      <c r="J1526" s="164">
        <v>8.4239999999999995</v>
      </c>
      <c r="K1526" s="165">
        <v>30.655000000000001</v>
      </c>
      <c r="L1526" s="13">
        <v>5.4850000000000003</v>
      </c>
      <c r="M1526" s="166">
        <v>5.6000000000000001E-2</v>
      </c>
      <c r="N1526" s="15">
        <v>64.459999999999994</v>
      </c>
      <c r="O1526" s="167">
        <v>4.2999999999999997E-2</v>
      </c>
      <c r="P1526" s="96"/>
      <c r="Q1526" s="93"/>
      <c r="R1526" s="93"/>
      <c r="S1526" s="93"/>
      <c r="T1526" s="93"/>
    </row>
    <row r="1527" spans="1:20" ht="14.25" customHeight="1" x14ac:dyDescent="0.35">
      <c r="A1527" s="1">
        <v>2020</v>
      </c>
      <c r="B1527" s="1" t="s">
        <v>25</v>
      </c>
      <c r="C1527" s="1">
        <v>4</v>
      </c>
      <c r="D1527" s="12">
        <v>108.688</v>
      </c>
      <c r="E1527" s="13">
        <v>92.438000000000002</v>
      </c>
      <c r="F1527" s="161">
        <v>76.385999999999996</v>
      </c>
      <c r="G1527" s="162">
        <v>1777.28</v>
      </c>
      <c r="H1527" s="163">
        <v>6.9</v>
      </c>
      <c r="I1527" s="16">
        <v>0.13700000000000001</v>
      </c>
      <c r="J1527" s="164">
        <v>8.4740000000000002</v>
      </c>
      <c r="K1527" s="165">
        <v>32.421999999999997</v>
      </c>
      <c r="L1527" s="13">
        <v>5.4870000000000001</v>
      </c>
      <c r="M1527" s="166">
        <v>5.6000000000000001E-2</v>
      </c>
      <c r="N1527" s="15">
        <v>64.153000000000006</v>
      </c>
      <c r="O1527" s="167">
        <v>4.4999999999999998E-2</v>
      </c>
      <c r="P1527" s="96"/>
      <c r="Q1527" s="93"/>
      <c r="R1527" s="93"/>
      <c r="S1527" s="93"/>
      <c r="T1527" s="93"/>
    </row>
    <row r="1528" spans="1:20" ht="14.25" customHeight="1" x14ac:dyDescent="0.35">
      <c r="A1528" s="1">
        <v>2020</v>
      </c>
      <c r="B1528" s="1" t="s">
        <v>25</v>
      </c>
      <c r="C1528" s="1">
        <v>5</v>
      </c>
      <c r="D1528" s="12">
        <v>101.125</v>
      </c>
      <c r="E1528" s="13">
        <v>86.063000000000002</v>
      </c>
      <c r="F1528" s="178">
        <v>76.603999999999999</v>
      </c>
      <c r="G1528" s="179">
        <v>1804.6120000000001</v>
      </c>
      <c r="H1528" s="180">
        <v>6.9</v>
      </c>
      <c r="I1528" s="180">
        <v>0.14199999999999999</v>
      </c>
      <c r="J1528" s="181">
        <v>8.5630000000000006</v>
      </c>
      <c r="K1528" s="182">
        <v>33.549999999999997</v>
      </c>
      <c r="L1528" s="180">
        <v>5.4909999999999997</v>
      </c>
      <c r="M1528" s="180">
        <v>5.7000000000000002E-2</v>
      </c>
      <c r="N1528" s="179">
        <v>63.616999999999997</v>
      </c>
      <c r="O1528" s="183">
        <v>4.3999999999999997E-2</v>
      </c>
      <c r="P1528" s="96"/>
      <c r="Q1528" s="93"/>
      <c r="R1528" s="93"/>
      <c r="S1528" s="93"/>
      <c r="T1528" s="93"/>
    </row>
    <row r="1529" spans="1:20" ht="14.25" customHeight="1" x14ac:dyDescent="0.35">
      <c r="A1529" s="1">
        <v>2020</v>
      </c>
      <c r="B1529" s="1" t="s">
        <v>25</v>
      </c>
      <c r="C1529" s="1">
        <v>6</v>
      </c>
      <c r="D1529" s="12">
        <v>108.26600000000001</v>
      </c>
      <c r="E1529" s="13">
        <v>91.938000000000002</v>
      </c>
      <c r="F1529" s="169">
        <v>76.582999999999998</v>
      </c>
      <c r="G1529" s="184">
        <v>1844.31</v>
      </c>
      <c r="H1529" s="185">
        <v>6.9</v>
      </c>
      <c r="I1529" s="180">
        <v>0.113</v>
      </c>
      <c r="J1529" s="170">
        <v>8.8699999999999992</v>
      </c>
      <c r="K1529" s="186">
        <v>32.948</v>
      </c>
      <c r="L1529" s="28">
        <v>5.4690000000000003</v>
      </c>
      <c r="M1529" s="171">
        <v>5.2999999999999999E-2</v>
      </c>
      <c r="N1529" s="179">
        <v>66.870999999999995</v>
      </c>
      <c r="O1529" s="172">
        <v>4.2999999999999997E-2</v>
      </c>
      <c r="P1529" s="96"/>
      <c r="Q1529" s="93"/>
      <c r="R1529" s="93"/>
      <c r="S1529" s="93"/>
      <c r="T1529" s="93"/>
    </row>
    <row r="1530" spans="1:20" ht="14.25" customHeight="1" x14ac:dyDescent="0.35">
      <c r="A1530" s="1">
        <v>2020</v>
      </c>
      <c r="B1530" s="1" t="s">
        <v>25</v>
      </c>
      <c r="C1530" s="1">
        <v>7</v>
      </c>
      <c r="D1530" s="12">
        <v>109.21899999999999</v>
      </c>
      <c r="E1530" s="13">
        <v>92.968999999999994</v>
      </c>
      <c r="F1530" s="169">
        <v>76.344999999999999</v>
      </c>
      <c r="G1530" s="184">
        <v>1813.1510000000001</v>
      </c>
      <c r="H1530" s="185">
        <v>6.9</v>
      </c>
      <c r="I1530" s="180">
        <v>9.8000000000000004E-2</v>
      </c>
      <c r="J1530" s="170">
        <v>8.8439999999999994</v>
      </c>
      <c r="K1530" s="186">
        <v>32.965000000000003</v>
      </c>
      <c r="L1530" s="28">
        <v>5.4880000000000004</v>
      </c>
      <c r="M1530" s="171">
        <v>5.6000000000000001E-2</v>
      </c>
      <c r="N1530" s="179">
        <v>64.006</v>
      </c>
      <c r="O1530" s="172">
        <v>4.2999999999999997E-2</v>
      </c>
      <c r="P1530" s="96"/>
      <c r="Q1530" s="93"/>
      <c r="R1530" s="93"/>
      <c r="S1530" s="93"/>
      <c r="T1530" s="93"/>
    </row>
    <row r="1531" spans="1:20" ht="14.25" customHeight="1" x14ac:dyDescent="0.35">
      <c r="A1531" s="1">
        <v>2020</v>
      </c>
      <c r="B1531" s="1" t="s">
        <v>25</v>
      </c>
      <c r="C1531" s="1">
        <v>8</v>
      </c>
      <c r="D1531" s="12">
        <v>103.10899999999999</v>
      </c>
      <c r="E1531" s="13">
        <v>87.718999999999994</v>
      </c>
      <c r="F1531" s="161">
        <v>76.268000000000001</v>
      </c>
      <c r="G1531" s="22">
        <v>1706.617</v>
      </c>
      <c r="H1531" s="163">
        <v>6.9</v>
      </c>
      <c r="I1531" s="16">
        <v>8.8999999999999996E-2</v>
      </c>
      <c r="J1531" s="168">
        <v>8.76</v>
      </c>
      <c r="K1531" s="165">
        <v>30.207999999999998</v>
      </c>
      <c r="L1531" s="13">
        <v>5.4889999999999999</v>
      </c>
      <c r="M1531" s="166">
        <v>7.0000000000000007E-2</v>
      </c>
      <c r="N1531" s="15">
        <v>63.898000000000003</v>
      </c>
      <c r="O1531" s="167">
        <v>4.5999999999999999E-2</v>
      </c>
      <c r="P1531" s="96"/>
      <c r="Q1531" s="93"/>
      <c r="R1531" s="93"/>
      <c r="S1531" s="93"/>
      <c r="T1531" s="93"/>
    </row>
    <row r="1532" spans="1:20" ht="14.25" customHeight="1" x14ac:dyDescent="0.35">
      <c r="A1532" s="1">
        <v>2020</v>
      </c>
      <c r="B1532" s="1" t="s">
        <v>25</v>
      </c>
      <c r="C1532" s="1">
        <v>9</v>
      </c>
      <c r="D1532" s="12">
        <v>109.10899999999999</v>
      </c>
      <c r="E1532" s="13">
        <v>92.781000000000006</v>
      </c>
      <c r="F1532" s="161">
        <v>76.222999999999999</v>
      </c>
      <c r="G1532" s="162">
        <v>1628.5309999999999</v>
      </c>
      <c r="H1532" s="163">
        <v>6.9</v>
      </c>
      <c r="I1532" s="16">
        <v>8.2000000000000003E-2</v>
      </c>
      <c r="J1532" s="164">
        <v>9.0429999999999993</v>
      </c>
      <c r="K1532" s="165">
        <v>27.861999999999998</v>
      </c>
      <c r="L1532" s="13">
        <v>5.492</v>
      </c>
      <c r="M1532" s="166">
        <v>6.8000000000000005E-2</v>
      </c>
      <c r="N1532" s="15">
        <v>63.429000000000002</v>
      </c>
      <c r="O1532" s="167">
        <v>4.3999999999999997E-2</v>
      </c>
      <c r="P1532" s="96"/>
      <c r="Q1532" s="93"/>
      <c r="R1532" s="93"/>
      <c r="S1532" s="93"/>
      <c r="T1532" s="93"/>
    </row>
    <row r="1533" spans="1:20" ht="14.25" customHeight="1" x14ac:dyDescent="0.35">
      <c r="A1533" s="1">
        <v>2020</v>
      </c>
      <c r="B1533" s="1" t="s">
        <v>25</v>
      </c>
      <c r="C1533" s="1">
        <v>10</v>
      </c>
      <c r="D1533" s="12">
        <v>103.828</v>
      </c>
      <c r="E1533" s="13">
        <v>88.125</v>
      </c>
      <c r="F1533" s="169">
        <v>76.293999999999997</v>
      </c>
      <c r="G1533" s="162">
        <v>1747.211</v>
      </c>
      <c r="H1533" s="163">
        <v>6.9009999999999998</v>
      </c>
      <c r="I1533" s="16">
        <v>8.1000000000000003E-2</v>
      </c>
      <c r="J1533" s="170">
        <v>8.8510000000000009</v>
      </c>
      <c r="K1533" s="165">
        <v>31.942</v>
      </c>
      <c r="L1533" s="13">
        <v>5.5049999999999999</v>
      </c>
      <c r="M1533" s="171">
        <v>6.0999999999999999E-2</v>
      </c>
      <c r="N1533" s="15">
        <v>61.37</v>
      </c>
      <c r="O1533" s="172">
        <v>4.8000000000000001E-2</v>
      </c>
      <c r="P1533" s="96"/>
      <c r="Q1533" s="93"/>
      <c r="R1533" s="93"/>
      <c r="S1533" s="93"/>
      <c r="T1533" s="93"/>
    </row>
    <row r="1534" spans="1:20" ht="14.25" customHeight="1" x14ac:dyDescent="0.35">
      <c r="A1534" s="1">
        <v>2020</v>
      </c>
      <c r="B1534" s="1" t="s">
        <v>25</v>
      </c>
      <c r="C1534" s="1">
        <v>11</v>
      </c>
      <c r="D1534" s="12">
        <v>111.60899999999999</v>
      </c>
      <c r="E1534" s="13">
        <v>94.906000000000006</v>
      </c>
      <c r="F1534" s="169">
        <v>76.864000000000004</v>
      </c>
      <c r="G1534" s="162">
        <v>1825.6110000000001</v>
      </c>
      <c r="H1534" s="163">
        <v>6.9</v>
      </c>
      <c r="I1534" s="16">
        <v>7.3999999999999996E-2</v>
      </c>
      <c r="J1534" s="170">
        <v>8.9459999999999997</v>
      </c>
      <c r="K1534" s="165">
        <v>33.046999999999997</v>
      </c>
      <c r="L1534" s="13">
        <v>5.5030000000000001</v>
      </c>
      <c r="M1534" s="171">
        <v>6.3E-2</v>
      </c>
      <c r="N1534" s="15">
        <v>62.106000000000002</v>
      </c>
      <c r="O1534" s="172">
        <v>4.7E-2</v>
      </c>
      <c r="P1534" s="96"/>
      <c r="Q1534" s="93"/>
      <c r="R1534" s="93"/>
      <c r="S1534" s="93"/>
      <c r="T1534" s="93"/>
    </row>
    <row r="1535" spans="1:20" ht="14.25" customHeight="1" x14ac:dyDescent="0.35">
      <c r="A1535" s="1">
        <v>2020</v>
      </c>
      <c r="B1535" s="1" t="s">
        <v>25</v>
      </c>
      <c r="C1535" s="1">
        <v>12</v>
      </c>
      <c r="D1535" s="12">
        <v>112.23399999999999</v>
      </c>
      <c r="E1535" s="13">
        <v>95.438000000000002</v>
      </c>
      <c r="F1535" s="169">
        <v>76.388000000000005</v>
      </c>
      <c r="G1535" s="162">
        <v>1771.3920000000001</v>
      </c>
      <c r="H1535" s="163">
        <v>6.899</v>
      </c>
      <c r="I1535" s="16">
        <v>7.2999999999999995E-2</v>
      </c>
      <c r="J1535" s="170">
        <v>8.6649999999999991</v>
      </c>
      <c r="K1535" s="165">
        <v>31.587</v>
      </c>
      <c r="L1535" s="13">
        <v>5.4930000000000003</v>
      </c>
      <c r="M1535" s="171">
        <v>0.06</v>
      </c>
      <c r="N1535" s="15">
        <v>63.344999999999999</v>
      </c>
      <c r="O1535" s="172">
        <v>4.3999999999999997E-2</v>
      </c>
      <c r="P1535" s="96"/>
      <c r="Q1535" s="93"/>
      <c r="R1535" s="93"/>
      <c r="S1535" s="93"/>
      <c r="T1535" s="93"/>
    </row>
    <row r="1536" spans="1:20" ht="14.25" customHeight="1" x14ac:dyDescent="0.35">
      <c r="A1536" s="1">
        <v>2020</v>
      </c>
      <c r="B1536" s="1" t="s">
        <v>25</v>
      </c>
      <c r="C1536" s="1">
        <v>13</v>
      </c>
      <c r="D1536" s="12">
        <v>112.73399999999999</v>
      </c>
      <c r="E1536" s="13">
        <v>95.938000000000002</v>
      </c>
      <c r="F1536" s="173">
        <v>75.171000000000006</v>
      </c>
      <c r="G1536" s="162">
        <v>1644.8810000000001</v>
      </c>
      <c r="H1536" s="163">
        <v>6.9</v>
      </c>
      <c r="I1536" s="16">
        <v>9.0999999999999998E-2</v>
      </c>
      <c r="J1536" s="174">
        <v>8.0229999999999997</v>
      </c>
      <c r="K1536" s="165">
        <v>30.183</v>
      </c>
      <c r="L1536" s="13">
        <v>5.5519999999999996</v>
      </c>
      <c r="M1536" s="166">
        <v>5.7000000000000002E-2</v>
      </c>
      <c r="N1536" s="15">
        <v>56.027000000000001</v>
      </c>
      <c r="O1536" s="175">
        <v>0.04</v>
      </c>
      <c r="P1536" s="96"/>
      <c r="Q1536" s="93"/>
      <c r="R1536" s="93"/>
      <c r="S1536" s="93"/>
      <c r="T1536" s="93"/>
    </row>
    <row r="1537" spans="1:20" ht="14.25" customHeight="1" x14ac:dyDescent="0.35">
      <c r="A1537" s="1">
        <v>2020</v>
      </c>
      <c r="B1537" s="1" t="s">
        <v>25</v>
      </c>
      <c r="C1537" s="1">
        <v>14</v>
      </c>
      <c r="D1537" s="12">
        <v>110.063</v>
      </c>
      <c r="E1537" s="13">
        <v>93.625</v>
      </c>
      <c r="F1537" s="161">
        <v>75.350999999999999</v>
      </c>
      <c r="G1537" s="162">
        <v>1683.952</v>
      </c>
      <c r="H1537" s="163">
        <v>6.9</v>
      </c>
      <c r="I1537" s="16">
        <v>0.10100000000000001</v>
      </c>
      <c r="J1537" s="174">
        <v>8.1069999999999993</v>
      </c>
      <c r="K1537" s="176">
        <v>33.631999999999998</v>
      </c>
      <c r="L1537" s="13">
        <v>5.5960000000000001</v>
      </c>
      <c r="M1537" s="166">
        <v>5.5E-2</v>
      </c>
      <c r="N1537" s="15">
        <v>49.981000000000002</v>
      </c>
      <c r="O1537" s="175">
        <v>3.9E-2</v>
      </c>
      <c r="P1537" s="96"/>
      <c r="Q1537" s="93"/>
      <c r="R1537" s="93"/>
      <c r="S1537" s="93"/>
      <c r="T1537" s="93"/>
    </row>
    <row r="1538" spans="1:20" ht="14.25" customHeight="1" x14ac:dyDescent="0.35">
      <c r="A1538" s="1">
        <v>2020</v>
      </c>
      <c r="B1538" s="1" t="s">
        <v>25</v>
      </c>
      <c r="C1538" s="1">
        <v>15</v>
      </c>
      <c r="D1538" s="12">
        <v>107.922</v>
      </c>
      <c r="E1538" s="13">
        <v>91.718999999999994</v>
      </c>
      <c r="F1538" s="161">
        <v>75.774000000000001</v>
      </c>
      <c r="G1538" s="162">
        <v>1635.0609999999999</v>
      </c>
      <c r="H1538" s="163">
        <v>6.9</v>
      </c>
      <c r="I1538" s="16">
        <v>9.6000000000000002E-2</v>
      </c>
      <c r="J1538" s="170">
        <v>7.9539999999999997</v>
      </c>
      <c r="K1538" s="165">
        <v>32.313000000000002</v>
      </c>
      <c r="L1538" s="13">
        <v>5.5869999999999997</v>
      </c>
      <c r="M1538" s="166">
        <v>5.3999999999999999E-2</v>
      </c>
      <c r="N1538" s="15">
        <v>51.076000000000001</v>
      </c>
      <c r="O1538" s="172">
        <v>3.7999999999999999E-2</v>
      </c>
      <c r="P1538" s="96"/>
      <c r="Q1538" s="93"/>
      <c r="R1538" s="93"/>
      <c r="S1538" s="93"/>
      <c r="T1538" s="93"/>
    </row>
    <row r="1539" spans="1:20" ht="14.25" customHeight="1" x14ac:dyDescent="0.35">
      <c r="A1539" s="1">
        <v>2020</v>
      </c>
      <c r="B1539" s="1" t="s">
        <v>25</v>
      </c>
      <c r="C1539" s="1">
        <v>16</v>
      </c>
      <c r="D1539" s="12">
        <v>107.297</v>
      </c>
      <c r="E1539" s="13">
        <v>91.218999999999994</v>
      </c>
      <c r="F1539" s="161">
        <v>75.492000000000004</v>
      </c>
      <c r="G1539" s="162">
        <v>1641.1669999999999</v>
      </c>
      <c r="H1539" s="163">
        <v>6.9</v>
      </c>
      <c r="I1539" s="16">
        <v>0.10100000000000001</v>
      </c>
      <c r="J1539" s="174">
        <v>8.0389999999999997</v>
      </c>
      <c r="K1539" s="162">
        <v>32.292000000000002</v>
      </c>
      <c r="L1539" s="163">
        <v>5.5869999999999997</v>
      </c>
      <c r="M1539" s="166">
        <v>5.5E-2</v>
      </c>
      <c r="N1539" s="15">
        <v>51.014000000000003</v>
      </c>
      <c r="O1539" s="175">
        <v>3.6999999999999998E-2</v>
      </c>
      <c r="P1539" s="96"/>
      <c r="Q1539" s="93"/>
      <c r="R1539" s="93"/>
      <c r="S1539" s="93"/>
      <c r="T1539" s="93"/>
    </row>
    <row r="1540" spans="1:20" ht="14.25" customHeight="1" x14ac:dyDescent="0.35">
      <c r="A1540" s="1">
        <v>2020</v>
      </c>
      <c r="B1540" s="1" t="s">
        <v>25</v>
      </c>
      <c r="C1540" s="1">
        <v>17</v>
      </c>
      <c r="D1540" s="12">
        <v>108.59399999999999</v>
      </c>
      <c r="E1540" s="13">
        <v>92.375</v>
      </c>
      <c r="F1540" s="161">
        <v>74.981999999999999</v>
      </c>
      <c r="G1540" s="162">
        <v>1779.2239999999999</v>
      </c>
      <c r="H1540" s="163">
        <v>6.9</v>
      </c>
      <c r="I1540" s="16">
        <v>0.105</v>
      </c>
      <c r="J1540" s="164">
        <v>8.266</v>
      </c>
      <c r="K1540" s="165">
        <v>35.692</v>
      </c>
      <c r="L1540" s="13">
        <v>5.593</v>
      </c>
      <c r="M1540" s="166">
        <v>5.8999999999999997E-2</v>
      </c>
      <c r="N1540" s="15">
        <v>50.311999999999998</v>
      </c>
      <c r="O1540" s="167">
        <v>4.2000000000000003E-2</v>
      </c>
      <c r="P1540" s="96"/>
      <c r="Q1540" s="93"/>
      <c r="R1540" s="93"/>
      <c r="S1540" s="93"/>
      <c r="T1540" s="93"/>
    </row>
    <row r="1541" spans="1:20" ht="14.25" customHeight="1" x14ac:dyDescent="0.35">
      <c r="A1541" s="1">
        <v>2020</v>
      </c>
      <c r="B1541" s="1" t="s">
        <v>25</v>
      </c>
      <c r="C1541" s="1">
        <v>18</v>
      </c>
      <c r="D1541" s="12">
        <v>109.65600000000001</v>
      </c>
      <c r="E1541" s="13">
        <v>93.25</v>
      </c>
      <c r="F1541" s="161">
        <v>74.947000000000003</v>
      </c>
      <c r="G1541" s="162">
        <v>1850.27</v>
      </c>
      <c r="H1541" s="163">
        <v>6.9</v>
      </c>
      <c r="I1541" s="16">
        <v>0.112</v>
      </c>
      <c r="J1541" s="164">
        <v>8.4760000000000009</v>
      </c>
      <c r="K1541" s="162">
        <v>34.442</v>
      </c>
      <c r="L1541" s="163">
        <v>5.577</v>
      </c>
      <c r="M1541" s="166">
        <v>5.8000000000000003E-2</v>
      </c>
      <c r="N1541" s="15">
        <v>52.261000000000003</v>
      </c>
      <c r="O1541" s="167">
        <v>4.2999999999999997E-2</v>
      </c>
      <c r="P1541" s="96"/>
      <c r="Q1541" s="93"/>
      <c r="R1541" s="93"/>
      <c r="S1541" s="93"/>
      <c r="T1541" s="93"/>
    </row>
    <row r="1542" spans="1:20" ht="14.25" customHeight="1" x14ac:dyDescent="0.35">
      <c r="A1542" s="1">
        <v>2020</v>
      </c>
      <c r="B1542" s="1" t="s">
        <v>25</v>
      </c>
      <c r="C1542" s="1">
        <v>19</v>
      </c>
      <c r="D1542" s="12">
        <v>106.75</v>
      </c>
      <c r="E1542" s="13">
        <v>90.968999999999994</v>
      </c>
      <c r="F1542" s="161">
        <v>75.331000000000003</v>
      </c>
      <c r="G1542" s="162">
        <v>1844.171</v>
      </c>
      <c r="H1542" s="163">
        <v>6.9</v>
      </c>
      <c r="I1542" s="16">
        <v>0.11</v>
      </c>
      <c r="J1542" s="164">
        <v>8.2850000000000001</v>
      </c>
      <c r="K1542" s="165">
        <v>34.08</v>
      </c>
      <c r="L1542" s="13">
        <v>5.5739999999999998</v>
      </c>
      <c r="M1542" s="166">
        <v>5.7000000000000002E-2</v>
      </c>
      <c r="N1542" s="15">
        <v>52.536999999999999</v>
      </c>
      <c r="O1542" s="167">
        <v>4.1000000000000002E-2</v>
      </c>
      <c r="P1542" s="96"/>
      <c r="Q1542" s="93"/>
      <c r="R1542" s="93"/>
      <c r="S1542" s="93"/>
      <c r="T1542" s="93"/>
    </row>
    <row r="1543" spans="1:20" ht="14.25" customHeight="1" x14ac:dyDescent="0.35">
      <c r="A1543" s="1">
        <v>2020</v>
      </c>
      <c r="B1543" s="1" t="s">
        <v>25</v>
      </c>
      <c r="C1543" s="1">
        <v>20</v>
      </c>
      <c r="D1543" s="12">
        <v>108.375</v>
      </c>
      <c r="E1543" s="13">
        <v>92.281000000000006</v>
      </c>
      <c r="F1543" s="161">
        <v>75.332999999999998</v>
      </c>
      <c r="G1543" s="162">
        <v>1828.846</v>
      </c>
      <c r="H1543" s="163">
        <v>6.9</v>
      </c>
      <c r="I1543" s="16">
        <v>0.112</v>
      </c>
      <c r="J1543" s="164">
        <v>8.1739999999999995</v>
      </c>
      <c r="K1543" s="165">
        <v>32.548000000000002</v>
      </c>
      <c r="L1543" s="13">
        <v>5.52</v>
      </c>
      <c r="M1543" s="166">
        <v>5.3999999999999999E-2</v>
      </c>
      <c r="N1543" s="15">
        <v>59.533000000000001</v>
      </c>
      <c r="O1543" s="167">
        <v>0.04</v>
      </c>
      <c r="P1543" s="96"/>
      <c r="Q1543" s="93"/>
      <c r="R1543" s="93"/>
      <c r="S1543" s="93"/>
      <c r="T1543" s="93"/>
    </row>
    <row r="1544" spans="1:20" ht="14.25" customHeight="1" x14ac:dyDescent="0.35">
      <c r="A1544" s="1">
        <v>2020</v>
      </c>
      <c r="B1544" s="1" t="s">
        <v>25</v>
      </c>
      <c r="C1544" s="1">
        <v>21</v>
      </c>
      <c r="D1544" s="12">
        <v>107.73399999999999</v>
      </c>
      <c r="E1544" s="13">
        <v>91.718999999999994</v>
      </c>
      <c r="F1544" s="161">
        <v>75.566000000000003</v>
      </c>
      <c r="G1544" s="162">
        <v>1760.643</v>
      </c>
      <c r="H1544" s="163">
        <v>6.9</v>
      </c>
      <c r="I1544" s="16">
        <v>0.108</v>
      </c>
      <c r="J1544" s="164">
        <v>8.14</v>
      </c>
      <c r="K1544" s="165">
        <v>30.628</v>
      </c>
      <c r="L1544" s="13">
        <v>5.4850000000000003</v>
      </c>
      <c r="M1544" s="166">
        <v>5.6000000000000001E-2</v>
      </c>
      <c r="N1544" s="15">
        <v>64.558000000000007</v>
      </c>
      <c r="O1544" s="167">
        <v>3.9E-2</v>
      </c>
      <c r="P1544" s="96"/>
      <c r="Q1544" s="93"/>
      <c r="R1544" s="93"/>
      <c r="S1544" s="93"/>
      <c r="T1544" s="93"/>
    </row>
    <row r="1545" spans="1:20" ht="14.25" customHeight="1" x14ac:dyDescent="0.35">
      <c r="A1545" s="1">
        <v>2020</v>
      </c>
      <c r="B1545" s="1" t="s">
        <v>25</v>
      </c>
      <c r="C1545" s="1">
        <v>22</v>
      </c>
      <c r="D1545" s="12">
        <v>105.60899999999999</v>
      </c>
      <c r="E1545" s="13">
        <v>89.906000000000006</v>
      </c>
      <c r="F1545" s="161">
        <v>75.594999999999999</v>
      </c>
      <c r="G1545" s="162">
        <v>1647.88</v>
      </c>
      <c r="H1545" s="163">
        <v>6.9</v>
      </c>
      <c r="I1545" s="16">
        <v>0.11</v>
      </c>
      <c r="J1545" s="164">
        <v>8.14</v>
      </c>
      <c r="K1545" s="162">
        <v>28.341000000000001</v>
      </c>
      <c r="L1545" s="163">
        <v>5.4960000000000004</v>
      </c>
      <c r="M1545" s="166">
        <v>5.6000000000000001E-2</v>
      </c>
      <c r="N1545" s="15">
        <v>62.997</v>
      </c>
      <c r="O1545" s="167">
        <v>3.6999999999999998E-2</v>
      </c>
      <c r="P1545" s="96"/>
      <c r="Q1545" s="93"/>
      <c r="R1545" s="93"/>
      <c r="S1545" s="93"/>
      <c r="T1545" s="93"/>
    </row>
    <row r="1546" spans="1:20" ht="14.25" customHeight="1" x14ac:dyDescent="0.35">
      <c r="A1546" s="1">
        <v>2020</v>
      </c>
      <c r="B1546" s="1" t="s">
        <v>25</v>
      </c>
      <c r="C1546" s="1">
        <v>23</v>
      </c>
      <c r="D1546" s="12">
        <v>111.51600000000001</v>
      </c>
      <c r="E1546" s="13">
        <v>94.843999999999994</v>
      </c>
      <c r="F1546" s="161">
        <v>74.915000000000006</v>
      </c>
      <c r="G1546" s="162">
        <v>1570.819</v>
      </c>
      <c r="H1546" s="163">
        <v>6.9</v>
      </c>
      <c r="I1546" s="16">
        <v>0.105</v>
      </c>
      <c r="J1546" s="164">
        <v>7.9539999999999997</v>
      </c>
      <c r="K1546" s="165">
        <v>26.555</v>
      </c>
      <c r="L1546" s="13">
        <v>5.49</v>
      </c>
      <c r="M1546" s="166">
        <v>5.2999999999999999E-2</v>
      </c>
      <c r="N1546" s="15">
        <v>63.844999999999999</v>
      </c>
      <c r="O1546" s="167">
        <v>3.4000000000000002E-2</v>
      </c>
      <c r="P1546" s="96"/>
      <c r="Q1546" s="93"/>
      <c r="R1546" s="93"/>
      <c r="S1546" s="93"/>
      <c r="T1546" s="93"/>
    </row>
    <row r="1547" spans="1:20" ht="14.25" customHeight="1" x14ac:dyDescent="0.35">
      <c r="A1547" s="1">
        <v>2020</v>
      </c>
      <c r="B1547" s="1" t="s">
        <v>25</v>
      </c>
      <c r="C1547" s="1">
        <v>24</v>
      </c>
      <c r="D1547" s="12">
        <v>111.422</v>
      </c>
      <c r="E1547" s="13">
        <v>94.781000000000006</v>
      </c>
      <c r="F1547" s="161">
        <v>74.92</v>
      </c>
      <c r="G1547" s="162">
        <v>1666.5550000000001</v>
      </c>
      <c r="H1547" s="163">
        <v>6.9</v>
      </c>
      <c r="I1547" s="16">
        <v>0.104</v>
      </c>
      <c r="J1547" s="164">
        <v>7.9539999999999997</v>
      </c>
      <c r="K1547" s="162">
        <v>28.152000000000001</v>
      </c>
      <c r="L1547" s="163">
        <v>5.4809999999999999</v>
      </c>
      <c r="M1547" s="166">
        <v>5.3999999999999999E-2</v>
      </c>
      <c r="N1547" s="15">
        <v>64.995000000000005</v>
      </c>
      <c r="O1547" s="167">
        <v>0.04</v>
      </c>
      <c r="P1547" s="96"/>
      <c r="Q1547" s="93"/>
      <c r="R1547" s="93"/>
      <c r="S1547" s="93"/>
      <c r="T1547" s="93"/>
    </row>
    <row r="1548" spans="1:20" ht="14.25" customHeight="1" x14ac:dyDescent="0.35">
      <c r="A1548" s="1">
        <v>2020</v>
      </c>
      <c r="B1548" s="1" t="s">
        <v>25</v>
      </c>
      <c r="C1548" s="1">
        <v>25</v>
      </c>
      <c r="D1548" s="12">
        <v>108.73399999999999</v>
      </c>
      <c r="E1548" s="13">
        <v>92.531000000000006</v>
      </c>
      <c r="F1548" s="161">
        <v>75.168999999999997</v>
      </c>
      <c r="G1548" s="162">
        <v>1690.8510000000001</v>
      </c>
      <c r="H1548" s="163">
        <v>6.9</v>
      </c>
      <c r="I1548" s="16">
        <v>0.10299999999999999</v>
      </c>
      <c r="J1548" s="164">
        <v>7.7220000000000004</v>
      </c>
      <c r="K1548" s="165">
        <v>28.949000000000002</v>
      </c>
      <c r="L1548" s="13">
        <v>5.4870000000000001</v>
      </c>
      <c r="M1548" s="166">
        <v>5.3999999999999999E-2</v>
      </c>
      <c r="N1548" s="15">
        <v>64.177000000000007</v>
      </c>
      <c r="O1548" s="167">
        <v>3.7999999999999999E-2</v>
      </c>
      <c r="P1548" s="96"/>
      <c r="Q1548" s="93"/>
      <c r="R1548" s="93"/>
      <c r="S1548" s="93"/>
      <c r="T1548" s="93"/>
    </row>
    <row r="1549" spans="1:20" ht="14.25" customHeight="1" x14ac:dyDescent="0.35">
      <c r="A1549" s="1">
        <v>2020</v>
      </c>
      <c r="B1549" s="1" t="s">
        <v>25</v>
      </c>
      <c r="C1549" s="1">
        <v>26</v>
      </c>
      <c r="D1549" s="12">
        <v>111.64100000000001</v>
      </c>
      <c r="E1549" s="13">
        <v>95</v>
      </c>
      <c r="F1549" s="161">
        <v>75.024000000000001</v>
      </c>
      <c r="G1549" s="162">
        <v>1710.048</v>
      </c>
      <c r="H1549" s="163">
        <v>6.9</v>
      </c>
      <c r="I1549" s="16">
        <v>0.105</v>
      </c>
      <c r="J1549" s="164">
        <v>7.8330000000000002</v>
      </c>
      <c r="K1549" s="162">
        <v>28.471</v>
      </c>
      <c r="L1549" s="163">
        <v>5.4779999999999998</v>
      </c>
      <c r="M1549" s="166">
        <v>5.3999999999999999E-2</v>
      </c>
      <c r="N1549" s="15">
        <v>65.738</v>
      </c>
      <c r="O1549" s="167">
        <v>3.6999999999999998E-2</v>
      </c>
      <c r="P1549" s="96"/>
      <c r="Q1549" s="93"/>
      <c r="R1549" s="93"/>
      <c r="S1549" s="93"/>
      <c r="T1549" s="93"/>
    </row>
    <row r="1550" spans="1:20" ht="14.25" customHeight="1" x14ac:dyDescent="0.35">
      <c r="A1550" s="1">
        <v>2020</v>
      </c>
      <c r="B1550" s="1" t="s">
        <v>25</v>
      </c>
      <c r="C1550" s="1">
        <v>27</v>
      </c>
      <c r="D1550" s="12">
        <v>111.688</v>
      </c>
      <c r="E1550" s="13">
        <v>95</v>
      </c>
      <c r="F1550" s="161">
        <v>74.676000000000002</v>
      </c>
      <c r="G1550" s="162">
        <v>1705.258</v>
      </c>
      <c r="H1550" s="163">
        <v>6.9</v>
      </c>
      <c r="I1550" s="16">
        <v>0.10100000000000001</v>
      </c>
      <c r="J1550" s="164">
        <v>7.6539999999999999</v>
      </c>
      <c r="K1550" s="165">
        <v>29.574999999999999</v>
      </c>
      <c r="L1550" s="13">
        <v>5.5449999999999999</v>
      </c>
      <c r="M1550" s="166">
        <v>5.3999999999999999E-2</v>
      </c>
      <c r="N1550" s="15">
        <v>57.668999999999997</v>
      </c>
      <c r="O1550" s="167">
        <v>3.7999999999999999E-2</v>
      </c>
      <c r="P1550" s="96"/>
      <c r="Q1550" s="93"/>
      <c r="R1550" s="93"/>
      <c r="S1550" s="93"/>
      <c r="T1550" s="93"/>
    </row>
    <row r="1551" spans="1:20" ht="14.25" customHeight="1" x14ac:dyDescent="0.35">
      <c r="A1551" s="1">
        <v>2020</v>
      </c>
      <c r="B1551" s="1" t="s">
        <v>25</v>
      </c>
      <c r="C1551" s="1">
        <v>28</v>
      </c>
      <c r="D1551" s="12">
        <v>110.813</v>
      </c>
      <c r="E1551" s="13">
        <v>94.375</v>
      </c>
      <c r="F1551" s="161">
        <v>75.204999999999998</v>
      </c>
      <c r="G1551" s="162">
        <v>1673.4849999999999</v>
      </c>
      <c r="H1551" s="163">
        <v>6.9</v>
      </c>
      <c r="I1551" s="16">
        <v>9.4E-2</v>
      </c>
      <c r="J1551" s="170">
        <v>7.8230000000000004</v>
      </c>
      <c r="K1551" s="162">
        <v>30.538</v>
      </c>
      <c r="L1551" s="163">
        <v>5.6349999999999998</v>
      </c>
      <c r="M1551" s="166">
        <v>5.3999999999999999E-2</v>
      </c>
      <c r="N1551" s="15">
        <v>45.786999999999999</v>
      </c>
      <c r="O1551" s="167">
        <v>3.7999999999999999E-2</v>
      </c>
      <c r="P1551" s="96"/>
      <c r="Q1551" s="93"/>
      <c r="R1551" s="93"/>
      <c r="S1551" s="93"/>
      <c r="T1551" s="93"/>
    </row>
    <row r="1552" spans="1:20" ht="14.25" customHeight="1" x14ac:dyDescent="0.35">
      <c r="A1552" s="1">
        <v>2020</v>
      </c>
      <c r="B1552" s="1" t="s">
        <v>25</v>
      </c>
      <c r="C1552" s="1">
        <v>29</v>
      </c>
      <c r="D1552" s="12">
        <v>109.703</v>
      </c>
      <c r="E1552" s="13">
        <v>93.343999999999994</v>
      </c>
      <c r="F1552" s="187">
        <v>75.314999999999998</v>
      </c>
      <c r="G1552" s="22">
        <v>1620.1890000000001</v>
      </c>
      <c r="H1552" s="13">
        <v>6.9</v>
      </c>
      <c r="I1552" s="166">
        <v>9.1999999999999998E-2</v>
      </c>
      <c r="J1552" s="188">
        <v>7.7759999999999998</v>
      </c>
      <c r="K1552" s="162">
        <v>29.050999999999998</v>
      </c>
      <c r="L1552" s="163">
        <v>5.6260000000000003</v>
      </c>
      <c r="M1552" s="166">
        <v>5.6000000000000001E-2</v>
      </c>
      <c r="N1552" s="15">
        <v>46.646999999999998</v>
      </c>
      <c r="O1552" s="167">
        <v>3.3000000000000002E-2</v>
      </c>
      <c r="P1552" s="96"/>
      <c r="Q1552" s="93"/>
      <c r="R1552" s="93"/>
      <c r="S1552" s="93"/>
      <c r="T1552" s="93"/>
    </row>
    <row r="1553" spans="1:20" ht="14.25" customHeight="1" x14ac:dyDescent="0.35">
      <c r="A1553" s="1">
        <v>2020</v>
      </c>
      <c r="B1553" s="1" t="s">
        <v>25</v>
      </c>
      <c r="C1553" s="1">
        <v>30</v>
      </c>
      <c r="D1553" s="12">
        <v>111.625</v>
      </c>
      <c r="E1553" s="13">
        <v>95</v>
      </c>
      <c r="F1553" s="187">
        <v>75.72</v>
      </c>
      <c r="G1553" s="22">
        <v>1592.146</v>
      </c>
      <c r="H1553" s="13">
        <v>6.9</v>
      </c>
      <c r="I1553" s="166">
        <v>8.8999999999999996E-2</v>
      </c>
      <c r="J1553" s="188">
        <v>7.8730000000000002</v>
      </c>
      <c r="K1553" s="162">
        <v>28.437000000000001</v>
      </c>
      <c r="L1553" s="163">
        <v>5.6319999999999997</v>
      </c>
      <c r="M1553" s="166">
        <v>5.6000000000000001E-2</v>
      </c>
      <c r="N1553" s="15">
        <v>45.962000000000003</v>
      </c>
      <c r="O1553" s="167">
        <v>3.3000000000000002E-2</v>
      </c>
      <c r="P1553" s="96"/>
      <c r="Q1553" s="93"/>
      <c r="R1553" s="93"/>
      <c r="S1553" s="93"/>
      <c r="T1553" s="93"/>
    </row>
    <row r="1554" spans="1:20" ht="14.25" customHeight="1" x14ac:dyDescent="0.35">
      <c r="A1554" s="1">
        <v>2020</v>
      </c>
      <c r="B1554" s="1" t="s">
        <v>25</v>
      </c>
      <c r="C1554" s="1">
        <v>31</v>
      </c>
      <c r="D1554" s="85">
        <v>110.5</v>
      </c>
      <c r="E1554" s="86">
        <v>93.968999999999994</v>
      </c>
      <c r="F1554" s="189">
        <v>76.016999999999996</v>
      </c>
      <c r="G1554" s="37">
        <v>1645.89</v>
      </c>
      <c r="H1554" s="35">
        <v>6.9</v>
      </c>
      <c r="I1554" s="190">
        <v>8.3000000000000004E-2</v>
      </c>
      <c r="J1554" s="191">
        <v>7.931</v>
      </c>
      <c r="K1554" s="165">
        <v>29.361999999999998</v>
      </c>
      <c r="L1554" s="13">
        <v>5.6310000000000002</v>
      </c>
      <c r="M1554" s="166">
        <v>5.8000000000000003E-2</v>
      </c>
      <c r="N1554" s="15">
        <v>46.19</v>
      </c>
      <c r="O1554" s="167">
        <v>3.7999999999999999E-2</v>
      </c>
      <c r="P1554" s="96"/>
      <c r="Q1554" s="93"/>
      <c r="R1554" s="93"/>
      <c r="S1554" s="93"/>
      <c r="T1554" s="93"/>
    </row>
    <row r="1555" spans="1:20" ht="14.25" customHeight="1" x14ac:dyDescent="0.35">
      <c r="A1555" s="1">
        <v>2020</v>
      </c>
      <c r="B1555" s="1" t="s">
        <v>26</v>
      </c>
      <c r="C1555" s="1">
        <v>1</v>
      </c>
      <c r="D1555" s="12">
        <v>108.64100000000001</v>
      </c>
      <c r="E1555" s="13">
        <v>92.375</v>
      </c>
      <c r="F1555" s="156">
        <v>76.197999999999993</v>
      </c>
      <c r="G1555" s="157">
        <v>1667.124</v>
      </c>
      <c r="H1555" s="44">
        <v>6.9</v>
      </c>
      <c r="I1555" s="45">
        <v>8.5999999999999993E-2</v>
      </c>
      <c r="J1555" s="158">
        <v>7.8940000000000001</v>
      </c>
      <c r="K1555" s="157">
        <v>30.422999999999998</v>
      </c>
      <c r="L1555" s="45">
        <v>5.63</v>
      </c>
      <c r="M1555" s="159">
        <v>5.8000000000000003E-2</v>
      </c>
      <c r="N1555" s="15">
        <v>46.203000000000003</v>
      </c>
      <c r="O1555" s="160">
        <v>4.1000000000000002E-2</v>
      </c>
      <c r="P1555" s="96"/>
      <c r="Q1555" s="93"/>
      <c r="R1555" s="93"/>
      <c r="S1555" s="93"/>
      <c r="T1555" s="93"/>
    </row>
    <row r="1556" spans="1:20" ht="14.25" customHeight="1" x14ac:dyDescent="0.35">
      <c r="A1556" s="1">
        <v>2020</v>
      </c>
      <c r="B1556" s="1" t="s">
        <v>26</v>
      </c>
      <c r="C1556" s="1">
        <v>2</v>
      </c>
      <c r="D1556" s="12">
        <v>111.65600000000001</v>
      </c>
      <c r="E1556" s="13">
        <v>95</v>
      </c>
      <c r="F1556" s="161">
        <v>76.123000000000005</v>
      </c>
      <c r="G1556" s="162">
        <v>1655.194</v>
      </c>
      <c r="H1556" s="163">
        <v>6.9</v>
      </c>
      <c r="I1556" s="16">
        <v>8.5999999999999993E-2</v>
      </c>
      <c r="J1556" s="164">
        <v>7.9180000000000001</v>
      </c>
      <c r="K1556" s="165">
        <v>29.914000000000001</v>
      </c>
      <c r="L1556" s="13">
        <v>5.6360000000000001</v>
      </c>
      <c r="M1556" s="166">
        <v>5.7000000000000002E-2</v>
      </c>
      <c r="N1556" s="15">
        <v>45.738999999999997</v>
      </c>
      <c r="O1556" s="167">
        <v>0.04</v>
      </c>
      <c r="P1556" s="96"/>
      <c r="Q1556" s="93"/>
      <c r="R1556" s="93"/>
      <c r="S1556" s="93"/>
      <c r="T1556" s="93"/>
    </row>
    <row r="1557" spans="1:20" ht="14.25" customHeight="1" x14ac:dyDescent="0.35">
      <c r="A1557" s="1">
        <v>2020</v>
      </c>
      <c r="B1557" s="1" t="s">
        <v>26</v>
      </c>
      <c r="C1557" s="1">
        <v>3</v>
      </c>
      <c r="D1557" s="12">
        <v>112.172</v>
      </c>
      <c r="E1557" s="13">
        <v>95.5</v>
      </c>
      <c r="F1557" s="161">
        <v>76.128</v>
      </c>
      <c r="G1557" s="162">
        <v>1656.298</v>
      </c>
      <c r="H1557" s="163">
        <v>6.9</v>
      </c>
      <c r="I1557" s="16">
        <v>8.4000000000000005E-2</v>
      </c>
      <c r="J1557" s="164">
        <v>8</v>
      </c>
      <c r="K1557" s="165">
        <v>29.84</v>
      </c>
      <c r="L1557" s="13">
        <v>5.5279999999999996</v>
      </c>
      <c r="M1557" s="166">
        <v>5.6000000000000001E-2</v>
      </c>
      <c r="N1557" s="15">
        <v>59.179000000000002</v>
      </c>
      <c r="O1557" s="167">
        <v>0.04</v>
      </c>
      <c r="P1557" s="96"/>
      <c r="Q1557" s="93"/>
      <c r="R1557" s="93"/>
      <c r="S1557" s="93"/>
      <c r="T1557" s="93"/>
    </row>
    <row r="1558" spans="1:20" ht="14.25" customHeight="1" x14ac:dyDescent="0.35">
      <c r="A1558" s="1">
        <v>2020</v>
      </c>
      <c r="B1558" s="1" t="s">
        <v>26</v>
      </c>
      <c r="C1558" s="1">
        <v>4</v>
      </c>
      <c r="D1558" s="12">
        <v>111.047</v>
      </c>
      <c r="E1558" s="13">
        <v>94.593999999999994</v>
      </c>
      <c r="F1558" s="161">
        <v>76.176000000000002</v>
      </c>
      <c r="G1558" s="162">
        <v>1636.068</v>
      </c>
      <c r="H1558" s="163">
        <v>6.9</v>
      </c>
      <c r="I1558" s="16">
        <v>8.5000000000000006E-2</v>
      </c>
      <c r="J1558" s="164">
        <v>8.0609999999999999</v>
      </c>
      <c r="K1558" s="165">
        <v>28.67</v>
      </c>
      <c r="L1558" s="13">
        <v>5.4610000000000003</v>
      </c>
      <c r="M1558" s="166">
        <v>5.8999999999999997E-2</v>
      </c>
      <c r="N1558" s="15">
        <v>68.435000000000002</v>
      </c>
      <c r="O1558" s="167">
        <v>3.7999999999999999E-2</v>
      </c>
      <c r="P1558" s="96"/>
      <c r="Q1558" s="93"/>
      <c r="R1558" s="93"/>
      <c r="S1558" s="93"/>
      <c r="T1558" s="93"/>
    </row>
    <row r="1559" spans="1:20" ht="14.25" customHeight="1" x14ac:dyDescent="0.35">
      <c r="A1559" s="1">
        <v>2020</v>
      </c>
      <c r="B1559" s="1" t="s">
        <v>26</v>
      </c>
      <c r="C1559" s="1">
        <v>5</v>
      </c>
      <c r="D1559" s="12">
        <v>108.10899999999999</v>
      </c>
      <c r="E1559" s="13">
        <v>91.968999999999994</v>
      </c>
      <c r="F1559" s="161">
        <v>75.838999999999999</v>
      </c>
      <c r="G1559" s="162">
        <v>1591.7270000000001</v>
      </c>
      <c r="H1559" s="163">
        <v>6.9</v>
      </c>
      <c r="I1559" s="16">
        <v>8.5999999999999993E-2</v>
      </c>
      <c r="J1559" s="164">
        <v>8.1069999999999993</v>
      </c>
      <c r="K1559" s="165">
        <v>27.814</v>
      </c>
      <c r="L1559" s="13">
        <v>5.4530000000000003</v>
      </c>
      <c r="M1559" s="166">
        <v>0.06</v>
      </c>
      <c r="N1559" s="15">
        <v>69.777000000000001</v>
      </c>
      <c r="O1559" s="167">
        <v>3.6999999999999998E-2</v>
      </c>
      <c r="P1559" s="96"/>
      <c r="Q1559" s="93"/>
      <c r="R1559" s="93"/>
      <c r="S1559" s="93"/>
      <c r="T1559" s="93"/>
    </row>
    <row r="1560" spans="1:20" ht="14.25" customHeight="1" x14ac:dyDescent="0.35">
      <c r="A1560" s="1">
        <v>2020</v>
      </c>
      <c r="B1560" s="1" t="s">
        <v>26</v>
      </c>
      <c r="C1560" s="1">
        <v>6</v>
      </c>
      <c r="D1560" s="12">
        <v>111.46899999999999</v>
      </c>
      <c r="E1560" s="13">
        <v>94.906000000000006</v>
      </c>
      <c r="F1560" s="161">
        <v>75.227000000000004</v>
      </c>
      <c r="G1560" s="162">
        <v>1560.25</v>
      </c>
      <c r="H1560" s="163">
        <v>6.9</v>
      </c>
      <c r="I1560" s="16">
        <v>8.4000000000000005E-2</v>
      </c>
      <c r="J1560" s="164">
        <v>7.9130000000000003</v>
      </c>
      <c r="K1560" s="165">
        <v>26.768000000000001</v>
      </c>
      <c r="L1560" s="13">
        <v>5.452</v>
      </c>
      <c r="M1560" s="166">
        <v>5.8999999999999997E-2</v>
      </c>
      <c r="N1560" s="15">
        <v>69.721999999999994</v>
      </c>
      <c r="O1560" s="167">
        <v>3.3000000000000002E-2</v>
      </c>
      <c r="P1560" s="96"/>
      <c r="Q1560" s="93"/>
      <c r="R1560" s="93"/>
      <c r="S1560" s="93"/>
      <c r="T1560" s="93"/>
    </row>
    <row r="1561" spans="1:20" ht="14.25" customHeight="1" x14ac:dyDescent="0.35">
      <c r="A1561" s="1">
        <v>2020</v>
      </c>
      <c r="B1561" s="1" t="s">
        <v>26</v>
      </c>
      <c r="C1561" s="1">
        <v>7</v>
      </c>
      <c r="D1561" s="12">
        <v>111.03100000000001</v>
      </c>
      <c r="E1561" s="13">
        <v>94.5</v>
      </c>
      <c r="F1561" s="161">
        <v>75.001999999999995</v>
      </c>
      <c r="G1561" s="162">
        <v>1600.838</v>
      </c>
      <c r="H1561" s="163">
        <v>6.9</v>
      </c>
      <c r="I1561" s="16">
        <v>8.4000000000000005E-2</v>
      </c>
      <c r="J1561" s="164">
        <v>7.7560000000000002</v>
      </c>
      <c r="K1561" s="165">
        <v>27.454000000000001</v>
      </c>
      <c r="L1561" s="13">
        <v>5.4489999999999998</v>
      </c>
      <c r="M1561" s="166">
        <v>5.6000000000000001E-2</v>
      </c>
      <c r="N1561" s="15">
        <v>70.198999999999998</v>
      </c>
      <c r="O1561" s="167">
        <v>3.6999999999999998E-2</v>
      </c>
      <c r="P1561" s="96"/>
      <c r="Q1561" s="93"/>
      <c r="R1561" s="93"/>
      <c r="S1561" s="93"/>
      <c r="T1561" s="93"/>
    </row>
    <row r="1562" spans="1:20" ht="14.25" customHeight="1" x14ac:dyDescent="0.35">
      <c r="A1562" s="1">
        <v>2020</v>
      </c>
      <c r="B1562" s="1" t="s">
        <v>26</v>
      </c>
      <c r="C1562" s="1">
        <v>8</v>
      </c>
      <c r="D1562" s="12">
        <v>112.703</v>
      </c>
      <c r="E1562" s="13">
        <v>95.843999999999994</v>
      </c>
      <c r="F1562" s="161">
        <v>74.935000000000002</v>
      </c>
      <c r="G1562" s="22">
        <v>1644.85</v>
      </c>
      <c r="H1562" s="163">
        <v>6.9</v>
      </c>
      <c r="I1562" s="16">
        <v>8.2000000000000003E-2</v>
      </c>
      <c r="J1562" s="168">
        <v>7.76</v>
      </c>
      <c r="K1562" s="165">
        <v>27.292000000000002</v>
      </c>
      <c r="L1562" s="13">
        <v>5.4420000000000002</v>
      </c>
      <c r="M1562" s="166">
        <v>5.8000000000000003E-2</v>
      </c>
      <c r="N1562" s="15">
        <v>71.314999999999998</v>
      </c>
      <c r="O1562" s="192">
        <v>3.5999999999999997E-2</v>
      </c>
      <c r="P1562" s="96"/>
      <c r="Q1562" s="93"/>
      <c r="R1562" s="93"/>
      <c r="S1562" s="93"/>
      <c r="T1562" s="93"/>
    </row>
    <row r="1563" spans="1:20" ht="14.25" customHeight="1" x14ac:dyDescent="0.35">
      <c r="A1563" s="1">
        <v>2020</v>
      </c>
      <c r="B1563" s="1" t="s">
        <v>26</v>
      </c>
      <c r="C1563" s="1">
        <v>9</v>
      </c>
      <c r="D1563" s="12">
        <v>112.09399999999999</v>
      </c>
      <c r="E1563" s="13">
        <v>95.406000000000006</v>
      </c>
      <c r="F1563" s="161">
        <v>74.593999999999994</v>
      </c>
      <c r="G1563" s="162">
        <v>1678.749</v>
      </c>
      <c r="H1563" s="163">
        <v>6.9</v>
      </c>
      <c r="I1563" s="16">
        <v>8.3000000000000004E-2</v>
      </c>
      <c r="J1563" s="164">
        <v>8.1630000000000003</v>
      </c>
      <c r="K1563" s="165">
        <v>27.978000000000002</v>
      </c>
      <c r="L1563" s="13">
        <v>5.4329999999999998</v>
      </c>
      <c r="M1563" s="166">
        <v>5.8000000000000003E-2</v>
      </c>
      <c r="N1563" s="15">
        <v>72.602999999999994</v>
      </c>
      <c r="O1563" s="167">
        <v>3.5000000000000003E-2</v>
      </c>
      <c r="P1563" s="96"/>
      <c r="Q1563" s="93"/>
      <c r="R1563" s="93"/>
      <c r="S1563" s="93"/>
      <c r="T1563" s="93"/>
    </row>
    <row r="1564" spans="1:20" ht="14.25" customHeight="1" x14ac:dyDescent="0.35">
      <c r="A1564" s="1">
        <v>2020</v>
      </c>
      <c r="B1564" s="1" t="s">
        <v>26</v>
      </c>
      <c r="C1564" s="1">
        <v>10</v>
      </c>
      <c r="D1564" s="12">
        <v>110.453</v>
      </c>
      <c r="E1564" s="13">
        <v>94.093999999999994</v>
      </c>
      <c r="F1564" s="169">
        <v>74.012</v>
      </c>
      <c r="G1564" s="162">
        <v>1628.75</v>
      </c>
      <c r="H1564" s="163">
        <v>6.9</v>
      </c>
      <c r="I1564" s="16">
        <v>8.1000000000000003E-2</v>
      </c>
      <c r="J1564" s="170">
        <v>7.2919999999999998</v>
      </c>
      <c r="K1564" s="165">
        <v>25.859000000000002</v>
      </c>
      <c r="L1564" s="13">
        <v>5.4249999999999998</v>
      </c>
      <c r="M1564" s="171">
        <v>5.5500000000000001E-2</v>
      </c>
      <c r="N1564" s="15">
        <v>73.75</v>
      </c>
      <c r="O1564" s="172">
        <v>3.4000000000000002E-2</v>
      </c>
      <c r="P1564" s="96"/>
      <c r="Q1564" s="93"/>
      <c r="R1564" s="93"/>
      <c r="S1564" s="93"/>
      <c r="T1564" s="93"/>
    </row>
    <row r="1565" spans="1:20" ht="14.25" customHeight="1" x14ac:dyDescent="0.35">
      <c r="A1565" s="1">
        <v>2020</v>
      </c>
      <c r="B1565" s="1" t="s">
        <v>26</v>
      </c>
      <c r="C1565" s="1">
        <v>11</v>
      </c>
      <c r="D1565" s="12">
        <v>109.047</v>
      </c>
      <c r="E1565" s="13">
        <v>92.813000000000002</v>
      </c>
      <c r="F1565" s="169">
        <v>74.700999999999993</v>
      </c>
      <c r="G1565" s="162">
        <v>1713.953</v>
      </c>
      <c r="H1565" s="163">
        <v>6.9</v>
      </c>
      <c r="I1565" s="16">
        <v>7.1999999999999995E-2</v>
      </c>
      <c r="J1565" s="170">
        <v>7.5519999999999996</v>
      </c>
      <c r="K1565" s="165">
        <v>27.635999999999999</v>
      </c>
      <c r="L1565" s="13">
        <v>5.42</v>
      </c>
      <c r="M1565" s="171">
        <v>5.1999999999999998E-2</v>
      </c>
      <c r="N1565" s="15">
        <v>74.938000000000002</v>
      </c>
      <c r="O1565" s="172">
        <v>3.5999999999999997E-2</v>
      </c>
      <c r="P1565" s="96"/>
      <c r="Q1565" s="93"/>
      <c r="R1565" s="93"/>
      <c r="S1565" s="93"/>
      <c r="T1565" s="93"/>
    </row>
    <row r="1566" spans="1:20" ht="14.25" customHeight="1" x14ac:dyDescent="0.35">
      <c r="A1566" s="1">
        <v>2020</v>
      </c>
      <c r="B1566" s="1" t="s">
        <v>26</v>
      </c>
      <c r="C1566" s="1">
        <v>12</v>
      </c>
      <c r="D1566" s="12">
        <v>111.65600000000001</v>
      </c>
      <c r="E1566" s="13">
        <v>95.031000000000006</v>
      </c>
      <c r="F1566" s="169">
        <v>75.111999999999995</v>
      </c>
      <c r="G1566" s="162">
        <v>1714.29</v>
      </c>
      <c r="H1566" s="163">
        <v>6.9</v>
      </c>
      <c r="I1566" s="16">
        <v>7.5999999999999998E-2</v>
      </c>
      <c r="J1566" s="170">
        <v>7.5</v>
      </c>
      <c r="K1566" s="165">
        <v>28.818999999999999</v>
      </c>
      <c r="L1566" s="13">
        <v>5.4169999999999998</v>
      </c>
      <c r="M1566" s="171">
        <v>4.5999999999999999E-2</v>
      </c>
      <c r="N1566" s="15">
        <v>75.666600000000003</v>
      </c>
      <c r="O1566" s="172">
        <v>3.5999999999999997E-2</v>
      </c>
      <c r="P1566" s="96"/>
      <c r="Q1566" s="93"/>
      <c r="R1566" s="93"/>
      <c r="S1566" s="93"/>
      <c r="T1566" s="93"/>
    </row>
    <row r="1567" spans="1:20" ht="14.25" customHeight="1" x14ac:dyDescent="0.35">
      <c r="A1567" s="1">
        <v>2020</v>
      </c>
      <c r="B1567" s="1" t="s">
        <v>26</v>
      </c>
      <c r="C1567" s="1">
        <v>13</v>
      </c>
      <c r="D1567" s="12">
        <v>111.46899999999999</v>
      </c>
      <c r="E1567" s="13">
        <v>94.906000000000006</v>
      </c>
      <c r="F1567" s="173">
        <v>75.150000000000006</v>
      </c>
      <c r="G1567" s="162">
        <v>1690.6179999999999</v>
      </c>
      <c r="H1567" s="163">
        <v>6.9</v>
      </c>
      <c r="I1567" s="16">
        <v>7.8E-2</v>
      </c>
      <c r="J1567" s="174">
        <v>7.3440000000000003</v>
      </c>
      <c r="K1567" s="165">
        <v>29.23</v>
      </c>
      <c r="L1567" s="13">
        <v>5.4329999999999998</v>
      </c>
      <c r="M1567" s="166">
        <v>3.9E-2</v>
      </c>
      <c r="N1567" s="15">
        <v>72.804000000000002</v>
      </c>
      <c r="O1567" s="175">
        <v>3.3000000000000002E-2</v>
      </c>
      <c r="P1567" s="96"/>
      <c r="Q1567" s="93"/>
      <c r="R1567" s="93"/>
      <c r="S1567" s="93"/>
      <c r="T1567" s="93"/>
    </row>
    <row r="1568" spans="1:20" ht="14.25" customHeight="1" x14ac:dyDescent="0.35">
      <c r="A1568" s="1">
        <v>2020</v>
      </c>
      <c r="B1568" s="1" t="s">
        <v>26</v>
      </c>
      <c r="C1568" s="1">
        <v>14</v>
      </c>
      <c r="D1568" s="12">
        <v>111.65600000000001</v>
      </c>
      <c r="E1568" s="13">
        <v>95</v>
      </c>
      <c r="F1568" s="161">
        <v>76.001999999999995</v>
      </c>
      <c r="G1568" s="162">
        <v>1789.499</v>
      </c>
      <c r="H1568" s="163">
        <v>6.9</v>
      </c>
      <c r="I1568" s="16">
        <v>7.6999999999999999E-2</v>
      </c>
      <c r="J1568" s="174">
        <v>7.516</v>
      </c>
      <c r="K1568" s="176">
        <v>30.545000000000002</v>
      </c>
      <c r="L1568" s="13">
        <v>5.4370000000000003</v>
      </c>
      <c r="M1568" s="166">
        <v>4.5999999999999999E-2</v>
      </c>
      <c r="N1568" s="15">
        <v>72.123999999999995</v>
      </c>
      <c r="O1568" s="175">
        <v>3.7999999999999999E-2</v>
      </c>
      <c r="P1568" s="96"/>
      <c r="Q1568" s="93"/>
      <c r="R1568" s="93"/>
      <c r="S1568" s="93"/>
      <c r="T1568" s="93"/>
    </row>
    <row r="1569" spans="1:20" ht="14.25" customHeight="1" x14ac:dyDescent="0.35">
      <c r="A1569" s="1">
        <v>2020</v>
      </c>
      <c r="B1569" s="1" t="s">
        <v>26</v>
      </c>
      <c r="C1569" s="1">
        <v>15</v>
      </c>
      <c r="D1569" s="12">
        <v>110.297</v>
      </c>
      <c r="E1569" s="13">
        <v>93.938000000000002</v>
      </c>
      <c r="F1569" s="161">
        <v>76.664000000000001</v>
      </c>
      <c r="G1569" s="162">
        <v>1834.761</v>
      </c>
      <c r="H1569" s="163">
        <v>6.9</v>
      </c>
      <c r="I1569" s="16">
        <v>8.2000000000000003E-2</v>
      </c>
      <c r="J1569" s="170">
        <v>7.6319999999999997</v>
      </c>
      <c r="K1569" s="165">
        <v>31.731000000000002</v>
      </c>
      <c r="L1569" s="13">
        <v>5.4429999999999996</v>
      </c>
      <c r="M1569" s="166">
        <v>5.0999999999999997E-2</v>
      </c>
      <c r="N1569" s="15">
        <v>70.95</v>
      </c>
      <c r="O1569" s="172">
        <v>3.9E-2</v>
      </c>
      <c r="P1569" s="96"/>
      <c r="Q1569" s="93"/>
      <c r="R1569" s="93"/>
      <c r="S1569" s="93"/>
      <c r="T1569" s="93"/>
    </row>
    <row r="1570" spans="1:20" ht="14.25" customHeight="1" x14ac:dyDescent="0.35">
      <c r="A1570" s="1">
        <v>2020</v>
      </c>
      <c r="B1570" s="1" t="s">
        <v>26</v>
      </c>
      <c r="C1570" s="1">
        <v>16</v>
      </c>
      <c r="D1570" s="12">
        <v>112.203</v>
      </c>
      <c r="E1570" s="13">
        <v>95.438000000000002</v>
      </c>
      <c r="F1570" s="161">
        <v>76.472999999999999</v>
      </c>
      <c r="G1570" s="162">
        <v>1876.663</v>
      </c>
      <c r="H1570" s="163">
        <v>6.9</v>
      </c>
      <c r="I1570" s="16">
        <v>9.5000000000000001E-2</v>
      </c>
      <c r="J1570" s="174">
        <v>7.7409999999999997</v>
      </c>
      <c r="K1570" s="162">
        <v>32.22</v>
      </c>
      <c r="L1570" s="163">
        <v>5.4429999999999996</v>
      </c>
      <c r="M1570" s="166">
        <v>4.9000000000000002E-2</v>
      </c>
      <c r="N1570" s="15">
        <v>71.015000000000001</v>
      </c>
      <c r="O1570" s="175">
        <v>0.04</v>
      </c>
      <c r="P1570" s="96"/>
      <c r="Q1570" s="93"/>
      <c r="R1570" s="93"/>
      <c r="S1570" s="93"/>
      <c r="T1570" s="93"/>
    </row>
    <row r="1571" spans="1:20" ht="14.25" customHeight="1" x14ac:dyDescent="0.35">
      <c r="A1571" s="1">
        <v>2020</v>
      </c>
      <c r="B1571" s="1" t="s">
        <v>26</v>
      </c>
      <c r="C1571" s="1">
        <v>17</v>
      </c>
      <c r="D1571" s="12">
        <v>110.14100000000001</v>
      </c>
      <c r="E1571" s="13">
        <v>93.75</v>
      </c>
      <c r="F1571" s="161">
        <v>76.248999999999995</v>
      </c>
      <c r="G1571" s="162">
        <v>1902.2619999999999</v>
      </c>
      <c r="H1571" s="163">
        <v>6.9</v>
      </c>
      <c r="I1571" s="16">
        <v>9.0999999999999998E-2</v>
      </c>
      <c r="J1571" s="164">
        <v>7.6289999999999996</v>
      </c>
      <c r="K1571" s="165">
        <v>33.746000000000002</v>
      </c>
      <c r="L1571" s="13">
        <v>5.3949999999999996</v>
      </c>
      <c r="M1571" s="166">
        <v>4.3999999999999997E-2</v>
      </c>
      <c r="N1571" s="15">
        <v>79.325000000000003</v>
      </c>
      <c r="O1571" s="167">
        <v>3.9E-2</v>
      </c>
      <c r="P1571" s="96"/>
      <c r="Q1571" s="93"/>
      <c r="R1571" s="93"/>
      <c r="S1571" s="93"/>
      <c r="T1571" s="93"/>
    </row>
    <row r="1572" spans="1:20" ht="14.25" customHeight="1" x14ac:dyDescent="0.35">
      <c r="A1572" s="1">
        <v>2020</v>
      </c>
      <c r="B1572" s="1" t="s">
        <v>26</v>
      </c>
      <c r="C1572" s="1">
        <v>18</v>
      </c>
      <c r="D1572" s="12">
        <v>108.48399999999999</v>
      </c>
      <c r="E1572" s="13">
        <v>92.313000000000002</v>
      </c>
      <c r="F1572" s="161">
        <v>76.531999999999996</v>
      </c>
      <c r="G1572" s="162">
        <v>1892.798</v>
      </c>
      <c r="H1572" s="163">
        <v>6.9</v>
      </c>
      <c r="I1572" s="16">
        <v>8.5999999999999993E-2</v>
      </c>
      <c r="J1572" s="164">
        <v>7.5609999999999999</v>
      </c>
      <c r="K1572" s="162">
        <v>33.722000000000001</v>
      </c>
      <c r="L1572" s="163">
        <v>5.3559999999999999</v>
      </c>
      <c r="M1572" s="166">
        <v>5.0999999999999997E-2</v>
      </c>
      <c r="N1572" s="15">
        <v>86.661000000000001</v>
      </c>
      <c r="O1572" s="167">
        <v>3.9E-2</v>
      </c>
      <c r="P1572" s="96"/>
      <c r="Q1572" s="93"/>
      <c r="R1572" s="93"/>
      <c r="S1572" s="93"/>
      <c r="T1572" s="93"/>
    </row>
    <row r="1573" spans="1:20" ht="14.25" customHeight="1" x14ac:dyDescent="0.35">
      <c r="A1573" s="1">
        <v>2020</v>
      </c>
      <c r="B1573" s="1" t="s">
        <v>26</v>
      </c>
      <c r="C1573" s="1">
        <v>19</v>
      </c>
      <c r="D1573" s="12">
        <v>108.938</v>
      </c>
      <c r="E1573" s="13">
        <v>92.688000000000002</v>
      </c>
      <c r="F1573" s="161">
        <v>76.353999999999999</v>
      </c>
      <c r="G1573" s="162">
        <v>1829.8440000000001</v>
      </c>
      <c r="H1573" s="163">
        <v>6.9</v>
      </c>
      <c r="I1573" s="16">
        <v>8.3000000000000004E-2</v>
      </c>
      <c r="J1573" s="164">
        <v>7.6050000000000004</v>
      </c>
      <c r="K1573" s="165">
        <v>32.401000000000003</v>
      </c>
      <c r="L1573" s="13">
        <v>5.3559999999999999</v>
      </c>
      <c r="M1573" s="166">
        <v>5.2999999999999999E-2</v>
      </c>
      <c r="N1573" s="15">
        <v>87.016999999999996</v>
      </c>
      <c r="O1573" s="167">
        <v>3.9E-2</v>
      </c>
      <c r="P1573" s="96"/>
      <c r="Q1573" s="93"/>
      <c r="R1573" s="93"/>
      <c r="S1573" s="93"/>
      <c r="T1573" s="93"/>
    </row>
    <row r="1574" spans="1:20" ht="14.25" customHeight="1" x14ac:dyDescent="0.35">
      <c r="A1574" s="1">
        <v>2020</v>
      </c>
      <c r="B1574" s="1" t="s">
        <v>26</v>
      </c>
      <c r="C1574" s="1">
        <v>20</v>
      </c>
      <c r="D1574" s="12">
        <v>108.063</v>
      </c>
      <c r="E1574" s="13">
        <v>91.938000000000002</v>
      </c>
      <c r="F1574" s="161">
        <v>76.337000000000003</v>
      </c>
      <c r="G1574" s="162">
        <v>1737.7850000000001</v>
      </c>
      <c r="H1574" s="163">
        <v>6.9</v>
      </c>
      <c r="I1574" s="16">
        <v>8.3000000000000004E-2</v>
      </c>
      <c r="J1574" s="164">
        <v>7.4489999999999998</v>
      </c>
      <c r="K1574" s="162">
        <v>31.044</v>
      </c>
      <c r="L1574" s="163">
        <v>5.3630000000000004</v>
      </c>
      <c r="M1574" s="166">
        <v>5.0999999999999997E-2</v>
      </c>
      <c r="N1574" s="15">
        <v>85.775999999999996</v>
      </c>
      <c r="O1574" s="167">
        <v>3.6999999999999998E-2</v>
      </c>
      <c r="P1574" s="96"/>
      <c r="Q1574" s="93"/>
      <c r="R1574" s="93"/>
      <c r="S1574" s="93"/>
      <c r="T1574" s="93"/>
    </row>
    <row r="1575" spans="1:20" ht="14.25" customHeight="1" x14ac:dyDescent="0.35">
      <c r="A1575" s="1">
        <v>2020</v>
      </c>
      <c r="B1575" s="1" t="s">
        <v>26</v>
      </c>
      <c r="C1575" s="1">
        <v>21</v>
      </c>
      <c r="D1575" s="12">
        <v>86.391000000000005</v>
      </c>
      <c r="E1575" s="13">
        <v>73.406000000000006</v>
      </c>
      <c r="F1575" s="161">
        <v>76.86</v>
      </c>
      <c r="G1575" s="162">
        <v>1819.1220000000001</v>
      </c>
      <c r="H1575" s="163">
        <v>6.9</v>
      </c>
      <c r="I1575" s="16">
        <v>8.3000000000000004E-2</v>
      </c>
      <c r="J1575" s="164">
        <v>7.6390000000000002</v>
      </c>
      <c r="K1575" s="165">
        <v>33.180999999999997</v>
      </c>
      <c r="L1575" s="13">
        <v>5.3609999999999998</v>
      </c>
      <c r="M1575" s="166">
        <v>4.8000000000000001E-2</v>
      </c>
      <c r="N1575" s="15">
        <v>85.697000000000003</v>
      </c>
      <c r="O1575" s="167">
        <v>4.2999999999999997E-2</v>
      </c>
      <c r="P1575" s="96"/>
      <c r="Q1575" s="93"/>
      <c r="R1575" s="93"/>
      <c r="S1575" s="93"/>
      <c r="T1575" s="93"/>
    </row>
    <row r="1576" spans="1:20" ht="14.25" customHeight="1" x14ac:dyDescent="0.35">
      <c r="A1576" s="1">
        <v>2020</v>
      </c>
      <c r="B1576" s="1" t="s">
        <v>26</v>
      </c>
      <c r="C1576" s="1">
        <v>22</v>
      </c>
      <c r="D1576" s="12">
        <v>71.078000000000003</v>
      </c>
      <c r="E1576" s="13">
        <v>60.313000000000002</v>
      </c>
      <c r="F1576" s="161">
        <v>77.38</v>
      </c>
      <c r="G1576" s="162">
        <v>1843.42</v>
      </c>
      <c r="H1576" s="163">
        <v>6.9</v>
      </c>
      <c r="I1576" s="16">
        <v>7.9000000000000001E-2</v>
      </c>
      <c r="J1576" s="164">
        <v>7.5039999999999996</v>
      </c>
      <c r="K1576" s="162">
        <v>35.421999999999997</v>
      </c>
      <c r="L1576" s="163">
        <v>5.3639999999999999</v>
      </c>
      <c r="M1576" s="166">
        <v>0.05</v>
      </c>
      <c r="N1576" s="15">
        <v>85.129000000000005</v>
      </c>
      <c r="O1576" s="167">
        <v>4.7E-2</v>
      </c>
      <c r="P1576" s="96"/>
      <c r="Q1576" s="93"/>
      <c r="R1576" s="93"/>
      <c r="S1576" s="93"/>
      <c r="T1576" s="93"/>
    </row>
    <row r="1577" spans="1:20" ht="14.25" customHeight="1" x14ac:dyDescent="0.35">
      <c r="A1577" s="1">
        <v>2020</v>
      </c>
      <c r="B1577" s="1" t="s">
        <v>26</v>
      </c>
      <c r="C1577" s="1">
        <v>23</v>
      </c>
      <c r="D1577" s="12">
        <v>56.078000000000003</v>
      </c>
      <c r="E1577" s="13">
        <v>47.75</v>
      </c>
      <c r="F1577" s="161">
        <v>77.888999999999996</v>
      </c>
      <c r="G1577" s="162">
        <v>1853.0160000000001</v>
      </c>
      <c r="H1577" s="163">
        <v>6.9</v>
      </c>
      <c r="I1577" s="16">
        <v>7.8E-2</v>
      </c>
      <c r="J1577" s="164">
        <v>7.5629999999999997</v>
      </c>
      <c r="K1577" s="165">
        <v>36.590000000000003</v>
      </c>
      <c r="L1577" s="13">
        <v>5.37</v>
      </c>
      <c r="M1577" s="166">
        <v>4.9000000000000002E-2</v>
      </c>
      <c r="N1577" s="15">
        <v>83.757000000000005</v>
      </c>
      <c r="O1577" s="167">
        <v>4.5999999999999999E-2</v>
      </c>
      <c r="P1577" s="96"/>
      <c r="Q1577" s="93"/>
      <c r="R1577" s="93"/>
      <c r="S1577" s="93"/>
      <c r="T1577" s="93"/>
    </row>
    <row r="1578" spans="1:20" ht="14.25" customHeight="1" x14ac:dyDescent="0.35">
      <c r="A1578" s="1">
        <v>2020</v>
      </c>
      <c r="B1578" s="1" t="s">
        <v>26</v>
      </c>
      <c r="C1578" s="1">
        <v>24</v>
      </c>
      <c r="D1578" s="12">
        <v>33.655999999999999</v>
      </c>
      <c r="E1578" s="13">
        <v>28.812999999999999</v>
      </c>
      <c r="F1578" s="161">
        <v>78.367000000000004</v>
      </c>
      <c r="G1578" s="162">
        <v>1866.038</v>
      </c>
      <c r="H1578" s="163">
        <v>6.9</v>
      </c>
      <c r="I1578" s="16">
        <v>8.2000000000000003E-2</v>
      </c>
      <c r="J1578" s="68">
        <v>7.9569999999999999</v>
      </c>
      <c r="K1578" s="162">
        <v>36.176000000000002</v>
      </c>
      <c r="L1578" s="163">
        <v>5.3159999999999998</v>
      </c>
      <c r="M1578" s="166">
        <v>0.05</v>
      </c>
      <c r="N1578" s="15">
        <v>95.944999999999993</v>
      </c>
      <c r="O1578" s="167">
        <v>4.7E-2</v>
      </c>
      <c r="P1578" s="96"/>
      <c r="Q1578" s="93"/>
      <c r="R1578" s="93"/>
      <c r="S1578" s="93"/>
      <c r="T1578" s="93"/>
    </row>
    <row r="1579" spans="1:20" ht="14.25" customHeight="1" x14ac:dyDescent="0.35">
      <c r="A1579" s="1">
        <v>2020</v>
      </c>
      <c r="B1579" s="1" t="s">
        <v>26</v>
      </c>
      <c r="C1579" s="1">
        <v>25</v>
      </c>
      <c r="D1579" s="12">
        <v>24.640999999999998</v>
      </c>
      <c r="E1579" s="13">
        <v>20.875</v>
      </c>
      <c r="F1579" s="161">
        <v>78.201999999999998</v>
      </c>
      <c r="G1579" s="162">
        <v>1856.952</v>
      </c>
      <c r="H1579" s="163">
        <v>6.899</v>
      </c>
      <c r="I1579" s="16">
        <v>8.2000000000000003E-2</v>
      </c>
      <c r="J1579" s="68">
        <v>7.9370000000000003</v>
      </c>
      <c r="K1579" s="165">
        <v>36.320999999999998</v>
      </c>
      <c r="L1579" s="13">
        <v>5.23</v>
      </c>
      <c r="M1579" s="166">
        <v>4.8000000000000001E-2</v>
      </c>
      <c r="N1579" s="15">
        <v>116.08499999999999</v>
      </c>
      <c r="O1579" s="167">
        <v>4.8000000000000001E-2</v>
      </c>
      <c r="P1579" s="96"/>
      <c r="Q1579" s="93"/>
      <c r="R1579" s="93"/>
      <c r="S1579" s="93"/>
      <c r="T1579" s="93"/>
    </row>
    <row r="1580" spans="1:20" ht="14.25" customHeight="1" x14ac:dyDescent="0.35">
      <c r="A1580" s="1">
        <v>2020</v>
      </c>
      <c r="B1580" s="1" t="s">
        <v>26</v>
      </c>
      <c r="C1580" s="1">
        <v>26</v>
      </c>
      <c r="D1580" s="12">
        <v>20.5</v>
      </c>
      <c r="E1580" s="13">
        <v>17.312999999999999</v>
      </c>
      <c r="F1580" s="161">
        <v>77.971000000000004</v>
      </c>
      <c r="G1580" s="162">
        <v>1773.79</v>
      </c>
      <c r="H1580" s="163">
        <v>6.8520000000000003</v>
      </c>
      <c r="I1580" s="16">
        <v>0.09</v>
      </c>
      <c r="J1580" s="68">
        <v>7.9649999999999999</v>
      </c>
      <c r="K1580" s="162">
        <v>35.122999999999998</v>
      </c>
      <c r="L1580" s="163">
        <v>5.2130000000000001</v>
      </c>
      <c r="M1580" s="166">
        <v>5.1999999999999998E-2</v>
      </c>
      <c r="N1580" s="15">
        <v>120.562</v>
      </c>
      <c r="O1580" s="167">
        <v>4.7E-2</v>
      </c>
      <c r="P1580" s="96"/>
      <c r="Q1580" s="93"/>
      <c r="R1580" s="93"/>
      <c r="S1580" s="93"/>
      <c r="T1580" s="93"/>
    </row>
    <row r="1581" spans="1:20" ht="14.25" customHeight="1" x14ac:dyDescent="0.35">
      <c r="A1581" s="1">
        <v>2020</v>
      </c>
      <c r="B1581" s="1" t="s">
        <v>26</v>
      </c>
      <c r="C1581" s="1">
        <v>27</v>
      </c>
      <c r="D1581" s="12">
        <v>3.1E-2</v>
      </c>
      <c r="E1581" s="13">
        <v>0</v>
      </c>
      <c r="F1581" s="193" t="s">
        <v>35</v>
      </c>
      <c r="G1581" s="194" t="s">
        <v>35</v>
      </c>
      <c r="H1581" s="195" t="s">
        <v>35</v>
      </c>
      <c r="I1581" s="196" t="s">
        <v>35</v>
      </c>
      <c r="J1581" s="197" t="s">
        <v>35</v>
      </c>
      <c r="K1581" s="198" t="s">
        <v>35</v>
      </c>
      <c r="L1581" s="199" t="s">
        <v>35</v>
      </c>
      <c r="M1581" s="200" t="s">
        <v>35</v>
      </c>
      <c r="N1581" s="201" t="s">
        <v>35</v>
      </c>
      <c r="O1581" s="202" t="s">
        <v>35</v>
      </c>
      <c r="P1581" s="96"/>
      <c r="Q1581" s="93"/>
      <c r="R1581" s="93"/>
      <c r="S1581" s="93"/>
      <c r="T1581" s="93"/>
    </row>
    <row r="1582" spans="1:20" ht="14.25" customHeight="1" x14ac:dyDescent="0.35">
      <c r="A1582" s="1">
        <v>2020</v>
      </c>
      <c r="B1582" s="1" t="s">
        <v>26</v>
      </c>
      <c r="C1582" s="1">
        <v>28</v>
      </c>
      <c r="D1582" s="12">
        <v>0</v>
      </c>
      <c r="E1582" s="13">
        <v>0</v>
      </c>
      <c r="F1582" s="193" t="s">
        <v>35</v>
      </c>
      <c r="G1582" s="194" t="s">
        <v>35</v>
      </c>
      <c r="H1582" s="195" t="s">
        <v>35</v>
      </c>
      <c r="I1582" s="196" t="s">
        <v>35</v>
      </c>
      <c r="J1582" s="197" t="s">
        <v>35</v>
      </c>
      <c r="K1582" s="198" t="s">
        <v>35</v>
      </c>
      <c r="L1582" s="199" t="s">
        <v>35</v>
      </c>
      <c r="M1582" s="200" t="s">
        <v>35</v>
      </c>
      <c r="N1582" s="201" t="s">
        <v>35</v>
      </c>
      <c r="O1582" s="202" t="s">
        <v>35</v>
      </c>
      <c r="P1582" s="96"/>
      <c r="Q1582" s="93"/>
      <c r="R1582" s="93"/>
      <c r="S1582" s="93"/>
      <c r="T1582" s="93"/>
    </row>
    <row r="1583" spans="1:20" ht="14.25" customHeight="1" x14ac:dyDescent="0.35">
      <c r="A1583" s="1">
        <v>2020</v>
      </c>
      <c r="B1583" s="1" t="s">
        <v>26</v>
      </c>
      <c r="C1583" s="1">
        <v>29</v>
      </c>
      <c r="D1583" s="12">
        <v>0</v>
      </c>
      <c r="E1583" s="13">
        <v>0</v>
      </c>
      <c r="F1583" s="193" t="s">
        <v>35</v>
      </c>
      <c r="G1583" s="194" t="s">
        <v>35</v>
      </c>
      <c r="H1583" s="195" t="s">
        <v>35</v>
      </c>
      <c r="I1583" s="196" t="s">
        <v>35</v>
      </c>
      <c r="J1583" s="197" t="s">
        <v>35</v>
      </c>
      <c r="K1583" s="198" t="s">
        <v>35</v>
      </c>
      <c r="L1583" s="199" t="s">
        <v>35</v>
      </c>
      <c r="M1583" s="200" t="s">
        <v>35</v>
      </c>
      <c r="N1583" s="201" t="s">
        <v>35</v>
      </c>
      <c r="O1583" s="202" t="s">
        <v>35</v>
      </c>
      <c r="P1583" s="96"/>
      <c r="Q1583" s="93"/>
      <c r="R1583" s="93"/>
      <c r="S1583" s="93"/>
      <c r="T1583" s="93"/>
    </row>
    <row r="1584" spans="1:20" ht="14.25" customHeight="1" x14ac:dyDescent="0.35">
      <c r="A1584" s="1">
        <v>2020</v>
      </c>
      <c r="B1584" s="1" t="s">
        <v>26</v>
      </c>
      <c r="C1584" s="1">
        <v>30</v>
      </c>
      <c r="D1584" s="85">
        <v>0</v>
      </c>
      <c r="E1584" s="86">
        <v>0</v>
      </c>
      <c r="F1584" s="203" t="s">
        <v>35</v>
      </c>
      <c r="G1584" s="204" t="s">
        <v>35</v>
      </c>
      <c r="H1584" s="205" t="s">
        <v>35</v>
      </c>
      <c r="I1584" s="206" t="s">
        <v>35</v>
      </c>
      <c r="J1584" s="207" t="s">
        <v>35</v>
      </c>
      <c r="K1584" s="208" t="s">
        <v>35</v>
      </c>
      <c r="L1584" s="209" t="s">
        <v>35</v>
      </c>
      <c r="M1584" s="206" t="s">
        <v>35</v>
      </c>
      <c r="N1584" s="210" t="s">
        <v>35</v>
      </c>
      <c r="O1584" s="211" t="s">
        <v>35</v>
      </c>
      <c r="P1584" s="96"/>
      <c r="Q1584" s="93"/>
      <c r="R1584" s="93"/>
      <c r="S1584" s="93"/>
      <c r="T1584" s="93"/>
    </row>
    <row r="1585" spans="1:20" ht="14.25" customHeight="1" x14ac:dyDescent="0.35">
      <c r="A1585" s="1">
        <v>2020</v>
      </c>
      <c r="B1585" s="1" t="s">
        <v>27</v>
      </c>
      <c r="C1585" s="1">
        <v>1</v>
      </c>
      <c r="D1585" s="49">
        <v>0</v>
      </c>
      <c r="E1585" s="50">
        <v>0</v>
      </c>
      <c r="F1585" s="203" t="s">
        <v>35</v>
      </c>
      <c r="G1585" s="204" t="s">
        <v>35</v>
      </c>
      <c r="H1585" s="212" t="s">
        <v>35</v>
      </c>
      <c r="I1585" s="206" t="s">
        <v>35</v>
      </c>
      <c r="J1585" s="207" t="s">
        <v>35</v>
      </c>
      <c r="K1585" s="208" t="s">
        <v>35</v>
      </c>
      <c r="L1585" s="209" t="s">
        <v>35</v>
      </c>
      <c r="M1585" s="206" t="s">
        <v>35</v>
      </c>
      <c r="N1585" s="210" t="s">
        <v>35</v>
      </c>
      <c r="O1585" s="211" t="s">
        <v>35</v>
      </c>
      <c r="P1585" s="96"/>
      <c r="Q1585" s="93"/>
      <c r="R1585" s="93"/>
      <c r="S1585" s="93"/>
      <c r="T1585" s="93"/>
    </row>
    <row r="1586" spans="1:20" ht="14.25" customHeight="1" x14ac:dyDescent="0.35">
      <c r="A1586" s="1">
        <v>2020</v>
      </c>
      <c r="B1586" s="1" t="s">
        <v>27</v>
      </c>
      <c r="C1586" s="1">
        <v>2</v>
      </c>
      <c r="D1586" s="49">
        <v>0</v>
      </c>
      <c r="E1586" s="50">
        <v>0</v>
      </c>
      <c r="F1586" s="213" t="s">
        <v>35</v>
      </c>
      <c r="G1586" s="213" t="s">
        <v>35</v>
      </c>
      <c r="H1586" s="213" t="s">
        <v>35</v>
      </c>
      <c r="I1586" s="213" t="s">
        <v>35</v>
      </c>
      <c r="J1586" s="214" t="s">
        <v>35</v>
      </c>
      <c r="K1586" s="213" t="s">
        <v>35</v>
      </c>
      <c r="L1586" s="213" t="s">
        <v>35</v>
      </c>
      <c r="M1586" s="213" t="s">
        <v>35</v>
      </c>
      <c r="N1586" s="213" t="s">
        <v>35</v>
      </c>
      <c r="O1586" s="214" t="s">
        <v>35</v>
      </c>
      <c r="P1586" s="96"/>
      <c r="Q1586" s="93"/>
      <c r="R1586" s="93"/>
      <c r="S1586" s="93"/>
      <c r="T1586" s="93"/>
    </row>
    <row r="1587" spans="1:20" ht="14.25" customHeight="1" x14ac:dyDescent="0.35">
      <c r="A1587" s="1">
        <v>2020</v>
      </c>
      <c r="B1587" s="1" t="s">
        <v>27</v>
      </c>
      <c r="C1587" s="1">
        <v>3</v>
      </c>
      <c r="D1587" s="49">
        <v>0</v>
      </c>
      <c r="E1587" s="50">
        <v>0</v>
      </c>
      <c r="F1587" s="213" t="s">
        <v>35</v>
      </c>
      <c r="G1587" s="213" t="s">
        <v>35</v>
      </c>
      <c r="H1587" s="213" t="s">
        <v>35</v>
      </c>
      <c r="I1587" s="213" t="s">
        <v>35</v>
      </c>
      <c r="J1587" s="215" t="s">
        <v>35</v>
      </c>
      <c r="K1587" s="216" t="s">
        <v>35</v>
      </c>
      <c r="L1587" s="213" t="s">
        <v>35</v>
      </c>
      <c r="M1587" s="213" t="s">
        <v>35</v>
      </c>
      <c r="N1587" s="213" t="s">
        <v>35</v>
      </c>
      <c r="O1587" s="214" t="s">
        <v>35</v>
      </c>
      <c r="P1587" s="96"/>
      <c r="Q1587" s="93"/>
      <c r="R1587" s="93"/>
      <c r="S1587" s="93"/>
      <c r="T1587" s="93"/>
    </row>
    <row r="1588" spans="1:20" ht="14.25" customHeight="1" x14ac:dyDescent="0.35">
      <c r="A1588" s="1">
        <v>2020</v>
      </c>
      <c r="B1588" s="1" t="s">
        <v>27</v>
      </c>
      <c r="C1588" s="1">
        <v>4</v>
      </c>
      <c r="D1588" s="49">
        <v>0</v>
      </c>
      <c r="E1588" s="50">
        <v>0</v>
      </c>
      <c r="F1588" s="213" t="s">
        <v>35</v>
      </c>
      <c r="G1588" s="213" t="s">
        <v>35</v>
      </c>
      <c r="H1588" s="213" t="s">
        <v>35</v>
      </c>
      <c r="I1588" s="213" t="s">
        <v>35</v>
      </c>
      <c r="J1588" s="215" t="s">
        <v>35</v>
      </c>
      <c r="K1588" s="216" t="s">
        <v>35</v>
      </c>
      <c r="L1588" s="213" t="s">
        <v>35</v>
      </c>
      <c r="M1588" s="213" t="s">
        <v>35</v>
      </c>
      <c r="N1588" s="213" t="s">
        <v>35</v>
      </c>
      <c r="O1588" s="214" t="s">
        <v>35</v>
      </c>
      <c r="P1588" s="96"/>
      <c r="Q1588" s="93"/>
      <c r="R1588" s="93"/>
      <c r="S1588" s="93"/>
      <c r="T1588" s="93"/>
    </row>
    <row r="1589" spans="1:20" ht="14.25" customHeight="1" x14ac:dyDescent="0.35">
      <c r="A1589" s="1">
        <v>2020</v>
      </c>
      <c r="B1589" s="1" t="s">
        <v>27</v>
      </c>
      <c r="C1589" s="1">
        <v>5</v>
      </c>
      <c r="D1589" s="49">
        <v>0</v>
      </c>
      <c r="E1589" s="50">
        <v>0</v>
      </c>
      <c r="F1589" s="213" t="s">
        <v>35</v>
      </c>
      <c r="G1589" s="213" t="s">
        <v>35</v>
      </c>
      <c r="H1589" s="213" t="s">
        <v>35</v>
      </c>
      <c r="I1589" s="213" t="s">
        <v>35</v>
      </c>
      <c r="J1589" s="213" t="s">
        <v>35</v>
      </c>
      <c r="K1589" s="213" t="s">
        <v>35</v>
      </c>
      <c r="L1589" s="213" t="s">
        <v>35</v>
      </c>
      <c r="M1589" s="213" t="s">
        <v>35</v>
      </c>
      <c r="N1589" s="213" t="s">
        <v>35</v>
      </c>
      <c r="O1589" s="213" t="s">
        <v>35</v>
      </c>
      <c r="P1589" s="96"/>
      <c r="Q1589" s="93"/>
      <c r="R1589" s="93"/>
      <c r="S1589" s="93"/>
      <c r="T1589" s="93"/>
    </row>
    <row r="1590" spans="1:20" ht="14.25" customHeight="1" x14ac:dyDescent="0.35">
      <c r="A1590" s="1">
        <v>2020</v>
      </c>
      <c r="B1590" s="1" t="s">
        <v>27</v>
      </c>
      <c r="C1590" s="1">
        <v>6</v>
      </c>
      <c r="D1590" s="49">
        <v>0</v>
      </c>
      <c r="E1590" s="50">
        <v>0</v>
      </c>
      <c r="F1590" s="193" t="s">
        <v>35</v>
      </c>
      <c r="G1590" s="194" t="s">
        <v>35</v>
      </c>
      <c r="H1590" s="195" t="s">
        <v>35</v>
      </c>
      <c r="I1590" s="196" t="s">
        <v>35</v>
      </c>
      <c r="J1590" s="197" t="s">
        <v>35</v>
      </c>
      <c r="K1590" s="198" t="s">
        <v>35</v>
      </c>
      <c r="L1590" s="199" t="s">
        <v>35</v>
      </c>
      <c r="M1590" s="200" t="s">
        <v>35</v>
      </c>
      <c r="N1590" s="201" t="s">
        <v>35</v>
      </c>
      <c r="O1590" s="202" t="s">
        <v>35</v>
      </c>
      <c r="P1590" s="96"/>
      <c r="Q1590" s="93"/>
      <c r="R1590" s="93"/>
      <c r="S1590" s="93"/>
      <c r="T1590" s="93"/>
    </row>
    <row r="1591" spans="1:20" ht="14.25" customHeight="1" x14ac:dyDescent="0.35">
      <c r="A1591" s="1">
        <v>2020</v>
      </c>
      <c r="B1591" s="1" t="s">
        <v>27</v>
      </c>
      <c r="C1591" s="1">
        <v>7</v>
      </c>
      <c r="D1591" s="49">
        <v>0</v>
      </c>
      <c r="E1591" s="50">
        <v>0</v>
      </c>
      <c r="F1591" s="213" t="s">
        <v>35</v>
      </c>
      <c r="G1591" s="213" t="s">
        <v>35</v>
      </c>
      <c r="H1591" s="213" t="s">
        <v>35</v>
      </c>
      <c r="I1591" s="213" t="s">
        <v>35</v>
      </c>
      <c r="J1591" s="215" t="s">
        <v>35</v>
      </c>
      <c r="K1591" s="216" t="s">
        <v>35</v>
      </c>
      <c r="L1591" s="213" t="s">
        <v>35</v>
      </c>
      <c r="M1591" s="213" t="s">
        <v>35</v>
      </c>
      <c r="N1591" s="213" t="s">
        <v>35</v>
      </c>
      <c r="O1591" s="217" t="s">
        <v>35</v>
      </c>
      <c r="P1591" s="96"/>
      <c r="Q1591" s="93"/>
      <c r="R1591" s="93"/>
      <c r="S1591" s="93"/>
      <c r="T1591" s="93"/>
    </row>
    <row r="1592" spans="1:20" ht="14.25" customHeight="1" x14ac:dyDescent="0.35">
      <c r="A1592" s="1">
        <v>2020</v>
      </c>
      <c r="B1592" s="1" t="s">
        <v>27</v>
      </c>
      <c r="C1592" s="1">
        <v>8</v>
      </c>
      <c r="D1592" s="49">
        <v>0</v>
      </c>
      <c r="E1592" s="50">
        <v>0</v>
      </c>
      <c r="F1592" s="193" t="s">
        <v>35</v>
      </c>
      <c r="G1592" s="218" t="s">
        <v>35</v>
      </c>
      <c r="H1592" s="195" t="s">
        <v>35</v>
      </c>
      <c r="I1592" s="196" t="s">
        <v>35</v>
      </c>
      <c r="J1592" s="219" t="s">
        <v>35</v>
      </c>
      <c r="K1592" s="198" t="s">
        <v>35</v>
      </c>
      <c r="L1592" s="199" t="s">
        <v>35</v>
      </c>
      <c r="M1592" s="200" t="s">
        <v>35</v>
      </c>
      <c r="N1592" s="201" t="s">
        <v>35</v>
      </c>
      <c r="O1592" s="220" t="s">
        <v>35</v>
      </c>
      <c r="P1592" s="96"/>
      <c r="Q1592" s="93"/>
      <c r="R1592" s="93"/>
      <c r="S1592" s="93"/>
      <c r="T1592" s="93"/>
    </row>
    <row r="1593" spans="1:20" ht="14.25" customHeight="1" x14ac:dyDescent="0.35">
      <c r="A1593" s="1">
        <v>2020</v>
      </c>
      <c r="B1593" s="1" t="s">
        <v>27</v>
      </c>
      <c r="C1593" s="1">
        <v>9</v>
      </c>
      <c r="D1593" s="49">
        <v>0</v>
      </c>
      <c r="E1593" s="50">
        <v>0</v>
      </c>
      <c r="F1593" s="193" t="s">
        <v>35</v>
      </c>
      <c r="G1593" s="194" t="s">
        <v>35</v>
      </c>
      <c r="H1593" s="195" t="s">
        <v>35</v>
      </c>
      <c r="I1593" s="196" t="s">
        <v>35</v>
      </c>
      <c r="J1593" s="197" t="s">
        <v>35</v>
      </c>
      <c r="K1593" s="198" t="s">
        <v>35</v>
      </c>
      <c r="L1593" s="199" t="s">
        <v>35</v>
      </c>
      <c r="M1593" s="200" t="s">
        <v>35</v>
      </c>
      <c r="N1593" s="201" t="s">
        <v>35</v>
      </c>
      <c r="O1593" s="202" t="s">
        <v>35</v>
      </c>
      <c r="P1593" s="96"/>
      <c r="Q1593" s="93"/>
      <c r="R1593" s="93"/>
      <c r="S1593" s="93"/>
      <c r="T1593" s="93"/>
    </row>
    <row r="1594" spans="1:20" ht="14.25" customHeight="1" x14ac:dyDescent="0.35">
      <c r="A1594" s="1">
        <v>2020</v>
      </c>
      <c r="B1594" s="1" t="s">
        <v>27</v>
      </c>
      <c r="C1594" s="1">
        <v>10</v>
      </c>
      <c r="D1594" s="49">
        <v>0</v>
      </c>
      <c r="E1594" s="50">
        <v>0</v>
      </c>
      <c r="F1594" s="221" t="s">
        <v>35</v>
      </c>
      <c r="G1594" s="194" t="s">
        <v>35</v>
      </c>
      <c r="H1594" s="195" t="s">
        <v>35</v>
      </c>
      <c r="I1594" s="196" t="s">
        <v>35</v>
      </c>
      <c r="J1594" s="222" t="s">
        <v>35</v>
      </c>
      <c r="K1594" s="198" t="s">
        <v>35</v>
      </c>
      <c r="L1594" s="199" t="s">
        <v>35</v>
      </c>
      <c r="M1594" s="206" t="s">
        <v>35</v>
      </c>
      <c r="N1594" s="201" t="s">
        <v>35</v>
      </c>
      <c r="O1594" s="223" t="s">
        <v>35</v>
      </c>
      <c r="P1594" s="96"/>
      <c r="Q1594" s="93"/>
      <c r="R1594" s="93"/>
      <c r="S1594" s="93"/>
      <c r="T1594" s="93"/>
    </row>
    <row r="1595" spans="1:20" ht="14.25" customHeight="1" x14ac:dyDescent="0.35">
      <c r="A1595" s="1">
        <v>2020</v>
      </c>
      <c r="B1595" s="1" t="s">
        <v>27</v>
      </c>
      <c r="C1595" s="1">
        <v>11</v>
      </c>
      <c r="D1595" s="49">
        <v>19.905999999999999</v>
      </c>
      <c r="E1595" s="50">
        <v>12.063000000000001</v>
      </c>
      <c r="F1595" s="221" t="s">
        <v>35</v>
      </c>
      <c r="G1595" s="208" t="s">
        <v>35</v>
      </c>
      <c r="H1595" s="209" t="s">
        <v>35</v>
      </c>
      <c r="I1595" s="224" t="s">
        <v>35</v>
      </c>
      <c r="J1595" s="222" t="s">
        <v>35</v>
      </c>
      <c r="K1595" s="225" t="s">
        <v>35</v>
      </c>
      <c r="L1595" s="205" t="s">
        <v>35</v>
      </c>
      <c r="M1595" s="206" t="s">
        <v>35</v>
      </c>
      <c r="N1595" s="201" t="s">
        <v>35</v>
      </c>
      <c r="O1595" s="223" t="s">
        <v>35</v>
      </c>
      <c r="P1595" s="96"/>
      <c r="Q1595" s="93"/>
      <c r="R1595" s="93"/>
      <c r="S1595" s="93"/>
      <c r="T1595" s="93"/>
    </row>
    <row r="1596" spans="1:20" ht="14.25" customHeight="1" x14ac:dyDescent="0.35">
      <c r="A1596" s="1">
        <v>2020</v>
      </c>
      <c r="B1596" s="1" t="s">
        <v>27</v>
      </c>
      <c r="C1596" s="1">
        <v>12</v>
      </c>
      <c r="D1596" s="49">
        <v>63.125</v>
      </c>
      <c r="E1596" s="50">
        <v>53.655999999999999</v>
      </c>
      <c r="F1596" s="169">
        <v>78.959999999999994</v>
      </c>
      <c r="G1596" s="162">
        <v>1781.8109999999999</v>
      </c>
      <c r="H1596" s="163">
        <v>6.9</v>
      </c>
      <c r="I1596" s="16">
        <v>0.151</v>
      </c>
      <c r="J1596" s="170">
        <v>7.6639999999999997</v>
      </c>
      <c r="K1596" s="165">
        <v>37.968000000000004</v>
      </c>
      <c r="L1596" s="13">
        <v>5.258</v>
      </c>
      <c r="M1596" s="171">
        <v>4.4999999999999998E-2</v>
      </c>
      <c r="N1596" s="15">
        <v>108.46299999999999</v>
      </c>
      <c r="O1596" s="172">
        <v>5.1999999999999998E-2</v>
      </c>
      <c r="P1596" s="96"/>
      <c r="Q1596" s="93"/>
      <c r="R1596" s="93"/>
      <c r="S1596" s="93"/>
      <c r="T1596" s="93"/>
    </row>
    <row r="1597" spans="1:20" ht="14.25" customHeight="1" x14ac:dyDescent="0.35">
      <c r="A1597" s="1">
        <v>2020</v>
      </c>
      <c r="B1597" s="1" t="s">
        <v>27</v>
      </c>
      <c r="C1597" s="1">
        <v>13</v>
      </c>
      <c r="D1597" s="49">
        <v>89.921999999999997</v>
      </c>
      <c r="E1597" s="50">
        <v>76.375</v>
      </c>
      <c r="F1597" s="173">
        <v>79.323999999999998</v>
      </c>
      <c r="G1597" s="162">
        <v>1839.82</v>
      </c>
      <c r="H1597" s="163">
        <v>6.9</v>
      </c>
      <c r="I1597" s="16">
        <v>0.14000000000000001</v>
      </c>
      <c r="J1597" s="174">
        <v>7.6429999999999998</v>
      </c>
      <c r="K1597" s="165">
        <v>38.848999999999997</v>
      </c>
      <c r="L1597" s="13">
        <v>5.2679999999999998</v>
      </c>
      <c r="M1597" s="166">
        <v>7.1999999999999995E-2</v>
      </c>
      <c r="N1597" s="15">
        <v>105.7754</v>
      </c>
      <c r="O1597" s="175">
        <v>0.05</v>
      </c>
      <c r="P1597" s="96"/>
      <c r="Q1597" s="93"/>
      <c r="R1597" s="93"/>
      <c r="S1597" s="93"/>
      <c r="T1597" s="93"/>
    </row>
    <row r="1598" spans="1:20" ht="14.25" customHeight="1" x14ac:dyDescent="0.35">
      <c r="A1598" s="1">
        <v>2020</v>
      </c>
      <c r="B1598" s="1" t="s">
        <v>27</v>
      </c>
      <c r="C1598" s="1">
        <v>14</v>
      </c>
      <c r="D1598" s="49">
        <v>112.922</v>
      </c>
      <c r="E1598" s="50">
        <v>96.093999999999994</v>
      </c>
      <c r="F1598" s="161">
        <v>79.655000000000001</v>
      </c>
      <c r="G1598" s="162">
        <v>1839.796</v>
      </c>
      <c r="H1598" s="163">
        <v>6.9</v>
      </c>
      <c r="I1598" s="16">
        <v>0.13700000000000001</v>
      </c>
      <c r="J1598" s="174">
        <v>7.6840000000000002</v>
      </c>
      <c r="K1598" s="176">
        <v>36.372999999999998</v>
      </c>
      <c r="L1598" s="13">
        <v>5.27</v>
      </c>
      <c r="M1598" s="166">
        <v>7.6999999999999999E-2</v>
      </c>
      <c r="N1598" s="15">
        <v>105.90900000000001</v>
      </c>
      <c r="O1598" s="175">
        <v>4.8000000000000001E-2</v>
      </c>
      <c r="P1598" s="96"/>
      <c r="Q1598" s="93"/>
      <c r="R1598" s="93"/>
      <c r="S1598" s="93"/>
      <c r="T1598" s="93"/>
    </row>
    <row r="1599" spans="1:20" ht="14.25" customHeight="1" x14ac:dyDescent="0.35">
      <c r="A1599" s="1">
        <v>2020</v>
      </c>
      <c r="B1599" s="1" t="s">
        <v>27</v>
      </c>
      <c r="C1599" s="1">
        <v>15</v>
      </c>
      <c r="D1599" s="49">
        <v>112.375</v>
      </c>
      <c r="E1599" s="50">
        <v>95.5</v>
      </c>
      <c r="F1599" s="161">
        <v>79.471999999999994</v>
      </c>
      <c r="G1599" s="162">
        <v>1820.6659999999999</v>
      </c>
      <c r="H1599" s="163">
        <v>6.9</v>
      </c>
      <c r="I1599" s="16">
        <v>0.126</v>
      </c>
      <c r="J1599" s="170">
        <v>7.7889999999999997</v>
      </c>
      <c r="K1599" s="165">
        <v>35.927</v>
      </c>
      <c r="L1599" s="13">
        <v>5.3079999999999998</v>
      </c>
      <c r="M1599" s="166">
        <v>7.6999999999999999E-2</v>
      </c>
      <c r="N1599" s="15">
        <v>97.590999999999994</v>
      </c>
      <c r="O1599" s="172">
        <v>0.05</v>
      </c>
      <c r="P1599" s="96"/>
      <c r="Q1599" s="93"/>
      <c r="R1599" s="93"/>
      <c r="S1599" s="93"/>
      <c r="T1599" s="93"/>
    </row>
    <row r="1600" spans="1:20" ht="14.25" customHeight="1" x14ac:dyDescent="0.35">
      <c r="A1600" s="1">
        <v>2020</v>
      </c>
      <c r="B1600" s="1" t="s">
        <v>27</v>
      </c>
      <c r="C1600" s="1">
        <v>16</v>
      </c>
      <c r="D1600" s="49">
        <v>111.813</v>
      </c>
      <c r="E1600" s="50">
        <v>95</v>
      </c>
      <c r="F1600" s="161">
        <v>79.828000000000003</v>
      </c>
      <c r="G1600" s="162">
        <v>1761.4190000000001</v>
      </c>
      <c r="H1600" s="163">
        <v>6.9</v>
      </c>
      <c r="I1600" s="16">
        <v>0.12</v>
      </c>
      <c r="J1600" s="174">
        <v>7.6630000000000003</v>
      </c>
      <c r="K1600" s="162">
        <v>34.139000000000003</v>
      </c>
      <c r="L1600" s="163">
        <v>5.3310000000000004</v>
      </c>
      <c r="M1600" s="166">
        <v>8.1000000000000003E-2</v>
      </c>
      <c r="N1600" s="15">
        <v>91.9</v>
      </c>
      <c r="O1600" s="175">
        <v>4.7E-2</v>
      </c>
      <c r="P1600" s="96"/>
      <c r="Q1600" s="93"/>
      <c r="R1600" s="93"/>
      <c r="S1600" s="93"/>
      <c r="T1600" s="93"/>
    </row>
    <row r="1601" spans="1:20" ht="14.25" customHeight="1" x14ac:dyDescent="0.35">
      <c r="A1601" s="1">
        <v>2020</v>
      </c>
      <c r="B1601" s="1" t="s">
        <v>27</v>
      </c>
      <c r="C1601" s="1">
        <v>17</v>
      </c>
      <c r="D1601" s="49">
        <v>105.96899999999999</v>
      </c>
      <c r="E1601" s="50">
        <v>90.031000000000006</v>
      </c>
      <c r="F1601" s="161">
        <v>79.626999999999995</v>
      </c>
      <c r="G1601" s="162">
        <v>1682.0920000000001</v>
      </c>
      <c r="H1601" s="163">
        <v>6.9</v>
      </c>
      <c r="I1601" s="16">
        <v>0.12</v>
      </c>
      <c r="J1601" s="164">
        <v>7.4409999999999998</v>
      </c>
      <c r="K1601" s="165">
        <v>33.523000000000003</v>
      </c>
      <c r="L1601" s="13">
        <v>5.34</v>
      </c>
      <c r="M1601" s="166">
        <v>8.4000000000000005E-2</v>
      </c>
      <c r="N1601" s="15">
        <v>90.510999999999996</v>
      </c>
      <c r="O1601" s="167">
        <v>4.2999999999999997E-2</v>
      </c>
      <c r="P1601" s="96"/>
      <c r="Q1601" s="93"/>
      <c r="R1601" s="93"/>
      <c r="S1601" s="93"/>
      <c r="T1601" s="93"/>
    </row>
    <row r="1602" spans="1:20" ht="14.25" customHeight="1" x14ac:dyDescent="0.35">
      <c r="A1602" s="1">
        <v>2020</v>
      </c>
      <c r="B1602" s="1" t="s">
        <v>27</v>
      </c>
      <c r="C1602" s="1">
        <v>18</v>
      </c>
      <c r="D1602" s="49">
        <v>109.84399999999999</v>
      </c>
      <c r="E1602" s="50">
        <v>93.375</v>
      </c>
      <c r="F1602" s="161">
        <v>79.194999999999993</v>
      </c>
      <c r="G1602" s="162">
        <v>1626.319</v>
      </c>
      <c r="H1602" s="163">
        <v>6.9</v>
      </c>
      <c r="I1602" s="16">
        <v>0.115</v>
      </c>
      <c r="J1602" s="164">
        <v>7.492</v>
      </c>
      <c r="K1602" s="162">
        <v>31.891999999999999</v>
      </c>
      <c r="L1602" s="163">
        <v>5.3380000000000001</v>
      </c>
      <c r="M1602" s="166">
        <v>8.7999999999999995E-2</v>
      </c>
      <c r="N1602" s="15">
        <v>90.468999999999994</v>
      </c>
      <c r="O1602" s="167">
        <v>4.1000000000000002E-2</v>
      </c>
      <c r="P1602" s="96"/>
      <c r="Q1602" s="93"/>
      <c r="R1602" s="93"/>
      <c r="S1602" s="93"/>
      <c r="T1602" s="93"/>
    </row>
    <row r="1603" spans="1:20" ht="14.25" customHeight="1" x14ac:dyDescent="0.35">
      <c r="A1603" s="1">
        <v>2020</v>
      </c>
      <c r="B1603" s="1" t="s">
        <v>27</v>
      </c>
      <c r="C1603" s="1">
        <v>19</v>
      </c>
      <c r="D1603" s="49">
        <v>111.672</v>
      </c>
      <c r="E1603" s="50">
        <v>95</v>
      </c>
      <c r="F1603" s="161">
        <v>79.075000000000003</v>
      </c>
      <c r="G1603" s="162">
        <v>1781.732</v>
      </c>
      <c r="H1603" s="163">
        <v>6.9</v>
      </c>
      <c r="I1603" s="16">
        <v>9.8000000000000004E-2</v>
      </c>
      <c r="J1603" s="164">
        <v>7.782</v>
      </c>
      <c r="K1603" s="165">
        <v>34.103000000000002</v>
      </c>
      <c r="L1603" s="13">
        <v>5.3289999999999997</v>
      </c>
      <c r="M1603" s="166">
        <v>9.0999999999999998E-2</v>
      </c>
      <c r="N1603" s="15">
        <v>92.344999999999999</v>
      </c>
      <c r="O1603" s="167">
        <v>4.5999999999999999E-2</v>
      </c>
      <c r="P1603" s="96"/>
      <c r="Q1603" s="93"/>
      <c r="R1603" s="93"/>
      <c r="S1603" s="93"/>
      <c r="T1603" s="93"/>
    </row>
    <row r="1604" spans="1:20" ht="14.25" customHeight="1" x14ac:dyDescent="0.35">
      <c r="A1604" s="1">
        <v>2020</v>
      </c>
      <c r="B1604" s="1" t="s">
        <v>27</v>
      </c>
      <c r="C1604" s="1">
        <v>20</v>
      </c>
      <c r="D1604" s="49">
        <v>110.203</v>
      </c>
      <c r="E1604" s="50">
        <v>93.843999999999994</v>
      </c>
      <c r="F1604" s="161">
        <v>79.352999999999994</v>
      </c>
      <c r="G1604" s="162">
        <v>1817.5170000000001</v>
      </c>
      <c r="H1604" s="163">
        <v>6.9</v>
      </c>
      <c r="I1604" s="16">
        <v>0.10100000000000001</v>
      </c>
      <c r="J1604" s="164">
        <v>7.5880000000000001</v>
      </c>
      <c r="K1604" s="162">
        <v>35.197000000000003</v>
      </c>
      <c r="L1604" s="163">
        <v>5.3369999999999997</v>
      </c>
      <c r="M1604" s="166">
        <v>9.1999999999999998E-2</v>
      </c>
      <c r="N1604" s="15">
        <v>91.146000000000001</v>
      </c>
      <c r="O1604" s="167">
        <v>4.7E-2</v>
      </c>
      <c r="P1604" s="96"/>
      <c r="Q1604" s="93"/>
      <c r="R1604" s="93"/>
      <c r="S1604" s="93"/>
      <c r="T1604" s="93"/>
    </row>
    <row r="1605" spans="1:20" ht="14.25" customHeight="1" x14ac:dyDescent="0.35">
      <c r="A1605" s="1">
        <v>2020</v>
      </c>
      <c r="B1605" s="1" t="s">
        <v>27</v>
      </c>
      <c r="C1605" s="1">
        <v>21</v>
      </c>
      <c r="D1605" s="49">
        <v>113.46899999999999</v>
      </c>
      <c r="E1605" s="50">
        <v>96.625</v>
      </c>
      <c r="F1605" s="161">
        <v>79.828000000000003</v>
      </c>
      <c r="G1605" s="162">
        <v>1819.9079999999999</v>
      </c>
      <c r="H1605" s="163">
        <v>6.899</v>
      </c>
      <c r="I1605" s="16">
        <v>0.10299999999999999</v>
      </c>
      <c r="J1605" s="164">
        <v>7.4359999999999999</v>
      </c>
      <c r="K1605" s="165">
        <v>35.148000000000003</v>
      </c>
      <c r="L1605" s="13">
        <v>5.45</v>
      </c>
      <c r="M1605" s="166">
        <v>9.1999999999999998E-2</v>
      </c>
      <c r="N1605" s="15">
        <v>72.397000000000006</v>
      </c>
      <c r="O1605" s="167">
        <v>4.4999999999999998E-2</v>
      </c>
      <c r="P1605" s="96"/>
      <c r="Q1605" s="93"/>
      <c r="R1605" s="93"/>
      <c r="S1605" s="93"/>
      <c r="T1605" s="93"/>
    </row>
    <row r="1606" spans="1:20" ht="14.25" customHeight="1" x14ac:dyDescent="0.35">
      <c r="A1606" s="1">
        <v>2020</v>
      </c>
      <c r="B1606" s="1" t="s">
        <v>27</v>
      </c>
      <c r="C1606" s="1">
        <v>22</v>
      </c>
      <c r="D1606" s="49">
        <v>111.73399999999999</v>
      </c>
      <c r="E1606" s="50">
        <v>95.093999999999994</v>
      </c>
      <c r="F1606" s="161">
        <v>79.641000000000005</v>
      </c>
      <c r="G1606" s="162">
        <v>1786.6980000000001</v>
      </c>
      <c r="H1606" s="163">
        <v>6.9</v>
      </c>
      <c r="I1606" s="16">
        <v>0.105</v>
      </c>
      <c r="J1606" s="164">
        <v>7.2889999999999997</v>
      </c>
      <c r="K1606" s="162">
        <v>34.204999999999998</v>
      </c>
      <c r="L1606" s="163">
        <v>5.5149999999999997</v>
      </c>
      <c r="M1606" s="166">
        <v>9.4E-2</v>
      </c>
      <c r="N1606" s="15">
        <v>60.344000000000001</v>
      </c>
      <c r="O1606" s="167">
        <v>4.4999999999999998E-2</v>
      </c>
      <c r="P1606" s="96"/>
      <c r="Q1606" s="93"/>
      <c r="R1606" s="93"/>
      <c r="S1606" s="93"/>
      <c r="T1606" s="93"/>
    </row>
    <row r="1607" spans="1:20" ht="14.25" customHeight="1" x14ac:dyDescent="0.35">
      <c r="A1607" s="1">
        <v>2020</v>
      </c>
      <c r="B1607" s="1" t="s">
        <v>27</v>
      </c>
      <c r="C1607" s="1">
        <v>23</v>
      </c>
      <c r="D1607" s="49">
        <v>108.98399999999999</v>
      </c>
      <c r="E1607" s="50">
        <v>92.781000000000006</v>
      </c>
      <c r="F1607" s="161">
        <v>79.346999999999994</v>
      </c>
      <c r="G1607" s="162">
        <v>1736.23</v>
      </c>
      <c r="H1607" s="163">
        <v>6.9</v>
      </c>
      <c r="I1607" s="16">
        <v>0.113</v>
      </c>
      <c r="J1607" s="164">
        <v>7.2690000000000001</v>
      </c>
      <c r="K1607" s="165">
        <v>34.234999999999999</v>
      </c>
      <c r="L1607" s="13">
        <v>5.5119999999999996</v>
      </c>
      <c r="M1607" s="166">
        <v>9.6000000000000002E-2</v>
      </c>
      <c r="N1607" s="15">
        <v>60.639000000000003</v>
      </c>
      <c r="O1607" s="167">
        <v>4.3999999999999997E-2</v>
      </c>
      <c r="P1607" s="96"/>
      <c r="Q1607" s="93"/>
      <c r="R1607" s="93"/>
      <c r="S1607" s="93"/>
      <c r="T1607" s="93"/>
    </row>
    <row r="1608" spans="1:20" ht="14.25" customHeight="1" x14ac:dyDescent="0.35">
      <c r="A1608" s="1">
        <v>2020</v>
      </c>
      <c r="B1608" s="1" t="s">
        <v>27</v>
      </c>
      <c r="C1608" s="1">
        <v>24</v>
      </c>
      <c r="D1608" s="49">
        <v>106.047</v>
      </c>
      <c r="E1608" s="50">
        <v>90.375</v>
      </c>
      <c r="F1608" s="161">
        <v>79.709000000000003</v>
      </c>
      <c r="G1608" s="162">
        <v>1651.424</v>
      </c>
      <c r="H1608" s="163">
        <v>6.9</v>
      </c>
      <c r="I1608" s="16">
        <v>0.109</v>
      </c>
      <c r="J1608" s="164">
        <v>7.1180000000000003</v>
      </c>
      <c r="K1608" s="162">
        <v>34.296999999999997</v>
      </c>
      <c r="L1608" s="163">
        <v>5.524</v>
      </c>
      <c r="M1608" s="166">
        <v>9.7000000000000003E-2</v>
      </c>
      <c r="N1608" s="15">
        <v>59.134999999999998</v>
      </c>
      <c r="O1608" s="167">
        <v>4.2999999999999997E-2</v>
      </c>
      <c r="P1608" s="96"/>
      <c r="Q1608" s="93"/>
      <c r="R1608" s="93"/>
      <c r="S1608" s="93"/>
      <c r="T1608" s="93"/>
    </row>
    <row r="1609" spans="1:20" ht="14.25" customHeight="1" x14ac:dyDescent="0.35">
      <c r="A1609" s="1">
        <v>2020</v>
      </c>
      <c r="B1609" s="1" t="s">
        <v>27</v>
      </c>
      <c r="C1609" s="1">
        <v>25</v>
      </c>
      <c r="D1609" s="49">
        <v>105.953</v>
      </c>
      <c r="E1609" s="50">
        <v>90.156000000000006</v>
      </c>
      <c r="F1609" s="161">
        <v>79.924999999999997</v>
      </c>
      <c r="G1609" s="162">
        <v>1623.0350000000001</v>
      </c>
      <c r="H1609" s="163">
        <v>6.9</v>
      </c>
      <c r="I1609" s="16">
        <v>0.112</v>
      </c>
      <c r="J1609" s="164">
        <v>7.0990000000000002</v>
      </c>
      <c r="K1609" s="165">
        <v>34.354999999999997</v>
      </c>
      <c r="L1609" s="13">
        <v>5.5350000000000001</v>
      </c>
      <c r="M1609" s="166">
        <v>9.4E-2</v>
      </c>
      <c r="N1609" s="15">
        <v>57.948999999999998</v>
      </c>
      <c r="O1609" s="167">
        <v>4.1000000000000002E-2</v>
      </c>
      <c r="P1609" s="96"/>
      <c r="Q1609" s="93"/>
      <c r="R1609" s="93"/>
      <c r="S1609" s="93"/>
      <c r="T1609" s="93"/>
    </row>
    <row r="1610" spans="1:20" ht="14.25" customHeight="1" x14ac:dyDescent="0.35">
      <c r="A1610" s="1">
        <v>2020</v>
      </c>
      <c r="B1610" s="1" t="s">
        <v>27</v>
      </c>
      <c r="C1610" s="1">
        <v>26</v>
      </c>
      <c r="D1610" s="49">
        <v>107.703</v>
      </c>
      <c r="E1610" s="50">
        <v>91.688000000000002</v>
      </c>
      <c r="F1610" s="161">
        <v>80.122</v>
      </c>
      <c r="G1610" s="162">
        <v>1624.34</v>
      </c>
      <c r="H1610" s="163">
        <v>6.9</v>
      </c>
      <c r="I1610" s="16">
        <v>0.111</v>
      </c>
      <c r="J1610" s="164">
        <v>7.4349999999999996</v>
      </c>
      <c r="K1610" s="162">
        <v>36.601999999999997</v>
      </c>
      <c r="L1610" s="163">
        <v>5.55</v>
      </c>
      <c r="M1610" s="166">
        <v>9.6000000000000002E-2</v>
      </c>
      <c r="N1610" s="15">
        <v>55.738999999999997</v>
      </c>
      <c r="O1610" s="167">
        <v>4.4999999999999998E-2</v>
      </c>
      <c r="P1610" s="96"/>
      <c r="Q1610" s="93"/>
      <c r="R1610" s="93"/>
      <c r="S1610" s="93"/>
      <c r="T1610" s="93"/>
    </row>
    <row r="1611" spans="1:20" ht="14.25" customHeight="1" x14ac:dyDescent="0.35">
      <c r="A1611" s="1">
        <v>2020</v>
      </c>
      <c r="B1611" s="1" t="s">
        <v>27</v>
      </c>
      <c r="C1611" s="1">
        <v>27</v>
      </c>
      <c r="D1611" s="49">
        <v>109.96899999999999</v>
      </c>
      <c r="E1611" s="50">
        <v>93.593999999999994</v>
      </c>
      <c r="F1611" s="161">
        <v>80.182000000000002</v>
      </c>
      <c r="G1611" s="162">
        <v>1763.3589999999999</v>
      </c>
      <c r="H1611" s="163">
        <v>6.9</v>
      </c>
      <c r="I1611" s="16">
        <v>0.105</v>
      </c>
      <c r="J1611" s="164">
        <v>7.5369999999999999</v>
      </c>
      <c r="K1611" s="165">
        <v>38.094999999999999</v>
      </c>
      <c r="L1611" s="13">
        <v>5.5270000000000001</v>
      </c>
      <c r="M1611" s="166">
        <v>8.1000000000000003E-2</v>
      </c>
      <c r="N1611" s="15">
        <v>58.567999999999998</v>
      </c>
      <c r="O1611" s="167">
        <v>5.5E-2</v>
      </c>
      <c r="P1611" s="96"/>
      <c r="Q1611" s="93"/>
      <c r="R1611" s="93"/>
      <c r="S1611" s="93"/>
      <c r="T1611" s="93"/>
    </row>
    <row r="1612" spans="1:20" ht="14.25" customHeight="1" x14ac:dyDescent="0.35">
      <c r="A1612" s="1">
        <v>2020</v>
      </c>
      <c r="B1612" s="1" t="s">
        <v>27</v>
      </c>
      <c r="C1612" s="1">
        <v>28</v>
      </c>
      <c r="D1612" s="49">
        <v>110.422</v>
      </c>
      <c r="E1612" s="50">
        <v>93.968999999999994</v>
      </c>
      <c r="F1612" s="161">
        <v>80.201999999999998</v>
      </c>
      <c r="G1612" s="162">
        <v>1818.7739999999999</v>
      </c>
      <c r="H1612" s="163">
        <v>6.9</v>
      </c>
      <c r="I1612" s="16">
        <v>0.112</v>
      </c>
      <c r="J1612" s="164">
        <v>7.4329999999999998</v>
      </c>
      <c r="K1612" s="162">
        <v>39.802</v>
      </c>
      <c r="L1612" s="163">
        <v>5.5270000000000001</v>
      </c>
      <c r="M1612" s="226">
        <v>0.04</v>
      </c>
      <c r="N1612" s="15">
        <v>58.680999999999997</v>
      </c>
      <c r="O1612" s="167">
        <v>5.1999999999999998E-2</v>
      </c>
      <c r="P1612" s="96"/>
      <c r="Q1612" s="93"/>
      <c r="R1612" s="93"/>
      <c r="S1612" s="93"/>
      <c r="T1612" s="93"/>
    </row>
    <row r="1613" spans="1:20" ht="14.25" customHeight="1" x14ac:dyDescent="0.35">
      <c r="A1613" s="1">
        <v>2020</v>
      </c>
      <c r="B1613" s="1" t="s">
        <v>27</v>
      </c>
      <c r="C1613" s="1">
        <v>29</v>
      </c>
      <c r="D1613" s="49">
        <v>108.313</v>
      </c>
      <c r="E1613" s="50">
        <v>92.063000000000002</v>
      </c>
      <c r="F1613" s="187">
        <v>80.13</v>
      </c>
      <c r="G1613" s="22">
        <v>1828.0340000000001</v>
      </c>
      <c r="H1613" s="13">
        <v>6.9</v>
      </c>
      <c r="I1613" s="166">
        <v>0.11600000000000001</v>
      </c>
      <c r="J1613" s="188">
        <v>7.4359999999999999</v>
      </c>
      <c r="K1613" s="162">
        <v>40.281999999999996</v>
      </c>
      <c r="L1613" s="163">
        <v>5.5430000000000001</v>
      </c>
      <c r="M1613" s="166">
        <v>1.2E-2</v>
      </c>
      <c r="N1613" s="15">
        <v>56.866999999999997</v>
      </c>
      <c r="O1613" s="227">
        <v>5.1999999999999998E-2</v>
      </c>
      <c r="P1613" s="96"/>
      <c r="Q1613" s="93"/>
      <c r="R1613" s="93"/>
      <c r="S1613" s="93"/>
      <c r="T1613" s="93"/>
    </row>
    <row r="1614" spans="1:20" ht="14.25" customHeight="1" x14ac:dyDescent="0.35">
      <c r="A1614" s="1">
        <v>2020</v>
      </c>
      <c r="B1614" s="1" t="s">
        <v>27</v>
      </c>
      <c r="C1614" s="1">
        <v>30</v>
      </c>
      <c r="D1614" s="49">
        <v>106.90600000000001</v>
      </c>
      <c r="E1614" s="50">
        <v>90.938000000000002</v>
      </c>
      <c r="F1614" s="187">
        <v>80.204999999999998</v>
      </c>
      <c r="G1614" s="22">
        <v>1749.0830000000001</v>
      </c>
      <c r="H1614" s="13">
        <v>6.9</v>
      </c>
      <c r="I1614" s="166">
        <v>0.109</v>
      </c>
      <c r="J1614" s="188">
        <v>7.2930000000000001</v>
      </c>
      <c r="K1614" s="162">
        <v>39.003999999999998</v>
      </c>
      <c r="L1614" s="163">
        <v>5.5570000000000004</v>
      </c>
      <c r="M1614" s="166">
        <v>1.0999999999999999E-2</v>
      </c>
      <c r="N1614" s="15">
        <v>55.067</v>
      </c>
      <c r="O1614" s="227">
        <v>0.06</v>
      </c>
      <c r="P1614" s="96"/>
      <c r="Q1614" s="93"/>
      <c r="R1614" s="93"/>
      <c r="S1614" s="93"/>
      <c r="T1614" s="93"/>
    </row>
    <row r="1615" spans="1:20" ht="14.25" customHeight="1" x14ac:dyDescent="0.35">
      <c r="A1615" s="1">
        <v>2020</v>
      </c>
      <c r="B1615" s="1" t="s">
        <v>27</v>
      </c>
      <c r="C1615" s="1">
        <v>31</v>
      </c>
      <c r="D1615" s="104">
        <v>105.90600000000001</v>
      </c>
      <c r="E1615" s="105">
        <v>90.188000000000002</v>
      </c>
      <c r="F1615" s="228">
        <v>80.111999999999995</v>
      </c>
      <c r="G1615" s="229">
        <v>1647.1569999999999</v>
      </c>
      <c r="H1615" s="230">
        <v>6.9</v>
      </c>
      <c r="I1615" s="231">
        <v>0.114</v>
      </c>
      <c r="J1615" s="232">
        <v>7.38</v>
      </c>
      <c r="K1615" s="162">
        <v>36.368000000000002</v>
      </c>
      <c r="L1615" s="16">
        <v>5.5609999999999999</v>
      </c>
      <c r="M1615" s="166">
        <v>1.0999999999999999E-2</v>
      </c>
      <c r="N1615" s="15">
        <v>54.381999999999998</v>
      </c>
      <c r="O1615" s="233">
        <v>5.1999999999999998E-2</v>
      </c>
      <c r="P1615" s="96"/>
      <c r="Q1615" s="93"/>
      <c r="R1615" s="93"/>
      <c r="S1615" s="93"/>
      <c r="T1615" s="93"/>
    </row>
    <row r="1616" spans="1:20" ht="14.25" customHeight="1" x14ac:dyDescent="0.35">
      <c r="A1616" s="1">
        <v>2020</v>
      </c>
      <c r="B1616" s="1" t="s">
        <v>28</v>
      </c>
      <c r="C1616" s="1">
        <v>1</v>
      </c>
      <c r="D1616" s="49">
        <v>104.797</v>
      </c>
      <c r="E1616" s="50">
        <v>89.188000000000002</v>
      </c>
      <c r="F1616" s="156">
        <v>80.414000000000001</v>
      </c>
      <c r="G1616" s="157">
        <v>1611.5409999999999</v>
      </c>
      <c r="H1616" s="44">
        <v>6.9</v>
      </c>
      <c r="I1616" s="45">
        <v>0.11</v>
      </c>
      <c r="J1616" s="234">
        <v>7.7690000000000001</v>
      </c>
      <c r="K1616" s="157">
        <v>36.835000000000001</v>
      </c>
      <c r="L1616" s="45">
        <v>5.5720000000000001</v>
      </c>
      <c r="M1616" s="159">
        <v>1.0999999999999999E-2</v>
      </c>
      <c r="N1616" s="15">
        <v>52.902000000000001</v>
      </c>
      <c r="O1616" s="235">
        <v>5.6000000000000001E-2</v>
      </c>
      <c r="P1616" s="96"/>
      <c r="Q1616" s="93"/>
      <c r="R1616" s="93"/>
      <c r="S1616" s="93"/>
      <c r="T1616" s="93"/>
    </row>
    <row r="1617" spans="1:20" ht="14.25" customHeight="1" x14ac:dyDescent="0.35">
      <c r="A1617" s="1">
        <v>2020</v>
      </c>
      <c r="B1617" s="1" t="s">
        <v>28</v>
      </c>
      <c r="C1617" s="1">
        <v>2</v>
      </c>
      <c r="D1617" s="49">
        <v>107.063</v>
      </c>
      <c r="E1617" s="50">
        <v>91.188000000000002</v>
      </c>
      <c r="F1617" s="161">
        <v>80.620999999999995</v>
      </c>
      <c r="G1617" s="162">
        <v>1753.0429999999999</v>
      </c>
      <c r="H1617" s="163">
        <v>6.9</v>
      </c>
      <c r="I1617" s="16">
        <v>0.105</v>
      </c>
      <c r="J1617" s="164">
        <v>7.9589999999999996</v>
      </c>
      <c r="K1617" s="165">
        <v>39.457999999999998</v>
      </c>
      <c r="L1617" s="13">
        <v>5.569</v>
      </c>
      <c r="M1617" s="166">
        <v>1.0999999999999999E-2</v>
      </c>
      <c r="N1617" s="15">
        <v>53.323999999999998</v>
      </c>
      <c r="O1617" s="167">
        <v>6.2E-2</v>
      </c>
      <c r="P1617" s="96"/>
      <c r="Q1617" s="93"/>
      <c r="R1617" s="93"/>
      <c r="S1617" s="93"/>
      <c r="T1617" s="93"/>
    </row>
    <row r="1618" spans="1:20" ht="14.25" customHeight="1" x14ac:dyDescent="0.35">
      <c r="A1618" s="1">
        <v>2020</v>
      </c>
      <c r="B1618" s="1" t="s">
        <v>28</v>
      </c>
      <c r="C1618" s="1">
        <v>3</v>
      </c>
      <c r="D1618" s="49">
        <v>109.09399999999999</v>
      </c>
      <c r="E1618" s="50">
        <v>92.968999999999994</v>
      </c>
      <c r="F1618" s="161">
        <v>81.228999999999999</v>
      </c>
      <c r="G1618" s="162">
        <v>1804.902</v>
      </c>
      <c r="H1618" s="163">
        <v>6.9</v>
      </c>
      <c r="I1618" s="16">
        <v>0.10100000000000001</v>
      </c>
      <c r="J1618" s="164">
        <v>7.8490000000000002</v>
      </c>
      <c r="K1618" s="165">
        <v>40.634</v>
      </c>
      <c r="L1618" s="13">
        <v>5.5679999999999996</v>
      </c>
      <c r="M1618" s="166">
        <v>1.0999999999999999E-2</v>
      </c>
      <c r="N1618" s="15">
        <v>53.569000000000003</v>
      </c>
      <c r="O1618" s="167">
        <v>6.5000000000000002E-2</v>
      </c>
      <c r="P1618" s="96"/>
      <c r="Q1618" s="93"/>
      <c r="R1618" s="93"/>
      <c r="S1618" s="93"/>
      <c r="T1618" s="93"/>
    </row>
    <row r="1619" spans="1:20" ht="14.25" customHeight="1" x14ac:dyDescent="0.35">
      <c r="A1619" s="1">
        <v>2020</v>
      </c>
      <c r="B1619" s="1" t="s">
        <v>28</v>
      </c>
      <c r="C1619" s="1">
        <v>4</v>
      </c>
      <c r="D1619" s="49">
        <v>107.297</v>
      </c>
      <c r="E1619" s="50">
        <v>91.438000000000002</v>
      </c>
      <c r="F1619" s="161">
        <v>80.688000000000002</v>
      </c>
      <c r="G1619" s="162">
        <v>1851.5740000000001</v>
      </c>
      <c r="H1619" s="163">
        <v>6.9</v>
      </c>
      <c r="I1619" s="16">
        <v>0.11</v>
      </c>
      <c r="J1619" s="164">
        <v>7.7549999999999999</v>
      </c>
      <c r="K1619" s="165">
        <v>41.753999999999998</v>
      </c>
      <c r="L1619" s="13">
        <v>5.5439999999999996</v>
      </c>
      <c r="M1619" s="166">
        <v>1.0999999999999999E-2</v>
      </c>
      <c r="N1619" s="15">
        <v>56.304000000000002</v>
      </c>
      <c r="O1619" s="167">
        <v>6.6000000000000003E-2</v>
      </c>
      <c r="P1619" s="96"/>
      <c r="Q1619" s="93"/>
      <c r="R1619" s="93"/>
      <c r="S1619" s="93"/>
      <c r="T1619" s="93"/>
    </row>
    <row r="1620" spans="1:20" ht="14.25" customHeight="1" x14ac:dyDescent="0.35">
      <c r="A1620" s="1">
        <v>2020</v>
      </c>
      <c r="B1620" s="1" t="s">
        <v>28</v>
      </c>
      <c r="C1620" s="1">
        <v>5</v>
      </c>
      <c r="D1620" s="49">
        <v>109.172</v>
      </c>
      <c r="E1620" s="50">
        <v>92.906000000000006</v>
      </c>
      <c r="F1620" s="161">
        <v>80.744</v>
      </c>
      <c r="G1620" s="162">
        <v>1815.548</v>
      </c>
      <c r="H1620" s="163">
        <v>6.9</v>
      </c>
      <c r="I1620" s="16">
        <v>0.107</v>
      </c>
      <c r="J1620" s="164">
        <v>7.3689999999999998</v>
      </c>
      <c r="K1620" s="165">
        <v>39.729999999999997</v>
      </c>
      <c r="L1620" s="13">
        <v>5.4939999999999998</v>
      </c>
      <c r="M1620" s="166">
        <v>1.0999999999999999E-2</v>
      </c>
      <c r="N1620" s="15">
        <v>63.207000000000001</v>
      </c>
      <c r="O1620" s="167">
        <v>5.7000000000000002E-2</v>
      </c>
      <c r="P1620" s="96"/>
      <c r="Q1620" s="93"/>
      <c r="R1620" s="93"/>
      <c r="S1620" s="93"/>
      <c r="T1620" s="93"/>
    </row>
    <row r="1621" spans="1:20" ht="14.25" customHeight="1" x14ac:dyDescent="0.35">
      <c r="A1621" s="1">
        <v>2020</v>
      </c>
      <c r="B1621" s="1" t="s">
        <v>28</v>
      </c>
      <c r="C1621" s="1">
        <v>6</v>
      </c>
      <c r="D1621" s="49">
        <v>108.73399999999999</v>
      </c>
      <c r="E1621" s="50">
        <v>92.593999999999994</v>
      </c>
      <c r="F1621" s="161">
        <v>80.83</v>
      </c>
      <c r="G1621" s="162">
        <v>1725.9749999999999</v>
      </c>
      <c r="H1621" s="163">
        <v>6.9</v>
      </c>
      <c r="I1621" s="16">
        <v>0.10100000000000001</v>
      </c>
      <c r="J1621" s="164">
        <v>7.0529999999999999</v>
      </c>
      <c r="K1621" s="165">
        <v>37.444000000000003</v>
      </c>
      <c r="L1621" s="13">
        <v>5.4050000000000002</v>
      </c>
      <c r="M1621" s="166">
        <v>1.0999999999999999E-2</v>
      </c>
      <c r="N1621" s="15">
        <v>77.956000000000003</v>
      </c>
      <c r="O1621" s="167">
        <v>5.2999999999999999E-2</v>
      </c>
      <c r="P1621" s="96"/>
      <c r="Q1621" s="93"/>
      <c r="R1621" s="93"/>
      <c r="S1621" s="93"/>
      <c r="T1621" s="93"/>
    </row>
    <row r="1622" spans="1:20" ht="14.25" customHeight="1" x14ac:dyDescent="0.35">
      <c r="A1622" s="1">
        <v>2020</v>
      </c>
      <c r="B1622" s="1" t="s">
        <v>28</v>
      </c>
      <c r="C1622" s="1">
        <v>7</v>
      </c>
      <c r="D1622" s="49">
        <v>103.688</v>
      </c>
      <c r="E1622" s="50">
        <v>88.343999999999994</v>
      </c>
      <c r="F1622" s="161">
        <v>80.731999999999999</v>
      </c>
      <c r="G1622" s="162">
        <v>1636.694</v>
      </c>
      <c r="H1622" s="163">
        <v>6.9</v>
      </c>
      <c r="I1622" s="16">
        <v>0.111</v>
      </c>
      <c r="J1622" s="164">
        <v>7.0090000000000003</v>
      </c>
      <c r="K1622" s="165">
        <v>36.725999999999999</v>
      </c>
      <c r="L1622" s="13">
        <v>5.42</v>
      </c>
      <c r="M1622" s="166">
        <v>1.0999999999999999E-2</v>
      </c>
      <c r="N1622" s="15">
        <v>75.085999999999999</v>
      </c>
      <c r="O1622" s="167">
        <v>5.2999999999999999E-2</v>
      </c>
      <c r="P1622" s="96"/>
      <c r="Q1622" s="93"/>
      <c r="R1622" s="93"/>
      <c r="S1622" s="93"/>
      <c r="T1622" s="93"/>
    </row>
    <row r="1623" spans="1:20" ht="14.25" customHeight="1" x14ac:dyDescent="0.35">
      <c r="A1623" s="1">
        <v>2020</v>
      </c>
      <c r="B1623" s="1" t="s">
        <v>28</v>
      </c>
      <c r="C1623" s="1">
        <v>8</v>
      </c>
      <c r="D1623" s="49">
        <v>106</v>
      </c>
      <c r="E1623" s="50">
        <v>90.25</v>
      </c>
      <c r="F1623" s="161">
        <v>80.87</v>
      </c>
      <c r="G1623" s="22">
        <v>1627.877</v>
      </c>
      <c r="H1623" s="163">
        <v>6.9</v>
      </c>
      <c r="I1623" s="16">
        <v>0.106</v>
      </c>
      <c r="J1623" s="168">
        <v>7.0519999999999996</v>
      </c>
      <c r="K1623" s="165">
        <v>35.222999999999999</v>
      </c>
      <c r="L1623" s="13">
        <v>5.4210000000000003</v>
      </c>
      <c r="M1623" s="166">
        <v>1.0999999999999999E-2</v>
      </c>
      <c r="N1623" s="15">
        <v>75.066000000000003</v>
      </c>
      <c r="O1623" s="192">
        <v>4.9000000000000002E-2</v>
      </c>
      <c r="P1623" s="96"/>
      <c r="Q1623" s="93"/>
      <c r="R1623" s="93"/>
      <c r="S1623" s="93"/>
      <c r="T1623" s="93"/>
    </row>
    <row r="1624" spans="1:20" ht="14.25" customHeight="1" x14ac:dyDescent="0.35">
      <c r="A1624" s="1">
        <v>2020</v>
      </c>
      <c r="B1624" s="1" t="s">
        <v>28</v>
      </c>
      <c r="C1624" s="1">
        <v>9</v>
      </c>
      <c r="D1624" s="49">
        <v>107.875</v>
      </c>
      <c r="E1624" s="50">
        <v>91.906000000000006</v>
      </c>
      <c r="F1624" s="161">
        <v>81.466999999999999</v>
      </c>
      <c r="G1624" s="162">
        <v>1714.335</v>
      </c>
      <c r="H1624" s="163">
        <v>6.9</v>
      </c>
      <c r="I1624" s="16">
        <v>7.8E-2</v>
      </c>
      <c r="J1624" s="164">
        <v>7.1159999999999997</v>
      </c>
      <c r="K1624" s="165">
        <v>36.795999999999999</v>
      </c>
      <c r="L1624" s="13">
        <v>5.4219999999999997</v>
      </c>
      <c r="M1624" s="166">
        <v>1.0999999999999999E-2</v>
      </c>
      <c r="N1624" s="15">
        <v>74.887</v>
      </c>
      <c r="O1624" s="167">
        <v>5.8000000000000003E-2</v>
      </c>
      <c r="P1624" s="96"/>
      <c r="Q1624" s="93"/>
      <c r="R1624" s="93"/>
      <c r="S1624" s="93"/>
      <c r="T1624" s="93"/>
    </row>
    <row r="1625" spans="1:20" ht="14.25" customHeight="1" x14ac:dyDescent="0.35">
      <c r="A1625" s="1">
        <v>2020</v>
      </c>
      <c r="B1625" s="1" t="s">
        <v>28</v>
      </c>
      <c r="C1625" s="1">
        <v>10</v>
      </c>
      <c r="D1625" s="49">
        <v>109.578</v>
      </c>
      <c r="E1625" s="50">
        <v>93.343999999999994</v>
      </c>
      <c r="F1625" s="169">
        <v>81.700999999999993</v>
      </c>
      <c r="G1625" s="162">
        <v>1783.3889999999999</v>
      </c>
      <c r="H1625" s="163">
        <v>6.9</v>
      </c>
      <c r="I1625" s="236">
        <v>6.3E-2</v>
      </c>
      <c r="J1625" s="170">
        <v>7.08</v>
      </c>
      <c r="K1625" s="165">
        <v>39.353999999999999</v>
      </c>
      <c r="L1625" s="13">
        <v>5.4240000000000004</v>
      </c>
      <c r="M1625" s="171">
        <v>1.0999999999999999E-2</v>
      </c>
      <c r="N1625" s="15">
        <v>74.709999999999994</v>
      </c>
      <c r="O1625" s="172">
        <v>6.4000000000000001E-2</v>
      </c>
      <c r="P1625" s="96"/>
      <c r="Q1625" s="93"/>
      <c r="R1625" s="93"/>
      <c r="S1625" s="93"/>
      <c r="T1625" s="93"/>
    </row>
    <row r="1626" spans="1:20" ht="14.25" customHeight="1" x14ac:dyDescent="0.35">
      <c r="A1626" s="1">
        <v>2020</v>
      </c>
      <c r="B1626" s="1" t="s">
        <v>28</v>
      </c>
      <c r="C1626" s="1">
        <v>11</v>
      </c>
      <c r="D1626" s="49">
        <v>110.922</v>
      </c>
      <c r="E1626" s="50">
        <v>94.438000000000002</v>
      </c>
      <c r="F1626" s="169">
        <v>81.816000000000003</v>
      </c>
      <c r="G1626" s="162">
        <v>1827.3920000000001</v>
      </c>
      <c r="H1626" s="163">
        <v>6.9</v>
      </c>
      <c r="I1626" s="16">
        <v>7.8E-2</v>
      </c>
      <c r="J1626" s="170">
        <v>7.2220000000000004</v>
      </c>
      <c r="K1626" s="165">
        <v>40.671999999999997</v>
      </c>
      <c r="L1626" s="13">
        <v>5.4210000000000003</v>
      </c>
      <c r="M1626" s="171">
        <v>1.0999999999999999E-2</v>
      </c>
      <c r="N1626" s="15">
        <v>75.018000000000001</v>
      </c>
      <c r="O1626" s="172">
        <v>5.8999999999999997E-2</v>
      </c>
      <c r="P1626" s="96"/>
      <c r="Q1626" s="93"/>
      <c r="R1626" s="93"/>
      <c r="S1626" s="93"/>
      <c r="T1626" s="93"/>
    </row>
    <row r="1627" spans="1:20" ht="14.25" customHeight="1" x14ac:dyDescent="0.35">
      <c r="A1627" s="1">
        <v>2020</v>
      </c>
      <c r="B1627" s="1" t="s">
        <v>28</v>
      </c>
      <c r="C1627" s="1">
        <v>12</v>
      </c>
      <c r="D1627" s="49">
        <v>111.23399999999999</v>
      </c>
      <c r="E1627" s="50">
        <v>94.781000000000006</v>
      </c>
      <c r="F1627" s="169">
        <v>81.402000000000001</v>
      </c>
      <c r="G1627" s="162">
        <v>1799.556</v>
      </c>
      <c r="H1627" s="163">
        <v>6.9</v>
      </c>
      <c r="I1627" s="16">
        <v>0.108</v>
      </c>
      <c r="J1627" s="170">
        <v>7.4160000000000004</v>
      </c>
      <c r="K1627" s="165">
        <v>42.856000000000002</v>
      </c>
      <c r="L1627" s="13">
        <v>5.4829999999999997</v>
      </c>
      <c r="M1627" s="171">
        <v>1.0999999999999999E-2</v>
      </c>
      <c r="N1627" s="15">
        <v>66.313000000000002</v>
      </c>
      <c r="O1627" s="172">
        <v>5.8000000000000003E-2</v>
      </c>
      <c r="P1627" s="96"/>
      <c r="Q1627" s="93"/>
      <c r="R1627" s="93"/>
      <c r="S1627" s="93"/>
      <c r="T1627" s="93"/>
    </row>
    <row r="1628" spans="1:20" ht="14.25" customHeight="1" x14ac:dyDescent="0.35">
      <c r="A1628" s="1">
        <v>2020</v>
      </c>
      <c r="B1628" s="1" t="s">
        <v>28</v>
      </c>
      <c r="C1628" s="1">
        <v>13</v>
      </c>
      <c r="D1628" s="49">
        <v>107.35899999999999</v>
      </c>
      <c r="E1628" s="50">
        <v>91.5</v>
      </c>
      <c r="F1628" s="173">
        <v>81.215999999999994</v>
      </c>
      <c r="G1628" s="162">
        <v>1700.277</v>
      </c>
      <c r="H1628" s="163">
        <v>6.9</v>
      </c>
      <c r="I1628" s="16">
        <v>0.16200000000000001</v>
      </c>
      <c r="J1628" s="174">
        <v>7.4619999999999997</v>
      </c>
      <c r="K1628" s="165">
        <v>42.640999999999998</v>
      </c>
      <c r="L1628" s="13">
        <v>5.5220000000000002</v>
      </c>
      <c r="M1628" s="166">
        <v>1.0999999999999999E-2</v>
      </c>
      <c r="N1628" s="15">
        <v>59.557000000000002</v>
      </c>
      <c r="O1628" s="175">
        <v>5.7000000000000002E-2</v>
      </c>
      <c r="P1628" s="96"/>
      <c r="Q1628" s="93"/>
      <c r="R1628" s="93"/>
      <c r="S1628" s="93"/>
      <c r="T1628" s="93"/>
    </row>
    <row r="1629" spans="1:20" ht="14.25" customHeight="1" x14ac:dyDescent="0.35">
      <c r="A1629" s="1">
        <v>2020</v>
      </c>
      <c r="B1629" s="1" t="s">
        <v>28</v>
      </c>
      <c r="C1629" s="1">
        <v>14</v>
      </c>
      <c r="D1629" s="49">
        <v>104.39100000000001</v>
      </c>
      <c r="E1629" s="50">
        <v>89.031000000000006</v>
      </c>
      <c r="F1629" s="161">
        <v>81.293999999999997</v>
      </c>
      <c r="G1629" s="162">
        <v>1629.413</v>
      </c>
      <c r="H1629" s="163">
        <v>6.9</v>
      </c>
      <c r="I1629" s="236">
        <v>0.183</v>
      </c>
      <c r="J1629" s="174">
        <v>7.4409999999999998</v>
      </c>
      <c r="K1629" s="176">
        <v>39.761000000000003</v>
      </c>
      <c r="L1629" s="13">
        <v>5.5330000000000004</v>
      </c>
      <c r="M1629" s="166">
        <v>1.0999999999999999E-2</v>
      </c>
      <c r="N1629" s="15">
        <v>57.872999999999998</v>
      </c>
      <c r="O1629" s="175">
        <v>5.2999999999999999E-2</v>
      </c>
      <c r="P1629" s="96"/>
      <c r="Q1629" s="93"/>
      <c r="R1629" s="93"/>
      <c r="S1629" s="93"/>
      <c r="T1629" s="93"/>
    </row>
    <row r="1630" spans="1:20" ht="14.25" customHeight="1" x14ac:dyDescent="0.35">
      <c r="A1630" s="1">
        <v>2020</v>
      </c>
      <c r="B1630" s="1" t="s">
        <v>28</v>
      </c>
      <c r="C1630" s="1">
        <v>15</v>
      </c>
      <c r="D1630" s="49">
        <v>106.65600000000001</v>
      </c>
      <c r="E1630" s="50">
        <v>91</v>
      </c>
      <c r="F1630" s="161">
        <v>81.271000000000001</v>
      </c>
      <c r="G1630" s="162">
        <v>1613.326</v>
      </c>
      <c r="H1630" s="163">
        <v>6.9</v>
      </c>
      <c r="I1630" s="16">
        <v>0.185</v>
      </c>
      <c r="J1630" s="170">
        <v>7.5510000000000002</v>
      </c>
      <c r="K1630" s="165">
        <v>39.243000000000002</v>
      </c>
      <c r="L1630" s="13">
        <v>5.5259999999999998</v>
      </c>
      <c r="M1630" s="166">
        <v>1.0999999999999999E-2</v>
      </c>
      <c r="N1630" s="15">
        <v>59.154000000000003</v>
      </c>
      <c r="O1630" s="172">
        <v>5.2999999999999999E-2</v>
      </c>
      <c r="P1630" s="96"/>
      <c r="Q1630" s="93"/>
      <c r="R1630" s="93"/>
      <c r="S1630" s="93"/>
      <c r="T1630" s="93"/>
    </row>
    <row r="1631" spans="1:20" ht="14.25" customHeight="1" x14ac:dyDescent="0.35">
      <c r="A1631" s="1">
        <v>2020</v>
      </c>
      <c r="B1631" s="1" t="s">
        <v>28</v>
      </c>
      <c r="C1631" s="1">
        <v>16</v>
      </c>
      <c r="D1631" s="49">
        <v>109.25</v>
      </c>
      <c r="E1631" s="50">
        <v>93.093999999999994</v>
      </c>
      <c r="F1631" s="161">
        <v>81.293000000000006</v>
      </c>
      <c r="G1631" s="162">
        <v>1681.518</v>
      </c>
      <c r="H1631" s="163">
        <v>6.9</v>
      </c>
      <c r="I1631" s="16">
        <v>0.17100000000000001</v>
      </c>
      <c r="J1631" s="174">
        <v>7.6429999999999998</v>
      </c>
      <c r="K1631" s="162">
        <v>41.447000000000003</v>
      </c>
      <c r="L1631" s="163">
        <v>5.52</v>
      </c>
      <c r="M1631" s="166">
        <v>1.0999999999999999E-2</v>
      </c>
      <c r="N1631" s="15">
        <v>59.875</v>
      </c>
      <c r="O1631" s="175">
        <v>5.8999999999999997E-2</v>
      </c>
      <c r="P1631" s="96"/>
      <c r="Q1631" s="93"/>
      <c r="R1631" s="93"/>
      <c r="S1631" s="93"/>
      <c r="T1631" s="93"/>
    </row>
    <row r="1632" spans="1:20" ht="14.25" customHeight="1" x14ac:dyDescent="0.35">
      <c r="A1632" s="1">
        <v>2020</v>
      </c>
      <c r="B1632" s="1" t="s">
        <v>28</v>
      </c>
      <c r="C1632" s="1">
        <v>17</v>
      </c>
      <c r="D1632" s="49">
        <v>109.828</v>
      </c>
      <c r="E1632" s="50">
        <v>93.656000000000006</v>
      </c>
      <c r="F1632" s="161">
        <v>81.373000000000005</v>
      </c>
      <c r="G1632" s="162">
        <v>1750.9179999999999</v>
      </c>
      <c r="H1632" s="163">
        <v>6.9</v>
      </c>
      <c r="I1632" s="16">
        <v>0.17499999999999999</v>
      </c>
      <c r="J1632" s="164">
        <v>7.6219999999999999</v>
      </c>
      <c r="K1632" s="165">
        <v>45.097000000000001</v>
      </c>
      <c r="L1632" s="13">
        <v>5.5220000000000002</v>
      </c>
      <c r="M1632" s="166">
        <v>1.0999999999999999E-2</v>
      </c>
      <c r="N1632" s="15">
        <v>59.625999999999998</v>
      </c>
      <c r="O1632" s="167">
        <v>6.3E-2</v>
      </c>
      <c r="P1632" s="96"/>
      <c r="Q1632" s="93"/>
      <c r="R1632" s="93"/>
      <c r="S1632" s="93"/>
      <c r="T1632" s="93"/>
    </row>
    <row r="1633" spans="1:20" ht="14.25" customHeight="1" x14ac:dyDescent="0.35">
      <c r="A1633" s="1">
        <v>2020</v>
      </c>
      <c r="B1633" s="1" t="s">
        <v>28</v>
      </c>
      <c r="C1633" s="1">
        <v>18</v>
      </c>
      <c r="D1633" s="49">
        <v>108.78100000000001</v>
      </c>
      <c r="E1633" s="50">
        <v>92.718999999999994</v>
      </c>
      <c r="F1633" s="161">
        <v>81.203000000000003</v>
      </c>
      <c r="G1633" s="162">
        <v>1783.3589999999999</v>
      </c>
      <c r="H1633" s="163">
        <v>6.9</v>
      </c>
      <c r="I1633" s="16">
        <v>0.16</v>
      </c>
      <c r="J1633" s="164">
        <v>7.0030000000000001</v>
      </c>
      <c r="K1633" s="162">
        <v>45.280999999999999</v>
      </c>
      <c r="L1633" s="163">
        <v>5.5039999999999996</v>
      </c>
      <c r="M1633" s="166">
        <v>1.0999999999999999E-2</v>
      </c>
      <c r="N1633" s="15">
        <v>61.947000000000003</v>
      </c>
      <c r="O1633" s="167">
        <v>6.5000000000000002E-2</v>
      </c>
      <c r="P1633" s="96"/>
      <c r="Q1633" s="93"/>
      <c r="R1633" s="93"/>
      <c r="S1633" s="93"/>
      <c r="T1633" s="93"/>
    </row>
    <row r="1634" spans="1:20" ht="14.25" customHeight="1" x14ac:dyDescent="0.35">
      <c r="A1634" s="1">
        <v>2020</v>
      </c>
      <c r="B1634" s="1" t="s">
        <v>28</v>
      </c>
      <c r="C1634" s="1">
        <v>19</v>
      </c>
      <c r="D1634" s="49">
        <v>111.328</v>
      </c>
      <c r="E1634" s="50">
        <v>94.968999999999994</v>
      </c>
      <c r="F1634" s="161">
        <v>81.552999999999997</v>
      </c>
      <c r="G1634" s="162">
        <v>1774.3050000000001</v>
      </c>
      <c r="H1634" s="163">
        <v>6.9</v>
      </c>
      <c r="I1634" s="16">
        <v>0.16700000000000001</v>
      </c>
      <c r="J1634" s="164">
        <v>7.1050000000000004</v>
      </c>
      <c r="K1634" s="165">
        <v>41.222000000000001</v>
      </c>
      <c r="L1634" s="13">
        <v>5.5069999999999997</v>
      </c>
      <c r="M1634" s="166">
        <v>1.9E-2</v>
      </c>
      <c r="N1634" s="15">
        <v>61.747999999999998</v>
      </c>
      <c r="O1634" s="167">
        <v>0.06</v>
      </c>
      <c r="P1634" s="96"/>
      <c r="Q1634" s="93"/>
      <c r="R1634" s="93"/>
      <c r="S1634" s="93"/>
      <c r="T1634" s="93"/>
    </row>
    <row r="1635" spans="1:20" ht="14.25" customHeight="1" x14ac:dyDescent="0.35">
      <c r="A1635" s="1">
        <v>2020</v>
      </c>
      <c r="B1635" s="1" t="s">
        <v>28</v>
      </c>
      <c r="C1635" s="1">
        <v>20</v>
      </c>
      <c r="D1635" s="49">
        <v>106.703</v>
      </c>
      <c r="E1635" s="50">
        <v>90.938000000000002</v>
      </c>
      <c r="F1635" s="161">
        <v>81.456000000000003</v>
      </c>
      <c r="G1635" s="162">
        <v>1746.9570000000001</v>
      </c>
      <c r="H1635" s="163">
        <v>6.9</v>
      </c>
      <c r="I1635" s="16">
        <v>0.19</v>
      </c>
      <c r="J1635" s="164">
        <v>7.1779999999999999</v>
      </c>
      <c r="K1635" s="162">
        <v>39.652000000000001</v>
      </c>
      <c r="L1635" s="163">
        <v>5.524</v>
      </c>
      <c r="M1635" s="166">
        <v>1.0999999999999999E-2</v>
      </c>
      <c r="N1635" s="15">
        <v>59.133000000000003</v>
      </c>
      <c r="O1635" s="167">
        <v>6.2E-2</v>
      </c>
      <c r="P1635" s="96"/>
      <c r="Q1635" s="93"/>
      <c r="R1635" s="93"/>
      <c r="S1635" s="93"/>
      <c r="T1635" s="93"/>
    </row>
    <row r="1636" spans="1:20" ht="14.25" customHeight="1" x14ac:dyDescent="0.35">
      <c r="A1636" s="1">
        <v>2020</v>
      </c>
      <c r="B1636" s="1" t="s">
        <v>28</v>
      </c>
      <c r="C1636" s="1">
        <v>21</v>
      </c>
      <c r="D1636" s="49">
        <v>104.188</v>
      </c>
      <c r="E1636" s="50">
        <v>88.625</v>
      </c>
      <c r="F1636" s="161">
        <v>81.483999999999995</v>
      </c>
      <c r="G1636" s="162">
        <v>1655.4739999999999</v>
      </c>
      <c r="H1636" s="163">
        <v>6.9</v>
      </c>
      <c r="I1636" s="16">
        <v>0.16800000000000001</v>
      </c>
      <c r="J1636" s="164">
        <v>6.9219999999999997</v>
      </c>
      <c r="K1636" s="165">
        <v>38.287999999999997</v>
      </c>
      <c r="L1636" s="13">
        <v>5.5259999999999998</v>
      </c>
      <c r="M1636" s="166">
        <v>1.0999999999999999E-2</v>
      </c>
      <c r="N1636" s="15">
        <v>59.058</v>
      </c>
      <c r="O1636" s="167">
        <v>6.6000000000000003E-2</v>
      </c>
      <c r="P1636" s="96"/>
      <c r="Q1636" s="93"/>
      <c r="R1636" s="93"/>
      <c r="S1636" s="93"/>
      <c r="T1636" s="93"/>
    </row>
    <row r="1637" spans="1:20" ht="14.25" customHeight="1" x14ac:dyDescent="0.35">
      <c r="A1637" s="1">
        <v>2020</v>
      </c>
      <c r="B1637" s="1" t="s">
        <v>28</v>
      </c>
      <c r="C1637" s="1">
        <v>22</v>
      </c>
      <c r="D1637" s="49">
        <v>104.09399999999999</v>
      </c>
      <c r="E1637" s="50">
        <v>88.531000000000006</v>
      </c>
      <c r="F1637" s="161">
        <v>81.873999999999995</v>
      </c>
      <c r="G1637" s="162">
        <v>1613.038</v>
      </c>
      <c r="H1637" s="163">
        <v>6.9</v>
      </c>
      <c r="I1637" s="16">
        <v>0.16600000000000001</v>
      </c>
      <c r="J1637" s="164">
        <v>7.2709999999999999</v>
      </c>
      <c r="K1637" s="162">
        <v>37.606000000000002</v>
      </c>
      <c r="L1637" s="163">
        <v>5.5279999999999996</v>
      </c>
      <c r="M1637" s="166">
        <v>1.0999999999999999E-2</v>
      </c>
      <c r="N1637" s="15">
        <v>59.031999999999996</v>
      </c>
      <c r="O1637" s="167">
        <v>6.2E-2</v>
      </c>
      <c r="P1637" s="96"/>
      <c r="Q1637" s="93"/>
      <c r="R1637" s="93"/>
      <c r="S1637" s="93"/>
      <c r="T1637" s="93"/>
    </row>
    <row r="1638" spans="1:20" ht="14.25" customHeight="1" x14ac:dyDescent="0.35">
      <c r="A1638" s="1">
        <v>2020</v>
      </c>
      <c r="B1638" s="1" t="s">
        <v>28</v>
      </c>
      <c r="C1638" s="1">
        <v>23</v>
      </c>
      <c r="D1638" s="49">
        <v>109.76600000000001</v>
      </c>
      <c r="E1638" s="50">
        <v>93.438000000000002</v>
      </c>
      <c r="F1638" s="161">
        <v>81.724999999999994</v>
      </c>
      <c r="G1638" s="162">
        <v>1672.5530000000001</v>
      </c>
      <c r="H1638" s="163">
        <v>6.9</v>
      </c>
      <c r="I1638" s="237">
        <v>8.4000000000000005E-2</v>
      </c>
      <c r="J1638" s="164">
        <v>7.6310000000000002</v>
      </c>
      <c r="K1638" s="165">
        <v>38.357999999999997</v>
      </c>
      <c r="L1638" s="13">
        <v>5.5309999999999997</v>
      </c>
      <c r="M1638" s="166">
        <v>1.0999999999999999E-2</v>
      </c>
      <c r="N1638" s="15">
        <v>58.484000000000002</v>
      </c>
      <c r="O1638" s="167">
        <v>7.0000000000000007E-2</v>
      </c>
      <c r="P1638" s="96"/>
      <c r="Q1638" s="93"/>
      <c r="R1638" s="93"/>
      <c r="S1638" s="93"/>
      <c r="T1638" s="93"/>
    </row>
    <row r="1639" spans="1:20" ht="14.25" customHeight="1" x14ac:dyDescent="0.35">
      <c r="A1639" s="1">
        <v>2020</v>
      </c>
      <c r="B1639" s="1" t="s">
        <v>28</v>
      </c>
      <c r="C1639" s="1">
        <v>24</v>
      </c>
      <c r="D1639" s="49">
        <v>110.625</v>
      </c>
      <c r="E1639" s="50">
        <v>94.125</v>
      </c>
      <c r="F1639" s="161">
        <v>81.992000000000004</v>
      </c>
      <c r="G1639" s="162">
        <v>1731.912</v>
      </c>
      <c r="H1639" s="163">
        <v>6.9</v>
      </c>
      <c r="I1639" s="16">
        <v>2.5999999999999999E-2</v>
      </c>
      <c r="J1639" s="164">
        <v>7.7380000000000004</v>
      </c>
      <c r="K1639" s="162">
        <v>39.119</v>
      </c>
      <c r="L1639" s="163">
        <v>5.5119999999999996</v>
      </c>
      <c r="M1639" s="166">
        <v>1.0999999999999999E-2</v>
      </c>
      <c r="N1639" s="15">
        <v>60.723999999999997</v>
      </c>
      <c r="O1639" s="167">
        <v>6.9000000000000006E-2</v>
      </c>
      <c r="P1639" s="96"/>
      <c r="Q1639" s="93"/>
      <c r="R1639" s="93"/>
      <c r="S1639" s="93"/>
      <c r="T1639" s="93"/>
    </row>
    <row r="1640" spans="1:20" ht="14.25" customHeight="1" x14ac:dyDescent="0.35">
      <c r="A1640" s="1">
        <v>2020</v>
      </c>
      <c r="B1640" s="1" t="s">
        <v>28</v>
      </c>
      <c r="C1640" s="1">
        <v>25</v>
      </c>
      <c r="D1640" s="49">
        <v>109.89100000000001</v>
      </c>
      <c r="E1640" s="50">
        <v>93.406000000000006</v>
      </c>
      <c r="F1640" s="161">
        <v>81.941999999999993</v>
      </c>
      <c r="G1640" s="162">
        <v>1810.155</v>
      </c>
      <c r="H1640" s="163">
        <v>6.9</v>
      </c>
      <c r="I1640" s="16">
        <v>2.5999999999999999E-2</v>
      </c>
      <c r="J1640" s="164">
        <v>7.8319999999999999</v>
      </c>
      <c r="K1640" s="165">
        <v>41.167999999999999</v>
      </c>
      <c r="L1640" s="13">
        <v>5.5060000000000002</v>
      </c>
      <c r="M1640" s="166">
        <v>1.0999999999999999E-2</v>
      </c>
      <c r="N1640" s="15">
        <v>61.564</v>
      </c>
      <c r="O1640" s="167">
        <v>6.9000000000000006E-2</v>
      </c>
      <c r="P1640" s="96"/>
      <c r="Q1640" s="93"/>
      <c r="R1640" s="93"/>
      <c r="S1640" s="93"/>
      <c r="T1640" s="93"/>
    </row>
    <row r="1641" spans="1:20" ht="14.25" customHeight="1" x14ac:dyDescent="0.35">
      <c r="A1641" s="1">
        <v>2020</v>
      </c>
      <c r="B1641" s="1" t="s">
        <v>28</v>
      </c>
      <c r="C1641" s="1">
        <v>26</v>
      </c>
      <c r="D1641" s="49">
        <v>112.25</v>
      </c>
      <c r="E1641" s="50">
        <v>95.5</v>
      </c>
      <c r="F1641" s="161">
        <v>82.143000000000001</v>
      </c>
      <c r="G1641" s="162">
        <v>1797.002</v>
      </c>
      <c r="H1641" s="163">
        <v>6.9</v>
      </c>
      <c r="I1641" s="16">
        <v>0.03</v>
      </c>
      <c r="J1641" s="164">
        <v>7.6680000000000001</v>
      </c>
      <c r="K1641" s="162">
        <v>41.006999999999998</v>
      </c>
      <c r="L1641" s="163">
        <v>5.5289999999999999</v>
      </c>
      <c r="M1641" s="166">
        <v>1.0999999999999999E-2</v>
      </c>
      <c r="N1641" s="15">
        <v>58.957999999999998</v>
      </c>
      <c r="O1641" s="167">
        <v>6.9000000000000006E-2</v>
      </c>
      <c r="P1641" s="96"/>
      <c r="Q1641" s="93"/>
      <c r="R1641" s="93"/>
      <c r="S1641" s="93"/>
      <c r="T1641" s="93"/>
    </row>
    <row r="1642" spans="1:20" ht="14.25" customHeight="1" x14ac:dyDescent="0.35">
      <c r="A1642" s="1">
        <v>2020</v>
      </c>
      <c r="B1642" s="1" t="s">
        <v>28</v>
      </c>
      <c r="C1642" s="1">
        <v>27</v>
      </c>
      <c r="D1642" s="49">
        <v>106.73399999999999</v>
      </c>
      <c r="E1642" s="50">
        <v>90.656000000000006</v>
      </c>
      <c r="F1642" s="161">
        <v>82.054000000000002</v>
      </c>
      <c r="G1642" s="162">
        <v>1708.9570000000001</v>
      </c>
      <c r="H1642" s="163">
        <v>6.9</v>
      </c>
      <c r="I1642" s="16">
        <v>2.5999999999999999E-2</v>
      </c>
      <c r="J1642" s="164">
        <v>7.3769999999999998</v>
      </c>
      <c r="K1642" s="165">
        <v>39.133000000000003</v>
      </c>
      <c r="L1642" s="13">
        <v>5.56</v>
      </c>
      <c r="M1642" s="166">
        <v>1.0999999999999999E-2</v>
      </c>
      <c r="N1642" s="15">
        <v>54.353000000000002</v>
      </c>
      <c r="O1642" s="167">
        <v>6.6000000000000003E-2</v>
      </c>
      <c r="P1642" s="96"/>
      <c r="Q1642" s="93"/>
      <c r="R1642" s="93"/>
      <c r="S1642" s="93"/>
      <c r="T1642" s="93"/>
    </row>
    <row r="1643" spans="1:20" ht="14.25" customHeight="1" x14ac:dyDescent="0.35">
      <c r="A1643" s="1">
        <v>2020</v>
      </c>
      <c r="B1643" s="1" t="s">
        <v>28</v>
      </c>
      <c r="C1643" s="1">
        <v>28</v>
      </c>
      <c r="D1643" s="49">
        <v>107.10899999999999</v>
      </c>
      <c r="E1643" s="50">
        <v>91.093999999999994</v>
      </c>
      <c r="F1643" s="161">
        <v>81.954999999999998</v>
      </c>
      <c r="G1643" s="162">
        <v>1605.463</v>
      </c>
      <c r="H1643" s="163">
        <v>6.9</v>
      </c>
      <c r="I1643" s="16">
        <v>2.5000000000000001E-2</v>
      </c>
      <c r="J1643" s="164">
        <v>7.0960000000000001</v>
      </c>
      <c r="K1643" s="162">
        <v>36.277000000000001</v>
      </c>
      <c r="L1643" s="163">
        <v>5.556</v>
      </c>
      <c r="M1643" s="166">
        <v>1.0999999999999999E-2</v>
      </c>
      <c r="N1643" s="15">
        <v>55.072000000000003</v>
      </c>
      <c r="O1643" s="167">
        <v>6.2E-2</v>
      </c>
      <c r="P1643" s="96"/>
      <c r="Q1643" s="93"/>
      <c r="R1643" s="93"/>
      <c r="S1643" s="93"/>
      <c r="T1643" s="93"/>
    </row>
    <row r="1644" spans="1:20" ht="14.25" customHeight="1" x14ac:dyDescent="0.35">
      <c r="A1644" s="1">
        <v>2020</v>
      </c>
      <c r="B1644" s="1" t="s">
        <v>28</v>
      </c>
      <c r="C1644" s="1">
        <v>29</v>
      </c>
      <c r="D1644" s="49">
        <v>106.922</v>
      </c>
      <c r="E1644" s="50">
        <v>90.843999999999994</v>
      </c>
      <c r="F1644" s="187">
        <v>81.518000000000001</v>
      </c>
      <c r="G1644" s="22">
        <v>1613.6690000000001</v>
      </c>
      <c r="H1644" s="13">
        <v>6.9</v>
      </c>
      <c r="I1644" s="166">
        <v>2.5000000000000001E-2</v>
      </c>
      <c r="J1644" s="188">
        <v>7.3639999999999999</v>
      </c>
      <c r="K1644" s="162">
        <v>37.418999999999997</v>
      </c>
      <c r="L1644" s="163">
        <v>5.5620000000000003</v>
      </c>
      <c r="M1644" s="166">
        <v>1.0999999999999999E-2</v>
      </c>
      <c r="N1644" s="15">
        <v>55.953000000000003</v>
      </c>
      <c r="O1644" s="227">
        <v>6.7000000000000004E-2</v>
      </c>
      <c r="P1644" s="96"/>
      <c r="Q1644" s="93"/>
      <c r="R1644" s="93"/>
      <c r="S1644" s="93"/>
      <c r="T1644" s="93"/>
    </row>
    <row r="1645" spans="1:20" ht="14.25" customHeight="1" x14ac:dyDescent="0.35">
      <c r="A1645" s="1">
        <v>2020</v>
      </c>
      <c r="B1645" s="1" t="s">
        <v>28</v>
      </c>
      <c r="C1645" s="1">
        <v>30</v>
      </c>
      <c r="D1645" s="104">
        <v>108.203</v>
      </c>
      <c r="E1645" s="105">
        <v>92.188000000000002</v>
      </c>
      <c r="F1645" s="187">
        <v>81.736000000000004</v>
      </c>
      <c r="G1645" s="22">
        <v>1688.058</v>
      </c>
      <c r="H1645" s="13">
        <v>6.9</v>
      </c>
      <c r="I1645" s="166">
        <v>2.5000000000000001E-2</v>
      </c>
      <c r="J1645" s="188">
        <v>7.7050000000000001</v>
      </c>
      <c r="K1645" s="162">
        <v>37.372</v>
      </c>
      <c r="L1645" s="163">
        <v>5.5549999999999997</v>
      </c>
      <c r="M1645" s="166">
        <v>1.0999999999999999E-2</v>
      </c>
      <c r="N1645" s="15">
        <v>55.17</v>
      </c>
      <c r="O1645" s="227">
        <v>6.6000000000000003E-2</v>
      </c>
      <c r="P1645" s="96"/>
      <c r="Q1645" s="93"/>
      <c r="R1645" s="93"/>
      <c r="S1645" s="93"/>
      <c r="T1645" s="93"/>
    </row>
    <row r="1646" spans="1:20" ht="14.25" customHeight="1" x14ac:dyDescent="0.35">
      <c r="A1646" s="1">
        <v>2020</v>
      </c>
      <c r="B1646" s="1" t="s">
        <v>29</v>
      </c>
      <c r="C1646" s="1">
        <v>1</v>
      </c>
      <c r="D1646" s="12">
        <v>111.188</v>
      </c>
      <c r="E1646" s="13">
        <v>94.593999999999994</v>
      </c>
      <c r="F1646" s="156">
        <v>81.875</v>
      </c>
      <c r="G1646" s="157">
        <v>1776.5150000000001</v>
      </c>
      <c r="H1646" s="44">
        <v>6.9</v>
      </c>
      <c r="I1646" s="45">
        <v>2.5999999999999999E-2</v>
      </c>
      <c r="J1646" s="158">
        <v>7.6740000000000004</v>
      </c>
      <c r="K1646" s="157">
        <v>40.35</v>
      </c>
      <c r="L1646" s="45">
        <v>5.5519999999999996</v>
      </c>
      <c r="M1646" s="159">
        <v>1.0999999999999999E-2</v>
      </c>
      <c r="N1646" s="15">
        <v>55.433999999999997</v>
      </c>
      <c r="O1646" s="160">
        <v>7.0000000000000007E-2</v>
      </c>
      <c r="P1646" s="96"/>
      <c r="Q1646" s="93"/>
      <c r="R1646" s="93"/>
      <c r="S1646" s="93"/>
      <c r="T1646" s="93"/>
    </row>
    <row r="1647" spans="1:20" ht="14.25" customHeight="1" x14ac:dyDescent="0.35">
      <c r="A1647" s="1">
        <v>2020</v>
      </c>
      <c r="B1647" s="1" t="s">
        <v>29</v>
      </c>
      <c r="C1647" s="1">
        <v>2</v>
      </c>
      <c r="D1647" s="12">
        <v>111.25</v>
      </c>
      <c r="E1647" s="13">
        <v>94.531000000000006</v>
      </c>
      <c r="F1647" s="161">
        <v>82.081999999999994</v>
      </c>
      <c r="G1647" s="162">
        <v>1822.598</v>
      </c>
      <c r="H1647" s="163">
        <v>6.9</v>
      </c>
      <c r="I1647" s="16">
        <v>2.9000000000000001E-2</v>
      </c>
      <c r="J1647" s="164">
        <v>7.8150000000000004</v>
      </c>
      <c r="K1647" s="165">
        <v>41.445999999999998</v>
      </c>
      <c r="L1647" s="13">
        <v>5.5289999999999999</v>
      </c>
      <c r="M1647" s="166">
        <v>1.0999999999999999E-2</v>
      </c>
      <c r="N1647" s="15">
        <v>58.524000000000001</v>
      </c>
      <c r="O1647" s="167">
        <v>6.0999999999999999E-2</v>
      </c>
      <c r="P1647" s="96"/>
      <c r="Q1647" s="93"/>
      <c r="R1647" s="93"/>
      <c r="S1647" s="93"/>
      <c r="T1647" s="93"/>
    </row>
    <row r="1648" spans="1:20" ht="14.25" customHeight="1" x14ac:dyDescent="0.35">
      <c r="A1648" s="1">
        <v>2020</v>
      </c>
      <c r="B1648" s="1" t="s">
        <v>29</v>
      </c>
      <c r="C1648" s="1">
        <v>3</v>
      </c>
      <c r="D1648" s="12">
        <v>110.125</v>
      </c>
      <c r="E1648" s="13">
        <v>93.468999999999994</v>
      </c>
      <c r="F1648" s="161">
        <v>82.182000000000002</v>
      </c>
      <c r="G1648" s="162">
        <v>1756.3</v>
      </c>
      <c r="H1648" s="163">
        <v>6.9</v>
      </c>
      <c r="I1648" s="16">
        <v>2.4E-2</v>
      </c>
      <c r="J1648" s="164">
        <v>7.6760000000000002</v>
      </c>
      <c r="K1648" s="165">
        <v>39.655000000000001</v>
      </c>
      <c r="L1648" s="13">
        <v>5.5140000000000002</v>
      </c>
      <c r="M1648" s="166">
        <v>1.0999999999999999E-2</v>
      </c>
      <c r="N1648" s="15">
        <v>60.664999999999999</v>
      </c>
      <c r="O1648" s="167">
        <v>5.6000000000000001E-2</v>
      </c>
      <c r="P1648" s="96"/>
      <c r="Q1648" s="93"/>
      <c r="R1648" s="93"/>
      <c r="S1648" s="93"/>
      <c r="T1648" s="93"/>
    </row>
    <row r="1649" spans="1:20" ht="14.25" customHeight="1" x14ac:dyDescent="0.35">
      <c r="A1649" s="1">
        <v>2020</v>
      </c>
      <c r="B1649" s="1" t="s">
        <v>29</v>
      </c>
      <c r="C1649" s="1">
        <v>4</v>
      </c>
      <c r="D1649" s="12">
        <v>107.313</v>
      </c>
      <c r="E1649" s="13">
        <v>91.188000000000002</v>
      </c>
      <c r="F1649" s="161">
        <v>82.43</v>
      </c>
      <c r="G1649" s="162">
        <v>1664.9079999999999</v>
      </c>
      <c r="H1649" s="163">
        <v>6.9</v>
      </c>
      <c r="I1649" s="16">
        <v>2.3E-2</v>
      </c>
      <c r="J1649" s="164">
        <v>6.9379999999999997</v>
      </c>
      <c r="K1649" s="165">
        <v>37.639000000000003</v>
      </c>
      <c r="L1649" s="13">
        <v>5.5140000000000002</v>
      </c>
      <c r="M1649" s="166">
        <v>1.0999999999999999E-2</v>
      </c>
      <c r="N1649" s="15">
        <v>60.585000000000001</v>
      </c>
      <c r="O1649" s="167">
        <v>5.3999999999999999E-2</v>
      </c>
      <c r="P1649" s="96"/>
      <c r="Q1649" s="93"/>
      <c r="R1649" s="93"/>
      <c r="S1649" s="93"/>
      <c r="T1649" s="93"/>
    </row>
    <row r="1650" spans="1:20" ht="14.25" customHeight="1" x14ac:dyDescent="0.35">
      <c r="A1650" s="1">
        <v>2020</v>
      </c>
      <c r="B1650" s="1" t="s">
        <v>29</v>
      </c>
      <c r="C1650" s="1">
        <v>5</v>
      </c>
      <c r="D1650" s="12">
        <v>104.578</v>
      </c>
      <c r="E1650" s="13">
        <v>88.75</v>
      </c>
      <c r="F1650" s="161">
        <v>82.611000000000004</v>
      </c>
      <c r="G1650" s="162">
        <v>1608.999</v>
      </c>
      <c r="H1650" s="163">
        <v>6.9</v>
      </c>
      <c r="I1650" s="16">
        <v>2.1999999999999999E-2</v>
      </c>
      <c r="J1650" s="164">
        <v>6.6559999999999997</v>
      </c>
      <c r="K1650" s="165">
        <v>37.351999999999997</v>
      </c>
      <c r="L1650" s="13">
        <v>5.5250000000000004</v>
      </c>
      <c r="M1650" s="166">
        <v>1.0999999999999999E-2</v>
      </c>
      <c r="N1650" s="15">
        <v>59.008000000000003</v>
      </c>
      <c r="O1650" s="167">
        <v>5.6000000000000001E-2</v>
      </c>
      <c r="P1650" s="96"/>
      <c r="Q1650" s="93"/>
      <c r="R1650" s="93"/>
      <c r="S1650" s="93"/>
      <c r="T1650" s="93"/>
    </row>
    <row r="1651" spans="1:20" ht="14.25" customHeight="1" x14ac:dyDescent="0.35">
      <c r="A1651" s="1">
        <v>2020</v>
      </c>
      <c r="B1651" s="1" t="s">
        <v>29</v>
      </c>
      <c r="C1651" s="1">
        <v>6</v>
      </c>
      <c r="D1651" s="12">
        <v>109.35899999999999</v>
      </c>
      <c r="E1651" s="13">
        <v>92.906000000000006</v>
      </c>
      <c r="F1651" s="161">
        <v>82.507000000000005</v>
      </c>
      <c r="G1651" s="162">
        <v>1620.4870000000001</v>
      </c>
      <c r="H1651" s="163">
        <v>6.9</v>
      </c>
      <c r="I1651" s="16">
        <v>2.3E-2</v>
      </c>
      <c r="J1651" s="164">
        <v>7.2640000000000002</v>
      </c>
      <c r="K1651" s="165">
        <v>37.015000000000001</v>
      </c>
      <c r="L1651" s="13">
        <v>5.5309999999999997</v>
      </c>
      <c r="M1651" s="166">
        <v>1.0999999999999999E-2</v>
      </c>
      <c r="N1651" s="15">
        <v>58.335000000000001</v>
      </c>
      <c r="O1651" s="167">
        <v>6.0999999999999999E-2</v>
      </c>
      <c r="P1651" s="96"/>
      <c r="Q1651" s="93"/>
      <c r="R1651" s="93"/>
      <c r="S1651" s="93"/>
      <c r="T1651" s="93"/>
    </row>
    <row r="1652" spans="1:20" ht="14.25" customHeight="1" x14ac:dyDescent="0.35">
      <c r="A1652" s="1">
        <v>2020</v>
      </c>
      <c r="B1652" s="1" t="s">
        <v>29</v>
      </c>
      <c r="C1652" s="1">
        <v>7</v>
      </c>
      <c r="D1652" s="12">
        <v>112.672</v>
      </c>
      <c r="E1652" s="13">
        <v>95.813000000000002</v>
      </c>
      <c r="F1652" s="161">
        <v>82.724999999999994</v>
      </c>
      <c r="G1652" s="162">
        <v>1692.693</v>
      </c>
      <c r="H1652" s="163">
        <v>6.9</v>
      </c>
      <c r="I1652" s="16">
        <v>2.3E-2</v>
      </c>
      <c r="J1652" s="164">
        <v>7.7149999999999999</v>
      </c>
      <c r="K1652" s="165">
        <v>37.640999999999998</v>
      </c>
      <c r="L1652" s="13">
        <v>5.52</v>
      </c>
      <c r="M1652" s="166">
        <v>1.0999999999999999E-2</v>
      </c>
      <c r="N1652" s="15">
        <v>59.875</v>
      </c>
      <c r="O1652" s="167">
        <v>7.1999999999999995E-2</v>
      </c>
      <c r="P1652" s="96"/>
      <c r="Q1652" s="93"/>
      <c r="R1652" s="93"/>
      <c r="S1652" s="93"/>
      <c r="T1652" s="93"/>
    </row>
    <row r="1653" spans="1:20" ht="14.25" customHeight="1" x14ac:dyDescent="0.35">
      <c r="A1653" s="1">
        <v>2020</v>
      </c>
      <c r="B1653" s="1" t="s">
        <v>29</v>
      </c>
      <c r="C1653" s="1">
        <v>8</v>
      </c>
      <c r="D1653" s="12">
        <v>111.047</v>
      </c>
      <c r="E1653" s="13">
        <v>94.375</v>
      </c>
      <c r="F1653" s="161">
        <v>82.84</v>
      </c>
      <c r="G1653" s="22">
        <v>1795.097</v>
      </c>
      <c r="H1653" s="163">
        <v>6.9</v>
      </c>
      <c r="I1653" s="16">
        <v>2.3E-2</v>
      </c>
      <c r="J1653" s="168">
        <v>7.7889999999999997</v>
      </c>
      <c r="K1653" s="165">
        <v>41.030999999999999</v>
      </c>
      <c r="L1653" s="13">
        <v>5.5140000000000002</v>
      </c>
      <c r="M1653" s="166">
        <v>1.0999999999999999E-2</v>
      </c>
      <c r="N1653" s="15">
        <v>60.584000000000003</v>
      </c>
      <c r="O1653" s="192">
        <v>7.0999999999999994E-2</v>
      </c>
      <c r="P1653" s="96"/>
      <c r="Q1653" s="93"/>
      <c r="R1653" s="93"/>
      <c r="S1653" s="93"/>
      <c r="T1653" s="93"/>
    </row>
    <row r="1654" spans="1:20" ht="14.25" customHeight="1" x14ac:dyDescent="0.35">
      <c r="A1654" s="1">
        <v>2020</v>
      </c>
      <c r="B1654" s="1" t="s">
        <v>29</v>
      </c>
      <c r="C1654" s="1">
        <v>9</v>
      </c>
      <c r="D1654" s="12">
        <v>108.35899999999999</v>
      </c>
      <c r="E1654" s="13">
        <v>91.938000000000002</v>
      </c>
      <c r="F1654" s="161">
        <v>82.902000000000001</v>
      </c>
      <c r="G1654" s="162">
        <v>1816.0029999999999</v>
      </c>
      <c r="H1654" s="163">
        <v>6.9</v>
      </c>
      <c r="I1654" s="16">
        <v>2.5000000000000001E-2</v>
      </c>
      <c r="J1654" s="164">
        <v>7.8920000000000003</v>
      </c>
      <c r="K1654" s="165">
        <v>41.447000000000003</v>
      </c>
      <c r="L1654" s="13">
        <v>5.5049999999999999</v>
      </c>
      <c r="M1654" s="166">
        <v>1.0999999999999999E-2</v>
      </c>
      <c r="N1654" s="15">
        <v>61.683999999999997</v>
      </c>
      <c r="O1654" s="167">
        <v>6.4000000000000001E-2</v>
      </c>
      <c r="P1654" s="96"/>
      <c r="Q1654" s="93"/>
      <c r="R1654" s="93"/>
      <c r="S1654" s="93"/>
      <c r="T1654" s="93"/>
    </row>
    <row r="1655" spans="1:20" ht="14.25" customHeight="1" x14ac:dyDescent="0.35">
      <c r="A1655" s="1">
        <v>2020</v>
      </c>
      <c r="B1655" s="1" t="s">
        <v>29</v>
      </c>
      <c r="C1655" s="1">
        <v>10</v>
      </c>
      <c r="D1655" s="12">
        <v>112.03100000000001</v>
      </c>
      <c r="E1655" s="13">
        <v>95</v>
      </c>
      <c r="F1655" s="169">
        <v>83.031999999999996</v>
      </c>
      <c r="G1655" s="162">
        <v>1784.3430000000001</v>
      </c>
      <c r="H1655" s="163">
        <v>6.9</v>
      </c>
      <c r="I1655" s="16">
        <v>2.4E-2</v>
      </c>
      <c r="J1655" s="170">
        <v>7.6719999999999997</v>
      </c>
      <c r="K1655" s="165">
        <v>39.76</v>
      </c>
      <c r="L1655" s="13">
        <v>5.5110000000000001</v>
      </c>
      <c r="M1655" s="171">
        <v>1.0999999999999999E-2</v>
      </c>
      <c r="N1655" s="15">
        <v>61.024000000000001</v>
      </c>
      <c r="O1655" s="172">
        <v>6.6000000000000003E-2</v>
      </c>
      <c r="P1655" s="96"/>
      <c r="Q1655" s="93"/>
      <c r="R1655" s="93"/>
      <c r="S1655" s="93"/>
      <c r="T1655" s="93"/>
    </row>
    <row r="1656" spans="1:20" ht="14.25" customHeight="1" x14ac:dyDescent="0.35">
      <c r="A1656" s="1">
        <v>2020</v>
      </c>
      <c r="B1656" s="1" t="s">
        <v>29</v>
      </c>
      <c r="C1656" s="1">
        <v>11</v>
      </c>
      <c r="D1656" s="12">
        <v>111.90600000000001</v>
      </c>
      <c r="E1656" s="13">
        <v>95.031000000000006</v>
      </c>
      <c r="F1656" s="169">
        <v>83.38</v>
      </c>
      <c r="G1656" s="162">
        <v>1733.712</v>
      </c>
      <c r="H1656" s="163">
        <v>6.9</v>
      </c>
      <c r="I1656" s="16">
        <v>2.3E-2</v>
      </c>
      <c r="J1656" s="170">
        <v>7.5060000000000002</v>
      </c>
      <c r="K1656" s="165">
        <v>39.057000000000002</v>
      </c>
      <c r="L1656" s="13">
        <v>5.5220000000000002</v>
      </c>
      <c r="M1656" s="171">
        <v>1.0999999999999999E-2</v>
      </c>
      <c r="N1656" s="15">
        <v>59.686999999999998</v>
      </c>
      <c r="O1656" s="172">
        <v>7.0000000000000007E-2</v>
      </c>
      <c r="P1656" s="96"/>
      <c r="Q1656" s="93"/>
      <c r="R1656" s="93"/>
      <c r="S1656" s="93"/>
      <c r="T1656" s="93"/>
    </row>
    <row r="1657" spans="1:20" ht="14.25" customHeight="1" x14ac:dyDescent="0.35">
      <c r="A1657" s="1">
        <v>2020</v>
      </c>
      <c r="B1657" s="1" t="s">
        <v>29</v>
      </c>
      <c r="C1657" s="1">
        <v>12</v>
      </c>
      <c r="D1657" s="12">
        <v>107.828</v>
      </c>
      <c r="E1657" s="13">
        <v>91.375</v>
      </c>
      <c r="F1657" s="169">
        <v>83.494</v>
      </c>
      <c r="G1657" s="162">
        <v>1681.712</v>
      </c>
      <c r="H1657" s="163">
        <v>6.9</v>
      </c>
      <c r="I1657" s="16">
        <v>2.3E-2</v>
      </c>
      <c r="J1657" s="170">
        <v>7.3179999999999996</v>
      </c>
      <c r="K1657" s="165">
        <v>38.517000000000003</v>
      </c>
      <c r="L1657" s="13">
        <v>5.5279999999999996</v>
      </c>
      <c r="M1657" s="171">
        <v>1.0999999999999999E-2</v>
      </c>
      <c r="N1657" s="15">
        <v>58.829000000000001</v>
      </c>
      <c r="O1657" s="172">
        <v>6.7000000000000004E-2</v>
      </c>
      <c r="P1657" s="96"/>
      <c r="Q1657" s="93"/>
      <c r="R1657" s="93"/>
      <c r="S1657" s="93"/>
      <c r="T1657" s="93"/>
    </row>
    <row r="1658" spans="1:20" ht="14.25" customHeight="1" x14ac:dyDescent="0.35">
      <c r="A1658" s="1">
        <v>2020</v>
      </c>
      <c r="B1658" s="1" t="s">
        <v>29</v>
      </c>
      <c r="C1658" s="1">
        <v>13</v>
      </c>
      <c r="D1658" s="12">
        <v>107.39100000000001</v>
      </c>
      <c r="E1658" s="13">
        <v>91.093999999999994</v>
      </c>
      <c r="F1658" s="173">
        <v>83.299000000000007</v>
      </c>
      <c r="G1658" s="162">
        <v>1650.299</v>
      </c>
      <c r="H1658" s="163">
        <v>6.9</v>
      </c>
      <c r="I1658" s="16">
        <v>2.3E-2</v>
      </c>
      <c r="J1658" s="174">
        <v>7.6909999999999998</v>
      </c>
      <c r="K1658" s="165">
        <v>37.941000000000003</v>
      </c>
      <c r="L1658" s="13">
        <v>5.5359999999999996</v>
      </c>
      <c r="M1658" s="166">
        <v>1.0999999999999999E-2</v>
      </c>
      <c r="N1658" s="15">
        <v>57.71</v>
      </c>
      <c r="O1658" s="175">
        <v>6.8000000000000005E-2</v>
      </c>
      <c r="P1658" s="96"/>
      <c r="Q1658" s="93"/>
      <c r="R1658" s="93"/>
      <c r="S1658" s="93"/>
      <c r="T1658" s="93"/>
    </row>
    <row r="1659" spans="1:20" ht="14.25" customHeight="1" x14ac:dyDescent="0.35">
      <c r="A1659" s="1">
        <v>2020</v>
      </c>
      <c r="B1659" s="1" t="s">
        <v>29</v>
      </c>
      <c r="C1659" s="1">
        <v>14</v>
      </c>
      <c r="D1659" s="12">
        <v>111.625</v>
      </c>
      <c r="E1659" s="13">
        <v>94.718999999999994</v>
      </c>
      <c r="F1659" s="161">
        <v>83.457999999999998</v>
      </c>
      <c r="G1659" s="162">
        <v>1734.674</v>
      </c>
      <c r="H1659" s="163">
        <v>6.9</v>
      </c>
      <c r="I1659" s="16">
        <v>2.3E-2</v>
      </c>
      <c r="J1659" s="174">
        <v>7.9740000000000002</v>
      </c>
      <c r="K1659" s="176">
        <v>39.634999999999998</v>
      </c>
      <c r="L1659" s="13">
        <v>5.5270000000000001</v>
      </c>
      <c r="M1659" s="166">
        <v>1.0999999999999999E-2</v>
      </c>
      <c r="N1659" s="15">
        <v>58.850999999999999</v>
      </c>
      <c r="O1659" s="175">
        <v>7.2999999999999995E-2</v>
      </c>
      <c r="P1659" s="96"/>
      <c r="Q1659" s="93"/>
      <c r="R1659" s="93"/>
      <c r="S1659" s="93"/>
      <c r="T1659" s="93"/>
    </row>
    <row r="1660" spans="1:20" ht="14.25" customHeight="1" x14ac:dyDescent="0.35">
      <c r="A1660" s="1">
        <v>2020</v>
      </c>
      <c r="B1660" s="1" t="s">
        <v>29</v>
      </c>
      <c r="C1660" s="1">
        <v>15</v>
      </c>
      <c r="D1660" s="12">
        <v>110.5</v>
      </c>
      <c r="E1660" s="13">
        <v>93.75</v>
      </c>
      <c r="F1660" s="161">
        <v>83.278000000000006</v>
      </c>
      <c r="G1660" s="162">
        <v>1773.5239999999999</v>
      </c>
      <c r="H1660" s="163">
        <v>6.9</v>
      </c>
      <c r="I1660" s="16">
        <v>2.4E-2</v>
      </c>
      <c r="J1660" s="170">
        <v>8.1370000000000005</v>
      </c>
      <c r="K1660" s="165">
        <v>40.850999999999999</v>
      </c>
      <c r="L1660" s="13">
        <v>5.5330000000000004</v>
      </c>
      <c r="M1660" s="166">
        <v>1.0999999999999999E-2</v>
      </c>
      <c r="N1660" s="15">
        <v>58.148000000000003</v>
      </c>
      <c r="O1660" s="172">
        <v>7.3999999999999996E-2</v>
      </c>
      <c r="P1660" s="96"/>
      <c r="Q1660" s="93"/>
      <c r="R1660" s="93"/>
      <c r="S1660" s="93"/>
      <c r="T1660" s="93"/>
    </row>
    <row r="1661" spans="1:20" ht="14.25" customHeight="1" x14ac:dyDescent="0.35">
      <c r="A1661" s="1">
        <v>2020</v>
      </c>
      <c r="B1661" s="1" t="s">
        <v>29</v>
      </c>
      <c r="C1661" s="1">
        <v>16</v>
      </c>
      <c r="D1661" s="12">
        <v>113.15600000000001</v>
      </c>
      <c r="E1661" s="13">
        <v>96.125</v>
      </c>
      <c r="F1661" s="161">
        <v>83.266999999999996</v>
      </c>
      <c r="G1661" s="162">
        <v>1792.961</v>
      </c>
      <c r="H1661" s="163">
        <v>6.9</v>
      </c>
      <c r="I1661" s="16">
        <v>2.3E-2</v>
      </c>
      <c r="J1661" s="174">
        <v>7.9729999999999999</v>
      </c>
      <c r="K1661" s="162">
        <v>41.222999999999999</v>
      </c>
      <c r="L1661" s="163">
        <v>5.5190000000000001</v>
      </c>
      <c r="M1661" s="166">
        <v>1.0999999999999999E-2</v>
      </c>
      <c r="N1661" s="15">
        <v>59.78</v>
      </c>
      <c r="O1661" s="175">
        <v>6.4000000000000001E-2</v>
      </c>
      <c r="P1661" s="96"/>
      <c r="Q1661" s="93"/>
      <c r="R1661" s="93"/>
      <c r="S1661" s="93"/>
      <c r="T1661" s="93"/>
    </row>
    <row r="1662" spans="1:20" ht="14.25" customHeight="1" x14ac:dyDescent="0.35">
      <c r="A1662" s="1">
        <v>2020</v>
      </c>
      <c r="B1662" s="1" t="s">
        <v>29</v>
      </c>
      <c r="C1662" s="1">
        <v>17</v>
      </c>
      <c r="D1662" s="12">
        <v>109.203</v>
      </c>
      <c r="E1662" s="13">
        <v>92.781000000000006</v>
      </c>
      <c r="F1662" s="161">
        <v>83.221000000000004</v>
      </c>
      <c r="G1662" s="162">
        <v>1788.192</v>
      </c>
      <c r="H1662" s="163">
        <v>6.9</v>
      </c>
      <c r="I1662" s="16">
        <v>2.1999999999999999E-2</v>
      </c>
      <c r="J1662" s="164">
        <v>7.8949999999999996</v>
      </c>
      <c r="K1662" s="165">
        <v>41.421999999999997</v>
      </c>
      <c r="L1662" s="13">
        <v>5.5369999999999999</v>
      </c>
      <c r="M1662" s="166">
        <v>1.0999999999999999E-2</v>
      </c>
      <c r="N1662" s="15">
        <v>57.704999999999998</v>
      </c>
      <c r="O1662" s="167">
        <v>0.06</v>
      </c>
      <c r="P1662" s="96"/>
      <c r="Q1662" s="93"/>
      <c r="R1662" s="93"/>
      <c r="S1662" s="93"/>
      <c r="T1662" s="93"/>
    </row>
    <row r="1663" spans="1:20" ht="14.25" customHeight="1" x14ac:dyDescent="0.35">
      <c r="A1663" s="1">
        <v>2020</v>
      </c>
      <c r="B1663" s="1" t="s">
        <v>29</v>
      </c>
      <c r="C1663" s="1">
        <v>18</v>
      </c>
      <c r="D1663" s="12">
        <v>108.73399999999999</v>
      </c>
      <c r="E1663" s="13">
        <v>92.218999999999994</v>
      </c>
      <c r="F1663" s="161">
        <v>83.278999999999996</v>
      </c>
      <c r="G1663" s="162">
        <v>1734.943</v>
      </c>
      <c r="H1663" s="163">
        <v>6.9</v>
      </c>
      <c r="I1663" s="16">
        <v>2.1999999999999999E-2</v>
      </c>
      <c r="J1663" s="164">
        <v>7.7510000000000003</v>
      </c>
      <c r="K1663" s="162">
        <v>39.716999999999999</v>
      </c>
      <c r="L1663" s="163">
        <v>5.53</v>
      </c>
      <c r="M1663" s="166">
        <v>1.0999999999999999E-2</v>
      </c>
      <c r="N1663" s="15">
        <v>58.401000000000003</v>
      </c>
      <c r="O1663" s="167">
        <v>5.8000000000000003E-2</v>
      </c>
      <c r="P1663" s="96"/>
      <c r="Q1663" s="93"/>
      <c r="R1663" s="93"/>
      <c r="S1663" s="93"/>
      <c r="T1663" s="93"/>
    </row>
    <row r="1664" spans="1:20" ht="14.25" customHeight="1" x14ac:dyDescent="0.35">
      <c r="A1664" s="1">
        <v>2020</v>
      </c>
      <c r="B1664" s="1" t="s">
        <v>29</v>
      </c>
      <c r="C1664" s="1">
        <v>19</v>
      </c>
      <c r="D1664" s="12">
        <v>106.578</v>
      </c>
      <c r="E1664" s="13">
        <v>90.438000000000002</v>
      </c>
      <c r="F1664" s="161">
        <v>82.988</v>
      </c>
      <c r="G1664" s="162">
        <v>1645.0830000000001</v>
      </c>
      <c r="H1664" s="163">
        <v>6.9</v>
      </c>
      <c r="I1664" s="16">
        <v>2.1999999999999999E-2</v>
      </c>
      <c r="J1664" s="164">
        <v>7.6440000000000001</v>
      </c>
      <c r="K1664" s="165">
        <v>37.938000000000002</v>
      </c>
      <c r="L1664" s="13">
        <v>5.5250000000000004</v>
      </c>
      <c r="M1664" s="166">
        <v>1.0999999999999999E-2</v>
      </c>
      <c r="N1664" s="15">
        <v>59.283000000000001</v>
      </c>
      <c r="O1664" s="167">
        <v>5.5E-2</v>
      </c>
      <c r="P1664" s="96"/>
      <c r="Q1664" s="93"/>
      <c r="R1664" s="93"/>
      <c r="S1664" s="93"/>
      <c r="T1664" s="93"/>
    </row>
    <row r="1665" spans="1:20" ht="14.25" customHeight="1" x14ac:dyDescent="0.35">
      <c r="A1665" s="1">
        <v>2020</v>
      </c>
      <c r="B1665" s="1" t="s">
        <v>29</v>
      </c>
      <c r="C1665" s="1">
        <v>20</v>
      </c>
      <c r="D1665" s="12">
        <v>108.46899999999999</v>
      </c>
      <c r="E1665" s="13">
        <v>92.031000000000006</v>
      </c>
      <c r="F1665" s="161">
        <v>82.822999999999993</v>
      </c>
      <c r="G1665" s="162">
        <v>1600.25</v>
      </c>
      <c r="H1665" s="163">
        <v>6.9</v>
      </c>
      <c r="I1665" s="16">
        <v>2.1999999999999999E-2</v>
      </c>
      <c r="J1665" s="164">
        <v>8.5609999999999999</v>
      </c>
      <c r="K1665" s="162">
        <v>36.792999999999999</v>
      </c>
      <c r="L1665" s="163">
        <v>5.5359999999999996</v>
      </c>
      <c r="M1665" s="166">
        <v>1.0999999999999999E-2</v>
      </c>
      <c r="N1665" s="15">
        <v>57.895000000000003</v>
      </c>
      <c r="O1665" s="167">
        <v>5.5E-2</v>
      </c>
      <c r="P1665" s="96"/>
      <c r="Q1665" s="93"/>
      <c r="R1665" s="93"/>
      <c r="S1665" s="93"/>
      <c r="T1665" s="93"/>
    </row>
    <row r="1666" spans="1:20" ht="14.25" customHeight="1" x14ac:dyDescent="0.35">
      <c r="A1666" s="1">
        <v>2020</v>
      </c>
      <c r="B1666" s="1" t="s">
        <v>29</v>
      </c>
      <c r="C1666" s="1">
        <v>21</v>
      </c>
      <c r="D1666" s="12">
        <v>107.26600000000001</v>
      </c>
      <c r="E1666" s="13">
        <v>91.031000000000006</v>
      </c>
      <c r="F1666" s="161">
        <v>82.915999999999997</v>
      </c>
      <c r="G1666" s="162">
        <v>1717.9059999999999</v>
      </c>
      <c r="H1666" s="163">
        <v>6.9</v>
      </c>
      <c r="I1666" s="16">
        <v>2.3E-2</v>
      </c>
      <c r="J1666" s="164">
        <v>8.1460000000000008</v>
      </c>
      <c r="K1666" s="165">
        <v>39.628999999999998</v>
      </c>
      <c r="L1666" s="13">
        <v>5.5369999999999999</v>
      </c>
      <c r="M1666" s="166">
        <v>1.0999999999999999E-2</v>
      </c>
      <c r="N1666" s="15">
        <v>57.61</v>
      </c>
      <c r="O1666" s="167">
        <v>6.4000000000000001E-2</v>
      </c>
      <c r="P1666" s="96"/>
      <c r="Q1666" s="93"/>
      <c r="R1666" s="93"/>
      <c r="S1666" s="93"/>
      <c r="T1666" s="93"/>
    </row>
    <row r="1667" spans="1:20" ht="14.25" customHeight="1" x14ac:dyDescent="0.35">
      <c r="A1667" s="1">
        <v>2020</v>
      </c>
      <c r="B1667" s="1" t="s">
        <v>29</v>
      </c>
      <c r="C1667" s="1">
        <v>22</v>
      </c>
      <c r="D1667" s="12">
        <v>110.34399999999999</v>
      </c>
      <c r="E1667" s="13">
        <v>93.593999999999994</v>
      </c>
      <c r="F1667" s="161">
        <v>82.867999999999995</v>
      </c>
      <c r="G1667" s="162">
        <v>1777.9770000000001</v>
      </c>
      <c r="H1667" s="163">
        <v>6.9</v>
      </c>
      <c r="I1667" s="16">
        <v>2.1999999999999999E-2</v>
      </c>
      <c r="J1667" s="164">
        <v>8.1539999999999999</v>
      </c>
      <c r="K1667" s="162">
        <v>41.146999999999998</v>
      </c>
      <c r="L1667" s="163">
        <v>5.5229999999999997</v>
      </c>
      <c r="M1667" s="166">
        <v>1.0999999999999999E-2</v>
      </c>
      <c r="N1667" s="15">
        <v>59.46</v>
      </c>
      <c r="O1667" s="167">
        <v>6.2E-2</v>
      </c>
      <c r="P1667" s="96"/>
      <c r="Q1667" s="93"/>
      <c r="R1667" s="93"/>
      <c r="S1667" s="93"/>
      <c r="T1667" s="93"/>
    </row>
    <row r="1668" spans="1:20" ht="14.25" customHeight="1" x14ac:dyDescent="0.35">
      <c r="A1668" s="1">
        <v>2020</v>
      </c>
      <c r="B1668" s="1" t="s">
        <v>29</v>
      </c>
      <c r="C1668" s="1">
        <v>23</v>
      </c>
      <c r="D1668" s="12">
        <v>105.625</v>
      </c>
      <c r="E1668" s="13">
        <v>89.563000000000002</v>
      </c>
      <c r="F1668" s="161">
        <v>82.781000000000006</v>
      </c>
      <c r="G1668" s="162">
        <v>1797.4469999999999</v>
      </c>
      <c r="H1668" s="163">
        <v>6.9</v>
      </c>
      <c r="I1668" s="16">
        <v>2.3E-2</v>
      </c>
      <c r="J1668" s="164">
        <v>8.0429999999999993</v>
      </c>
      <c r="K1668" s="165">
        <v>42.048999999999999</v>
      </c>
      <c r="L1668" s="13">
        <v>5.5209999999999999</v>
      </c>
      <c r="M1668" s="166">
        <v>1.0999999999999999E-2</v>
      </c>
      <c r="N1668" s="15">
        <v>59.648000000000003</v>
      </c>
      <c r="O1668" s="167">
        <v>6.5000000000000002E-2</v>
      </c>
      <c r="P1668" s="96"/>
      <c r="Q1668" s="93"/>
      <c r="R1668" s="93"/>
      <c r="S1668" s="93"/>
      <c r="T1668" s="93"/>
    </row>
    <row r="1669" spans="1:20" ht="14.25" customHeight="1" x14ac:dyDescent="0.35">
      <c r="A1669" s="1">
        <v>2020</v>
      </c>
      <c r="B1669" s="1" t="s">
        <v>29</v>
      </c>
      <c r="C1669" s="1">
        <v>24</v>
      </c>
      <c r="D1669" s="12">
        <v>86.656000000000006</v>
      </c>
      <c r="E1669" s="13">
        <v>73.531000000000006</v>
      </c>
      <c r="F1669" s="161">
        <v>82.894000000000005</v>
      </c>
      <c r="G1669" s="162">
        <v>1781.2239999999999</v>
      </c>
      <c r="H1669" s="163">
        <v>6.8949999999999996</v>
      </c>
      <c r="I1669" s="16">
        <v>2.3E-2</v>
      </c>
      <c r="J1669" s="164">
        <v>7.7690000000000001</v>
      </c>
      <c r="K1669" s="162">
        <v>40.299999999999997</v>
      </c>
      <c r="L1669" s="163">
        <v>5.5970000000000004</v>
      </c>
      <c r="M1669" s="166">
        <v>6.8000000000000005E-2</v>
      </c>
      <c r="N1669" s="15">
        <v>52.631999999999998</v>
      </c>
      <c r="O1669" s="167">
        <v>7.2999999999999995E-2</v>
      </c>
      <c r="P1669" s="96"/>
      <c r="Q1669" s="93"/>
      <c r="R1669" s="93"/>
      <c r="S1669" s="93"/>
      <c r="T1669" s="93"/>
    </row>
    <row r="1670" spans="1:20" ht="14.25" customHeight="1" x14ac:dyDescent="0.35">
      <c r="A1670" s="1">
        <v>2020</v>
      </c>
      <c r="B1670" s="1" t="s">
        <v>29</v>
      </c>
      <c r="C1670" s="1">
        <v>25</v>
      </c>
      <c r="D1670" s="12">
        <v>108.78100000000001</v>
      </c>
      <c r="E1670" s="13">
        <v>92.313000000000002</v>
      </c>
      <c r="F1670" s="161">
        <v>82.962999999999994</v>
      </c>
      <c r="G1670" s="162">
        <v>1769.866</v>
      </c>
      <c r="H1670" s="163">
        <v>6.9</v>
      </c>
      <c r="I1670" s="16">
        <v>2.3E-2</v>
      </c>
      <c r="J1670" s="164">
        <v>7.92</v>
      </c>
      <c r="K1670" s="165">
        <v>35.472999999999999</v>
      </c>
      <c r="L1670" s="13">
        <v>5.5650000000000004</v>
      </c>
      <c r="M1670" s="166">
        <v>7.6999999999999999E-2</v>
      </c>
      <c r="N1670" s="15">
        <v>54.015000000000001</v>
      </c>
      <c r="O1670" s="167">
        <v>6.0999999999999999E-2</v>
      </c>
      <c r="P1670" s="96"/>
      <c r="Q1670" s="93"/>
      <c r="R1670" s="93"/>
      <c r="S1670" s="93"/>
      <c r="T1670" s="93"/>
    </row>
    <row r="1671" spans="1:20" ht="14.25" customHeight="1" x14ac:dyDescent="0.35">
      <c r="A1671" s="1">
        <v>2020</v>
      </c>
      <c r="B1671" s="1" t="s">
        <v>29</v>
      </c>
      <c r="C1671" s="1">
        <v>26</v>
      </c>
      <c r="D1671" s="12">
        <v>105.09399999999999</v>
      </c>
      <c r="E1671" s="13">
        <v>89.25</v>
      </c>
      <c r="F1671" s="161">
        <v>82.825999999999993</v>
      </c>
      <c r="G1671" s="162">
        <v>1674.251</v>
      </c>
      <c r="H1671" s="163">
        <v>6.9</v>
      </c>
      <c r="I1671" s="16">
        <v>2.1999999999999999E-2</v>
      </c>
      <c r="J1671" s="164">
        <v>7.7610000000000001</v>
      </c>
      <c r="K1671" s="162">
        <v>33.676000000000002</v>
      </c>
      <c r="L1671" s="163">
        <v>5.5739999999999998</v>
      </c>
      <c r="M1671" s="166">
        <v>2.7E-2</v>
      </c>
      <c r="N1671" s="15">
        <v>52.759</v>
      </c>
      <c r="O1671" s="167">
        <v>5.5E-2</v>
      </c>
      <c r="P1671" s="96"/>
      <c r="Q1671" s="93"/>
      <c r="R1671" s="93"/>
      <c r="S1671" s="93"/>
      <c r="T1671" s="93"/>
    </row>
    <row r="1672" spans="1:20" ht="14.25" customHeight="1" x14ac:dyDescent="0.35">
      <c r="A1672" s="1">
        <v>2020</v>
      </c>
      <c r="B1672" s="1" t="s">
        <v>29</v>
      </c>
      <c r="C1672" s="1">
        <v>27</v>
      </c>
      <c r="D1672" s="12">
        <v>105.10899999999999</v>
      </c>
      <c r="E1672" s="13">
        <v>89.25</v>
      </c>
      <c r="F1672" s="161">
        <v>82.656000000000006</v>
      </c>
      <c r="G1672" s="162">
        <v>1658.0360000000001</v>
      </c>
      <c r="H1672" s="163">
        <v>6.9</v>
      </c>
      <c r="I1672" s="16">
        <v>2.3E-2</v>
      </c>
      <c r="J1672" s="164">
        <v>7.9279999999999999</v>
      </c>
      <c r="K1672" s="165">
        <v>33.313000000000002</v>
      </c>
      <c r="L1672" s="13">
        <v>5.5860000000000003</v>
      </c>
      <c r="M1672" s="166">
        <v>0.04</v>
      </c>
      <c r="N1672" s="15">
        <v>51.588999999999999</v>
      </c>
      <c r="O1672" s="167">
        <v>5.5E-2</v>
      </c>
      <c r="P1672" s="96"/>
      <c r="Q1672" s="93"/>
      <c r="R1672" s="93"/>
      <c r="S1672" s="93"/>
      <c r="T1672" s="93"/>
    </row>
    <row r="1673" spans="1:20" ht="14.25" customHeight="1" x14ac:dyDescent="0.35">
      <c r="A1673" s="1">
        <v>2020</v>
      </c>
      <c r="B1673" s="1" t="s">
        <v>29</v>
      </c>
      <c r="C1673" s="1">
        <v>28</v>
      </c>
      <c r="D1673" s="12">
        <v>109.46899999999999</v>
      </c>
      <c r="E1673" s="13">
        <v>92.968999999999994</v>
      </c>
      <c r="F1673" s="161">
        <v>82.721000000000004</v>
      </c>
      <c r="G1673" s="162">
        <v>1733.106</v>
      </c>
      <c r="H1673" s="163">
        <v>6.9</v>
      </c>
      <c r="I1673" s="16">
        <v>2.3E-2</v>
      </c>
      <c r="J1673" s="164">
        <v>8.1430000000000007</v>
      </c>
      <c r="K1673" s="162">
        <v>33.89</v>
      </c>
      <c r="L1673" s="163">
        <v>5.5670000000000002</v>
      </c>
      <c r="M1673" s="166">
        <v>4.2999999999999997E-2</v>
      </c>
      <c r="N1673" s="15">
        <v>53.652000000000001</v>
      </c>
      <c r="O1673" s="167">
        <v>6.0999999999999999E-2</v>
      </c>
      <c r="P1673" s="96"/>
      <c r="Q1673" s="93"/>
      <c r="R1673" s="93"/>
      <c r="S1673" s="93"/>
      <c r="T1673" s="93"/>
    </row>
    <row r="1674" spans="1:20" ht="14.25" customHeight="1" x14ac:dyDescent="0.35">
      <c r="A1674" s="1">
        <v>2020</v>
      </c>
      <c r="B1674" s="1" t="s">
        <v>29</v>
      </c>
      <c r="C1674" s="1">
        <v>29</v>
      </c>
      <c r="D1674" s="12">
        <v>109.078</v>
      </c>
      <c r="E1674" s="13">
        <v>92.593999999999994</v>
      </c>
      <c r="F1674" s="187">
        <v>82.988</v>
      </c>
      <c r="G1674" s="22">
        <v>1780.3789999999999</v>
      </c>
      <c r="H1674" s="13">
        <v>6.9</v>
      </c>
      <c r="I1674" s="166">
        <v>2.3E-2</v>
      </c>
      <c r="J1674" s="188">
        <v>8.0489999999999995</v>
      </c>
      <c r="K1674" s="162">
        <v>34.783000000000001</v>
      </c>
      <c r="L1674" s="163">
        <v>5.5620000000000003</v>
      </c>
      <c r="M1674" s="166">
        <v>4.1000000000000002E-2</v>
      </c>
      <c r="N1674" s="15">
        <v>54.345999999999997</v>
      </c>
      <c r="O1674" s="227">
        <v>6.2E-2</v>
      </c>
      <c r="P1674" s="96"/>
      <c r="Q1674" s="93"/>
      <c r="R1674" s="93"/>
      <c r="S1674" s="93"/>
      <c r="T1674" s="93"/>
    </row>
    <row r="1675" spans="1:20" ht="14.25" customHeight="1" x14ac:dyDescent="0.35">
      <c r="A1675" s="1">
        <v>2020</v>
      </c>
      <c r="B1675" s="1" t="s">
        <v>29</v>
      </c>
      <c r="C1675" s="1">
        <v>30</v>
      </c>
      <c r="D1675" s="12">
        <v>106.922</v>
      </c>
      <c r="E1675" s="13">
        <v>90.688000000000002</v>
      </c>
      <c r="F1675" s="187">
        <v>83.009</v>
      </c>
      <c r="G1675" s="22">
        <v>1766.646</v>
      </c>
      <c r="H1675" s="13">
        <v>6.9</v>
      </c>
      <c r="I1675" s="166">
        <v>2.3300000000000001E-2</v>
      </c>
      <c r="J1675" s="188">
        <v>8.0129999999999999</v>
      </c>
      <c r="K1675" s="162">
        <v>35.048999999999999</v>
      </c>
      <c r="L1675" s="163">
        <v>5.5739999999999998</v>
      </c>
      <c r="M1675" s="166">
        <v>1.9E-2</v>
      </c>
      <c r="N1675" s="15">
        <v>52.854999999999997</v>
      </c>
      <c r="O1675" s="227">
        <v>6.0999999999999999E-2</v>
      </c>
      <c r="P1675" s="96"/>
      <c r="Q1675" s="93"/>
      <c r="R1675" s="93"/>
      <c r="S1675" s="93"/>
      <c r="T1675" s="93"/>
    </row>
    <row r="1676" spans="1:20" ht="14.25" customHeight="1" x14ac:dyDescent="0.35">
      <c r="A1676" s="1">
        <v>2020</v>
      </c>
      <c r="B1676" s="1" t="s">
        <v>29</v>
      </c>
      <c r="C1676" s="1">
        <v>31</v>
      </c>
      <c r="D1676" s="85">
        <v>108.53100000000001</v>
      </c>
      <c r="E1676" s="86">
        <v>92.093999999999994</v>
      </c>
      <c r="F1676" s="228">
        <v>83.212999999999994</v>
      </c>
      <c r="G1676" s="229">
        <v>1755.5820000000001</v>
      </c>
      <c r="H1676" s="230">
        <v>6.9</v>
      </c>
      <c r="I1676" s="231">
        <v>2.1000000000000001E-2</v>
      </c>
      <c r="J1676" s="232">
        <v>7.6029999999999998</v>
      </c>
      <c r="K1676" s="162">
        <v>37.344000000000001</v>
      </c>
      <c r="L1676" s="16">
        <v>5.4480000000000004</v>
      </c>
      <c r="M1676" s="166">
        <v>1.0999999999999999E-2</v>
      </c>
      <c r="N1676" s="15">
        <v>71.111999999999995</v>
      </c>
      <c r="O1676" s="233">
        <v>5.8999999999999997E-2</v>
      </c>
      <c r="P1676" s="96"/>
      <c r="Q1676" s="93"/>
      <c r="R1676" s="93"/>
      <c r="S1676" s="93"/>
      <c r="T1676" s="93"/>
    </row>
    <row r="1677" spans="1:20" ht="14.25" customHeight="1" x14ac:dyDescent="0.35">
      <c r="A1677" s="1">
        <v>2020</v>
      </c>
      <c r="B1677" s="1" t="s">
        <v>30</v>
      </c>
      <c r="C1677" s="1">
        <v>1</v>
      </c>
      <c r="D1677" s="12">
        <v>108.14100000000001</v>
      </c>
      <c r="E1677" s="13">
        <v>91.813000000000002</v>
      </c>
      <c r="F1677" s="156">
        <v>83.283000000000001</v>
      </c>
      <c r="G1677" s="157">
        <v>1741.4839999999999</v>
      </c>
      <c r="H1677" s="44">
        <v>6.9</v>
      </c>
      <c r="I1677" s="45">
        <v>0.02</v>
      </c>
      <c r="J1677" s="158">
        <v>7.6689999999999996</v>
      </c>
      <c r="K1677" s="157">
        <v>38.99</v>
      </c>
      <c r="L1677" s="45">
        <v>5.3570000000000002</v>
      </c>
      <c r="M1677" s="159">
        <v>1.0999999999999999E-2</v>
      </c>
      <c r="N1677" s="15">
        <v>87.24</v>
      </c>
      <c r="O1677" s="160">
        <v>5.8999999999999997E-2</v>
      </c>
      <c r="P1677" s="96"/>
      <c r="Q1677" s="93"/>
      <c r="R1677" s="93"/>
      <c r="S1677" s="93"/>
      <c r="T1677" s="93"/>
    </row>
    <row r="1678" spans="1:20" ht="14.25" customHeight="1" x14ac:dyDescent="0.35">
      <c r="A1678" s="1">
        <v>2020</v>
      </c>
      <c r="B1678" s="1" t="s">
        <v>30</v>
      </c>
      <c r="C1678" s="1">
        <v>2</v>
      </c>
      <c r="D1678" s="12">
        <v>105.875</v>
      </c>
      <c r="E1678" s="13">
        <v>89.813000000000002</v>
      </c>
      <c r="F1678" s="60">
        <v>83.358000000000004</v>
      </c>
      <c r="G1678" s="61">
        <v>1660.3989999999999</v>
      </c>
      <c r="H1678" s="62">
        <v>6.9</v>
      </c>
      <c r="I1678" s="64">
        <v>0.02</v>
      </c>
      <c r="J1678" s="164">
        <v>7.52</v>
      </c>
      <c r="K1678" s="165">
        <v>37.911999999999999</v>
      </c>
      <c r="L1678" s="13">
        <v>5.3490000000000002</v>
      </c>
      <c r="M1678" s="166">
        <v>1.0999999999999999E-2</v>
      </c>
      <c r="N1678" s="15">
        <v>88.918000000000006</v>
      </c>
      <c r="O1678" s="167">
        <v>5.3999999999999999E-2</v>
      </c>
      <c r="P1678" s="96"/>
      <c r="Q1678" s="93"/>
      <c r="R1678" s="93"/>
      <c r="S1678" s="93"/>
      <c r="T1678" s="93"/>
    </row>
    <row r="1679" spans="1:20" ht="14.25" customHeight="1" x14ac:dyDescent="0.35">
      <c r="A1679" s="1">
        <v>2020</v>
      </c>
      <c r="B1679" s="1" t="s">
        <v>30</v>
      </c>
      <c r="C1679" s="1">
        <v>3</v>
      </c>
      <c r="D1679" s="12">
        <v>106</v>
      </c>
      <c r="E1679" s="13">
        <v>89.906000000000006</v>
      </c>
      <c r="F1679" s="60">
        <v>83.16</v>
      </c>
      <c r="G1679" s="61">
        <v>1632.75</v>
      </c>
      <c r="H1679" s="62">
        <v>6.9</v>
      </c>
      <c r="I1679" s="64">
        <v>0.02</v>
      </c>
      <c r="J1679" s="164">
        <v>7.6760000000000002</v>
      </c>
      <c r="K1679" s="165">
        <v>37.218000000000004</v>
      </c>
      <c r="L1679" s="13">
        <v>5.3650000000000002</v>
      </c>
      <c r="M1679" s="166">
        <v>1.0999999999999999E-2</v>
      </c>
      <c r="N1679" s="15">
        <v>85.879000000000005</v>
      </c>
      <c r="O1679" s="167">
        <v>5.6000000000000001E-2</v>
      </c>
      <c r="P1679" s="96"/>
      <c r="Q1679" s="93"/>
      <c r="R1679" s="93"/>
      <c r="S1679" s="93"/>
      <c r="T1679" s="93"/>
    </row>
    <row r="1680" spans="1:20" ht="14.25" customHeight="1" x14ac:dyDescent="0.35">
      <c r="A1680" s="1">
        <v>2020</v>
      </c>
      <c r="B1680" s="1" t="s">
        <v>30</v>
      </c>
      <c r="C1680" s="1">
        <v>4</v>
      </c>
      <c r="D1680" s="12">
        <v>108.125</v>
      </c>
      <c r="E1680" s="13">
        <v>91.938000000000002</v>
      </c>
      <c r="F1680" s="60">
        <v>83.278000000000006</v>
      </c>
      <c r="G1680" s="61">
        <v>1721.5719999999999</v>
      </c>
      <c r="H1680" s="62">
        <v>6.9</v>
      </c>
      <c r="I1680" s="64">
        <v>0.02</v>
      </c>
      <c r="J1680" s="164">
        <v>8.42</v>
      </c>
      <c r="K1680" s="165">
        <v>39.000999999999998</v>
      </c>
      <c r="L1680" s="13">
        <v>5.3879999999999999</v>
      </c>
      <c r="M1680" s="166">
        <v>1.0999999999999999E-2</v>
      </c>
      <c r="N1680" s="15">
        <v>81.918999999999997</v>
      </c>
      <c r="O1680" s="167">
        <v>6.2E-2</v>
      </c>
      <c r="P1680" s="96"/>
      <c r="Q1680" s="93"/>
      <c r="R1680" s="93"/>
      <c r="S1680" s="93"/>
      <c r="T1680" s="93"/>
    </row>
    <row r="1681" spans="1:20" ht="14.25" customHeight="1" x14ac:dyDescent="0.35">
      <c r="A1681" s="1">
        <v>2020</v>
      </c>
      <c r="B1681" s="1" t="s">
        <v>30</v>
      </c>
      <c r="C1681" s="1">
        <v>5</v>
      </c>
      <c r="D1681" s="12">
        <v>110.09399999999999</v>
      </c>
      <c r="E1681" s="13">
        <v>93.563000000000002</v>
      </c>
      <c r="F1681" s="60">
        <v>83.528000000000006</v>
      </c>
      <c r="G1681" s="61">
        <v>1761.107</v>
      </c>
      <c r="H1681" s="62">
        <v>6.9</v>
      </c>
      <c r="I1681" s="64">
        <v>0.02</v>
      </c>
      <c r="J1681" s="164">
        <v>8.8119999999999994</v>
      </c>
      <c r="K1681" s="165">
        <v>39.262</v>
      </c>
      <c r="L1681" s="13">
        <v>5.4009999999999998</v>
      </c>
      <c r="M1681" s="166">
        <v>1.0999999999999999E-2</v>
      </c>
      <c r="N1681" s="15">
        <v>78.625</v>
      </c>
      <c r="O1681" s="167">
        <v>6.2E-2</v>
      </c>
      <c r="P1681" s="96"/>
      <c r="Q1681" s="93"/>
      <c r="R1681" s="93"/>
      <c r="S1681" s="93"/>
      <c r="T1681" s="93"/>
    </row>
    <row r="1682" spans="1:20" ht="14.25" customHeight="1" x14ac:dyDescent="0.35">
      <c r="A1682" s="1">
        <v>2020</v>
      </c>
      <c r="B1682" s="1" t="s">
        <v>30</v>
      </c>
      <c r="C1682" s="1">
        <v>6</v>
      </c>
      <c r="D1682" s="12">
        <v>104.453</v>
      </c>
      <c r="E1682" s="13">
        <v>88.718999999999994</v>
      </c>
      <c r="F1682" s="60">
        <v>83.179000000000002</v>
      </c>
      <c r="G1682" s="61">
        <v>1813.432</v>
      </c>
      <c r="H1682" s="50">
        <v>6.9</v>
      </c>
      <c r="I1682" s="62">
        <v>2.1000000000000001E-2</v>
      </c>
      <c r="J1682" s="164">
        <v>8.3550000000000004</v>
      </c>
      <c r="K1682" s="165">
        <v>42.973999999999997</v>
      </c>
      <c r="L1682" s="13">
        <v>5.3959999999999999</v>
      </c>
      <c r="M1682" s="166">
        <v>1.0999999999999999E-2</v>
      </c>
      <c r="N1682" s="15">
        <v>79.433000000000007</v>
      </c>
      <c r="O1682" s="167">
        <v>6.4000000000000001E-2</v>
      </c>
      <c r="P1682" s="96"/>
      <c r="Q1682" s="93"/>
      <c r="R1682" s="93"/>
      <c r="S1682" s="93"/>
      <c r="T1682" s="93"/>
    </row>
    <row r="1683" spans="1:20" ht="14.25" customHeight="1" x14ac:dyDescent="0.35">
      <c r="A1683" s="1">
        <v>2020</v>
      </c>
      <c r="B1683" s="1" t="s">
        <v>30</v>
      </c>
      <c r="C1683" s="1">
        <v>7</v>
      </c>
      <c r="D1683" s="12">
        <v>110.438</v>
      </c>
      <c r="E1683" s="13">
        <v>93.813000000000002</v>
      </c>
      <c r="F1683" s="60">
        <v>83.338999999999999</v>
      </c>
      <c r="G1683" s="61">
        <v>1774.07</v>
      </c>
      <c r="H1683" s="64">
        <v>6.9</v>
      </c>
      <c r="I1683" s="62">
        <v>0.02</v>
      </c>
      <c r="J1683" s="164">
        <v>8.282</v>
      </c>
      <c r="K1683" s="165">
        <v>40.49</v>
      </c>
      <c r="L1683" s="13">
        <v>5.53</v>
      </c>
      <c r="M1683" s="166">
        <v>1.0999999999999999E-2</v>
      </c>
      <c r="N1683" s="15">
        <v>61.012999999999998</v>
      </c>
      <c r="O1683" s="167">
        <v>6.4000000000000001E-2</v>
      </c>
      <c r="P1683" s="96"/>
      <c r="Q1683" s="93"/>
      <c r="R1683" s="93"/>
      <c r="S1683" s="93"/>
      <c r="T1683" s="93"/>
    </row>
    <row r="1684" spans="1:20" ht="14.25" customHeight="1" x14ac:dyDescent="0.35">
      <c r="A1684" s="1">
        <v>2020</v>
      </c>
      <c r="B1684" s="1" t="s">
        <v>30</v>
      </c>
      <c r="C1684" s="1">
        <v>8</v>
      </c>
      <c r="D1684" s="12">
        <v>105.46899999999999</v>
      </c>
      <c r="E1684" s="13">
        <v>89.781000000000006</v>
      </c>
      <c r="F1684" s="60">
        <v>83.331999999999994</v>
      </c>
      <c r="G1684" s="69">
        <v>1723.9649999999999</v>
      </c>
      <c r="H1684" s="64">
        <v>6.9</v>
      </c>
      <c r="I1684" s="62">
        <v>1.9E-2</v>
      </c>
      <c r="J1684" s="168">
        <v>8.32</v>
      </c>
      <c r="K1684" s="165">
        <v>41.746000000000002</v>
      </c>
      <c r="L1684" s="13">
        <v>5.6130000000000004</v>
      </c>
      <c r="M1684" s="166">
        <v>1.0999999999999999E-2</v>
      </c>
      <c r="N1684" s="15">
        <v>48.149000000000001</v>
      </c>
      <c r="O1684" s="192">
        <v>6.2E-2</v>
      </c>
      <c r="P1684" s="96"/>
      <c r="Q1684" s="93"/>
      <c r="R1684" s="93"/>
      <c r="S1684" s="93"/>
      <c r="T1684" s="93"/>
    </row>
    <row r="1685" spans="1:20" ht="14.25" customHeight="1" x14ac:dyDescent="0.35">
      <c r="A1685" s="1">
        <v>2020</v>
      </c>
      <c r="B1685" s="1" t="s">
        <v>30</v>
      </c>
      <c r="C1685" s="1">
        <v>9</v>
      </c>
      <c r="D1685" s="12">
        <v>103.438</v>
      </c>
      <c r="E1685" s="13">
        <v>87.938000000000002</v>
      </c>
      <c r="F1685" s="60">
        <v>83.349000000000004</v>
      </c>
      <c r="G1685" s="61">
        <v>1662.3720000000001</v>
      </c>
      <c r="H1685" s="64">
        <v>6.9</v>
      </c>
      <c r="I1685" s="62">
        <v>1.9E-2</v>
      </c>
      <c r="J1685" s="164">
        <v>8.6140000000000008</v>
      </c>
      <c r="K1685" s="165">
        <v>40.244999999999997</v>
      </c>
      <c r="L1685" s="13">
        <v>5.61</v>
      </c>
      <c r="M1685" s="166">
        <v>1.0999999999999999E-2</v>
      </c>
      <c r="N1685" s="15">
        <v>48.664000000000001</v>
      </c>
      <c r="O1685" s="167">
        <v>5.7000000000000002E-2</v>
      </c>
      <c r="P1685" s="96"/>
      <c r="Q1685" s="93"/>
      <c r="R1685" s="93"/>
      <c r="S1685" s="93"/>
      <c r="T1685" s="93"/>
    </row>
    <row r="1686" spans="1:20" ht="14.25" customHeight="1" x14ac:dyDescent="0.35">
      <c r="A1686" s="1">
        <v>2020</v>
      </c>
      <c r="B1686" s="1" t="s">
        <v>30</v>
      </c>
      <c r="C1686" s="1">
        <v>10</v>
      </c>
      <c r="D1686" s="12">
        <v>105.422</v>
      </c>
      <c r="E1686" s="13">
        <v>89.625</v>
      </c>
      <c r="F1686" s="72">
        <v>83.15</v>
      </c>
      <c r="G1686" s="61">
        <v>1629.492</v>
      </c>
      <c r="H1686" s="64">
        <v>6.9</v>
      </c>
      <c r="I1686" s="62">
        <v>1.9E-2</v>
      </c>
      <c r="J1686" s="170">
        <v>8.7100000000000009</v>
      </c>
      <c r="K1686" s="165">
        <v>39.75</v>
      </c>
      <c r="L1686" s="13">
        <v>5.617</v>
      </c>
      <c r="M1686" s="171">
        <v>1.0999999999999999E-2</v>
      </c>
      <c r="N1686" s="15">
        <v>47.911000000000001</v>
      </c>
      <c r="O1686" s="172">
        <v>5.7000000000000002E-2</v>
      </c>
      <c r="P1686" s="96"/>
      <c r="Q1686" s="93"/>
      <c r="R1686" s="93"/>
      <c r="S1686" s="93"/>
      <c r="T1686" s="93"/>
    </row>
    <row r="1687" spans="1:20" ht="14.25" customHeight="1" x14ac:dyDescent="0.35">
      <c r="A1687" s="1">
        <v>2020</v>
      </c>
      <c r="B1687" s="1" t="s">
        <v>30</v>
      </c>
      <c r="C1687" s="1">
        <v>11</v>
      </c>
      <c r="D1687" s="12">
        <v>106.85899999999999</v>
      </c>
      <c r="E1687" s="13">
        <v>90.875</v>
      </c>
      <c r="F1687" s="72">
        <v>83.281999999999996</v>
      </c>
      <c r="G1687" s="61">
        <v>1741.8230000000001</v>
      </c>
      <c r="H1687" s="62">
        <v>6.9</v>
      </c>
      <c r="I1687" s="64">
        <v>0.02</v>
      </c>
      <c r="J1687" s="170">
        <v>8.7829999999999995</v>
      </c>
      <c r="K1687" s="165">
        <v>42.009</v>
      </c>
      <c r="L1687" s="13">
        <v>5.6120000000000001</v>
      </c>
      <c r="M1687" s="171">
        <v>1.0999999999999999E-2</v>
      </c>
      <c r="N1687" s="15">
        <v>48.308999999999997</v>
      </c>
      <c r="O1687" s="172">
        <v>6.3E-2</v>
      </c>
      <c r="P1687" s="96"/>
      <c r="Q1687" s="93"/>
      <c r="R1687" s="93"/>
      <c r="S1687" s="93"/>
      <c r="T1687" s="93"/>
    </row>
    <row r="1688" spans="1:20" ht="14.25" customHeight="1" x14ac:dyDescent="0.35">
      <c r="A1688" s="1">
        <v>2020</v>
      </c>
      <c r="B1688" s="1" t="s">
        <v>30</v>
      </c>
      <c r="C1688" s="1">
        <v>12</v>
      </c>
      <c r="D1688" s="12">
        <v>107.313</v>
      </c>
      <c r="E1688" s="13">
        <v>91.188000000000002</v>
      </c>
      <c r="F1688" s="72">
        <v>83.412999999999997</v>
      </c>
      <c r="G1688" s="61">
        <v>1779.6210000000001</v>
      </c>
      <c r="H1688" s="62">
        <v>6.9</v>
      </c>
      <c r="I1688" s="64">
        <v>0.02</v>
      </c>
      <c r="J1688" s="170">
        <v>9.7140000000000004</v>
      </c>
      <c r="K1688" s="165">
        <v>42.601999999999997</v>
      </c>
      <c r="L1688" s="13">
        <v>5.6280000000000001</v>
      </c>
      <c r="M1688" s="171">
        <v>1.0999999999999999E-2</v>
      </c>
      <c r="N1688" s="15">
        <v>46.529000000000003</v>
      </c>
      <c r="O1688" s="172">
        <v>0.127</v>
      </c>
      <c r="P1688" s="96"/>
      <c r="Q1688" s="93"/>
      <c r="R1688" s="93"/>
      <c r="S1688" s="93"/>
      <c r="T1688" s="93"/>
    </row>
    <row r="1689" spans="1:20" ht="14.25" customHeight="1" x14ac:dyDescent="0.35">
      <c r="A1689" s="1">
        <v>2020</v>
      </c>
      <c r="B1689" s="1" t="s">
        <v>30</v>
      </c>
      <c r="C1689" s="1">
        <v>13</v>
      </c>
      <c r="D1689" s="12">
        <v>107.578</v>
      </c>
      <c r="E1689" s="13">
        <v>91.468999999999994</v>
      </c>
      <c r="F1689" s="78">
        <v>83.849000000000004</v>
      </c>
      <c r="G1689" s="61">
        <v>1789.126</v>
      </c>
      <c r="H1689" s="62">
        <v>6.9</v>
      </c>
      <c r="I1689" s="64">
        <v>0.02</v>
      </c>
      <c r="J1689" s="174">
        <v>8.9589999999999996</v>
      </c>
      <c r="K1689" s="165">
        <v>43.351999999999997</v>
      </c>
      <c r="L1689" s="13">
        <v>5.64</v>
      </c>
      <c r="M1689" s="166">
        <v>1.0999999999999999E-2</v>
      </c>
      <c r="N1689" s="15">
        <v>45.447000000000003</v>
      </c>
      <c r="O1689" s="175">
        <v>8.3000000000000004E-2</v>
      </c>
      <c r="P1689" s="96"/>
      <c r="Q1689" s="93"/>
      <c r="R1689" s="93"/>
      <c r="S1689" s="93"/>
      <c r="T1689" s="93"/>
    </row>
    <row r="1690" spans="1:20" ht="14.25" customHeight="1" x14ac:dyDescent="0.35">
      <c r="A1690" s="1">
        <v>2020</v>
      </c>
      <c r="B1690" s="1" t="s">
        <v>30</v>
      </c>
      <c r="C1690" s="1">
        <v>14</v>
      </c>
      <c r="D1690" s="12">
        <v>90.046999999999997</v>
      </c>
      <c r="E1690" s="13">
        <v>76.406000000000006</v>
      </c>
      <c r="F1690" s="161">
        <v>84.055000000000007</v>
      </c>
      <c r="G1690" s="162">
        <v>1772.0519999999999</v>
      </c>
      <c r="H1690" s="163">
        <v>6.899</v>
      </c>
      <c r="I1690" s="16">
        <v>0.02</v>
      </c>
      <c r="J1690" s="174">
        <v>7.7679999999999998</v>
      </c>
      <c r="K1690" s="176">
        <v>42.442999999999998</v>
      </c>
      <c r="L1690" s="13">
        <v>5.7489999999999997</v>
      </c>
      <c r="M1690" s="166">
        <v>1.0999999999999999E-2</v>
      </c>
      <c r="N1690" s="15">
        <v>37.055999999999997</v>
      </c>
      <c r="O1690" s="175">
        <v>6.0999999999999999E-2</v>
      </c>
      <c r="P1690" s="96"/>
      <c r="Q1690" s="93"/>
      <c r="R1690" s="93"/>
      <c r="S1690" s="93"/>
      <c r="T1690" s="93"/>
    </row>
    <row r="1691" spans="1:20" ht="14.25" customHeight="1" x14ac:dyDescent="0.35">
      <c r="A1691" s="1">
        <v>2020</v>
      </c>
      <c r="B1691" s="1" t="s">
        <v>30</v>
      </c>
      <c r="C1691" s="1">
        <v>15</v>
      </c>
      <c r="D1691" s="12">
        <v>38</v>
      </c>
      <c r="E1691" s="13">
        <v>32.219000000000001</v>
      </c>
      <c r="F1691" s="161">
        <v>83.994</v>
      </c>
      <c r="G1691" s="162">
        <v>1676.4659999999999</v>
      </c>
      <c r="H1691" s="163">
        <v>6.8819999999999997</v>
      </c>
      <c r="I1691" s="16">
        <v>1.9E-2</v>
      </c>
      <c r="J1691" s="170">
        <v>7.4</v>
      </c>
      <c r="K1691" s="165">
        <v>42.688000000000002</v>
      </c>
      <c r="L1691" s="13">
        <v>5.782</v>
      </c>
      <c r="M1691" s="166">
        <v>1.4999999999999999E-2</v>
      </c>
      <c r="N1691" s="15">
        <v>33.156999999999996</v>
      </c>
      <c r="O1691" s="172">
        <v>4.7E-2</v>
      </c>
      <c r="P1691" s="96"/>
      <c r="Q1691" s="93"/>
      <c r="R1691" s="93"/>
      <c r="S1691" s="93"/>
      <c r="T1691" s="93"/>
    </row>
    <row r="1692" spans="1:20" ht="14.25" customHeight="1" x14ac:dyDescent="0.35">
      <c r="A1692" s="1">
        <v>2020</v>
      </c>
      <c r="B1692" s="1" t="s">
        <v>30</v>
      </c>
      <c r="C1692" s="1">
        <v>16</v>
      </c>
      <c r="D1692" s="12">
        <v>93.796999999999997</v>
      </c>
      <c r="E1692" s="13">
        <v>79.593999999999994</v>
      </c>
      <c r="F1692" s="161">
        <v>84.32</v>
      </c>
      <c r="G1692" s="162">
        <v>1584.8040000000001</v>
      </c>
      <c r="H1692" s="163">
        <v>6.9180000000000001</v>
      </c>
      <c r="I1692" s="16">
        <v>1.7999999999999999E-2</v>
      </c>
      <c r="J1692" s="174">
        <v>7.4560000000000004</v>
      </c>
      <c r="K1692" s="162">
        <v>37.981000000000002</v>
      </c>
      <c r="L1692" s="163">
        <v>5.8159999999999998</v>
      </c>
      <c r="M1692" s="166">
        <v>1.0999999999999999E-2</v>
      </c>
      <c r="N1692" s="15">
        <v>31.884</v>
      </c>
      <c r="O1692" s="175">
        <v>5.8999999999999997E-2</v>
      </c>
      <c r="P1692" s="96"/>
      <c r="Q1692" s="93"/>
      <c r="R1692" s="93"/>
      <c r="S1692" s="93"/>
      <c r="T1692" s="93"/>
    </row>
    <row r="1693" spans="1:20" ht="14.25" customHeight="1" x14ac:dyDescent="0.35">
      <c r="A1693" s="1">
        <v>2020</v>
      </c>
      <c r="B1693" s="1" t="s">
        <v>30</v>
      </c>
      <c r="C1693" s="1">
        <v>17</v>
      </c>
      <c r="D1693" s="12">
        <v>84.343999999999994</v>
      </c>
      <c r="E1693" s="13">
        <v>71.593999999999994</v>
      </c>
      <c r="F1693" s="161">
        <v>84.233000000000004</v>
      </c>
      <c r="G1693" s="162">
        <v>1556.788</v>
      </c>
      <c r="H1693" s="163">
        <v>6.8849999999999998</v>
      </c>
      <c r="I1693" s="16">
        <v>1.7999999999999999E-2</v>
      </c>
      <c r="J1693" s="164">
        <v>7.47</v>
      </c>
      <c r="K1693" s="165">
        <v>38.124000000000002</v>
      </c>
      <c r="L1693" s="13">
        <v>5.7290000000000001</v>
      </c>
      <c r="M1693" s="166">
        <v>1.0999999999999999E-2</v>
      </c>
      <c r="N1693" s="15">
        <v>41.1</v>
      </c>
      <c r="O1693" s="167">
        <v>5.7000000000000002E-2</v>
      </c>
      <c r="P1693" s="96"/>
      <c r="Q1693" s="93"/>
      <c r="R1693" s="93"/>
      <c r="S1693" s="93"/>
      <c r="T1693" s="93"/>
    </row>
    <row r="1694" spans="1:20" ht="14.25" customHeight="1" x14ac:dyDescent="0.35">
      <c r="A1694" s="1">
        <v>2020</v>
      </c>
      <c r="B1694" s="1" t="s">
        <v>30</v>
      </c>
      <c r="C1694" s="1">
        <v>18</v>
      </c>
      <c r="D1694" s="12">
        <v>76.358999999999995</v>
      </c>
      <c r="E1694" s="13">
        <v>64.656000000000006</v>
      </c>
      <c r="F1694" s="161">
        <v>84.742999999999995</v>
      </c>
      <c r="G1694" s="162">
        <v>1653.664</v>
      </c>
      <c r="H1694" s="163">
        <v>6.8719999999999999</v>
      </c>
      <c r="I1694" s="16">
        <v>1.9E-2</v>
      </c>
      <c r="J1694" s="164">
        <v>7.593</v>
      </c>
      <c r="K1694" s="162">
        <v>40.228000000000002</v>
      </c>
      <c r="L1694" s="163">
        <v>5.3419999999999996</v>
      </c>
      <c r="M1694" s="166">
        <v>1.0999999999999999E-2</v>
      </c>
      <c r="N1694" s="15">
        <v>180.70599999999999</v>
      </c>
      <c r="O1694" s="167">
        <v>6.7000000000000004E-2</v>
      </c>
      <c r="P1694" s="96"/>
      <c r="Q1694" s="93"/>
      <c r="R1694" s="93"/>
      <c r="S1694" s="93"/>
      <c r="T1694" s="93"/>
    </row>
    <row r="1695" spans="1:20" ht="14.25" customHeight="1" x14ac:dyDescent="0.35">
      <c r="A1695" s="1">
        <v>2020</v>
      </c>
      <c r="B1695" s="1" t="s">
        <v>30</v>
      </c>
      <c r="C1695" s="1">
        <v>19</v>
      </c>
      <c r="D1695" s="12">
        <v>99.625</v>
      </c>
      <c r="E1695" s="13">
        <v>84.625</v>
      </c>
      <c r="F1695" s="161">
        <v>84.927999999999997</v>
      </c>
      <c r="G1695" s="162">
        <v>1707.877</v>
      </c>
      <c r="H1695" s="163">
        <v>6.9</v>
      </c>
      <c r="I1695" s="16">
        <v>1.9E-2</v>
      </c>
      <c r="J1695" s="164">
        <v>7.8470000000000004</v>
      </c>
      <c r="K1695" s="165">
        <v>43.857999999999997</v>
      </c>
      <c r="L1695" s="13">
        <v>5.5419999999999998</v>
      </c>
      <c r="M1695" s="166">
        <v>1.0999999999999999E-2</v>
      </c>
      <c r="N1695" s="15">
        <v>128.41800000000001</v>
      </c>
      <c r="O1695" s="167">
        <v>6.6000000000000003E-2</v>
      </c>
      <c r="P1695" s="96"/>
      <c r="Q1695" s="93"/>
      <c r="R1695" s="93"/>
      <c r="S1695" s="93"/>
      <c r="T1695" s="93"/>
    </row>
    <row r="1696" spans="1:20" ht="14.25" customHeight="1" x14ac:dyDescent="0.35">
      <c r="A1696" s="1">
        <v>2020</v>
      </c>
      <c r="B1696" s="1" t="s">
        <v>30</v>
      </c>
      <c r="C1696" s="1">
        <v>20</v>
      </c>
      <c r="D1696" s="12">
        <v>102.047</v>
      </c>
      <c r="E1696" s="13">
        <v>86.656000000000006</v>
      </c>
      <c r="F1696" s="161">
        <v>84.948999999999998</v>
      </c>
      <c r="G1696" s="162">
        <v>1738.8430000000001</v>
      </c>
      <c r="H1696" s="163">
        <v>6.9</v>
      </c>
      <c r="I1696" s="16">
        <v>0.02</v>
      </c>
      <c r="J1696" s="164">
        <v>7.8929999999999998</v>
      </c>
      <c r="K1696" s="162">
        <v>43.305</v>
      </c>
      <c r="L1696" s="163">
        <v>5.6619999999999999</v>
      </c>
      <c r="M1696" s="166">
        <v>1.2E-2</v>
      </c>
      <c r="N1696" s="15">
        <v>43.750999999999998</v>
      </c>
      <c r="O1696" s="167">
        <v>6.4000000000000001E-2</v>
      </c>
      <c r="P1696" s="96"/>
      <c r="Q1696" s="93"/>
      <c r="R1696" s="93"/>
      <c r="S1696" s="93"/>
      <c r="T1696" s="93"/>
    </row>
    <row r="1697" spans="1:20" ht="14.25" customHeight="1" x14ac:dyDescent="0.35">
      <c r="A1697" s="1">
        <v>2020</v>
      </c>
      <c r="B1697" s="1" t="s">
        <v>30</v>
      </c>
      <c r="C1697" s="1">
        <v>21</v>
      </c>
      <c r="D1697" s="12">
        <v>107.063</v>
      </c>
      <c r="E1697" s="13">
        <v>90.968999999999994</v>
      </c>
      <c r="F1697" s="161">
        <v>84.909000000000006</v>
      </c>
      <c r="G1697" s="162">
        <v>1715.856</v>
      </c>
      <c r="H1697" s="163">
        <v>6.899</v>
      </c>
      <c r="I1697" s="16">
        <v>1.9E-2</v>
      </c>
      <c r="J1697" s="164">
        <v>8.4450000000000003</v>
      </c>
      <c r="K1697" s="165">
        <v>42.661999999999999</v>
      </c>
      <c r="L1697" s="13">
        <v>5.59</v>
      </c>
      <c r="M1697" s="166">
        <v>1.0999999999999999E-2</v>
      </c>
      <c r="N1697" s="15">
        <v>51.137999999999998</v>
      </c>
      <c r="O1697" s="167">
        <v>0.06</v>
      </c>
      <c r="P1697" s="96"/>
      <c r="Q1697" s="93"/>
      <c r="R1697" s="93"/>
      <c r="S1697" s="93"/>
      <c r="T1697" s="93"/>
    </row>
    <row r="1698" spans="1:20" ht="14.25" customHeight="1" x14ac:dyDescent="0.35">
      <c r="A1698" s="1">
        <v>2020</v>
      </c>
      <c r="B1698" s="1" t="s">
        <v>30</v>
      </c>
      <c r="C1698" s="1">
        <v>22</v>
      </c>
      <c r="D1698" s="12">
        <v>104.672</v>
      </c>
      <c r="E1698" s="13">
        <v>88.906000000000006</v>
      </c>
      <c r="F1698" s="161">
        <v>85.168000000000006</v>
      </c>
      <c r="G1698" s="162">
        <v>1698.0630000000001</v>
      </c>
      <c r="H1698" s="163">
        <v>6.9</v>
      </c>
      <c r="I1698" s="16">
        <v>1.9E-2</v>
      </c>
      <c r="J1698" s="164">
        <v>8.2360000000000007</v>
      </c>
      <c r="K1698" s="162">
        <v>42.35</v>
      </c>
      <c r="L1698" s="163">
        <v>5.8529999999999998</v>
      </c>
      <c r="M1698" s="166">
        <v>1.0999999999999999E-2</v>
      </c>
      <c r="N1698" s="15">
        <v>37.048999999999999</v>
      </c>
      <c r="O1698" s="167">
        <v>5.8999999999999997E-2</v>
      </c>
      <c r="P1698" s="96"/>
      <c r="Q1698" s="93"/>
      <c r="R1698" s="93"/>
      <c r="S1698" s="93"/>
      <c r="T1698" s="93"/>
    </row>
    <row r="1699" spans="1:20" ht="14.25" customHeight="1" x14ac:dyDescent="0.35">
      <c r="A1699" s="1">
        <v>2020</v>
      </c>
      <c r="B1699" s="1" t="s">
        <v>30</v>
      </c>
      <c r="C1699" s="1">
        <v>23</v>
      </c>
      <c r="D1699" s="12">
        <v>106.875</v>
      </c>
      <c r="E1699" s="13">
        <v>90.781000000000006</v>
      </c>
      <c r="F1699" s="161">
        <v>85.123000000000005</v>
      </c>
      <c r="G1699" s="162">
        <v>1630.0039999999999</v>
      </c>
      <c r="H1699" s="163">
        <v>6.9</v>
      </c>
      <c r="I1699" s="16">
        <v>1.7999999999999999E-2</v>
      </c>
      <c r="J1699" s="164">
        <v>7.4829999999999997</v>
      </c>
      <c r="K1699" s="165">
        <v>40.286000000000001</v>
      </c>
      <c r="L1699" s="13">
        <v>6.0380000000000003</v>
      </c>
      <c r="M1699" s="166">
        <v>1.0999999999999999E-2</v>
      </c>
      <c r="N1699" s="15">
        <v>32.311999999999998</v>
      </c>
      <c r="O1699" s="167">
        <v>5.6000000000000001E-2</v>
      </c>
      <c r="P1699" s="96"/>
      <c r="Q1699" s="93"/>
      <c r="R1699" s="93"/>
      <c r="S1699" s="93"/>
      <c r="T1699" s="93"/>
    </row>
    <row r="1700" spans="1:20" ht="14.25" customHeight="1" x14ac:dyDescent="0.35">
      <c r="A1700" s="1">
        <v>2020</v>
      </c>
      <c r="B1700" s="1" t="s">
        <v>30</v>
      </c>
      <c r="C1700" s="1">
        <v>24</v>
      </c>
      <c r="D1700" s="12">
        <v>106.84399999999999</v>
      </c>
      <c r="E1700" s="13">
        <v>90.656000000000006</v>
      </c>
      <c r="F1700" s="161">
        <v>84.894999999999996</v>
      </c>
      <c r="G1700" s="162">
        <v>1599.452</v>
      </c>
      <c r="H1700" s="163">
        <v>6.9</v>
      </c>
      <c r="I1700" s="16">
        <v>1.9E-2</v>
      </c>
      <c r="J1700" s="164">
        <v>7.7249999999999996</v>
      </c>
      <c r="K1700" s="162">
        <v>39.731999999999999</v>
      </c>
      <c r="L1700" s="163">
        <v>5.6660000000000004</v>
      </c>
      <c r="M1700" s="166">
        <v>1.0999999999999999E-2</v>
      </c>
      <c r="N1700" s="15">
        <v>43.494999999999997</v>
      </c>
      <c r="O1700" s="167">
        <v>5.6000000000000001E-2</v>
      </c>
      <c r="P1700" s="96"/>
      <c r="Q1700" s="93"/>
      <c r="R1700" s="93"/>
      <c r="S1700" s="93"/>
      <c r="T1700" s="93"/>
    </row>
    <row r="1701" spans="1:20" ht="14.25" customHeight="1" x14ac:dyDescent="0.35">
      <c r="A1701" s="1">
        <v>2020</v>
      </c>
      <c r="B1701" s="1" t="s">
        <v>30</v>
      </c>
      <c r="C1701" s="1">
        <v>25</v>
      </c>
      <c r="D1701" s="12">
        <v>105.98399999999999</v>
      </c>
      <c r="E1701" s="13">
        <v>90.031000000000006</v>
      </c>
      <c r="F1701" s="161">
        <v>84.903999999999996</v>
      </c>
      <c r="G1701" s="162">
        <v>1683.33</v>
      </c>
      <c r="H1701" s="163">
        <v>6.9</v>
      </c>
      <c r="I1701" s="16">
        <v>1.9E-2</v>
      </c>
      <c r="J1701" s="164">
        <v>8.0060000000000002</v>
      </c>
      <c r="K1701" s="165">
        <v>41.893999999999998</v>
      </c>
      <c r="L1701" s="13">
        <v>5.5469999999999997</v>
      </c>
      <c r="M1701" s="166">
        <v>1.0999999999999999E-2</v>
      </c>
      <c r="N1701" s="15">
        <v>56.042000000000002</v>
      </c>
      <c r="O1701" s="167">
        <v>6.2E-2</v>
      </c>
      <c r="P1701" s="96"/>
      <c r="Q1701" s="93"/>
      <c r="R1701" s="93"/>
      <c r="S1701" s="93"/>
      <c r="T1701" s="93"/>
    </row>
    <row r="1702" spans="1:20" ht="14.25" customHeight="1" x14ac:dyDescent="0.35">
      <c r="A1702" s="1">
        <v>2020</v>
      </c>
      <c r="B1702" s="1" t="s">
        <v>30</v>
      </c>
      <c r="C1702" s="1">
        <v>26</v>
      </c>
      <c r="D1702" s="12">
        <v>107.203</v>
      </c>
      <c r="E1702" s="13">
        <v>91.125</v>
      </c>
      <c r="F1702" s="161">
        <v>84.912000000000006</v>
      </c>
      <c r="G1702" s="162">
        <v>1744.684</v>
      </c>
      <c r="H1702" s="163">
        <v>6.9</v>
      </c>
      <c r="I1702" s="16">
        <v>0.02</v>
      </c>
      <c r="J1702" s="164">
        <v>8.1189999999999998</v>
      </c>
      <c r="K1702" s="162">
        <v>43.155999999999999</v>
      </c>
      <c r="L1702" s="163">
        <v>5.4829999999999997</v>
      </c>
      <c r="M1702" s="166">
        <v>1.0999999999999999E-2</v>
      </c>
      <c r="N1702" s="15">
        <v>65.096000000000004</v>
      </c>
      <c r="O1702" s="167">
        <v>6.3E-2</v>
      </c>
      <c r="P1702" s="96"/>
      <c r="Q1702" s="93"/>
      <c r="R1702" s="93"/>
      <c r="S1702" s="93"/>
      <c r="T1702" s="93"/>
    </row>
    <row r="1703" spans="1:20" ht="14.25" customHeight="1" x14ac:dyDescent="0.35">
      <c r="A1703" s="1">
        <v>2020</v>
      </c>
      <c r="B1703" s="1" t="s">
        <v>30</v>
      </c>
      <c r="C1703" s="1">
        <v>27</v>
      </c>
      <c r="D1703" s="12">
        <v>107.39100000000001</v>
      </c>
      <c r="E1703" s="13">
        <v>91.25</v>
      </c>
      <c r="F1703" s="161">
        <v>84.896000000000001</v>
      </c>
      <c r="G1703" s="162">
        <v>1721.5050000000001</v>
      </c>
      <c r="H1703" s="163">
        <v>6.9</v>
      </c>
      <c r="I1703" s="16">
        <v>1.9E-2</v>
      </c>
      <c r="J1703" s="164">
        <v>8.1389999999999993</v>
      </c>
      <c r="K1703" s="165">
        <v>41.667999999999999</v>
      </c>
      <c r="L1703" s="13">
        <v>5.4880000000000004</v>
      </c>
      <c r="M1703" s="166">
        <v>1.0999999999999999E-2</v>
      </c>
      <c r="N1703" s="15">
        <v>64.146000000000001</v>
      </c>
      <c r="O1703" s="167">
        <v>7.2999999999999995E-2</v>
      </c>
      <c r="P1703" s="96"/>
      <c r="Q1703" s="93"/>
      <c r="R1703" s="93"/>
      <c r="S1703" s="93"/>
      <c r="T1703" s="93"/>
    </row>
    <row r="1704" spans="1:20" ht="14.25" customHeight="1" x14ac:dyDescent="0.35">
      <c r="A1704" s="1">
        <v>2020</v>
      </c>
      <c r="B1704" s="1" t="s">
        <v>30</v>
      </c>
      <c r="C1704" s="1">
        <v>28</v>
      </c>
      <c r="D1704" s="12">
        <v>107.828</v>
      </c>
      <c r="E1704" s="13">
        <v>91.563000000000002</v>
      </c>
      <c r="F1704" s="161">
        <v>84.632999999999996</v>
      </c>
      <c r="G1704" s="162">
        <v>1706.2829999999999</v>
      </c>
      <c r="H1704" s="163">
        <v>6.9</v>
      </c>
      <c r="I1704" s="16">
        <v>1.9E-2</v>
      </c>
      <c r="J1704" s="164">
        <v>8.1739999999999995</v>
      </c>
      <c r="K1704" s="162">
        <v>40.503999999999998</v>
      </c>
      <c r="L1704" s="163">
        <v>5.4930000000000003</v>
      </c>
      <c r="M1704" s="166">
        <v>1.0999999999999999E-2</v>
      </c>
      <c r="N1704" s="15">
        <v>63.707999999999998</v>
      </c>
      <c r="O1704" s="167">
        <v>7.6999999999999999E-2</v>
      </c>
      <c r="P1704" s="96"/>
      <c r="Q1704" s="93"/>
      <c r="R1704" s="93"/>
      <c r="S1704" s="93"/>
      <c r="T1704" s="93"/>
    </row>
    <row r="1705" spans="1:20" ht="14.25" customHeight="1" x14ac:dyDescent="0.35">
      <c r="A1705" s="1">
        <v>2020</v>
      </c>
      <c r="B1705" s="1" t="s">
        <v>30</v>
      </c>
      <c r="C1705" s="1">
        <v>29</v>
      </c>
      <c r="D1705" s="12">
        <v>106.703</v>
      </c>
      <c r="E1705" s="13">
        <v>90.593999999999994</v>
      </c>
      <c r="F1705" s="187">
        <v>84.150999999999996</v>
      </c>
      <c r="G1705" s="22">
        <v>1677.7139999999999</v>
      </c>
      <c r="H1705" s="13">
        <v>6.9</v>
      </c>
      <c r="I1705" s="166">
        <v>1.9E-2</v>
      </c>
      <c r="J1705" s="188">
        <v>8.0359999999999996</v>
      </c>
      <c r="K1705" s="162">
        <v>39.247</v>
      </c>
      <c r="L1705" s="163">
        <v>5.51</v>
      </c>
      <c r="M1705" s="166">
        <v>1.0999999999999999E-2</v>
      </c>
      <c r="N1705" s="15">
        <v>60.774000000000001</v>
      </c>
      <c r="O1705" s="227">
        <v>6.9000000000000006E-2</v>
      </c>
      <c r="P1705" s="96"/>
      <c r="Q1705" s="93"/>
      <c r="R1705" s="93"/>
      <c r="S1705" s="93"/>
      <c r="T1705" s="93"/>
    </row>
    <row r="1706" spans="1:20" ht="14.25" customHeight="1" x14ac:dyDescent="0.35">
      <c r="A1706" s="1">
        <v>2020</v>
      </c>
      <c r="B1706" s="1" t="s">
        <v>30</v>
      </c>
      <c r="C1706" s="1">
        <v>30</v>
      </c>
      <c r="D1706" s="12">
        <v>52.453000000000003</v>
      </c>
      <c r="E1706" s="13">
        <v>44.344000000000001</v>
      </c>
      <c r="F1706" s="187">
        <v>84.1</v>
      </c>
      <c r="G1706" s="22">
        <v>1583.6510000000001</v>
      </c>
      <c r="H1706" s="13">
        <v>6.9130000000000003</v>
      </c>
      <c r="I1706" s="166">
        <v>2.1000000000000001E-2</v>
      </c>
      <c r="J1706" s="188">
        <v>7.54</v>
      </c>
      <c r="K1706" s="162">
        <v>43.723300000000002</v>
      </c>
      <c r="L1706" s="163">
        <v>5.5716999999999999</v>
      </c>
      <c r="M1706" s="166">
        <v>1.15E-2</v>
      </c>
      <c r="N1706" s="15">
        <v>54.923000000000002</v>
      </c>
      <c r="O1706" s="227">
        <v>6.5000000000000002E-2</v>
      </c>
      <c r="P1706" s="96"/>
      <c r="Q1706" s="93"/>
      <c r="R1706" s="93"/>
      <c r="S1706" s="93"/>
      <c r="T1706" s="93"/>
    </row>
    <row r="1707" spans="1:20" ht="14.25" customHeight="1" x14ac:dyDescent="0.35">
      <c r="A1707" s="1">
        <v>2020</v>
      </c>
      <c r="B1707" s="1" t="s">
        <v>30</v>
      </c>
      <c r="C1707" s="1">
        <v>31</v>
      </c>
      <c r="D1707" s="85">
        <v>0</v>
      </c>
      <c r="E1707" s="86">
        <v>0</v>
      </c>
      <c r="F1707" s="228">
        <v>0</v>
      </c>
      <c r="G1707" s="229">
        <v>0</v>
      </c>
      <c r="H1707" s="230">
        <v>0</v>
      </c>
      <c r="I1707" s="231">
        <v>0</v>
      </c>
      <c r="J1707" s="232">
        <v>0</v>
      </c>
      <c r="K1707" s="162">
        <v>0</v>
      </c>
      <c r="L1707" s="16">
        <v>0</v>
      </c>
      <c r="M1707" s="166">
        <v>0</v>
      </c>
      <c r="N1707" s="15">
        <v>0</v>
      </c>
      <c r="O1707" s="233">
        <v>0</v>
      </c>
      <c r="P1707" s="96"/>
      <c r="Q1707" s="93"/>
      <c r="R1707" s="93"/>
      <c r="S1707" s="93"/>
      <c r="T1707" s="93"/>
    </row>
    <row r="1708" spans="1:20" ht="14.25" customHeight="1" x14ac:dyDescent="0.35">
      <c r="A1708" s="1">
        <v>2020</v>
      </c>
      <c r="B1708" s="1" t="s">
        <v>31</v>
      </c>
      <c r="C1708" s="1">
        <v>1</v>
      </c>
      <c r="D1708" s="49">
        <v>46.375</v>
      </c>
      <c r="E1708" s="50">
        <v>39.375</v>
      </c>
      <c r="F1708" s="156">
        <v>83.8</v>
      </c>
      <c r="G1708" s="157">
        <v>1725</v>
      </c>
      <c r="H1708" s="44">
        <v>6.9</v>
      </c>
      <c r="I1708" s="45">
        <v>0.02</v>
      </c>
      <c r="J1708" s="158">
        <v>7.8</v>
      </c>
      <c r="K1708" s="157">
        <v>42.3</v>
      </c>
      <c r="L1708" s="45">
        <v>5.55</v>
      </c>
      <c r="M1708" s="159">
        <v>2.8000000000000001E-2</v>
      </c>
      <c r="N1708" s="15">
        <v>33.582999999999998</v>
      </c>
      <c r="O1708" s="160">
        <v>4.2999999999999997E-2</v>
      </c>
      <c r="P1708" s="96"/>
      <c r="Q1708" s="93"/>
      <c r="R1708" s="93"/>
      <c r="S1708" s="93"/>
      <c r="T1708" s="93"/>
    </row>
    <row r="1709" spans="1:20" ht="14.25" customHeight="1" x14ac:dyDescent="0.35">
      <c r="A1709" s="1">
        <v>2020</v>
      </c>
      <c r="B1709" s="1" t="s">
        <v>31</v>
      </c>
      <c r="C1709" s="1">
        <v>2</v>
      </c>
      <c r="D1709" s="49">
        <v>107.34399999999999</v>
      </c>
      <c r="E1709" s="50">
        <v>91.343999999999994</v>
      </c>
      <c r="F1709" s="161">
        <v>84.114000000000004</v>
      </c>
      <c r="G1709" s="162">
        <v>1710.35</v>
      </c>
      <c r="H1709" s="163">
        <v>6.9</v>
      </c>
      <c r="I1709" s="16">
        <v>1.7000000000000001E-2</v>
      </c>
      <c r="J1709" s="164">
        <v>7.9269999999999996</v>
      </c>
      <c r="K1709" s="165">
        <v>38.600999999999999</v>
      </c>
      <c r="L1709" s="13">
        <v>5.4989999999999997</v>
      </c>
      <c r="M1709" s="166">
        <v>1.0999999999999999E-2</v>
      </c>
      <c r="N1709" s="15">
        <v>62.353000000000002</v>
      </c>
      <c r="O1709" s="167">
        <v>6.8000000000000005E-2</v>
      </c>
      <c r="P1709" s="96"/>
      <c r="Q1709" s="93"/>
      <c r="R1709" s="93"/>
      <c r="S1709" s="93"/>
      <c r="T1709" s="93"/>
    </row>
    <row r="1710" spans="1:20" ht="14.25" customHeight="1" x14ac:dyDescent="0.35">
      <c r="A1710" s="1">
        <v>2020</v>
      </c>
      <c r="B1710" s="1" t="s">
        <v>31</v>
      </c>
      <c r="C1710" s="1">
        <v>3</v>
      </c>
      <c r="D1710" s="49">
        <v>103.84399999999999</v>
      </c>
      <c r="E1710" s="50">
        <v>88.343999999999994</v>
      </c>
      <c r="F1710" s="161">
        <v>84.239000000000004</v>
      </c>
      <c r="G1710" s="162">
        <v>1712.135</v>
      </c>
      <c r="H1710" s="163">
        <v>6.899</v>
      </c>
      <c r="I1710" s="16">
        <v>1.7000000000000001E-2</v>
      </c>
      <c r="J1710" s="164">
        <v>7.7709999999999999</v>
      </c>
      <c r="K1710" s="165">
        <v>39.871000000000002</v>
      </c>
      <c r="L1710" s="13">
        <v>5.51</v>
      </c>
      <c r="M1710" s="166">
        <v>1.0999999999999999E-2</v>
      </c>
      <c r="N1710" s="15">
        <v>61.063000000000002</v>
      </c>
      <c r="O1710" s="167">
        <v>6.6000000000000003E-2</v>
      </c>
      <c r="P1710" s="96"/>
      <c r="Q1710" s="93"/>
      <c r="R1710" s="93"/>
      <c r="S1710" s="93"/>
      <c r="T1710" s="93"/>
    </row>
    <row r="1711" spans="1:20" ht="14.25" customHeight="1" x14ac:dyDescent="0.35">
      <c r="A1711" s="1">
        <v>2020</v>
      </c>
      <c r="B1711" s="1" t="s">
        <v>31</v>
      </c>
      <c r="C1711" s="1">
        <v>4</v>
      </c>
      <c r="D1711" s="49">
        <v>107.15600000000001</v>
      </c>
      <c r="E1711" s="50">
        <v>91.156000000000006</v>
      </c>
      <c r="F1711" s="161">
        <v>84.673000000000002</v>
      </c>
      <c r="G1711" s="162">
        <v>1717.797</v>
      </c>
      <c r="H1711" s="163">
        <v>6.9</v>
      </c>
      <c r="I1711" s="16">
        <v>1.7999999999999999E-2</v>
      </c>
      <c r="J1711" s="164">
        <v>7.6159999999999997</v>
      </c>
      <c r="K1711" s="165">
        <v>39.936</v>
      </c>
      <c r="L1711" s="13">
        <v>5.4969999999999999</v>
      </c>
      <c r="M1711" s="166">
        <v>1.0999999999999999E-2</v>
      </c>
      <c r="N1711" s="15">
        <v>62.627000000000002</v>
      </c>
      <c r="O1711" s="167">
        <v>6.2E-2</v>
      </c>
      <c r="P1711" s="96"/>
      <c r="Q1711" s="93"/>
      <c r="R1711" s="93"/>
      <c r="S1711" s="93"/>
      <c r="T1711" s="93"/>
    </row>
    <row r="1712" spans="1:20" ht="14.25" customHeight="1" x14ac:dyDescent="0.35">
      <c r="A1712" s="1">
        <v>2020</v>
      </c>
      <c r="B1712" s="1" t="s">
        <v>31</v>
      </c>
      <c r="C1712" s="1">
        <v>5</v>
      </c>
      <c r="D1712" s="49">
        <v>86.828000000000003</v>
      </c>
      <c r="E1712" s="50">
        <v>73.688000000000002</v>
      </c>
      <c r="F1712" s="161">
        <v>84.99</v>
      </c>
      <c r="G1712" s="162">
        <v>1702.452</v>
      </c>
      <c r="H1712" s="163">
        <v>6.9</v>
      </c>
      <c r="I1712" s="16">
        <v>1.7000000000000001E-2</v>
      </c>
      <c r="J1712" s="164">
        <v>7.423</v>
      </c>
      <c r="K1712" s="165">
        <v>39.726999999999997</v>
      </c>
      <c r="L1712" s="13">
        <v>5.4859999999999998</v>
      </c>
      <c r="M1712" s="166">
        <v>1.0999999999999999E-2</v>
      </c>
      <c r="N1712" s="15">
        <v>65.031000000000006</v>
      </c>
      <c r="O1712" s="167">
        <v>6.5000000000000002E-2</v>
      </c>
      <c r="P1712" s="96"/>
      <c r="Q1712" s="93"/>
      <c r="R1712" s="93"/>
      <c r="S1712" s="93"/>
      <c r="T1712" s="93"/>
    </row>
    <row r="1713" spans="1:20" ht="14.25" customHeight="1" x14ac:dyDescent="0.35">
      <c r="A1713" s="1">
        <v>2020</v>
      </c>
      <c r="B1713" s="1" t="s">
        <v>31</v>
      </c>
      <c r="C1713" s="1">
        <v>6</v>
      </c>
      <c r="D1713" s="49">
        <v>77.921999999999997</v>
      </c>
      <c r="E1713" s="50">
        <v>66</v>
      </c>
      <c r="F1713" s="161">
        <v>85.218999999999994</v>
      </c>
      <c r="G1713" s="162">
        <v>1609.8969999999999</v>
      </c>
      <c r="H1713" s="163">
        <v>6.8819999999999997</v>
      </c>
      <c r="I1713" s="16">
        <v>1.7000000000000001E-2</v>
      </c>
      <c r="J1713" s="164">
        <v>7.1159999999999997</v>
      </c>
      <c r="K1713" s="165">
        <v>38.856999999999999</v>
      </c>
      <c r="L1713" s="13">
        <v>5.4640000000000004</v>
      </c>
      <c r="M1713" s="166">
        <v>1.0999999999999999E-2</v>
      </c>
      <c r="N1713" s="15">
        <v>68.55</v>
      </c>
      <c r="O1713" s="167">
        <v>0.06</v>
      </c>
      <c r="P1713" s="96"/>
      <c r="Q1713" s="93"/>
      <c r="R1713" s="93"/>
      <c r="S1713" s="93"/>
      <c r="T1713" s="93"/>
    </row>
    <row r="1714" spans="1:20" ht="14.25" customHeight="1" x14ac:dyDescent="0.35">
      <c r="A1714" s="1">
        <v>2020</v>
      </c>
      <c r="B1714" s="1" t="s">
        <v>31</v>
      </c>
      <c r="C1714" s="1">
        <v>7</v>
      </c>
      <c r="D1714" s="49">
        <v>95.781000000000006</v>
      </c>
      <c r="E1714" s="50">
        <v>81.313000000000002</v>
      </c>
      <c r="F1714" s="161">
        <v>84.600999999999999</v>
      </c>
      <c r="G1714" s="162">
        <v>1549.299</v>
      </c>
      <c r="H1714" s="163">
        <v>6.9</v>
      </c>
      <c r="I1714" s="16">
        <v>1.7000000000000001E-2</v>
      </c>
      <c r="J1714" s="164">
        <v>7.2610000000000001</v>
      </c>
      <c r="K1714" s="165">
        <v>37.677999999999997</v>
      </c>
      <c r="L1714" s="13">
        <v>5.4909999999999997</v>
      </c>
      <c r="M1714" s="166">
        <v>1.0999999999999999E-2</v>
      </c>
      <c r="N1714" s="15">
        <v>63.759</v>
      </c>
      <c r="O1714" s="167">
        <v>5.6000000000000001E-2</v>
      </c>
      <c r="P1714" s="96"/>
      <c r="Q1714" s="93"/>
      <c r="R1714" s="93"/>
      <c r="S1714" s="93"/>
      <c r="T1714" s="93"/>
    </row>
    <row r="1715" spans="1:20" ht="14.25" customHeight="1" x14ac:dyDescent="0.35">
      <c r="A1715" s="1">
        <v>2020</v>
      </c>
      <c r="B1715" s="1" t="s">
        <v>31</v>
      </c>
      <c r="C1715" s="1">
        <v>8</v>
      </c>
      <c r="D1715" s="49">
        <v>100.28100000000001</v>
      </c>
      <c r="E1715" s="50">
        <v>85.188000000000002</v>
      </c>
      <c r="F1715" s="161">
        <v>84.364999999999995</v>
      </c>
      <c r="G1715" s="22">
        <v>1536.3119999999999</v>
      </c>
      <c r="H1715" s="163">
        <v>6.9</v>
      </c>
      <c r="I1715" s="16">
        <v>1.7999999999999999E-2</v>
      </c>
      <c r="J1715" s="168">
        <v>7.6669999999999998</v>
      </c>
      <c r="K1715" s="165">
        <v>35.834000000000003</v>
      </c>
      <c r="L1715" s="13">
        <v>5.508</v>
      </c>
      <c r="M1715" s="166">
        <v>1.0999999999999999E-2</v>
      </c>
      <c r="N1715" s="15">
        <v>61.387999999999998</v>
      </c>
      <c r="O1715" s="192">
        <v>5.6000000000000001E-2</v>
      </c>
      <c r="P1715" s="96"/>
      <c r="Q1715" s="93"/>
      <c r="R1715" s="93"/>
      <c r="S1715" s="93"/>
      <c r="T1715" s="93"/>
    </row>
    <row r="1716" spans="1:20" ht="14.25" customHeight="1" x14ac:dyDescent="0.35">
      <c r="A1716" s="1">
        <v>2020</v>
      </c>
      <c r="B1716" s="1" t="s">
        <v>31</v>
      </c>
      <c r="C1716" s="1">
        <v>9</v>
      </c>
      <c r="D1716" s="49">
        <v>100.89100000000001</v>
      </c>
      <c r="E1716" s="50">
        <v>85.688000000000002</v>
      </c>
      <c r="F1716" s="161">
        <v>84.335999999999999</v>
      </c>
      <c r="G1716" s="162">
        <v>1667.7239999999999</v>
      </c>
      <c r="H1716" s="163">
        <v>6.9</v>
      </c>
      <c r="I1716" s="16">
        <v>1.9E-2</v>
      </c>
      <c r="J1716" s="164">
        <v>8.64</v>
      </c>
      <c r="K1716" s="165">
        <v>38.57</v>
      </c>
      <c r="L1716" s="13">
        <v>5.5</v>
      </c>
      <c r="M1716" s="166">
        <v>1.0999999999999999E-2</v>
      </c>
      <c r="N1716" s="15">
        <v>62.567999999999998</v>
      </c>
      <c r="O1716" s="167">
        <v>6.4000000000000001E-2</v>
      </c>
      <c r="P1716" s="96"/>
      <c r="Q1716" s="93"/>
      <c r="R1716" s="93"/>
      <c r="S1716" s="93"/>
      <c r="T1716" s="93"/>
    </row>
    <row r="1717" spans="1:20" ht="14.25" customHeight="1" x14ac:dyDescent="0.35">
      <c r="A1717" s="1">
        <v>2020</v>
      </c>
      <c r="B1717" s="1" t="s">
        <v>31</v>
      </c>
      <c r="C1717" s="1">
        <v>10</v>
      </c>
      <c r="D1717" s="49">
        <v>99.078000000000003</v>
      </c>
      <c r="E1717" s="50">
        <v>84.281000000000006</v>
      </c>
      <c r="F1717" s="169">
        <v>84.509</v>
      </c>
      <c r="G1717" s="162">
        <v>1741.674</v>
      </c>
      <c r="H1717" s="163">
        <v>6.9</v>
      </c>
      <c r="I1717" s="16">
        <v>1.7999999999999999E-2</v>
      </c>
      <c r="J1717" s="170">
        <v>7.8520000000000003</v>
      </c>
      <c r="K1717" s="165">
        <v>39.71</v>
      </c>
      <c r="L1717" s="13">
        <v>5.4870000000000001</v>
      </c>
      <c r="M1717" s="171">
        <v>1.0999999999999999E-2</v>
      </c>
      <c r="N1717" s="15">
        <v>64.373999999999995</v>
      </c>
      <c r="O1717" s="172">
        <v>6.3E-2</v>
      </c>
      <c r="P1717" s="96"/>
      <c r="Q1717" s="93"/>
      <c r="R1717" s="93"/>
      <c r="S1717" s="93"/>
      <c r="T1717" s="93"/>
    </row>
    <row r="1718" spans="1:20" ht="14.25" customHeight="1" x14ac:dyDescent="0.35">
      <c r="A1718" s="1">
        <v>2020</v>
      </c>
      <c r="B1718" s="1" t="s">
        <v>31</v>
      </c>
      <c r="C1718" s="1">
        <v>11</v>
      </c>
      <c r="D1718" s="49">
        <v>105.76600000000001</v>
      </c>
      <c r="E1718" s="50">
        <v>89.968999999999994</v>
      </c>
      <c r="F1718" s="169">
        <v>84.268000000000001</v>
      </c>
      <c r="G1718" s="162">
        <v>1699.163</v>
      </c>
      <c r="H1718" s="163">
        <v>6.9</v>
      </c>
      <c r="I1718" s="16">
        <v>1.7999999999999999E-2</v>
      </c>
      <c r="J1718" s="170">
        <v>7.6660000000000004</v>
      </c>
      <c r="K1718" s="165">
        <v>37.777999999999999</v>
      </c>
      <c r="L1718" s="13">
        <v>5.4969999999999999</v>
      </c>
      <c r="M1718" s="171">
        <v>1.0999999999999999E-2</v>
      </c>
      <c r="N1718" s="15">
        <v>62.87</v>
      </c>
      <c r="O1718" s="172">
        <v>6.0999999999999999E-2</v>
      </c>
      <c r="P1718" s="96"/>
      <c r="Q1718" s="93"/>
      <c r="R1718" s="93"/>
      <c r="S1718" s="93"/>
      <c r="T1718" s="93"/>
    </row>
    <row r="1719" spans="1:20" ht="14.25" customHeight="1" x14ac:dyDescent="0.35">
      <c r="A1719" s="1">
        <v>2020</v>
      </c>
      <c r="B1719" s="1" t="s">
        <v>31</v>
      </c>
      <c r="C1719" s="1">
        <v>12</v>
      </c>
      <c r="D1719" s="49">
        <v>105.78100000000001</v>
      </c>
      <c r="E1719" s="50">
        <v>89.813000000000002</v>
      </c>
      <c r="F1719" s="169">
        <v>83.921999999999997</v>
      </c>
      <c r="G1719" s="162">
        <v>1672.421</v>
      </c>
      <c r="H1719" s="163">
        <v>6.9</v>
      </c>
      <c r="I1719" s="16">
        <v>1.7999999999999999E-2</v>
      </c>
      <c r="J1719" s="170">
        <v>7.56</v>
      </c>
      <c r="K1719" s="165">
        <v>39.564999999999998</v>
      </c>
      <c r="L1719" s="13">
        <v>5.5209999999999999</v>
      </c>
      <c r="M1719" s="171">
        <v>1.0999999999999999E-2</v>
      </c>
      <c r="N1719" s="15">
        <v>62.564999999999998</v>
      </c>
      <c r="O1719" s="172">
        <v>6.2E-2</v>
      </c>
      <c r="P1719" s="96"/>
      <c r="Q1719" s="93"/>
      <c r="R1719" s="93"/>
      <c r="S1719" s="93"/>
      <c r="T1719" s="93"/>
    </row>
    <row r="1720" spans="1:20" ht="14.25" customHeight="1" x14ac:dyDescent="0.35">
      <c r="A1720" s="1">
        <v>2020</v>
      </c>
      <c r="B1720" s="1" t="s">
        <v>31</v>
      </c>
      <c r="C1720" s="1">
        <v>13</v>
      </c>
      <c r="D1720" s="49">
        <v>104.21899999999999</v>
      </c>
      <c r="E1720" s="50">
        <v>88.688000000000002</v>
      </c>
      <c r="F1720" s="173">
        <v>83.938000000000002</v>
      </c>
      <c r="G1720" s="162">
        <v>1613.8019999999999</v>
      </c>
      <c r="H1720" s="163">
        <v>6.9</v>
      </c>
      <c r="I1720" s="16">
        <v>1.7000000000000001E-2</v>
      </c>
      <c r="J1720" s="174">
        <v>7.5030000000000001</v>
      </c>
      <c r="K1720" s="165">
        <v>37.707000000000001</v>
      </c>
      <c r="L1720" s="13">
        <v>5.52</v>
      </c>
      <c r="M1720" s="166">
        <v>1.0999999999999999E-2</v>
      </c>
      <c r="N1720" s="15">
        <v>59.795000000000002</v>
      </c>
      <c r="O1720" s="175">
        <v>0.06</v>
      </c>
      <c r="P1720" s="96"/>
      <c r="Q1720" s="93"/>
      <c r="R1720" s="93"/>
      <c r="S1720" s="93"/>
      <c r="T1720" s="93"/>
    </row>
    <row r="1721" spans="1:20" ht="14.25" customHeight="1" x14ac:dyDescent="0.35">
      <c r="A1721" s="1">
        <v>2020</v>
      </c>
      <c r="B1721" s="1" t="s">
        <v>31</v>
      </c>
      <c r="C1721" s="1">
        <v>14</v>
      </c>
      <c r="D1721" s="49">
        <v>103.797</v>
      </c>
      <c r="E1721" s="50">
        <v>88.313000000000002</v>
      </c>
      <c r="F1721" s="161">
        <v>83.84</v>
      </c>
      <c r="G1721" s="162">
        <v>1560.5740000000001</v>
      </c>
      <c r="H1721" s="163">
        <v>6.9</v>
      </c>
      <c r="I1721" s="16">
        <v>1.7999999999999999E-2</v>
      </c>
      <c r="J1721" s="174">
        <v>6.851</v>
      </c>
      <c r="K1721" s="176">
        <v>36.423999999999999</v>
      </c>
      <c r="L1721" s="13">
        <v>5.5309999999999997</v>
      </c>
      <c r="M1721" s="166">
        <v>1.0999999999999999E-2</v>
      </c>
      <c r="N1721" s="15">
        <v>58.244999999999997</v>
      </c>
      <c r="O1721" s="175">
        <v>6.0999999999999999E-2</v>
      </c>
      <c r="P1721" s="96"/>
      <c r="Q1721" s="93"/>
      <c r="R1721" s="93"/>
      <c r="S1721" s="93"/>
      <c r="T1721" s="93"/>
    </row>
    <row r="1722" spans="1:20" ht="14.25" customHeight="1" x14ac:dyDescent="0.35">
      <c r="A1722" s="1">
        <v>2020</v>
      </c>
      <c r="B1722" s="1" t="s">
        <v>31</v>
      </c>
      <c r="C1722" s="1">
        <v>15</v>
      </c>
      <c r="D1722" s="49">
        <v>105.313</v>
      </c>
      <c r="E1722" s="50">
        <v>89.718999999999994</v>
      </c>
      <c r="F1722" s="161">
        <v>84.036000000000001</v>
      </c>
      <c r="G1722" s="162">
        <v>1645.432</v>
      </c>
      <c r="H1722" s="163">
        <v>6.9009999999999998</v>
      </c>
      <c r="I1722" s="16">
        <v>1.7999999999999999E-2</v>
      </c>
      <c r="J1722" s="170">
        <v>7.1859999999999999</v>
      </c>
      <c r="K1722" s="165">
        <v>38.664000000000001</v>
      </c>
      <c r="L1722" s="13">
        <v>5.53</v>
      </c>
      <c r="M1722" s="166">
        <v>1.0999999999999999E-2</v>
      </c>
      <c r="N1722" s="15">
        <v>58.345999999999997</v>
      </c>
      <c r="O1722" s="172">
        <v>6.6000000000000003E-2</v>
      </c>
      <c r="P1722" s="96"/>
      <c r="Q1722" s="93"/>
      <c r="R1722" s="93"/>
      <c r="S1722" s="93"/>
      <c r="T1722" s="93"/>
    </row>
    <row r="1723" spans="1:20" ht="14.25" customHeight="1" x14ac:dyDescent="0.35">
      <c r="A1723" s="1">
        <v>2020</v>
      </c>
      <c r="B1723" s="1" t="s">
        <v>31</v>
      </c>
      <c r="C1723" s="1">
        <v>16</v>
      </c>
      <c r="D1723" s="49">
        <v>107.75</v>
      </c>
      <c r="E1723" s="50">
        <v>91.875</v>
      </c>
      <c r="F1723" s="161">
        <v>84.254999999999995</v>
      </c>
      <c r="G1723" s="162">
        <v>1744.2329999999999</v>
      </c>
      <c r="H1723" s="163">
        <v>6.9</v>
      </c>
      <c r="I1723" s="16">
        <v>1.7999999999999999E-2</v>
      </c>
      <c r="J1723" s="174">
        <v>7.1589999999999998</v>
      </c>
      <c r="K1723" s="162">
        <v>41.164000000000001</v>
      </c>
      <c r="L1723" s="163">
        <v>5.5110000000000001</v>
      </c>
      <c r="M1723" s="166">
        <v>1.0999999999999999E-2</v>
      </c>
      <c r="N1723" s="15">
        <v>60</v>
      </c>
      <c r="O1723" s="175">
        <v>6.8000000000000005E-2</v>
      </c>
      <c r="P1723" s="96"/>
      <c r="Q1723" s="93"/>
      <c r="R1723" s="93"/>
      <c r="S1723" s="93"/>
      <c r="T1723" s="93"/>
    </row>
    <row r="1724" spans="1:20" ht="14.25" customHeight="1" x14ac:dyDescent="0.35">
      <c r="A1724" s="1">
        <v>2020</v>
      </c>
      <c r="B1724" s="1" t="s">
        <v>31</v>
      </c>
      <c r="C1724" s="1">
        <v>17</v>
      </c>
      <c r="D1724" s="49">
        <v>107.563</v>
      </c>
      <c r="E1724" s="50">
        <v>91.656000000000006</v>
      </c>
      <c r="F1724" s="161">
        <v>84.412999999999997</v>
      </c>
      <c r="G1724" s="162">
        <v>1748.6949999999999</v>
      </c>
      <c r="H1724" s="163">
        <v>6.9</v>
      </c>
      <c r="I1724" s="16">
        <v>1.9E-2</v>
      </c>
      <c r="J1724" s="164">
        <v>7.7329999999999997</v>
      </c>
      <c r="K1724" s="165">
        <v>42.744999999999997</v>
      </c>
      <c r="L1724" s="13">
        <v>5.5449999999999999</v>
      </c>
      <c r="M1724" s="166">
        <v>1.0999999999999999E-2</v>
      </c>
      <c r="N1724" s="15">
        <v>56.734000000000002</v>
      </c>
      <c r="O1724" s="167">
        <v>6.9000000000000006E-2</v>
      </c>
      <c r="P1724" s="96"/>
      <c r="Q1724" s="93"/>
      <c r="R1724" s="93"/>
      <c r="S1724" s="93"/>
      <c r="T1724" s="93"/>
    </row>
    <row r="1725" spans="1:20" ht="14.25" customHeight="1" x14ac:dyDescent="0.35">
      <c r="A1725" s="1">
        <v>2020</v>
      </c>
      <c r="B1725" s="1" t="s">
        <v>31</v>
      </c>
      <c r="C1725" s="1">
        <v>18</v>
      </c>
      <c r="D1725" s="49">
        <v>105.53100000000001</v>
      </c>
      <c r="E1725" s="50">
        <v>89.968999999999994</v>
      </c>
      <c r="F1725" s="161">
        <v>84.174000000000007</v>
      </c>
      <c r="G1725" s="162">
        <v>1734.4590000000001</v>
      </c>
      <c r="H1725" s="163">
        <v>6.899</v>
      </c>
      <c r="I1725" s="16">
        <v>1.9E-2</v>
      </c>
      <c r="J1725" s="164">
        <v>7.7960000000000003</v>
      </c>
      <c r="K1725" s="162">
        <v>41.631</v>
      </c>
      <c r="L1725" s="163">
        <v>5.5259999999999998</v>
      </c>
      <c r="M1725" s="166">
        <v>1.0999999999999999E-2</v>
      </c>
      <c r="N1725" s="15">
        <v>58.720999999999997</v>
      </c>
      <c r="O1725" s="167">
        <v>6.5000000000000002E-2</v>
      </c>
      <c r="P1725" s="96"/>
      <c r="Q1725" s="93"/>
      <c r="R1725" s="93"/>
      <c r="S1725" s="93"/>
      <c r="T1725" s="93"/>
    </row>
    <row r="1726" spans="1:20" ht="14.25" customHeight="1" x14ac:dyDescent="0.35">
      <c r="A1726" s="1">
        <v>2020</v>
      </c>
      <c r="B1726" s="1" t="s">
        <v>31</v>
      </c>
      <c r="C1726" s="1">
        <v>19</v>
      </c>
      <c r="D1726" s="49">
        <v>105.438</v>
      </c>
      <c r="E1726" s="50">
        <v>89.938000000000002</v>
      </c>
      <c r="F1726" s="161">
        <v>83.942999999999998</v>
      </c>
      <c r="G1726" s="162">
        <v>1692.6859999999999</v>
      </c>
      <c r="H1726" s="163">
        <v>6.9</v>
      </c>
      <c r="I1726" s="16">
        <v>1.7999999999999999E-2</v>
      </c>
      <c r="J1726" s="164">
        <v>7.9779999999999998</v>
      </c>
      <c r="K1726" s="165">
        <v>40.35</v>
      </c>
      <c r="L1726" s="13">
        <v>5.4909999999999997</v>
      </c>
      <c r="M1726" s="166">
        <v>1.0999999999999999E-2</v>
      </c>
      <c r="N1726" s="15">
        <v>63.884</v>
      </c>
      <c r="O1726" s="167">
        <v>6.5000000000000002E-2</v>
      </c>
      <c r="P1726" s="96"/>
      <c r="Q1726" s="93"/>
      <c r="R1726" s="93"/>
      <c r="S1726" s="93"/>
      <c r="T1726" s="93"/>
    </row>
    <row r="1727" spans="1:20" ht="14.25" customHeight="1" x14ac:dyDescent="0.35">
      <c r="A1727" s="1">
        <v>2020</v>
      </c>
      <c r="B1727" s="1" t="s">
        <v>31</v>
      </c>
      <c r="C1727" s="1">
        <v>20</v>
      </c>
      <c r="D1727" s="49">
        <v>103.563</v>
      </c>
      <c r="E1727" s="50">
        <v>88.25</v>
      </c>
      <c r="F1727" s="161">
        <v>83.768000000000001</v>
      </c>
      <c r="G1727" s="162">
        <v>1630.7339999999999</v>
      </c>
      <c r="H1727" s="163">
        <v>6.9</v>
      </c>
      <c r="I1727" s="16">
        <v>1.7000000000000001E-2</v>
      </c>
      <c r="J1727" s="164">
        <v>7.7619999999999996</v>
      </c>
      <c r="K1727" s="162">
        <v>40.409999999999997</v>
      </c>
      <c r="L1727" s="163">
        <v>5.4930000000000003</v>
      </c>
      <c r="M1727" s="166">
        <v>1.2E-2</v>
      </c>
      <c r="N1727" s="15">
        <v>63.326999999999998</v>
      </c>
      <c r="O1727" s="167">
        <v>6.5000000000000002E-2</v>
      </c>
      <c r="P1727" s="96"/>
      <c r="Q1727" s="93"/>
      <c r="R1727" s="93"/>
      <c r="S1727" s="93"/>
      <c r="T1727" s="93"/>
    </row>
    <row r="1728" spans="1:20" ht="14.25" customHeight="1" x14ac:dyDescent="0.35">
      <c r="A1728" s="1">
        <v>2020</v>
      </c>
      <c r="B1728" s="1" t="s">
        <v>31</v>
      </c>
      <c r="C1728" s="1">
        <v>21</v>
      </c>
      <c r="D1728" s="49">
        <v>103.938</v>
      </c>
      <c r="E1728" s="50">
        <v>88.563000000000002</v>
      </c>
      <c r="F1728" s="161">
        <v>83.463999999999999</v>
      </c>
      <c r="G1728" s="162">
        <v>1586.7</v>
      </c>
      <c r="H1728" s="163">
        <v>6.9</v>
      </c>
      <c r="I1728" s="16">
        <v>1.7000000000000001E-2</v>
      </c>
      <c r="J1728" s="164">
        <v>7.9349999999999996</v>
      </c>
      <c r="K1728" s="165">
        <v>38.456000000000003</v>
      </c>
      <c r="L1728" s="13">
        <v>5.508</v>
      </c>
      <c r="M1728" s="166">
        <v>1.0999999999999999E-2</v>
      </c>
      <c r="N1728" s="15">
        <v>61.137</v>
      </c>
      <c r="O1728" s="167">
        <v>6.2E-2</v>
      </c>
      <c r="P1728" s="96"/>
      <c r="Q1728" s="93"/>
      <c r="R1728" s="93"/>
      <c r="S1728" s="93"/>
      <c r="T1728" s="93"/>
    </row>
    <row r="1729" spans="1:20" ht="14.25" customHeight="1" x14ac:dyDescent="0.35">
      <c r="A1729" s="1">
        <v>2020</v>
      </c>
      <c r="B1729" s="1" t="s">
        <v>31</v>
      </c>
      <c r="C1729" s="1">
        <v>22</v>
      </c>
      <c r="D1729" s="49">
        <v>105.71899999999999</v>
      </c>
      <c r="E1729" s="50">
        <v>90</v>
      </c>
      <c r="F1729" s="161">
        <v>83.656000000000006</v>
      </c>
      <c r="G1729" s="162">
        <v>1685.405</v>
      </c>
      <c r="H1729" s="163">
        <v>6.9</v>
      </c>
      <c r="I1729" s="16">
        <v>1.7999999999999999E-2</v>
      </c>
      <c r="J1729" s="164">
        <v>8.26</v>
      </c>
      <c r="K1729" s="162">
        <v>41.314999999999998</v>
      </c>
      <c r="L1729" s="163">
        <v>5.5090000000000003</v>
      </c>
      <c r="M1729" s="166">
        <v>1.0999999999999999E-2</v>
      </c>
      <c r="N1729" s="15">
        <v>61.286999999999999</v>
      </c>
      <c r="O1729" s="167">
        <v>6.9000000000000006E-2</v>
      </c>
      <c r="P1729" s="96"/>
      <c r="Q1729" s="93"/>
      <c r="R1729" s="93"/>
      <c r="S1729" s="93"/>
      <c r="T1729" s="93"/>
    </row>
    <row r="1730" spans="1:20" ht="14.25" customHeight="1" x14ac:dyDescent="0.35">
      <c r="A1730" s="1">
        <v>2020</v>
      </c>
      <c r="B1730" s="1" t="s">
        <v>31</v>
      </c>
      <c r="C1730" s="1">
        <v>23</v>
      </c>
      <c r="D1730" s="49">
        <v>106.59399999999999</v>
      </c>
      <c r="E1730" s="50">
        <v>90.75</v>
      </c>
      <c r="F1730" s="161">
        <v>83.864000000000004</v>
      </c>
      <c r="G1730" s="162">
        <v>1687.7729999999999</v>
      </c>
      <c r="H1730" s="163">
        <v>6.9</v>
      </c>
      <c r="I1730" s="16">
        <v>1.7999999999999999E-2</v>
      </c>
      <c r="J1730" s="164">
        <v>8.1389999999999993</v>
      </c>
      <c r="K1730" s="165">
        <v>41.26</v>
      </c>
      <c r="L1730" s="13">
        <v>5.5170000000000003</v>
      </c>
      <c r="M1730" s="166">
        <v>1.2999999999999999E-2</v>
      </c>
      <c r="N1730" s="15">
        <v>60.063000000000002</v>
      </c>
      <c r="O1730" s="167">
        <v>6.8000000000000005E-2</v>
      </c>
      <c r="P1730" s="96"/>
      <c r="Q1730" s="93"/>
      <c r="R1730" s="93"/>
      <c r="S1730" s="93"/>
      <c r="T1730" s="93"/>
    </row>
    <row r="1731" spans="1:20" ht="14.25" customHeight="1" x14ac:dyDescent="0.35">
      <c r="A1731" s="1">
        <v>2020</v>
      </c>
      <c r="B1731" s="1" t="s">
        <v>31</v>
      </c>
      <c r="C1731" s="1">
        <v>24</v>
      </c>
      <c r="D1731" s="49">
        <v>111.328</v>
      </c>
      <c r="E1731" s="50">
        <v>94.843999999999994</v>
      </c>
      <c r="F1731" s="161">
        <v>84.034000000000006</v>
      </c>
      <c r="G1731" s="162">
        <v>1703.9929999999999</v>
      </c>
      <c r="H1731" s="163">
        <v>6.9</v>
      </c>
      <c r="I1731" s="16">
        <v>1.7999999999999999E-2</v>
      </c>
      <c r="J1731" s="164">
        <v>8.1539999999999999</v>
      </c>
      <c r="K1731" s="162">
        <v>41.2</v>
      </c>
      <c r="L1731" s="163">
        <v>5.5129999999999999</v>
      </c>
      <c r="M1731" s="166">
        <v>1.0999999999999999E-2</v>
      </c>
      <c r="N1731" s="15">
        <v>60.5</v>
      </c>
      <c r="O1731" s="167">
        <v>7.0000000000000007E-2</v>
      </c>
      <c r="P1731" s="96"/>
      <c r="Q1731" s="93"/>
      <c r="R1731" s="93"/>
      <c r="S1731" s="93"/>
      <c r="T1731" s="93"/>
    </row>
    <row r="1732" spans="1:20" ht="14.25" customHeight="1" x14ac:dyDescent="0.35">
      <c r="A1732" s="1">
        <v>2020</v>
      </c>
      <c r="B1732" s="1" t="s">
        <v>31</v>
      </c>
      <c r="C1732" s="1">
        <v>25</v>
      </c>
      <c r="D1732" s="49">
        <v>110.39100000000001</v>
      </c>
      <c r="E1732" s="50">
        <v>93.968999999999994</v>
      </c>
      <c r="F1732" s="161">
        <v>83.849000000000004</v>
      </c>
      <c r="G1732" s="162">
        <v>1707.729</v>
      </c>
      <c r="H1732" s="163">
        <v>6.9</v>
      </c>
      <c r="I1732" s="16">
        <v>1.7999999999999999E-2</v>
      </c>
      <c r="J1732" s="164">
        <v>7.9859999999999998</v>
      </c>
      <c r="K1732" s="165">
        <v>40.561</v>
      </c>
      <c r="L1732" s="13">
        <v>5.5330000000000004</v>
      </c>
      <c r="M1732" s="166">
        <v>1.0999999999999999E-2</v>
      </c>
      <c r="N1732" s="15">
        <v>58.222000000000001</v>
      </c>
      <c r="O1732" s="167">
        <v>6.5000000000000002E-2</v>
      </c>
      <c r="P1732" s="96"/>
      <c r="Q1732" s="93"/>
      <c r="R1732" s="93"/>
      <c r="S1732" s="93"/>
      <c r="T1732" s="93"/>
    </row>
    <row r="1733" spans="1:20" ht="14.25" customHeight="1" x14ac:dyDescent="0.35">
      <c r="A1733" s="1">
        <v>2020</v>
      </c>
      <c r="B1733" s="1" t="s">
        <v>31</v>
      </c>
      <c r="C1733" s="1">
        <v>26</v>
      </c>
      <c r="D1733" s="49">
        <v>106.75</v>
      </c>
      <c r="E1733" s="50">
        <v>90.843999999999994</v>
      </c>
      <c r="F1733" s="161">
        <v>83.879000000000005</v>
      </c>
      <c r="G1733" s="162">
        <v>1669.7460000000001</v>
      </c>
      <c r="H1733" s="163">
        <v>6.9</v>
      </c>
      <c r="I1733" s="16">
        <v>1.7000000000000001E-2</v>
      </c>
      <c r="J1733" s="164">
        <v>7.88</v>
      </c>
      <c r="K1733" s="162">
        <v>38.840000000000003</v>
      </c>
      <c r="L1733" s="163">
        <v>5.5270000000000001</v>
      </c>
      <c r="M1733" s="166">
        <v>1.0999999999999999E-2</v>
      </c>
      <c r="N1733" s="15">
        <v>58.546999999999997</v>
      </c>
      <c r="O1733" s="167">
        <v>6.4000000000000001E-2</v>
      </c>
      <c r="P1733" s="96"/>
      <c r="Q1733" s="93"/>
      <c r="R1733" s="93"/>
      <c r="S1733" s="93"/>
      <c r="T1733" s="93"/>
    </row>
    <row r="1734" spans="1:20" ht="14.25" customHeight="1" x14ac:dyDescent="0.35">
      <c r="A1734" s="1">
        <v>2020</v>
      </c>
      <c r="B1734" s="1" t="s">
        <v>31</v>
      </c>
      <c r="C1734" s="1">
        <v>27</v>
      </c>
      <c r="D1734" s="49">
        <v>105.547</v>
      </c>
      <c r="E1734" s="50">
        <v>89.813000000000002</v>
      </c>
      <c r="F1734" s="161">
        <v>83.698999999999998</v>
      </c>
      <c r="G1734" s="162">
        <v>1578.3720000000001</v>
      </c>
      <c r="H1734" s="163">
        <v>6.9</v>
      </c>
      <c r="I1734" s="16">
        <v>1.7000000000000001E-2</v>
      </c>
      <c r="J1734" s="164">
        <v>7.6369999999999996</v>
      </c>
      <c r="K1734" s="165">
        <v>36.097000000000001</v>
      </c>
      <c r="L1734" s="13">
        <v>5.5270000000000001</v>
      </c>
      <c r="M1734" s="166">
        <v>1.0999999999999999E-2</v>
      </c>
      <c r="N1734" s="15">
        <v>58.591000000000001</v>
      </c>
      <c r="O1734" s="167">
        <v>0.06</v>
      </c>
      <c r="P1734" s="96"/>
      <c r="Q1734" s="93"/>
      <c r="R1734" s="93"/>
      <c r="S1734" s="93"/>
      <c r="T1734" s="93"/>
    </row>
    <row r="1735" spans="1:20" ht="14.25" customHeight="1" x14ac:dyDescent="0.35">
      <c r="A1735" s="1">
        <v>2020</v>
      </c>
      <c r="B1735" s="1" t="s">
        <v>31</v>
      </c>
      <c r="C1735" s="1">
        <v>28</v>
      </c>
      <c r="D1735" s="49">
        <v>105.59399999999999</v>
      </c>
      <c r="E1735" s="50">
        <v>89.968999999999994</v>
      </c>
      <c r="F1735" s="161">
        <v>83.92</v>
      </c>
      <c r="G1735" s="162">
        <v>1542.9390000000001</v>
      </c>
      <c r="H1735" s="163">
        <v>6.9</v>
      </c>
      <c r="I1735" s="16">
        <v>1.7000000000000001E-2</v>
      </c>
      <c r="J1735" s="164">
        <v>7.84</v>
      </c>
      <c r="K1735" s="162">
        <v>35.709000000000003</v>
      </c>
      <c r="L1735" s="163">
        <v>5.54</v>
      </c>
      <c r="M1735" s="166">
        <v>1.0999999999999999E-2</v>
      </c>
      <c r="N1735" s="15">
        <v>57.164000000000001</v>
      </c>
      <c r="O1735" s="167">
        <v>0.06</v>
      </c>
      <c r="P1735" s="96"/>
      <c r="Q1735" s="93"/>
      <c r="R1735" s="93"/>
      <c r="S1735" s="93"/>
      <c r="T1735" s="93"/>
    </row>
    <row r="1736" spans="1:20" ht="14.25" customHeight="1" x14ac:dyDescent="0.35">
      <c r="A1736" s="1">
        <v>2020</v>
      </c>
      <c r="B1736" s="1" t="s">
        <v>31</v>
      </c>
      <c r="C1736" s="1">
        <v>29</v>
      </c>
      <c r="D1736" s="49">
        <v>105.578</v>
      </c>
      <c r="E1736" s="50">
        <v>90.031000000000006</v>
      </c>
      <c r="F1736" s="187">
        <v>84.141999999999996</v>
      </c>
      <c r="G1736" s="22">
        <v>1648.165</v>
      </c>
      <c r="H1736" s="13">
        <v>6.9</v>
      </c>
      <c r="I1736" s="166">
        <v>1.7000000000000001E-2</v>
      </c>
      <c r="J1736" s="188">
        <v>8.0619999999999994</v>
      </c>
      <c r="K1736" s="162">
        <v>37.781999999999996</v>
      </c>
      <c r="L1736" s="163">
        <v>5.5279999999999996</v>
      </c>
      <c r="M1736" s="166">
        <v>1.0999999999999999E-2</v>
      </c>
      <c r="N1736" s="15">
        <v>58.875999999999998</v>
      </c>
      <c r="O1736" s="227">
        <v>6.7000000000000004E-2</v>
      </c>
      <c r="P1736" s="96"/>
      <c r="Q1736" s="93"/>
      <c r="R1736" s="93"/>
      <c r="S1736" s="93"/>
      <c r="T1736" s="93"/>
    </row>
    <row r="1737" spans="1:20" ht="14.25" customHeight="1" x14ac:dyDescent="0.35">
      <c r="A1737" s="1">
        <v>2020</v>
      </c>
      <c r="B1737" s="1" t="s">
        <v>31</v>
      </c>
      <c r="C1737" s="1">
        <v>30</v>
      </c>
      <c r="D1737" s="104">
        <v>108.21899999999999</v>
      </c>
      <c r="E1737" s="105">
        <v>92.188000000000002</v>
      </c>
      <c r="F1737" s="187">
        <v>84.647999999999996</v>
      </c>
      <c r="G1737" s="22">
        <v>1697.26</v>
      </c>
      <c r="H1737" s="13">
        <v>6.9</v>
      </c>
      <c r="I1737" s="166">
        <v>1.7000000000000001E-2</v>
      </c>
      <c r="J1737" s="188">
        <v>8.1470000000000002</v>
      </c>
      <c r="K1737" s="162">
        <v>38.454000000000001</v>
      </c>
      <c r="L1737" s="163">
        <v>5.5129999999999999</v>
      </c>
      <c r="M1737" s="166">
        <v>1.0999999999999999E-2</v>
      </c>
      <c r="N1737" s="15">
        <v>60.829000000000001</v>
      </c>
      <c r="O1737" s="227">
        <v>6.8000000000000005E-2</v>
      </c>
      <c r="P1737" s="96"/>
      <c r="Q1737" s="93"/>
      <c r="R1737" s="93"/>
      <c r="S1737" s="93"/>
      <c r="T1737" s="93"/>
    </row>
    <row r="1738" spans="1:20" ht="14.25" customHeight="1" x14ac:dyDescent="0.35">
      <c r="A1738" s="1">
        <v>2020</v>
      </c>
      <c r="B1738" s="1" t="s">
        <v>32</v>
      </c>
      <c r="C1738" s="1">
        <v>1</v>
      </c>
      <c r="D1738" s="12">
        <v>108.422</v>
      </c>
      <c r="E1738" s="13">
        <v>92.313000000000002</v>
      </c>
      <c r="F1738" s="156">
        <v>84.67</v>
      </c>
      <c r="G1738" s="157">
        <v>1725.2239999999999</v>
      </c>
      <c r="H1738" s="44">
        <v>6.9</v>
      </c>
      <c r="I1738" s="45">
        <v>1.7000000000000001E-2</v>
      </c>
      <c r="J1738" s="158">
        <v>8.2609999999999992</v>
      </c>
      <c r="K1738" s="157">
        <v>39.531999999999996</v>
      </c>
      <c r="L1738" s="45">
        <v>5.5019999999999998</v>
      </c>
      <c r="M1738" s="159">
        <v>1.0999999999999999E-2</v>
      </c>
      <c r="N1738" s="15">
        <v>62.384</v>
      </c>
      <c r="O1738" s="160">
        <v>6.9000000000000006E-2</v>
      </c>
      <c r="P1738" s="96"/>
      <c r="Q1738" s="93"/>
      <c r="R1738" s="93"/>
      <c r="S1738" s="93"/>
      <c r="T1738" s="93"/>
    </row>
    <row r="1739" spans="1:20" ht="14.25" customHeight="1" x14ac:dyDescent="0.35">
      <c r="A1739" s="1">
        <v>2020</v>
      </c>
      <c r="B1739" s="1" t="s">
        <v>32</v>
      </c>
      <c r="C1739" s="1">
        <v>2</v>
      </c>
      <c r="D1739" s="12">
        <v>105.703</v>
      </c>
      <c r="E1739" s="13">
        <v>90</v>
      </c>
      <c r="F1739" s="161">
        <v>84.513999999999996</v>
      </c>
      <c r="G1739" s="162">
        <v>1718.7180000000001</v>
      </c>
      <c r="H1739" s="163">
        <v>6.9</v>
      </c>
      <c r="I1739" s="16">
        <v>1.7999999999999999E-2</v>
      </c>
      <c r="J1739" s="164">
        <v>7.96</v>
      </c>
      <c r="K1739" s="165">
        <v>42.344000000000001</v>
      </c>
      <c r="L1739" s="13">
        <v>5.49</v>
      </c>
      <c r="M1739" s="166">
        <v>1.2999999999999999E-2</v>
      </c>
      <c r="N1739" s="15">
        <v>63.542999999999999</v>
      </c>
      <c r="O1739" s="167">
        <v>6.6000000000000003E-2</v>
      </c>
      <c r="P1739" s="96"/>
      <c r="Q1739" s="93"/>
      <c r="R1739" s="93"/>
      <c r="S1739" s="93"/>
      <c r="T1739" s="93"/>
    </row>
    <row r="1740" spans="1:20" ht="14.25" customHeight="1" x14ac:dyDescent="0.35">
      <c r="A1740" s="1">
        <v>2020</v>
      </c>
      <c r="B1740" s="1" t="s">
        <v>32</v>
      </c>
      <c r="C1740" s="1">
        <v>3</v>
      </c>
      <c r="D1740" s="12">
        <v>108.188</v>
      </c>
      <c r="E1740" s="13">
        <v>92.125</v>
      </c>
      <c r="F1740" s="161">
        <v>84.489000000000004</v>
      </c>
      <c r="G1740" s="162">
        <v>1683.597</v>
      </c>
      <c r="H1740" s="163">
        <v>6.9</v>
      </c>
      <c r="I1740" s="16">
        <v>1.7999999999999999E-2</v>
      </c>
      <c r="J1740" s="164">
        <v>8.1430000000000007</v>
      </c>
      <c r="K1740" s="165">
        <v>42.396000000000001</v>
      </c>
      <c r="L1740" s="13">
        <v>5.4539999999999997</v>
      </c>
      <c r="M1740" s="166">
        <v>1.2E-2</v>
      </c>
      <c r="N1740" s="15">
        <v>69.430000000000007</v>
      </c>
      <c r="O1740" s="167">
        <v>6.2E-2</v>
      </c>
      <c r="P1740" s="96"/>
      <c r="Q1740" s="93"/>
      <c r="R1740" s="93"/>
      <c r="S1740" s="93"/>
      <c r="T1740" s="93"/>
    </row>
    <row r="1741" spans="1:20" ht="14.25" customHeight="1" x14ac:dyDescent="0.35">
      <c r="A1741" s="1">
        <v>2020</v>
      </c>
      <c r="B1741" s="1" t="s">
        <v>32</v>
      </c>
      <c r="C1741" s="1">
        <v>4</v>
      </c>
      <c r="D1741" s="12">
        <v>106.25</v>
      </c>
      <c r="E1741" s="13">
        <v>90.438000000000002</v>
      </c>
      <c r="F1741" s="161">
        <v>84.444000000000003</v>
      </c>
      <c r="G1741" s="162">
        <v>1613.145</v>
      </c>
      <c r="H1741" s="163">
        <v>6.9</v>
      </c>
      <c r="I1741" s="16">
        <v>1.7000000000000001E-2</v>
      </c>
      <c r="J1741" s="164">
        <v>8.0129999999999999</v>
      </c>
      <c r="K1741" s="165">
        <v>40.877000000000002</v>
      </c>
      <c r="L1741" s="13">
        <v>5.4640000000000004</v>
      </c>
      <c r="M1741" s="166">
        <v>1.0999999999999999E-2</v>
      </c>
      <c r="N1741" s="15">
        <v>67.75</v>
      </c>
      <c r="O1741" s="167">
        <v>5.8000000000000003E-2</v>
      </c>
      <c r="P1741" s="96"/>
      <c r="Q1741" s="93"/>
      <c r="R1741" s="93"/>
      <c r="S1741" s="93"/>
      <c r="T1741" s="93"/>
    </row>
    <row r="1742" spans="1:20" ht="14.25" customHeight="1" x14ac:dyDescent="0.35">
      <c r="A1742" s="1">
        <v>2020</v>
      </c>
      <c r="B1742" s="1" t="s">
        <v>32</v>
      </c>
      <c r="C1742" s="1">
        <v>5</v>
      </c>
      <c r="D1742" s="12">
        <v>105.578</v>
      </c>
      <c r="E1742" s="13">
        <v>89.968999999999994</v>
      </c>
      <c r="F1742" s="161">
        <v>84.289000000000001</v>
      </c>
      <c r="G1742" s="162">
        <v>1570.107</v>
      </c>
      <c r="H1742" s="163">
        <v>6.9</v>
      </c>
      <c r="I1742" s="16">
        <v>1.7000000000000001E-2</v>
      </c>
      <c r="J1742" s="164">
        <v>8.15</v>
      </c>
      <c r="K1742" s="165">
        <v>39.448</v>
      </c>
      <c r="L1742" s="13">
        <v>5.4939999999999998</v>
      </c>
      <c r="M1742" s="166">
        <v>1.0999999999999999E-2</v>
      </c>
      <c r="N1742" s="15">
        <v>63.253</v>
      </c>
      <c r="O1742" s="167">
        <v>7.2999999999999995E-2</v>
      </c>
      <c r="P1742" s="96"/>
      <c r="Q1742" s="93"/>
      <c r="R1742" s="93"/>
      <c r="S1742" s="93"/>
      <c r="T1742" s="93"/>
    </row>
    <row r="1743" spans="1:20" ht="14.25" customHeight="1" x14ac:dyDescent="0.35">
      <c r="A1743" s="1">
        <v>2020</v>
      </c>
      <c r="B1743" s="1" t="s">
        <v>32</v>
      </c>
      <c r="C1743" s="1">
        <v>6</v>
      </c>
      <c r="D1743" s="12">
        <v>105.563</v>
      </c>
      <c r="E1743" s="13">
        <v>89.968999999999994</v>
      </c>
      <c r="F1743" s="161">
        <v>84.239000000000004</v>
      </c>
      <c r="G1743" s="162">
        <v>1654.6010000000001</v>
      </c>
      <c r="H1743" s="163">
        <v>6.9</v>
      </c>
      <c r="I1743" s="16">
        <v>1.7999999999999999E-2</v>
      </c>
      <c r="J1743" s="164">
        <v>8.2769999999999992</v>
      </c>
      <c r="K1743" s="165">
        <v>41.475999999999999</v>
      </c>
      <c r="L1743" s="13">
        <v>5.4889999999999999</v>
      </c>
      <c r="M1743" s="166">
        <v>1.0999999999999999E-2</v>
      </c>
      <c r="N1743" s="15">
        <v>64.040000000000006</v>
      </c>
      <c r="O1743" s="167">
        <v>6.9000000000000006E-2</v>
      </c>
      <c r="P1743" s="96"/>
      <c r="Q1743" s="93"/>
      <c r="R1743" s="93"/>
      <c r="S1743" s="93"/>
      <c r="T1743" s="93"/>
    </row>
    <row r="1744" spans="1:20" ht="14.25" customHeight="1" x14ac:dyDescent="0.35">
      <c r="A1744" s="1">
        <v>2020</v>
      </c>
      <c r="B1744" s="1" t="s">
        <v>32</v>
      </c>
      <c r="C1744" s="1">
        <v>7</v>
      </c>
      <c r="D1744" s="12">
        <v>106.60899999999999</v>
      </c>
      <c r="E1744" s="13">
        <v>90.938000000000002</v>
      </c>
      <c r="F1744" s="161">
        <v>84.025000000000006</v>
      </c>
      <c r="G1744" s="162">
        <v>1686.8879999999999</v>
      </c>
      <c r="H1744" s="163">
        <v>6.9</v>
      </c>
      <c r="I1744" s="16">
        <v>1.7999999999999999E-2</v>
      </c>
      <c r="J1744" s="164">
        <v>8.407</v>
      </c>
      <c r="K1744" s="165">
        <v>41.829000000000001</v>
      </c>
      <c r="L1744" s="13">
        <v>5.4790000000000001</v>
      </c>
      <c r="M1744" s="166">
        <v>1.0999999999999999E-2</v>
      </c>
      <c r="N1744" s="15">
        <v>65.474999999999994</v>
      </c>
      <c r="O1744" s="167">
        <v>6.7000000000000004E-2</v>
      </c>
      <c r="P1744" s="96"/>
      <c r="Q1744" s="93"/>
      <c r="R1744" s="93"/>
      <c r="S1744" s="93"/>
      <c r="T1744" s="93"/>
    </row>
    <row r="1745" spans="1:20" ht="14.25" customHeight="1" x14ac:dyDescent="0.35">
      <c r="A1745" s="1">
        <v>2020</v>
      </c>
      <c r="B1745" s="1" t="s">
        <v>32</v>
      </c>
      <c r="C1745" s="1">
        <v>8</v>
      </c>
      <c r="D1745" s="12">
        <v>107.15600000000001</v>
      </c>
      <c r="E1745" s="13">
        <v>91.343999999999994</v>
      </c>
      <c r="F1745" s="161">
        <v>83.804000000000002</v>
      </c>
      <c r="G1745" s="22">
        <v>1677.452</v>
      </c>
      <c r="H1745" s="163">
        <v>6.9</v>
      </c>
      <c r="I1745" s="16">
        <v>1.7999999999999999E-2</v>
      </c>
      <c r="J1745" s="168">
        <v>8.4160000000000004</v>
      </c>
      <c r="K1745" s="165">
        <v>40.219000000000001</v>
      </c>
      <c r="L1745" s="13">
        <v>5.4909999999999997</v>
      </c>
      <c r="M1745" s="166">
        <v>1.0999999999999999E-2</v>
      </c>
      <c r="N1745" s="15">
        <v>63.795000000000002</v>
      </c>
      <c r="O1745" s="192">
        <v>6.9000000000000006E-2</v>
      </c>
      <c r="P1745" s="96"/>
      <c r="Q1745" s="93"/>
      <c r="R1745" s="93"/>
      <c r="S1745" s="93"/>
      <c r="T1745" s="93"/>
    </row>
    <row r="1746" spans="1:20" ht="14.25" customHeight="1" x14ac:dyDescent="0.35">
      <c r="A1746" s="1">
        <v>2020</v>
      </c>
      <c r="B1746" s="1" t="s">
        <v>32</v>
      </c>
      <c r="C1746" s="1">
        <v>9</v>
      </c>
      <c r="D1746" s="12">
        <v>105.53100000000001</v>
      </c>
      <c r="E1746" s="13">
        <v>90.031000000000006</v>
      </c>
      <c r="F1746" s="161">
        <v>83.930999999999997</v>
      </c>
      <c r="G1746" s="162">
        <v>1654.6</v>
      </c>
      <c r="H1746" s="163">
        <v>6.9009999999999998</v>
      </c>
      <c r="I1746" s="16">
        <v>1.7999999999999999E-2</v>
      </c>
      <c r="J1746" s="164">
        <v>8.423</v>
      </c>
      <c r="K1746" s="165">
        <v>37.478999999999999</v>
      </c>
      <c r="L1746" s="13">
        <v>5.5410000000000004</v>
      </c>
      <c r="M1746" s="166">
        <v>1.0999999999999999E-2</v>
      </c>
      <c r="N1746" s="15">
        <v>56.978999999999999</v>
      </c>
      <c r="O1746" s="167">
        <v>7.0000000000000007E-2</v>
      </c>
      <c r="P1746" s="96"/>
      <c r="Q1746" s="93"/>
      <c r="R1746" s="93"/>
      <c r="S1746" s="93"/>
      <c r="T1746" s="93"/>
    </row>
    <row r="1747" spans="1:20" ht="14.25" customHeight="1" x14ac:dyDescent="0.35">
      <c r="A1747" s="1">
        <v>2020</v>
      </c>
      <c r="B1747" s="1" t="s">
        <v>32</v>
      </c>
      <c r="C1747" s="1">
        <v>10</v>
      </c>
      <c r="D1747" s="12">
        <v>104.688</v>
      </c>
      <c r="E1747" s="13">
        <v>89.25</v>
      </c>
      <c r="F1747" s="169">
        <v>83.385000000000005</v>
      </c>
      <c r="G1747" s="162">
        <v>1655.9179999999999</v>
      </c>
      <c r="H1747" s="163">
        <v>6.9050000000000002</v>
      </c>
      <c r="I1747" s="16">
        <v>1.7999999999999999E-2</v>
      </c>
      <c r="J1747" s="170">
        <v>8.3160000000000007</v>
      </c>
      <c r="K1747" s="165">
        <v>36.216999999999999</v>
      </c>
      <c r="L1747" s="13">
        <v>5.5629999999999997</v>
      </c>
      <c r="M1747" s="171">
        <v>1.0999999999999999E-2</v>
      </c>
      <c r="N1747" s="15">
        <v>53.871000000000002</v>
      </c>
      <c r="O1747" s="172">
        <v>6.8000000000000005E-2</v>
      </c>
      <c r="P1747" s="96"/>
      <c r="Q1747" s="93"/>
      <c r="R1747" s="93"/>
      <c r="S1747" s="93"/>
      <c r="T1747" s="93"/>
    </row>
    <row r="1748" spans="1:20" ht="14.25" customHeight="1" x14ac:dyDescent="0.35">
      <c r="A1748" s="1">
        <v>2020</v>
      </c>
      <c r="B1748" s="1" t="s">
        <v>32</v>
      </c>
      <c r="C1748" s="1">
        <v>11</v>
      </c>
      <c r="D1748" s="12">
        <v>105.313</v>
      </c>
      <c r="E1748" s="13">
        <v>89.843999999999994</v>
      </c>
      <c r="F1748" s="169">
        <v>83.394000000000005</v>
      </c>
      <c r="G1748" s="162">
        <v>1592.3320000000001</v>
      </c>
      <c r="H1748" s="163">
        <v>6.9009999999999998</v>
      </c>
      <c r="I1748" s="16">
        <v>1.7000000000000001E-2</v>
      </c>
      <c r="J1748" s="170">
        <v>8.0719999999999992</v>
      </c>
      <c r="K1748" s="165">
        <v>34.209000000000003</v>
      </c>
      <c r="L1748" s="13">
        <v>5.556</v>
      </c>
      <c r="M1748" s="171">
        <v>1.0999999999999999E-2</v>
      </c>
      <c r="N1748" s="15">
        <v>54.633000000000003</v>
      </c>
      <c r="O1748" s="172">
        <v>6.2E-2</v>
      </c>
      <c r="P1748" s="96"/>
      <c r="Q1748" s="93"/>
      <c r="R1748" s="93"/>
      <c r="S1748" s="93"/>
      <c r="T1748" s="93"/>
    </row>
    <row r="1749" spans="1:20" ht="14.25" customHeight="1" x14ac:dyDescent="0.35">
      <c r="A1749" s="1">
        <v>2020</v>
      </c>
      <c r="B1749" s="1" t="s">
        <v>32</v>
      </c>
      <c r="C1749" s="1">
        <v>12</v>
      </c>
      <c r="D1749" s="12">
        <v>106.578</v>
      </c>
      <c r="E1749" s="13">
        <v>90.906000000000006</v>
      </c>
      <c r="F1749" s="169">
        <v>83.697999999999993</v>
      </c>
      <c r="G1749" s="162">
        <v>1552.1420000000001</v>
      </c>
      <c r="H1749" s="163">
        <v>6.9</v>
      </c>
      <c r="I1749" s="16">
        <v>1.7000000000000001E-2</v>
      </c>
      <c r="J1749" s="170">
        <v>8.08</v>
      </c>
      <c r="K1749" s="165">
        <v>33.311</v>
      </c>
      <c r="L1749" s="13">
        <v>5.57</v>
      </c>
      <c r="M1749" s="171">
        <v>1.0999999999999999E-2</v>
      </c>
      <c r="N1749" s="15">
        <v>53.136000000000003</v>
      </c>
      <c r="O1749" s="172">
        <v>5.8000000000000003E-2</v>
      </c>
      <c r="P1749" s="96"/>
      <c r="Q1749" s="93"/>
      <c r="R1749" s="93"/>
      <c r="S1749" s="93"/>
      <c r="T1749" s="93"/>
    </row>
    <row r="1750" spans="1:20" ht="14.25" customHeight="1" x14ac:dyDescent="0.35">
      <c r="A1750" s="1">
        <v>2020</v>
      </c>
      <c r="B1750" s="1" t="s">
        <v>32</v>
      </c>
      <c r="C1750" s="1">
        <v>13</v>
      </c>
      <c r="D1750" s="12">
        <v>111.375</v>
      </c>
      <c r="E1750" s="13">
        <v>95</v>
      </c>
      <c r="F1750" s="173">
        <v>84.007999999999996</v>
      </c>
      <c r="G1750" s="162">
        <v>1629.982</v>
      </c>
      <c r="H1750" s="163">
        <v>6.9</v>
      </c>
      <c r="I1750" s="16">
        <v>1.7999999999999999E-2</v>
      </c>
      <c r="J1750" s="174">
        <v>8.0809999999999995</v>
      </c>
      <c r="K1750" s="165">
        <v>34.777999999999999</v>
      </c>
      <c r="L1750" s="13">
        <v>5.5549999999999997</v>
      </c>
      <c r="M1750" s="166">
        <v>1.0999999999999999E-2</v>
      </c>
      <c r="N1750" s="15">
        <v>54.914000000000001</v>
      </c>
      <c r="O1750" s="175">
        <v>6.2E-2</v>
      </c>
      <c r="P1750" s="96"/>
      <c r="Q1750" s="93"/>
      <c r="R1750" s="93"/>
      <c r="S1750" s="93"/>
      <c r="T1750" s="93"/>
    </row>
    <row r="1751" spans="1:20" ht="14.25" customHeight="1" x14ac:dyDescent="0.35">
      <c r="A1751" s="1">
        <v>2020</v>
      </c>
      <c r="B1751" s="1" t="s">
        <v>32</v>
      </c>
      <c r="C1751" s="1">
        <v>14</v>
      </c>
      <c r="D1751" s="12">
        <v>107.203</v>
      </c>
      <c r="E1751" s="13">
        <v>91.438000000000002</v>
      </c>
      <c r="F1751" s="161">
        <v>84.027000000000001</v>
      </c>
      <c r="G1751" s="162">
        <v>1689.175</v>
      </c>
      <c r="H1751" s="163">
        <v>6.9</v>
      </c>
      <c r="I1751" s="16">
        <v>1.7999999999999999E-2</v>
      </c>
      <c r="J1751" s="174">
        <v>7.9009999999999998</v>
      </c>
      <c r="K1751" s="176">
        <v>36.496000000000002</v>
      </c>
      <c r="L1751" s="13">
        <v>5.5430000000000001</v>
      </c>
      <c r="M1751" s="166">
        <v>1.0999999999999999E-2</v>
      </c>
      <c r="N1751" s="15">
        <v>56.521000000000001</v>
      </c>
      <c r="O1751" s="175">
        <v>6.7000000000000004E-2</v>
      </c>
      <c r="P1751" s="96"/>
      <c r="Q1751" s="93"/>
      <c r="R1751" s="93"/>
      <c r="S1751" s="93"/>
      <c r="T1751" s="93"/>
    </row>
    <row r="1752" spans="1:20" ht="14.25" customHeight="1" x14ac:dyDescent="0.35">
      <c r="A1752" s="1">
        <v>2020</v>
      </c>
      <c r="B1752" s="1" t="s">
        <v>32</v>
      </c>
      <c r="C1752" s="1">
        <v>15</v>
      </c>
      <c r="D1752" s="12">
        <v>108.59399999999999</v>
      </c>
      <c r="E1752" s="13">
        <v>92.593999999999994</v>
      </c>
      <c r="F1752" s="161">
        <v>84.122</v>
      </c>
      <c r="G1752" s="162">
        <v>1666.203</v>
      </c>
      <c r="H1752" s="163">
        <v>6.9</v>
      </c>
      <c r="I1752" s="16">
        <v>1.7999999999999999E-2</v>
      </c>
      <c r="J1752" s="170">
        <v>7.76</v>
      </c>
      <c r="K1752" s="165">
        <v>36.442</v>
      </c>
      <c r="L1752" s="13">
        <v>5.56</v>
      </c>
      <c r="M1752" s="166">
        <v>1.0999999999999999E-2</v>
      </c>
      <c r="N1752" s="15">
        <v>54.241999999999997</v>
      </c>
      <c r="O1752" s="172">
        <v>6.5000000000000002E-2</v>
      </c>
      <c r="P1752" s="96"/>
      <c r="Q1752" s="93"/>
      <c r="R1752" s="93"/>
      <c r="S1752" s="93"/>
      <c r="T1752" s="93"/>
    </row>
    <row r="1753" spans="1:20" ht="14.25" customHeight="1" x14ac:dyDescent="0.35">
      <c r="A1753" s="1">
        <v>2020</v>
      </c>
      <c r="B1753" s="1" t="s">
        <v>32</v>
      </c>
      <c r="C1753" s="1">
        <v>16</v>
      </c>
      <c r="D1753" s="12">
        <v>111.34399999999999</v>
      </c>
      <c r="E1753" s="13">
        <v>95.031000000000006</v>
      </c>
      <c r="F1753" s="161">
        <v>84.177000000000007</v>
      </c>
      <c r="G1753" s="162">
        <v>1680.7570000000001</v>
      </c>
      <c r="H1753" s="163">
        <v>6.9</v>
      </c>
      <c r="I1753" s="16">
        <v>1.7999999999999999E-2</v>
      </c>
      <c r="J1753" s="174">
        <v>7.5810000000000004</v>
      </c>
      <c r="K1753" s="162">
        <v>35.978999999999999</v>
      </c>
      <c r="L1753" s="163">
        <v>5.4969999999999999</v>
      </c>
      <c r="M1753" s="166">
        <v>1.0999999999999999E-2</v>
      </c>
      <c r="N1753" s="15">
        <v>62.634999999999998</v>
      </c>
      <c r="O1753" s="175">
        <v>6.3E-2</v>
      </c>
      <c r="P1753" s="96"/>
      <c r="Q1753" s="93"/>
      <c r="R1753" s="93"/>
      <c r="S1753" s="93"/>
      <c r="T1753" s="93"/>
    </row>
    <row r="1754" spans="1:20" ht="14.25" customHeight="1" x14ac:dyDescent="0.35">
      <c r="A1754" s="1">
        <v>2020</v>
      </c>
      <c r="B1754" s="1" t="s">
        <v>32</v>
      </c>
      <c r="C1754" s="1">
        <v>17</v>
      </c>
      <c r="D1754" s="12">
        <v>107.84399999999999</v>
      </c>
      <c r="E1754" s="13">
        <v>91.906000000000006</v>
      </c>
      <c r="F1754" s="161">
        <v>83.962999999999994</v>
      </c>
      <c r="G1754" s="162">
        <v>1659.47</v>
      </c>
      <c r="H1754" s="163">
        <v>6.9</v>
      </c>
      <c r="I1754" s="16">
        <v>1.7999999999999999E-2</v>
      </c>
      <c r="J1754" s="164">
        <v>7.4909999999999997</v>
      </c>
      <c r="K1754" s="165">
        <v>35.601999999999997</v>
      </c>
      <c r="L1754" s="13">
        <v>5.4420000000000002</v>
      </c>
      <c r="M1754" s="166">
        <v>1.0999999999999999E-2</v>
      </c>
      <c r="N1754" s="15">
        <v>71.397000000000006</v>
      </c>
      <c r="O1754" s="167">
        <v>6.7000000000000004E-2</v>
      </c>
      <c r="P1754" s="96"/>
      <c r="Q1754" s="93"/>
      <c r="R1754" s="93"/>
      <c r="S1754" s="93"/>
      <c r="T1754" s="93"/>
    </row>
    <row r="1755" spans="1:20" ht="14.25" customHeight="1" x14ac:dyDescent="0.35">
      <c r="A1755" s="1">
        <v>2020</v>
      </c>
      <c r="B1755" s="1" t="s">
        <v>32</v>
      </c>
      <c r="C1755" s="1">
        <v>18</v>
      </c>
      <c r="D1755" s="12">
        <v>105.688</v>
      </c>
      <c r="E1755" s="13">
        <v>89.938000000000002</v>
      </c>
      <c r="F1755" s="161">
        <v>83.864999999999995</v>
      </c>
      <c r="G1755" s="162">
        <v>1566.2639999999999</v>
      </c>
      <c r="H1755" s="163">
        <v>6.9</v>
      </c>
      <c r="I1755" s="16">
        <v>1.7000000000000001E-2</v>
      </c>
      <c r="J1755" s="164">
        <v>7.3230000000000004</v>
      </c>
      <c r="K1755" s="162">
        <v>33.192999999999998</v>
      </c>
      <c r="L1755" s="163">
        <v>5.4349999999999996</v>
      </c>
      <c r="M1755" s="166">
        <v>1.0999999999999999E-2</v>
      </c>
      <c r="N1755" s="15">
        <v>72.266999999999996</v>
      </c>
      <c r="O1755" s="167">
        <v>0.06</v>
      </c>
      <c r="P1755" s="96"/>
      <c r="Q1755" s="93"/>
      <c r="R1755" s="93"/>
      <c r="S1755" s="93"/>
      <c r="T1755" s="93"/>
    </row>
    <row r="1756" spans="1:20" ht="14.25" customHeight="1" x14ac:dyDescent="0.35">
      <c r="A1756" s="1">
        <v>2020</v>
      </c>
      <c r="B1756" s="1" t="s">
        <v>32</v>
      </c>
      <c r="C1756" s="1">
        <v>19</v>
      </c>
      <c r="D1756" s="12">
        <v>105.625</v>
      </c>
      <c r="E1756" s="13">
        <v>89.968999999999994</v>
      </c>
      <c r="F1756" s="161">
        <v>83.683999999999997</v>
      </c>
      <c r="G1756" s="162">
        <v>1554.3620000000001</v>
      </c>
      <c r="H1756" s="163">
        <v>6.9</v>
      </c>
      <c r="I1756" s="16">
        <v>1.7999999999999999E-2</v>
      </c>
      <c r="J1756" s="164">
        <v>7.75</v>
      </c>
      <c r="K1756" s="165">
        <v>32.843000000000004</v>
      </c>
      <c r="L1756" s="13">
        <v>5.4509999999999996</v>
      </c>
      <c r="M1756" s="166">
        <v>2.1999999999999999E-2</v>
      </c>
      <c r="N1756" s="15">
        <v>69.751000000000005</v>
      </c>
      <c r="O1756" s="167">
        <v>5.7000000000000002E-2</v>
      </c>
      <c r="P1756" s="96"/>
      <c r="Q1756" s="93"/>
      <c r="R1756" s="93"/>
      <c r="S1756" s="93"/>
      <c r="T1756" s="93"/>
    </row>
    <row r="1757" spans="1:20" ht="14.25" customHeight="1" x14ac:dyDescent="0.35">
      <c r="A1757" s="1">
        <v>2020</v>
      </c>
      <c r="B1757" s="1" t="s">
        <v>32</v>
      </c>
      <c r="C1757" s="1">
        <v>20</v>
      </c>
      <c r="D1757" s="12">
        <v>105.297</v>
      </c>
      <c r="E1757" s="13">
        <v>89.438000000000002</v>
      </c>
      <c r="F1757" s="161">
        <v>83.753</v>
      </c>
      <c r="G1757" s="162">
        <v>1655.367</v>
      </c>
      <c r="H1757" s="163">
        <v>6.9</v>
      </c>
      <c r="I1757" s="16">
        <v>1.7000000000000001E-2</v>
      </c>
      <c r="J1757" s="164">
        <v>7.7229999999999999</v>
      </c>
      <c r="K1757" s="162">
        <v>34.137999999999998</v>
      </c>
      <c r="L1757" s="163">
        <v>5.4370000000000003</v>
      </c>
      <c r="M1757" s="166">
        <v>3.3000000000000002E-2</v>
      </c>
      <c r="N1757" s="15">
        <v>72.225999999999999</v>
      </c>
      <c r="O1757" s="167">
        <v>6.3E-2</v>
      </c>
      <c r="P1757" s="96"/>
      <c r="Q1757" s="93"/>
      <c r="R1757" s="93"/>
      <c r="S1757" s="93"/>
      <c r="T1757" s="93"/>
    </row>
    <row r="1758" spans="1:20" ht="14.25" customHeight="1" x14ac:dyDescent="0.35">
      <c r="A1758" s="1">
        <v>2020</v>
      </c>
      <c r="B1758" s="1" t="s">
        <v>32</v>
      </c>
      <c r="C1758" s="1">
        <v>21</v>
      </c>
      <c r="D1758" s="12">
        <v>105.51600000000001</v>
      </c>
      <c r="E1758" s="13">
        <v>89.688000000000002</v>
      </c>
      <c r="F1758" s="161">
        <v>83.707999999999998</v>
      </c>
      <c r="G1758" s="162">
        <v>1708.165</v>
      </c>
      <c r="H1758" s="163">
        <v>6.9</v>
      </c>
      <c r="I1758" s="16">
        <v>1.9E-2</v>
      </c>
      <c r="J1758" s="164">
        <v>7.742</v>
      </c>
      <c r="K1758" s="165">
        <v>34.173999999999999</v>
      </c>
      <c r="L1758" s="13">
        <v>5.4539999999999997</v>
      </c>
      <c r="M1758" s="166">
        <v>2.8000000000000001E-2</v>
      </c>
      <c r="N1758" s="15">
        <v>69.531999999999996</v>
      </c>
      <c r="O1758" s="167">
        <v>6.4000000000000001E-2</v>
      </c>
      <c r="P1758" s="96"/>
      <c r="Q1758" s="93"/>
      <c r="R1758" s="93"/>
      <c r="S1758" s="93"/>
      <c r="T1758" s="93"/>
    </row>
    <row r="1759" spans="1:20" ht="14.25" customHeight="1" x14ac:dyDescent="0.35">
      <c r="A1759" s="1">
        <v>2020</v>
      </c>
      <c r="B1759" s="1" t="s">
        <v>32</v>
      </c>
      <c r="C1759" s="1">
        <v>22</v>
      </c>
      <c r="D1759" s="12">
        <v>106.90600000000001</v>
      </c>
      <c r="E1759" s="13">
        <v>90.938000000000002</v>
      </c>
      <c r="F1759" s="161">
        <v>83.38</v>
      </c>
      <c r="G1759" s="162">
        <v>1697.3</v>
      </c>
      <c r="H1759" s="163">
        <v>6.9</v>
      </c>
      <c r="I1759" s="16">
        <v>1.7000000000000001E-2</v>
      </c>
      <c r="J1759" s="164">
        <v>7.6840000000000002</v>
      </c>
      <c r="K1759" s="162">
        <v>33.335999999999999</v>
      </c>
      <c r="L1759" s="163">
        <v>5.4710000000000001</v>
      </c>
      <c r="M1759" s="166">
        <v>2.5000000000000001E-2</v>
      </c>
      <c r="N1759" s="15">
        <v>66.570999999999998</v>
      </c>
      <c r="O1759" s="167">
        <v>6.5000000000000002E-2</v>
      </c>
      <c r="P1759" s="96"/>
      <c r="Q1759" s="93"/>
      <c r="R1759" s="93"/>
      <c r="S1759" s="93"/>
      <c r="T1759" s="93"/>
    </row>
    <row r="1760" spans="1:20" ht="14.25" customHeight="1" x14ac:dyDescent="0.35">
      <c r="A1760" s="1">
        <v>2020</v>
      </c>
      <c r="B1760" s="1" t="s">
        <v>32</v>
      </c>
      <c r="C1760" s="1">
        <v>23</v>
      </c>
      <c r="D1760" s="12">
        <v>111.328</v>
      </c>
      <c r="E1760" s="13">
        <v>94.843999999999994</v>
      </c>
      <c r="F1760" s="161">
        <v>83.097999999999999</v>
      </c>
      <c r="G1760" s="162">
        <v>1698.499</v>
      </c>
      <c r="H1760" s="163">
        <v>6.9009999999999998</v>
      </c>
      <c r="I1760" s="16">
        <v>1.7999999999999999E-2</v>
      </c>
      <c r="J1760" s="164">
        <v>7.6890000000000001</v>
      </c>
      <c r="K1760" s="165">
        <v>33.414999999999999</v>
      </c>
      <c r="L1760" s="13">
        <v>5.5</v>
      </c>
      <c r="M1760" s="166">
        <v>2.3E-2</v>
      </c>
      <c r="N1760" s="15">
        <v>63.02</v>
      </c>
      <c r="O1760" s="167">
        <v>6.0999999999999999E-2</v>
      </c>
      <c r="P1760" s="96"/>
      <c r="Q1760" s="93"/>
      <c r="R1760" s="93"/>
      <c r="S1760" s="93"/>
      <c r="T1760" s="93"/>
    </row>
    <row r="1761" spans="1:20" ht="14.25" customHeight="1" x14ac:dyDescent="0.35">
      <c r="A1761" s="1">
        <v>2020</v>
      </c>
      <c r="B1761" s="1" t="s">
        <v>32</v>
      </c>
      <c r="C1761" s="1">
        <v>24</v>
      </c>
      <c r="D1761" s="12">
        <v>107.90600000000001</v>
      </c>
      <c r="E1761" s="13">
        <v>91.875</v>
      </c>
      <c r="F1761" s="161">
        <v>82.793000000000006</v>
      </c>
      <c r="G1761" s="162">
        <v>1678.3140000000001</v>
      </c>
      <c r="H1761" s="163">
        <v>6.9</v>
      </c>
      <c r="I1761" s="16">
        <v>1.7000000000000001E-2</v>
      </c>
      <c r="J1761" s="164">
        <v>7.6710000000000003</v>
      </c>
      <c r="K1761" s="162">
        <v>33.137999999999998</v>
      </c>
      <c r="L1761" s="163">
        <v>5.5309999999999997</v>
      </c>
      <c r="M1761" s="166">
        <v>2.7E-2</v>
      </c>
      <c r="N1761" s="15">
        <v>58.142000000000003</v>
      </c>
      <c r="O1761" s="167">
        <v>0.06</v>
      </c>
      <c r="P1761" s="96"/>
      <c r="Q1761" s="93"/>
      <c r="R1761" s="93"/>
      <c r="S1761" s="93"/>
      <c r="T1761" s="93"/>
    </row>
    <row r="1762" spans="1:20" ht="14.25" customHeight="1" x14ac:dyDescent="0.35">
      <c r="A1762" s="1">
        <v>2020</v>
      </c>
      <c r="B1762" s="1" t="s">
        <v>32</v>
      </c>
      <c r="C1762" s="1">
        <v>25</v>
      </c>
      <c r="D1762" s="12">
        <v>105.625</v>
      </c>
      <c r="E1762" s="13">
        <v>90.031000000000006</v>
      </c>
      <c r="F1762" s="161">
        <v>82.346000000000004</v>
      </c>
      <c r="G1762" s="162">
        <v>1608.79</v>
      </c>
      <c r="H1762" s="163">
        <v>6.9</v>
      </c>
      <c r="I1762" s="16">
        <v>1.7000000000000001E-2</v>
      </c>
      <c r="J1762" s="164">
        <v>7.5709999999999997</v>
      </c>
      <c r="K1762" s="165">
        <v>31.178999999999998</v>
      </c>
      <c r="L1762" s="13">
        <v>5.5220000000000002</v>
      </c>
      <c r="M1762" s="166">
        <v>2.7E-2</v>
      </c>
      <c r="N1762" s="15">
        <v>59.555999999999997</v>
      </c>
      <c r="O1762" s="167">
        <v>5.8000000000000003E-2</v>
      </c>
      <c r="P1762" s="96"/>
      <c r="Q1762" s="93"/>
      <c r="R1762" s="93"/>
      <c r="S1762" s="93"/>
      <c r="T1762" s="93"/>
    </row>
    <row r="1763" spans="1:20" ht="14.25" customHeight="1" x14ac:dyDescent="0.35">
      <c r="A1763" s="1">
        <v>2020</v>
      </c>
      <c r="B1763" s="1" t="s">
        <v>32</v>
      </c>
      <c r="C1763" s="1">
        <v>26</v>
      </c>
      <c r="D1763" s="12">
        <v>105.59399999999999</v>
      </c>
      <c r="E1763" s="13">
        <v>90</v>
      </c>
      <c r="F1763" s="161">
        <v>81.149000000000001</v>
      </c>
      <c r="G1763" s="162">
        <v>1590.912</v>
      </c>
      <c r="H1763" s="163">
        <v>6.9</v>
      </c>
      <c r="I1763" s="16">
        <v>1.7000000000000001E-2</v>
      </c>
      <c r="J1763" s="164">
        <v>7.77</v>
      </c>
      <c r="K1763" s="162">
        <v>30.036999999999999</v>
      </c>
      <c r="L1763" s="163">
        <v>5.5019999999999998</v>
      </c>
      <c r="M1763" s="166">
        <v>2.7E-2</v>
      </c>
      <c r="N1763" s="15">
        <v>62.334000000000003</v>
      </c>
      <c r="O1763" s="167">
        <v>5.5E-2</v>
      </c>
      <c r="P1763" s="96"/>
      <c r="Q1763" s="93"/>
      <c r="R1763" s="93"/>
      <c r="S1763" s="93"/>
      <c r="T1763" s="93"/>
    </row>
    <row r="1764" spans="1:20" ht="14.25" customHeight="1" x14ac:dyDescent="0.35">
      <c r="A1764" s="1">
        <v>2020</v>
      </c>
      <c r="B1764" s="1" t="s">
        <v>32</v>
      </c>
      <c r="C1764" s="1">
        <v>27</v>
      </c>
      <c r="D1764" s="12">
        <v>109.375</v>
      </c>
      <c r="E1764" s="13">
        <v>93.093999999999994</v>
      </c>
      <c r="F1764" s="161">
        <v>81.224999999999994</v>
      </c>
      <c r="G1764" s="162">
        <v>1641.6959999999999</v>
      </c>
      <c r="H1764" s="163">
        <v>6.9</v>
      </c>
      <c r="I1764" s="16">
        <v>1.7999999999999999E-2</v>
      </c>
      <c r="J1764" s="164">
        <v>8.1639999999999997</v>
      </c>
      <c r="K1764" s="165">
        <v>30.800999999999998</v>
      </c>
      <c r="L1764" s="13">
        <v>5.5259999999999998</v>
      </c>
      <c r="M1764" s="166">
        <v>2.5999999999999999E-2</v>
      </c>
      <c r="N1764" s="15">
        <v>58.704000000000001</v>
      </c>
      <c r="O1764" s="167">
        <v>5.8999999999999997E-2</v>
      </c>
      <c r="P1764" s="96"/>
      <c r="Q1764" s="93"/>
      <c r="R1764" s="93"/>
      <c r="S1764" s="93"/>
      <c r="T1764" s="93"/>
    </row>
    <row r="1765" spans="1:20" ht="14.25" customHeight="1" x14ac:dyDescent="0.35">
      <c r="A1765" s="1">
        <v>2020</v>
      </c>
      <c r="B1765" s="1" t="s">
        <v>32</v>
      </c>
      <c r="C1765" s="1">
        <v>28</v>
      </c>
      <c r="D1765" s="12">
        <v>110.28100000000001</v>
      </c>
      <c r="E1765" s="13">
        <v>93.875</v>
      </c>
      <c r="F1765" s="161">
        <v>81.677000000000007</v>
      </c>
      <c r="G1765" s="162">
        <v>1710.356</v>
      </c>
      <c r="H1765" s="163">
        <v>6.9</v>
      </c>
      <c r="I1765" s="16">
        <v>1.7999999999999999E-2</v>
      </c>
      <c r="J1765" s="164">
        <v>8.6539999999999999</v>
      </c>
      <c r="K1765" s="162">
        <v>32.26</v>
      </c>
      <c r="L1765" s="163">
        <v>5.5309999999999997</v>
      </c>
      <c r="M1765" s="166">
        <v>2.9000000000000001E-2</v>
      </c>
      <c r="N1765" s="15">
        <v>58.360999999999997</v>
      </c>
      <c r="O1765" s="167">
        <v>6.0999999999999999E-2</v>
      </c>
      <c r="P1765" s="96"/>
      <c r="Q1765" s="93"/>
      <c r="R1765" s="93"/>
      <c r="S1765" s="93"/>
      <c r="T1765" s="93"/>
    </row>
    <row r="1766" spans="1:20" ht="14.25" customHeight="1" x14ac:dyDescent="0.35">
      <c r="A1766" s="1">
        <v>2020</v>
      </c>
      <c r="B1766" s="1" t="s">
        <v>32</v>
      </c>
      <c r="C1766" s="1">
        <v>29</v>
      </c>
      <c r="D1766" s="12">
        <v>101.39100000000001</v>
      </c>
      <c r="E1766" s="13">
        <v>86.125</v>
      </c>
      <c r="F1766" s="187">
        <v>82.072999999999993</v>
      </c>
      <c r="G1766" s="22">
        <v>1711.9349999999999</v>
      </c>
      <c r="H1766" s="13">
        <v>6.9</v>
      </c>
      <c r="I1766" s="166">
        <v>1.9E-2</v>
      </c>
      <c r="J1766" s="188">
        <v>8.8840000000000003</v>
      </c>
      <c r="K1766" s="162">
        <v>33.895000000000003</v>
      </c>
      <c r="L1766" s="163">
        <v>5.5339999999999998</v>
      </c>
      <c r="M1766" s="166">
        <v>2.5999999999999999E-2</v>
      </c>
      <c r="N1766" s="15">
        <v>57.902999999999999</v>
      </c>
      <c r="O1766" s="227">
        <v>7.2999999999999995E-2</v>
      </c>
      <c r="P1766" s="96"/>
      <c r="Q1766" s="93"/>
      <c r="R1766" s="93"/>
      <c r="S1766" s="93"/>
      <c r="T1766" s="93"/>
    </row>
    <row r="1767" spans="1:20" ht="14.25" customHeight="1" x14ac:dyDescent="0.35">
      <c r="A1767" s="1">
        <v>2020</v>
      </c>
      <c r="B1767" s="1" t="s">
        <v>32</v>
      </c>
      <c r="C1767" s="1">
        <v>30</v>
      </c>
      <c r="D1767" s="12">
        <v>110.85899999999999</v>
      </c>
      <c r="E1767" s="13">
        <v>94.375</v>
      </c>
      <c r="F1767" s="187">
        <v>82.135000000000005</v>
      </c>
      <c r="G1767" s="22">
        <v>1704.981</v>
      </c>
      <c r="H1767" s="13">
        <v>6.9</v>
      </c>
      <c r="I1767" s="166">
        <v>1.7999999999999999E-2</v>
      </c>
      <c r="J1767" s="188">
        <v>7.556</v>
      </c>
      <c r="K1767" s="162">
        <v>32.212000000000003</v>
      </c>
      <c r="L1767" s="163">
        <v>5.4989999999999997</v>
      </c>
      <c r="M1767" s="166">
        <v>2.5999999999999999E-2</v>
      </c>
      <c r="N1767" s="15">
        <v>62.6</v>
      </c>
      <c r="O1767" s="227">
        <v>0.06</v>
      </c>
      <c r="P1767" s="96"/>
      <c r="Q1767" s="93"/>
      <c r="R1767" s="93"/>
      <c r="S1767" s="93"/>
      <c r="T1767" s="93"/>
    </row>
    <row r="1768" spans="1:20" ht="14.25" customHeight="1" x14ac:dyDescent="0.35">
      <c r="A1768" s="1">
        <v>2020</v>
      </c>
      <c r="B1768" s="1" t="s">
        <v>32</v>
      </c>
      <c r="C1768" s="1">
        <v>31</v>
      </c>
      <c r="D1768" s="85">
        <v>108.375</v>
      </c>
      <c r="E1768" s="86">
        <v>92.281000000000006</v>
      </c>
      <c r="F1768" s="228">
        <v>81.983999999999995</v>
      </c>
      <c r="G1768" s="229">
        <v>1697.4760000000001</v>
      </c>
      <c r="H1768" s="230">
        <v>6.9</v>
      </c>
      <c r="I1768" s="231">
        <v>1.7999999999999999E-2</v>
      </c>
      <c r="J1768" s="232">
        <v>7.4610000000000003</v>
      </c>
      <c r="K1768" s="162">
        <v>31.991</v>
      </c>
      <c r="L1768" s="16">
        <v>5.4829999999999997</v>
      </c>
      <c r="M1768" s="166">
        <v>2.7E-2</v>
      </c>
      <c r="N1768" s="15">
        <v>64.888999999999996</v>
      </c>
      <c r="O1768" s="233">
        <v>6.2E-2</v>
      </c>
      <c r="P1768" s="96"/>
      <c r="Q1768" s="93"/>
      <c r="R1768" s="93"/>
      <c r="S1768" s="93"/>
      <c r="T1768" s="93"/>
    </row>
    <row r="1769" spans="1:20" ht="14.25" customHeight="1" x14ac:dyDescent="0.35">
      <c r="A1769" s="1">
        <v>2020</v>
      </c>
      <c r="B1769" s="1" t="s">
        <v>33</v>
      </c>
      <c r="C1769" s="1">
        <v>1</v>
      </c>
      <c r="D1769" s="49">
        <v>109.078</v>
      </c>
      <c r="E1769" s="50">
        <v>92.968999999999994</v>
      </c>
      <c r="F1769" s="156">
        <v>82.17</v>
      </c>
      <c r="G1769" s="157">
        <v>1584.374</v>
      </c>
      <c r="H1769" s="44">
        <v>6.9</v>
      </c>
      <c r="I1769" s="45">
        <v>1.7000000000000001E-2</v>
      </c>
      <c r="J1769" s="158">
        <v>7.2850000000000001</v>
      </c>
      <c r="K1769" s="157">
        <v>30.908000000000001</v>
      </c>
      <c r="L1769" s="45">
        <v>5.4720000000000004</v>
      </c>
      <c r="M1769" s="159">
        <v>2.7E-2</v>
      </c>
      <c r="N1769" s="15">
        <v>66.625</v>
      </c>
      <c r="O1769" s="160">
        <v>6.0499999999999998E-2</v>
      </c>
      <c r="P1769" s="96"/>
      <c r="Q1769" s="93"/>
      <c r="R1769" s="93"/>
      <c r="S1769" s="93"/>
      <c r="T1769" s="93"/>
    </row>
    <row r="1770" spans="1:20" ht="14.25" customHeight="1" x14ac:dyDescent="0.35">
      <c r="A1770" s="1">
        <v>2020</v>
      </c>
      <c r="B1770" s="1" t="s">
        <v>33</v>
      </c>
      <c r="C1770" s="1">
        <v>2</v>
      </c>
      <c r="D1770" s="49">
        <v>96.953000000000003</v>
      </c>
      <c r="E1770" s="50">
        <v>82.406000000000006</v>
      </c>
      <c r="F1770" s="161">
        <v>81.972999999999999</v>
      </c>
      <c r="G1770" s="162">
        <v>1552.693</v>
      </c>
      <c r="H1770" s="163">
        <v>6.9009999999999998</v>
      </c>
      <c r="I1770" s="16">
        <v>1.7999999999999999E-2</v>
      </c>
      <c r="J1770" s="164">
        <v>8.15</v>
      </c>
      <c r="K1770" s="165">
        <v>31.228000000000002</v>
      </c>
      <c r="L1770" s="13">
        <v>5.4829999999999997</v>
      </c>
      <c r="M1770" s="166">
        <v>2.9000000000000001E-2</v>
      </c>
      <c r="N1770" s="15">
        <v>64.903999999999996</v>
      </c>
      <c r="O1770" s="167">
        <v>5.8999999999999997E-2</v>
      </c>
      <c r="P1770" s="96"/>
      <c r="Q1770" s="93"/>
      <c r="R1770" s="93"/>
      <c r="S1770" s="93"/>
      <c r="T1770" s="93"/>
    </row>
    <row r="1771" spans="1:20" ht="14.25" customHeight="1" x14ac:dyDescent="0.35">
      <c r="A1771" s="1">
        <v>2020</v>
      </c>
      <c r="B1771" s="1" t="s">
        <v>33</v>
      </c>
      <c r="C1771" s="1">
        <v>3</v>
      </c>
      <c r="D1771" s="49">
        <v>111.688</v>
      </c>
      <c r="E1771" s="50">
        <v>95</v>
      </c>
      <c r="F1771" s="161">
        <v>82.04</v>
      </c>
      <c r="G1771" s="162">
        <v>1670.528</v>
      </c>
      <c r="H1771" s="163">
        <v>6.9</v>
      </c>
      <c r="I1771" s="16">
        <v>1.7999999999999999E-2</v>
      </c>
      <c r="J1771" s="164">
        <v>8.15</v>
      </c>
      <c r="K1771" s="165">
        <v>31.728000000000002</v>
      </c>
      <c r="L1771" s="13">
        <v>5.468</v>
      </c>
      <c r="M1771" s="166">
        <v>3.7999999999999999E-2</v>
      </c>
      <c r="N1771" s="15">
        <v>66.974000000000004</v>
      </c>
      <c r="O1771" s="167">
        <v>6.2E-2</v>
      </c>
      <c r="P1771" s="96"/>
      <c r="Q1771" s="93"/>
      <c r="R1771" s="93"/>
      <c r="S1771" s="93"/>
      <c r="T1771" s="93"/>
    </row>
    <row r="1772" spans="1:20" ht="14.25" customHeight="1" x14ac:dyDescent="0.35">
      <c r="A1772" s="1">
        <v>2020</v>
      </c>
      <c r="B1772" s="1" t="s">
        <v>33</v>
      </c>
      <c r="C1772" s="1">
        <v>4</v>
      </c>
      <c r="D1772" s="49">
        <v>111.73399999999999</v>
      </c>
      <c r="E1772" s="50">
        <v>95</v>
      </c>
      <c r="F1772" s="161">
        <v>82.039000000000001</v>
      </c>
      <c r="G1772" s="162">
        <v>1708.499</v>
      </c>
      <c r="H1772" s="163">
        <v>6.9</v>
      </c>
      <c r="I1772" s="16">
        <v>1.7999999999999999E-2</v>
      </c>
      <c r="J1772" s="164">
        <v>8.2249999999999996</v>
      </c>
      <c r="K1772" s="165">
        <v>32.53</v>
      </c>
      <c r="L1772" s="13">
        <v>5.476</v>
      </c>
      <c r="M1772" s="166">
        <v>4.9000000000000002E-2</v>
      </c>
      <c r="N1772" s="15">
        <v>65.805000000000007</v>
      </c>
      <c r="O1772" s="167">
        <v>6.4000000000000001E-2</v>
      </c>
      <c r="P1772" s="96"/>
      <c r="Q1772" s="93"/>
      <c r="R1772" s="93"/>
      <c r="S1772" s="93"/>
      <c r="T1772" s="93"/>
    </row>
    <row r="1773" spans="1:20" ht="14.25" customHeight="1" x14ac:dyDescent="0.35">
      <c r="A1773" s="1">
        <v>2020</v>
      </c>
      <c r="B1773" s="1" t="s">
        <v>33</v>
      </c>
      <c r="C1773" s="1">
        <v>5</v>
      </c>
      <c r="D1773" s="49">
        <v>110.703</v>
      </c>
      <c r="E1773" s="50">
        <v>94.093999999999994</v>
      </c>
      <c r="F1773" s="161">
        <v>82.102999999999994</v>
      </c>
      <c r="G1773" s="162">
        <v>1696.1780000000001</v>
      </c>
      <c r="H1773" s="163">
        <v>6.9</v>
      </c>
      <c r="I1773" s="16">
        <v>1.7999999999999999E-2</v>
      </c>
      <c r="J1773" s="164">
        <v>8.2539999999999996</v>
      </c>
      <c r="K1773" s="165">
        <v>32.481000000000002</v>
      </c>
      <c r="L1773" s="13">
        <v>5.49</v>
      </c>
      <c r="M1773" s="166">
        <v>3.6999999999999998E-2</v>
      </c>
      <c r="N1773" s="15">
        <v>64.186000000000007</v>
      </c>
      <c r="O1773" s="167">
        <v>6.3E-2</v>
      </c>
      <c r="P1773" s="96"/>
      <c r="Q1773" s="93"/>
      <c r="R1773" s="93"/>
      <c r="S1773" s="93"/>
      <c r="T1773" s="93"/>
    </row>
    <row r="1774" spans="1:20" ht="14.25" customHeight="1" x14ac:dyDescent="0.35">
      <c r="A1774" s="1">
        <v>2020</v>
      </c>
      <c r="B1774" s="1" t="s">
        <v>33</v>
      </c>
      <c r="C1774" s="1">
        <v>6</v>
      </c>
      <c r="D1774" s="49">
        <v>103.063</v>
      </c>
      <c r="E1774" s="50">
        <v>87.563000000000002</v>
      </c>
      <c r="F1774" s="161">
        <v>81.578999999999994</v>
      </c>
      <c r="G1774" s="162">
        <v>1665.1389999999999</v>
      </c>
      <c r="H1774" s="163">
        <v>6.9</v>
      </c>
      <c r="I1774" s="16">
        <v>1.7999999999999999E-2</v>
      </c>
      <c r="J1774" s="164">
        <v>8.1470000000000002</v>
      </c>
      <c r="K1774" s="165">
        <v>31.347000000000001</v>
      </c>
      <c r="L1774" s="13">
        <v>5.4889999999999999</v>
      </c>
      <c r="M1774" s="166">
        <v>2.5000000000000001E-2</v>
      </c>
      <c r="N1774" s="15">
        <v>64.338999999999999</v>
      </c>
      <c r="O1774" s="167">
        <v>6.0999999999999999E-2</v>
      </c>
      <c r="P1774" s="96"/>
      <c r="Q1774" s="93"/>
      <c r="R1774" s="93"/>
      <c r="S1774" s="93"/>
      <c r="T1774" s="93"/>
    </row>
    <row r="1775" spans="1:20" ht="14.25" customHeight="1" x14ac:dyDescent="0.35">
      <c r="A1775" s="1">
        <v>2020</v>
      </c>
      <c r="B1775" s="1" t="s">
        <v>33</v>
      </c>
      <c r="C1775" s="1">
        <v>7</v>
      </c>
      <c r="D1775" s="49">
        <v>108.90600000000001</v>
      </c>
      <c r="E1775" s="50">
        <v>92.75</v>
      </c>
      <c r="F1775" s="161">
        <v>80.262</v>
      </c>
      <c r="G1775" s="162">
        <v>1679.395</v>
      </c>
      <c r="H1775" s="163">
        <v>6.9</v>
      </c>
      <c r="I1775" s="16">
        <v>1.7000000000000001E-2</v>
      </c>
      <c r="J1775" s="164">
        <v>8.5009999999999994</v>
      </c>
      <c r="K1775" s="165">
        <v>30.369</v>
      </c>
      <c r="L1775" s="13">
        <v>5.4820000000000002</v>
      </c>
      <c r="M1775" s="166">
        <v>2.5000000000000001E-2</v>
      </c>
      <c r="N1775" s="15">
        <v>65.057000000000002</v>
      </c>
      <c r="O1775" s="167">
        <v>6.2E-2</v>
      </c>
      <c r="P1775" s="96"/>
      <c r="Q1775" s="93"/>
      <c r="R1775" s="93"/>
      <c r="S1775" s="93"/>
      <c r="T1775" s="93"/>
    </row>
    <row r="1776" spans="1:20" ht="14.25" customHeight="1" x14ac:dyDescent="0.35">
      <c r="A1776" s="1">
        <v>2020</v>
      </c>
      <c r="B1776" s="1" t="s">
        <v>33</v>
      </c>
      <c r="C1776" s="1">
        <v>8</v>
      </c>
      <c r="D1776" s="49">
        <v>105.297</v>
      </c>
      <c r="E1776" s="50">
        <v>89.563000000000002</v>
      </c>
      <c r="F1776" s="161">
        <v>79.409000000000006</v>
      </c>
      <c r="G1776" s="22">
        <v>1585.193</v>
      </c>
      <c r="H1776" s="163">
        <v>6.9</v>
      </c>
      <c r="I1776" s="16">
        <v>1.6E-2</v>
      </c>
      <c r="J1776" s="168">
        <v>8.3219999999999992</v>
      </c>
      <c r="K1776" s="165">
        <v>28.818000000000001</v>
      </c>
      <c r="L1776" s="13">
        <v>5.4859999999999998</v>
      </c>
      <c r="M1776" s="166">
        <v>2.5000000000000001E-2</v>
      </c>
      <c r="N1776" s="15">
        <v>64.358000000000004</v>
      </c>
      <c r="O1776" s="192">
        <v>5.8999999999999997E-2</v>
      </c>
      <c r="P1776" s="96"/>
      <c r="Q1776" s="93"/>
      <c r="R1776" s="93"/>
      <c r="S1776" s="93"/>
      <c r="T1776" s="93"/>
    </row>
    <row r="1777" spans="1:20" ht="14.25" customHeight="1" x14ac:dyDescent="0.35">
      <c r="A1777" s="1">
        <v>2020</v>
      </c>
      <c r="B1777" s="1" t="s">
        <v>33</v>
      </c>
      <c r="C1777" s="1">
        <v>9</v>
      </c>
      <c r="D1777" s="49">
        <v>109.23399999999999</v>
      </c>
      <c r="E1777" s="50">
        <v>92.938000000000002</v>
      </c>
      <c r="F1777" s="161">
        <v>79.186000000000007</v>
      </c>
      <c r="G1777" s="162">
        <v>1567.655</v>
      </c>
      <c r="H1777" s="163">
        <v>6.9</v>
      </c>
      <c r="I1777" s="16">
        <v>1.7999999999999999E-2</v>
      </c>
      <c r="J1777" s="164">
        <v>8.282</v>
      </c>
      <c r="K1777" s="165">
        <v>28.946999999999999</v>
      </c>
      <c r="L1777" s="13">
        <v>5.5209999999999999</v>
      </c>
      <c r="M1777" s="166">
        <v>2.5000000000000001E-2</v>
      </c>
      <c r="N1777" s="15">
        <v>59.587000000000003</v>
      </c>
      <c r="O1777" s="167">
        <v>5.6000000000000001E-2</v>
      </c>
      <c r="P1777" s="96"/>
      <c r="Q1777" s="93"/>
      <c r="R1777" s="93"/>
      <c r="S1777" s="93"/>
      <c r="T1777" s="93"/>
    </row>
    <row r="1778" spans="1:20" ht="14.25" customHeight="1" x14ac:dyDescent="0.35">
      <c r="A1778" s="1">
        <v>2020</v>
      </c>
      <c r="B1778" s="1" t="s">
        <v>33</v>
      </c>
      <c r="C1778" s="1">
        <v>10</v>
      </c>
      <c r="D1778" s="49">
        <v>111.688</v>
      </c>
      <c r="E1778" s="50">
        <v>95</v>
      </c>
      <c r="F1778" s="169">
        <v>79.582999999999998</v>
      </c>
      <c r="G1778" s="162">
        <v>1675.577</v>
      </c>
      <c r="H1778" s="163">
        <v>6.9009999999999998</v>
      </c>
      <c r="I1778" s="16">
        <v>1.7999999999999999E-2</v>
      </c>
      <c r="J1778" s="170">
        <v>8.4640000000000004</v>
      </c>
      <c r="K1778" s="165">
        <v>30.36</v>
      </c>
      <c r="L1778" s="13">
        <v>5.5140000000000002</v>
      </c>
      <c r="M1778" s="171">
        <v>2.5000000000000001E-2</v>
      </c>
      <c r="N1778" s="15">
        <v>60.381999999999998</v>
      </c>
      <c r="O1778" s="172">
        <v>0.06</v>
      </c>
      <c r="P1778" s="96"/>
      <c r="Q1778" s="93"/>
      <c r="R1778" s="93"/>
      <c r="S1778" s="93"/>
      <c r="T1778" s="93"/>
    </row>
    <row r="1779" spans="1:20" ht="14.25" customHeight="1" x14ac:dyDescent="0.35">
      <c r="A1779" s="1">
        <v>2020</v>
      </c>
      <c r="B1779" s="1" t="s">
        <v>33</v>
      </c>
      <c r="C1779" s="1">
        <v>11</v>
      </c>
      <c r="D1779" s="49">
        <v>109.438</v>
      </c>
      <c r="E1779" s="50">
        <v>93.063000000000002</v>
      </c>
      <c r="F1779" s="169">
        <v>79.754000000000005</v>
      </c>
      <c r="G1779" s="162">
        <v>1722.1679999999999</v>
      </c>
      <c r="H1779" s="163">
        <v>6.9</v>
      </c>
      <c r="I1779" s="16">
        <v>1.7999999999999999E-2</v>
      </c>
      <c r="J1779" s="170">
        <v>8.3620000000000001</v>
      </c>
      <c r="K1779" s="165">
        <v>30.920999999999999</v>
      </c>
      <c r="L1779" s="13">
        <v>5.5140000000000002</v>
      </c>
      <c r="M1779" s="171">
        <v>2.5000000000000001E-2</v>
      </c>
      <c r="N1779" s="15">
        <v>60.386000000000003</v>
      </c>
      <c r="O1779" s="172">
        <v>6.2E-2</v>
      </c>
      <c r="P1779" s="96"/>
      <c r="Q1779" s="93"/>
      <c r="R1779" s="93"/>
      <c r="S1779" s="93"/>
      <c r="T1779" s="93"/>
    </row>
    <row r="1780" spans="1:20" ht="14.25" customHeight="1" x14ac:dyDescent="0.35">
      <c r="A1780" s="1">
        <v>2020</v>
      </c>
      <c r="B1780" s="1" t="s">
        <v>33</v>
      </c>
      <c r="C1780" s="1">
        <v>12</v>
      </c>
      <c r="D1780" s="49">
        <v>109.03100000000001</v>
      </c>
      <c r="E1780" s="50">
        <v>92.718999999999994</v>
      </c>
      <c r="F1780" s="169">
        <v>79.656000000000006</v>
      </c>
      <c r="G1780" s="162">
        <v>1739.67</v>
      </c>
      <c r="H1780" s="163">
        <v>6.9</v>
      </c>
      <c r="I1780" s="16">
        <v>1.7999999999999999E-2</v>
      </c>
      <c r="J1780" s="170">
        <v>8.4550000000000001</v>
      </c>
      <c r="K1780" s="165">
        <v>31.137</v>
      </c>
      <c r="L1780" s="13">
        <v>5.5229999999999997</v>
      </c>
      <c r="M1780" s="171">
        <v>2.5000000000000001E-2</v>
      </c>
      <c r="N1780" s="15">
        <v>59.189</v>
      </c>
      <c r="O1780" s="172">
        <v>6.3E-2</v>
      </c>
      <c r="P1780" s="96"/>
      <c r="Q1780" s="93"/>
      <c r="R1780" s="93"/>
      <c r="S1780" s="93"/>
      <c r="T1780" s="93"/>
    </row>
    <row r="1781" spans="1:20" ht="14.25" customHeight="1" x14ac:dyDescent="0.35">
      <c r="A1781" s="1">
        <v>2020</v>
      </c>
      <c r="B1781" s="1" t="s">
        <v>33</v>
      </c>
      <c r="C1781" s="1">
        <v>13</v>
      </c>
      <c r="D1781" s="49">
        <v>107.422</v>
      </c>
      <c r="E1781" s="50">
        <v>91.438000000000002</v>
      </c>
      <c r="F1781" s="173">
        <v>79.632000000000005</v>
      </c>
      <c r="G1781" s="162">
        <v>1720.5840000000001</v>
      </c>
      <c r="H1781" s="163">
        <v>6.9</v>
      </c>
      <c r="I1781" s="16">
        <v>1.7999999999999999E-2</v>
      </c>
      <c r="J1781" s="174">
        <v>8.3460000000000001</v>
      </c>
      <c r="K1781" s="165">
        <v>30.997</v>
      </c>
      <c r="L1781" s="13">
        <v>5.5060000000000002</v>
      </c>
      <c r="M1781" s="166">
        <v>2.5000000000000001E-2</v>
      </c>
      <c r="N1781" s="15">
        <v>61.402000000000001</v>
      </c>
      <c r="O1781" s="175">
        <v>6.0999999999999999E-2</v>
      </c>
      <c r="P1781" s="96"/>
      <c r="Q1781" s="93"/>
      <c r="R1781" s="93"/>
      <c r="S1781" s="93"/>
      <c r="T1781" s="93"/>
    </row>
    <row r="1782" spans="1:20" ht="14.25" customHeight="1" x14ac:dyDescent="0.35">
      <c r="A1782" s="1">
        <v>2020</v>
      </c>
      <c r="B1782" s="1" t="s">
        <v>33</v>
      </c>
      <c r="C1782" s="1">
        <v>14</v>
      </c>
      <c r="D1782" s="49">
        <v>109.64100000000001</v>
      </c>
      <c r="E1782" s="50">
        <v>93.281000000000006</v>
      </c>
      <c r="F1782" s="161">
        <v>79.353999999999999</v>
      </c>
      <c r="G1782" s="162">
        <v>1697.9169999999999</v>
      </c>
      <c r="H1782" s="163">
        <v>6.9</v>
      </c>
      <c r="I1782" s="16">
        <v>1.7999999999999999E-2</v>
      </c>
      <c r="J1782" s="174">
        <v>8.3559999999999999</v>
      </c>
      <c r="K1782" s="176">
        <v>31.344999999999999</v>
      </c>
      <c r="L1782" s="13">
        <v>5.4749999999999996</v>
      </c>
      <c r="M1782" s="166">
        <v>2.5000000000000001E-2</v>
      </c>
      <c r="N1782" s="15">
        <v>66.031999999999996</v>
      </c>
      <c r="O1782" s="175">
        <v>5.8000000000000003E-2</v>
      </c>
      <c r="P1782" s="96"/>
      <c r="Q1782" s="93"/>
      <c r="R1782" s="93"/>
      <c r="S1782" s="93"/>
      <c r="T1782" s="93"/>
    </row>
    <row r="1783" spans="1:20" ht="14.25" customHeight="1" x14ac:dyDescent="0.35">
      <c r="A1783" s="1">
        <v>2020</v>
      </c>
      <c r="B1783" s="1" t="s">
        <v>33</v>
      </c>
      <c r="C1783" s="1">
        <v>15</v>
      </c>
      <c r="D1783" s="49">
        <v>104.76600000000001</v>
      </c>
      <c r="E1783" s="50">
        <v>89.125</v>
      </c>
      <c r="F1783" s="161">
        <v>79.619</v>
      </c>
      <c r="G1783" s="162">
        <v>1604.1559999999999</v>
      </c>
      <c r="H1783" s="163">
        <v>6.9</v>
      </c>
      <c r="I1783" s="16">
        <v>1.7000000000000001E-2</v>
      </c>
      <c r="J1783" s="170">
        <v>8.0980000000000008</v>
      </c>
      <c r="K1783" s="165">
        <v>29.675000000000001</v>
      </c>
      <c r="L1783" s="13">
        <v>5.4809999999999999</v>
      </c>
      <c r="M1783" s="166">
        <v>2.5000000000000001E-2</v>
      </c>
      <c r="N1783" s="15">
        <v>65.137</v>
      </c>
      <c r="O1783" s="172">
        <v>5.7000000000000002E-2</v>
      </c>
      <c r="P1783" s="96"/>
      <c r="Q1783" s="93"/>
      <c r="R1783" s="93"/>
      <c r="S1783" s="93"/>
      <c r="T1783" s="93"/>
    </row>
    <row r="1784" spans="1:20" ht="14.25" customHeight="1" x14ac:dyDescent="0.35">
      <c r="A1784" s="1">
        <v>2020</v>
      </c>
      <c r="B1784" s="1" t="s">
        <v>33</v>
      </c>
      <c r="C1784" s="1">
        <v>16</v>
      </c>
      <c r="D1784" s="49">
        <v>109.047</v>
      </c>
      <c r="E1784" s="50">
        <v>92.75</v>
      </c>
      <c r="F1784" s="161">
        <v>79.811000000000007</v>
      </c>
      <c r="G1784" s="162">
        <v>1570.163</v>
      </c>
      <c r="H1784" s="163">
        <v>6.9</v>
      </c>
      <c r="I1784" s="16">
        <v>1.7999999999999999E-2</v>
      </c>
      <c r="J1784" s="174">
        <v>8.4380000000000006</v>
      </c>
      <c r="K1784" s="162">
        <v>28.812000000000001</v>
      </c>
      <c r="L1784" s="163">
        <v>5.4859999999999998</v>
      </c>
      <c r="M1784" s="166">
        <v>2.5000000000000001E-2</v>
      </c>
      <c r="N1784" s="15">
        <v>64.272000000000006</v>
      </c>
      <c r="O1784" s="175">
        <v>5.6000000000000001E-2</v>
      </c>
      <c r="P1784" s="96"/>
      <c r="Q1784" s="93"/>
      <c r="R1784" s="93"/>
      <c r="S1784" s="93"/>
      <c r="T1784" s="93"/>
    </row>
    <row r="1785" spans="1:20" ht="14.25" customHeight="1" x14ac:dyDescent="0.35">
      <c r="A1785" s="1">
        <v>2020</v>
      </c>
      <c r="B1785" s="1" t="s">
        <v>33</v>
      </c>
      <c r="C1785" s="1">
        <v>17</v>
      </c>
      <c r="D1785" s="49">
        <v>111.35899999999999</v>
      </c>
      <c r="E1785" s="50">
        <v>94.75</v>
      </c>
      <c r="F1785" s="161">
        <v>79.822999999999993</v>
      </c>
      <c r="G1785" s="162">
        <v>1690.125</v>
      </c>
      <c r="H1785" s="163">
        <v>6.9</v>
      </c>
      <c r="I1785" s="16">
        <v>1.7999999999999999E-2</v>
      </c>
      <c r="J1785" s="164">
        <v>8.7360000000000007</v>
      </c>
      <c r="K1785" s="165">
        <v>30.613</v>
      </c>
      <c r="L1785" s="13">
        <v>5.4550000000000001</v>
      </c>
      <c r="M1785" s="166">
        <v>2.5000000000000001E-2</v>
      </c>
      <c r="N1785" s="15">
        <v>68.998000000000005</v>
      </c>
      <c r="O1785" s="167">
        <v>6.5000000000000002E-2</v>
      </c>
      <c r="P1785" s="96"/>
      <c r="Q1785" s="93"/>
      <c r="R1785" s="93"/>
      <c r="S1785" s="93"/>
      <c r="T1785" s="93"/>
    </row>
    <row r="1786" spans="1:20" ht="14.25" customHeight="1" x14ac:dyDescent="0.35">
      <c r="A1786" s="1">
        <v>2020</v>
      </c>
      <c r="B1786" s="1" t="s">
        <v>33</v>
      </c>
      <c r="C1786" s="1">
        <v>18</v>
      </c>
      <c r="D1786" s="49">
        <v>110.125</v>
      </c>
      <c r="E1786" s="50">
        <v>93.688000000000002</v>
      </c>
      <c r="F1786" s="161">
        <v>79.519000000000005</v>
      </c>
      <c r="G1786" s="162">
        <v>1712.42</v>
      </c>
      <c r="H1786" s="163">
        <v>6.9</v>
      </c>
      <c r="I1786" s="16">
        <v>1.9E-2</v>
      </c>
      <c r="J1786" s="164">
        <v>8.6959999999999997</v>
      </c>
      <c r="K1786" s="162">
        <v>31.253</v>
      </c>
      <c r="L1786" s="163">
        <v>5.48</v>
      </c>
      <c r="M1786" s="166">
        <v>2.5000000000000001E-2</v>
      </c>
      <c r="N1786" s="15">
        <v>65.414000000000001</v>
      </c>
      <c r="O1786" s="167">
        <v>6.3E-2</v>
      </c>
      <c r="P1786" s="96"/>
      <c r="Q1786" s="93"/>
      <c r="R1786" s="93"/>
      <c r="S1786" s="93"/>
      <c r="T1786" s="93"/>
    </row>
    <row r="1787" spans="1:20" ht="14.25" customHeight="1" x14ac:dyDescent="0.35">
      <c r="A1787" s="1">
        <v>2020</v>
      </c>
      <c r="B1787" s="1" t="s">
        <v>33</v>
      </c>
      <c r="C1787" s="1">
        <v>19</v>
      </c>
      <c r="D1787" s="49">
        <v>108.10899999999999</v>
      </c>
      <c r="E1787" s="50">
        <v>92.031000000000006</v>
      </c>
      <c r="F1787" s="161">
        <v>79.837000000000003</v>
      </c>
      <c r="G1787" s="162">
        <v>1725.71</v>
      </c>
      <c r="H1787" s="163">
        <v>6.9</v>
      </c>
      <c r="I1787" s="16">
        <v>1.9E-2</v>
      </c>
      <c r="J1787" s="164">
        <v>8.8290000000000006</v>
      </c>
      <c r="K1787" s="165">
        <v>31.596</v>
      </c>
      <c r="L1787" s="13">
        <v>5.4779999999999998</v>
      </c>
      <c r="M1787" s="166">
        <v>2.5000000000000001E-2</v>
      </c>
      <c r="N1787" s="15">
        <v>65.656999999999996</v>
      </c>
      <c r="O1787" s="167">
        <v>6.2E-2</v>
      </c>
      <c r="P1787" s="96"/>
      <c r="Q1787" s="93"/>
      <c r="R1787" s="93"/>
      <c r="S1787" s="93"/>
      <c r="T1787" s="93"/>
    </row>
    <row r="1788" spans="1:20" ht="14.25" customHeight="1" x14ac:dyDescent="0.35">
      <c r="A1788" s="1">
        <v>2020</v>
      </c>
      <c r="B1788" s="1" t="s">
        <v>33</v>
      </c>
      <c r="C1788" s="1">
        <v>20</v>
      </c>
      <c r="D1788" s="49">
        <v>108.375</v>
      </c>
      <c r="E1788" s="50">
        <v>92.125</v>
      </c>
      <c r="F1788" s="161">
        <v>79.659000000000006</v>
      </c>
      <c r="G1788" s="162">
        <v>1733.3820000000001</v>
      </c>
      <c r="H1788" s="163">
        <v>6.9</v>
      </c>
      <c r="I1788" s="16">
        <v>1.9E-2</v>
      </c>
      <c r="J1788" s="164">
        <v>8.7690000000000001</v>
      </c>
      <c r="K1788" s="162">
        <v>30.617999999999999</v>
      </c>
      <c r="L1788" s="163">
        <v>5.5019999999999998</v>
      </c>
      <c r="M1788" s="166">
        <v>2.5000000000000001E-2</v>
      </c>
      <c r="N1788" s="15">
        <v>62.283999999999999</v>
      </c>
      <c r="O1788" s="167">
        <v>6.4000000000000001E-2</v>
      </c>
      <c r="P1788" s="96"/>
      <c r="Q1788" s="93"/>
      <c r="R1788" s="93"/>
      <c r="S1788" s="93"/>
      <c r="T1788" s="93"/>
    </row>
    <row r="1789" spans="1:20" ht="14.25" customHeight="1" x14ac:dyDescent="0.35">
      <c r="A1789" s="1">
        <v>2020</v>
      </c>
      <c r="B1789" s="1" t="s">
        <v>33</v>
      </c>
      <c r="C1789" s="1">
        <v>21</v>
      </c>
      <c r="D1789" s="49">
        <v>108.625</v>
      </c>
      <c r="E1789" s="50">
        <v>92.438000000000002</v>
      </c>
      <c r="F1789" s="161">
        <v>79.448999999999998</v>
      </c>
      <c r="G1789" s="162">
        <v>1714.3810000000001</v>
      </c>
      <c r="H1789" s="163">
        <v>6.9</v>
      </c>
      <c r="I1789" s="16">
        <v>1.9E-2</v>
      </c>
      <c r="J1789" s="164">
        <v>8.7539999999999996</v>
      </c>
      <c r="K1789" s="165">
        <v>30.542000000000002</v>
      </c>
      <c r="L1789" s="13">
        <v>5.4790000000000001</v>
      </c>
      <c r="M1789" s="166">
        <v>2.5000000000000001E-2</v>
      </c>
      <c r="N1789" s="15">
        <v>65.417000000000002</v>
      </c>
      <c r="O1789" s="167">
        <v>6.2E-2</v>
      </c>
      <c r="P1789" s="96"/>
      <c r="Q1789" s="93"/>
      <c r="R1789" s="93"/>
      <c r="S1789" s="93"/>
      <c r="T1789" s="93"/>
    </row>
    <row r="1790" spans="1:20" ht="14.25" customHeight="1" x14ac:dyDescent="0.35">
      <c r="A1790" s="1">
        <v>2020</v>
      </c>
      <c r="B1790" s="1" t="s">
        <v>33</v>
      </c>
      <c r="C1790" s="1">
        <v>22</v>
      </c>
      <c r="D1790" s="49">
        <v>107.828</v>
      </c>
      <c r="E1790" s="50">
        <v>91.718999999999994</v>
      </c>
      <c r="F1790" s="161">
        <v>79.191999999999993</v>
      </c>
      <c r="G1790" s="162">
        <v>1628.1980000000001</v>
      </c>
      <c r="H1790" s="163">
        <v>6.9</v>
      </c>
      <c r="I1790" s="16">
        <v>1.9E-2</v>
      </c>
      <c r="J1790" s="164">
        <v>8.8130000000000006</v>
      </c>
      <c r="K1790" s="162">
        <v>29.321999999999999</v>
      </c>
      <c r="L1790" s="163">
        <v>5.4779999999999998</v>
      </c>
      <c r="M1790" s="166">
        <v>2.5000000000000001E-2</v>
      </c>
      <c r="N1790" s="15">
        <v>65.533000000000001</v>
      </c>
      <c r="O1790" s="167">
        <v>0.06</v>
      </c>
      <c r="P1790" s="96"/>
      <c r="Q1790" s="93"/>
      <c r="R1790" s="93"/>
      <c r="S1790" s="93"/>
      <c r="T1790" s="93"/>
    </row>
    <row r="1791" spans="1:20" ht="14.25" customHeight="1" x14ac:dyDescent="0.35">
      <c r="A1791" s="1">
        <v>2020</v>
      </c>
      <c r="B1791" s="1" t="s">
        <v>33</v>
      </c>
      <c r="C1791" s="1">
        <v>23</v>
      </c>
      <c r="D1791" s="49">
        <v>109.938</v>
      </c>
      <c r="E1791" s="50">
        <v>93.531000000000006</v>
      </c>
      <c r="F1791" s="161">
        <v>78.843000000000004</v>
      </c>
      <c r="G1791" s="162">
        <v>1593.51</v>
      </c>
      <c r="H1791" s="163">
        <v>6.9009999999999998</v>
      </c>
      <c r="I1791" s="16">
        <v>1.9E-2</v>
      </c>
      <c r="J1791" s="164">
        <v>8.9879999999999995</v>
      </c>
      <c r="K1791" s="165">
        <v>28.800999999999998</v>
      </c>
      <c r="L1791" s="13">
        <v>5.4960000000000004</v>
      </c>
      <c r="M1791" s="166">
        <v>2.5000000000000001E-2</v>
      </c>
      <c r="N1791" s="15">
        <v>62.968000000000004</v>
      </c>
      <c r="O1791" s="167">
        <v>5.8000000000000003E-2</v>
      </c>
      <c r="P1791" s="96"/>
      <c r="Q1791" s="93"/>
      <c r="R1791" s="93"/>
      <c r="S1791" s="93"/>
      <c r="T1791" s="93"/>
    </row>
    <row r="1792" spans="1:20" ht="14.25" customHeight="1" x14ac:dyDescent="0.35">
      <c r="A1792" s="1">
        <v>2020</v>
      </c>
      <c r="B1792" s="1" t="s">
        <v>33</v>
      </c>
      <c r="C1792" s="1">
        <v>24</v>
      </c>
      <c r="D1792" s="49">
        <v>111.078</v>
      </c>
      <c r="E1792" s="50">
        <v>94.468999999999994</v>
      </c>
      <c r="F1792" s="161">
        <v>78.840999999999994</v>
      </c>
      <c r="G1792" s="162">
        <v>1670.0609999999999</v>
      </c>
      <c r="H1792" s="163">
        <v>6.9</v>
      </c>
      <c r="I1792" s="16">
        <v>0.02</v>
      </c>
      <c r="J1792" s="164">
        <v>8.9969999999999999</v>
      </c>
      <c r="K1792" s="162">
        <v>29.646000000000001</v>
      </c>
      <c r="L1792" s="163">
        <v>5.4870000000000001</v>
      </c>
      <c r="M1792" s="166">
        <v>2.5000000000000001E-2</v>
      </c>
      <c r="N1792" s="15">
        <v>64.177999999999997</v>
      </c>
      <c r="O1792" s="167">
        <v>6.4000000000000001E-2</v>
      </c>
      <c r="P1792" s="96"/>
      <c r="Q1792" s="93"/>
      <c r="R1792" s="93"/>
      <c r="S1792" s="93"/>
      <c r="T1792" s="93"/>
    </row>
    <row r="1793" spans="1:20" ht="14.25" customHeight="1" x14ac:dyDescent="0.35">
      <c r="A1793" s="1">
        <v>2020</v>
      </c>
      <c r="B1793" s="1" t="s">
        <v>33</v>
      </c>
      <c r="C1793" s="1">
        <v>25</v>
      </c>
      <c r="D1793" s="49">
        <v>104.03100000000001</v>
      </c>
      <c r="E1793" s="50">
        <v>88.468999999999994</v>
      </c>
      <c r="F1793" s="161">
        <v>78.837999999999994</v>
      </c>
      <c r="G1793" s="162">
        <v>1727.925</v>
      </c>
      <c r="H1793" s="163">
        <v>6.9</v>
      </c>
      <c r="I1793" s="16">
        <v>0.02</v>
      </c>
      <c r="J1793" s="164">
        <v>8.9779999999999998</v>
      </c>
      <c r="K1793" s="165">
        <v>30.783000000000001</v>
      </c>
      <c r="L1793" s="13">
        <v>5.4770000000000003</v>
      </c>
      <c r="M1793" s="166">
        <v>2.5000000000000001E-2</v>
      </c>
      <c r="N1793" s="15">
        <v>65.876999999999995</v>
      </c>
      <c r="O1793" s="167">
        <v>5.6000000000000001E-2</v>
      </c>
      <c r="P1793" s="96"/>
      <c r="Q1793" s="93"/>
      <c r="R1793" s="93"/>
      <c r="S1793" s="93"/>
      <c r="T1793" s="93"/>
    </row>
    <row r="1794" spans="1:20" ht="14.25" customHeight="1" x14ac:dyDescent="0.35">
      <c r="A1794" s="1">
        <v>2020</v>
      </c>
      <c r="B1794" s="1" t="s">
        <v>33</v>
      </c>
      <c r="C1794" s="1">
        <v>26</v>
      </c>
      <c r="D1794" s="49">
        <v>107.48399999999999</v>
      </c>
      <c r="E1794" s="50">
        <v>91.468999999999994</v>
      </c>
      <c r="F1794" s="161">
        <v>78.435000000000002</v>
      </c>
      <c r="G1794" s="162">
        <v>1679.817</v>
      </c>
      <c r="H1794" s="163">
        <v>6.9</v>
      </c>
      <c r="I1794" s="16">
        <v>1.9E-2</v>
      </c>
      <c r="J1794" s="164">
        <v>8.7569999999999997</v>
      </c>
      <c r="K1794" s="162">
        <v>28.846</v>
      </c>
      <c r="L1794" s="163">
        <v>5.4660000000000002</v>
      </c>
      <c r="M1794" s="166">
        <v>2.5000000000000001E-2</v>
      </c>
      <c r="N1794" s="15">
        <v>67.373999999999995</v>
      </c>
      <c r="O1794" s="167">
        <v>0.05</v>
      </c>
      <c r="P1794" s="96"/>
      <c r="Q1794" s="93"/>
      <c r="R1794" s="93"/>
      <c r="S1794" s="93"/>
      <c r="T1794" s="93"/>
    </row>
    <row r="1795" spans="1:20" ht="14.25" customHeight="1" x14ac:dyDescent="0.35">
      <c r="A1795" s="1">
        <v>2020</v>
      </c>
      <c r="B1795" s="1" t="s">
        <v>33</v>
      </c>
      <c r="C1795" s="1">
        <v>27</v>
      </c>
      <c r="D1795" s="49">
        <v>102.23399999999999</v>
      </c>
      <c r="E1795" s="50">
        <v>86.843999999999994</v>
      </c>
      <c r="F1795" s="161">
        <v>77.628</v>
      </c>
      <c r="G1795" s="162">
        <v>1610.7739999999999</v>
      </c>
      <c r="H1795" s="163">
        <v>6.9</v>
      </c>
      <c r="I1795" s="16">
        <v>1.7999999999999999E-2</v>
      </c>
      <c r="J1795" s="164">
        <v>8.0719999999999992</v>
      </c>
      <c r="K1795" s="165">
        <v>27.655000000000001</v>
      </c>
      <c r="L1795" s="13">
        <v>5.4710000000000001</v>
      </c>
      <c r="M1795" s="166">
        <v>2.5000000000000001E-2</v>
      </c>
      <c r="N1795" s="15">
        <v>66.563999999999993</v>
      </c>
      <c r="O1795" s="167">
        <v>4.3999999999999997E-2</v>
      </c>
      <c r="P1795" s="96"/>
      <c r="Q1795" s="93"/>
      <c r="R1795" s="93"/>
      <c r="S1795" s="93"/>
      <c r="T1795" s="93"/>
    </row>
    <row r="1796" spans="1:20" ht="14.25" customHeight="1" x14ac:dyDescent="0.35">
      <c r="A1796" s="1">
        <v>2020</v>
      </c>
      <c r="B1796" s="1" t="s">
        <v>33</v>
      </c>
      <c r="C1796" s="1">
        <v>28</v>
      </c>
      <c r="D1796" s="49">
        <v>98.906000000000006</v>
      </c>
      <c r="E1796" s="50">
        <v>84.125</v>
      </c>
      <c r="F1796" s="161">
        <v>77.807000000000002</v>
      </c>
      <c r="G1796" s="162">
        <v>1589.481</v>
      </c>
      <c r="H1796" s="163">
        <v>6.9</v>
      </c>
      <c r="I1796" s="16">
        <v>1.9E-2</v>
      </c>
      <c r="J1796" s="164">
        <v>8.3550000000000004</v>
      </c>
      <c r="K1796" s="162">
        <v>28.763999999999999</v>
      </c>
      <c r="L1796" s="163">
        <v>5.4969999999999999</v>
      </c>
      <c r="M1796" s="166">
        <v>2.5000000000000001E-2</v>
      </c>
      <c r="N1796" s="15">
        <v>62.66</v>
      </c>
      <c r="O1796" s="167">
        <v>4.3999999999999997E-2</v>
      </c>
      <c r="P1796" s="96"/>
      <c r="Q1796" s="93"/>
      <c r="R1796" s="93"/>
      <c r="S1796" s="93"/>
      <c r="T1796" s="93"/>
    </row>
    <row r="1797" spans="1:20" ht="14.25" customHeight="1" x14ac:dyDescent="0.35">
      <c r="A1797" s="1">
        <v>2020</v>
      </c>
      <c r="B1797" s="1" t="s">
        <v>33</v>
      </c>
      <c r="C1797" s="1">
        <v>29</v>
      </c>
      <c r="D1797" s="49">
        <v>102.453</v>
      </c>
      <c r="E1797" s="50">
        <v>87.063000000000002</v>
      </c>
      <c r="F1797" s="187">
        <v>77.814999999999998</v>
      </c>
      <c r="G1797" s="22">
        <v>1572.029</v>
      </c>
      <c r="H1797" s="13">
        <v>6.9</v>
      </c>
      <c r="I1797" s="166">
        <v>1.7999999999999999E-2</v>
      </c>
      <c r="J1797" s="188">
        <v>8.5920000000000005</v>
      </c>
      <c r="K1797" s="162">
        <v>27.353000000000002</v>
      </c>
      <c r="L1797" s="163">
        <v>5.484</v>
      </c>
      <c r="M1797" s="166">
        <v>2.5000000000000001E-2</v>
      </c>
      <c r="N1797" s="15">
        <v>64.682000000000002</v>
      </c>
      <c r="O1797" s="227">
        <v>4.5999999999999999E-2</v>
      </c>
      <c r="P1797" s="96"/>
      <c r="Q1797" s="93"/>
      <c r="R1797" s="93"/>
      <c r="S1797" s="93"/>
      <c r="T1797" s="93"/>
    </row>
    <row r="1798" spans="1:20" ht="14.25" customHeight="1" x14ac:dyDescent="0.35">
      <c r="A1798" s="1">
        <v>2020</v>
      </c>
      <c r="B1798" s="1" t="s">
        <v>33</v>
      </c>
      <c r="C1798" s="1">
        <v>30</v>
      </c>
      <c r="D1798" s="104">
        <v>106.64100000000001</v>
      </c>
      <c r="E1798" s="105">
        <v>90.688000000000002</v>
      </c>
      <c r="F1798" s="187">
        <v>78.051000000000002</v>
      </c>
      <c r="G1798" s="22">
        <v>1597.1980000000001</v>
      </c>
      <c r="H1798" s="13">
        <v>6.9</v>
      </c>
      <c r="I1798" s="166">
        <v>1.9E-2</v>
      </c>
      <c r="J1798" s="188">
        <v>8.984</v>
      </c>
      <c r="K1798" s="162">
        <v>28.242999999999999</v>
      </c>
      <c r="L1798" s="163">
        <v>5.4889999999999999</v>
      </c>
      <c r="M1798" s="166">
        <v>2.5000000000000001E-2</v>
      </c>
      <c r="N1798" s="15">
        <v>63.804000000000002</v>
      </c>
      <c r="O1798" s="227">
        <v>4.9000000000000002E-2</v>
      </c>
      <c r="P1798" s="96"/>
      <c r="Q1798" s="93"/>
      <c r="R1798" s="93"/>
      <c r="S1798" s="93"/>
      <c r="T1798" s="93"/>
    </row>
    <row r="1799" spans="1:20" ht="14.25" customHeight="1" x14ac:dyDescent="0.35">
      <c r="A1799" s="1">
        <v>2020</v>
      </c>
      <c r="B1799" s="1" t="s">
        <v>34</v>
      </c>
      <c r="C1799" s="1">
        <v>1</v>
      </c>
      <c r="D1799" s="49">
        <v>107.76600000000001</v>
      </c>
      <c r="E1799" s="50">
        <v>91.5</v>
      </c>
      <c r="F1799" s="156">
        <v>78.046000000000006</v>
      </c>
      <c r="G1799" s="157">
        <v>1693.6179999999999</v>
      </c>
      <c r="H1799" s="44">
        <v>6.9</v>
      </c>
      <c r="I1799" s="45">
        <v>1.9E-2</v>
      </c>
      <c r="J1799" s="158">
        <v>9.2029999999999994</v>
      </c>
      <c r="K1799" s="157">
        <v>30.206</v>
      </c>
      <c r="L1799" s="45">
        <v>5.4960000000000004</v>
      </c>
      <c r="M1799" s="159">
        <v>2.5000000000000001E-2</v>
      </c>
      <c r="N1799" s="15">
        <v>62.908000000000001</v>
      </c>
      <c r="O1799" s="160">
        <v>5.8000000000000003E-2</v>
      </c>
      <c r="P1799" s="96"/>
      <c r="Q1799" s="93"/>
      <c r="R1799" s="93"/>
      <c r="S1799" s="93"/>
      <c r="T1799" s="93"/>
    </row>
    <row r="1800" spans="1:20" ht="14.25" customHeight="1" x14ac:dyDescent="0.35">
      <c r="A1800" s="1">
        <v>2020</v>
      </c>
      <c r="B1800" s="1" t="s">
        <v>34</v>
      </c>
      <c r="C1800" s="1">
        <v>2</v>
      </c>
      <c r="D1800" s="49">
        <v>106.01600000000001</v>
      </c>
      <c r="E1800" s="50">
        <v>90.031000000000006</v>
      </c>
      <c r="F1800" s="161">
        <v>78.203000000000003</v>
      </c>
      <c r="G1800" s="162">
        <v>1720.318</v>
      </c>
      <c r="H1800" s="163">
        <v>6.9</v>
      </c>
      <c r="I1800" s="16">
        <v>1.9E-2</v>
      </c>
      <c r="J1800" s="164">
        <v>9.032</v>
      </c>
      <c r="K1800" s="165">
        <v>30.25</v>
      </c>
      <c r="L1800" s="13">
        <v>5.5010000000000003</v>
      </c>
      <c r="M1800" s="166">
        <v>2.5000000000000001E-2</v>
      </c>
      <c r="N1800" s="15">
        <v>62.350999999999999</v>
      </c>
      <c r="O1800" s="167">
        <v>5.8000000000000003E-2</v>
      </c>
      <c r="P1800" s="96"/>
      <c r="Q1800" s="93"/>
      <c r="R1800" s="93"/>
      <c r="S1800" s="93"/>
      <c r="T1800" s="93"/>
    </row>
    <row r="1801" spans="1:20" ht="14.25" customHeight="1" x14ac:dyDescent="0.35">
      <c r="A1801" s="1">
        <v>2020</v>
      </c>
      <c r="B1801" s="1" t="s">
        <v>34</v>
      </c>
      <c r="C1801" s="1">
        <v>3</v>
      </c>
      <c r="D1801" s="49">
        <v>105.98399999999999</v>
      </c>
      <c r="E1801" s="50">
        <v>89.968999999999994</v>
      </c>
      <c r="F1801" s="161">
        <v>77.488</v>
      </c>
      <c r="G1801" s="162">
        <v>1739.3030000000001</v>
      </c>
      <c r="H1801" s="163">
        <v>6.9</v>
      </c>
      <c r="I1801" s="16">
        <v>1.9E-2</v>
      </c>
      <c r="J1801" s="164">
        <v>9.0350000000000001</v>
      </c>
      <c r="K1801" s="165">
        <v>29.754999999999999</v>
      </c>
      <c r="L1801" s="13">
        <v>5.4939999999999998</v>
      </c>
      <c r="M1801" s="166">
        <v>2.5000000000000001E-2</v>
      </c>
      <c r="N1801" s="15">
        <v>63.454999999999998</v>
      </c>
      <c r="O1801" s="167">
        <v>5.6000000000000001E-2</v>
      </c>
      <c r="P1801" s="96"/>
      <c r="Q1801" s="93"/>
      <c r="R1801" s="93"/>
      <c r="S1801" s="93"/>
      <c r="T1801" s="93"/>
    </row>
    <row r="1802" spans="1:20" ht="14.25" customHeight="1" x14ac:dyDescent="0.35">
      <c r="A1802" s="1">
        <v>2020</v>
      </c>
      <c r="B1802" s="1" t="s">
        <v>34</v>
      </c>
      <c r="C1802" s="1">
        <v>4</v>
      </c>
      <c r="D1802" s="49">
        <v>110.953</v>
      </c>
      <c r="E1802" s="50">
        <v>94.218999999999994</v>
      </c>
      <c r="F1802" s="161">
        <v>77.483999999999995</v>
      </c>
      <c r="G1802" s="162">
        <v>1724.453</v>
      </c>
      <c r="H1802" s="163">
        <v>6.9</v>
      </c>
      <c r="I1802" s="16">
        <v>0.02</v>
      </c>
      <c r="J1802" s="164">
        <v>9.2520000000000007</v>
      </c>
      <c r="K1802" s="165">
        <v>28.206</v>
      </c>
      <c r="L1802" s="13">
        <v>5.4480000000000004</v>
      </c>
      <c r="M1802" s="166">
        <v>2.5000000000000001E-2</v>
      </c>
      <c r="N1802" s="15">
        <v>70.090999999999994</v>
      </c>
      <c r="O1802" s="167">
        <v>5.8000000000000003E-2</v>
      </c>
      <c r="P1802" s="96"/>
      <c r="Q1802" s="93"/>
      <c r="R1802" s="93"/>
      <c r="S1802" s="93"/>
      <c r="T1802" s="93"/>
    </row>
    <row r="1803" spans="1:20" ht="14.25" customHeight="1" x14ac:dyDescent="0.35">
      <c r="A1803" s="1">
        <v>2020</v>
      </c>
      <c r="B1803" s="1" t="s">
        <v>34</v>
      </c>
      <c r="C1803" s="1">
        <v>5</v>
      </c>
      <c r="D1803" s="49">
        <v>110.172</v>
      </c>
      <c r="E1803" s="50">
        <v>93.531000000000006</v>
      </c>
      <c r="F1803" s="161">
        <v>77.343999999999994</v>
      </c>
      <c r="G1803" s="162">
        <v>1680.8969999999999</v>
      </c>
      <c r="H1803" s="163">
        <v>6.9</v>
      </c>
      <c r="I1803" s="16">
        <v>1.9E-2</v>
      </c>
      <c r="J1803" s="164">
        <v>8.8550000000000004</v>
      </c>
      <c r="K1803" s="165">
        <v>27.021999999999998</v>
      </c>
      <c r="L1803" s="13">
        <v>5.42</v>
      </c>
      <c r="M1803" s="166">
        <v>2.5000000000000001E-2</v>
      </c>
      <c r="N1803" s="15">
        <v>75.194000000000003</v>
      </c>
      <c r="O1803" s="167">
        <v>5.2999999999999999E-2</v>
      </c>
      <c r="P1803" s="96"/>
      <c r="Q1803" s="93"/>
      <c r="R1803" s="93"/>
      <c r="S1803" s="93"/>
      <c r="T1803" s="93"/>
    </row>
    <row r="1804" spans="1:20" ht="14.25" customHeight="1" x14ac:dyDescent="0.35">
      <c r="A1804" s="1">
        <v>2020</v>
      </c>
      <c r="B1804" s="1" t="s">
        <v>34</v>
      </c>
      <c r="C1804" s="1">
        <v>6</v>
      </c>
      <c r="D1804" s="49">
        <v>107.297</v>
      </c>
      <c r="E1804" s="50">
        <v>91.093999999999994</v>
      </c>
      <c r="F1804" s="161">
        <v>77.103999999999999</v>
      </c>
      <c r="G1804" s="162">
        <v>1579.92</v>
      </c>
      <c r="H1804" s="163">
        <v>6.9</v>
      </c>
      <c r="I1804" s="16">
        <v>1.7999999999999999E-2</v>
      </c>
      <c r="J1804" s="164">
        <v>8.641</v>
      </c>
      <c r="K1804" s="165">
        <v>26.033000000000001</v>
      </c>
      <c r="L1804" s="13">
        <v>5.452</v>
      </c>
      <c r="M1804" s="166">
        <v>2.5000000000000001E-2</v>
      </c>
      <c r="N1804" s="15">
        <v>70.180000000000007</v>
      </c>
      <c r="O1804" s="167">
        <v>4.9000000000000002E-2</v>
      </c>
      <c r="P1804" s="96"/>
      <c r="Q1804" s="93"/>
      <c r="R1804" s="93"/>
      <c r="S1804" s="93"/>
      <c r="T1804" s="93"/>
    </row>
    <row r="1805" spans="1:20" ht="14.25" customHeight="1" x14ac:dyDescent="0.35">
      <c r="A1805" s="1">
        <v>2020</v>
      </c>
      <c r="B1805" s="1" t="s">
        <v>34</v>
      </c>
      <c r="C1805" s="1">
        <v>7</v>
      </c>
      <c r="D1805" s="49">
        <v>108.438</v>
      </c>
      <c r="E1805" s="50">
        <v>92.093999999999994</v>
      </c>
      <c r="F1805" s="161">
        <v>76.989999999999995</v>
      </c>
      <c r="G1805" s="162">
        <v>1553.3109999999999</v>
      </c>
      <c r="H1805" s="163">
        <v>6.9</v>
      </c>
      <c r="I1805" s="16">
        <v>1.9E-2</v>
      </c>
      <c r="J1805" s="164">
        <v>8.9350000000000005</v>
      </c>
      <c r="K1805" s="165">
        <v>25.837</v>
      </c>
      <c r="L1805" s="13">
        <v>5.4660000000000002</v>
      </c>
      <c r="M1805" s="166">
        <v>2.5000000000000001E-2</v>
      </c>
      <c r="N1805" s="15">
        <v>67.680999999999997</v>
      </c>
      <c r="O1805" s="167">
        <v>4.9000000000000002E-2</v>
      </c>
      <c r="P1805" s="96"/>
      <c r="Q1805" s="93"/>
      <c r="R1805" s="93"/>
      <c r="S1805" s="93"/>
      <c r="T1805" s="93"/>
    </row>
    <row r="1806" spans="1:20" ht="14.25" customHeight="1" x14ac:dyDescent="0.35">
      <c r="A1806" s="1">
        <v>2020</v>
      </c>
      <c r="B1806" s="1" t="s">
        <v>34</v>
      </c>
      <c r="C1806" s="1">
        <v>8</v>
      </c>
      <c r="D1806" s="49">
        <v>93.453000000000003</v>
      </c>
      <c r="E1806" s="50">
        <v>79.125</v>
      </c>
      <c r="F1806" s="161">
        <v>77.840999999999994</v>
      </c>
      <c r="G1806" s="22">
        <v>1651.27</v>
      </c>
      <c r="H1806" s="163">
        <v>6.8879999999999999</v>
      </c>
      <c r="I1806" s="16">
        <v>0.02</v>
      </c>
      <c r="J1806" s="168">
        <v>8.1419999999999995</v>
      </c>
      <c r="K1806" s="165">
        <v>28.609000000000002</v>
      </c>
      <c r="L1806" s="13">
        <v>5.47</v>
      </c>
      <c r="M1806" s="166">
        <v>2.5000000000000001E-2</v>
      </c>
      <c r="N1806" s="15">
        <v>67.713999999999999</v>
      </c>
      <c r="O1806" s="192">
        <v>5.8000000000000003E-2</v>
      </c>
      <c r="P1806" s="96"/>
      <c r="Q1806" s="93"/>
      <c r="R1806" s="93"/>
      <c r="S1806" s="93"/>
      <c r="T1806" s="93"/>
    </row>
    <row r="1807" spans="1:20" ht="14.25" customHeight="1" x14ac:dyDescent="0.35">
      <c r="A1807" s="1">
        <v>2020</v>
      </c>
      <c r="B1807" s="1" t="s">
        <v>34</v>
      </c>
      <c r="C1807" s="1">
        <v>9</v>
      </c>
      <c r="D1807" s="49">
        <v>97.516000000000005</v>
      </c>
      <c r="E1807" s="50">
        <v>82.813000000000002</v>
      </c>
      <c r="F1807" s="161">
        <v>77.652000000000001</v>
      </c>
      <c r="G1807" s="162">
        <v>1670.924</v>
      </c>
      <c r="H1807" s="163">
        <v>6.8929999999999998</v>
      </c>
      <c r="I1807" s="16">
        <v>1.7999999999999999E-2</v>
      </c>
      <c r="J1807" s="164">
        <v>7.7309999999999999</v>
      </c>
      <c r="K1807" s="165">
        <v>27.879000000000001</v>
      </c>
      <c r="L1807" s="13">
        <v>5.4509999999999996</v>
      </c>
      <c r="M1807" s="166">
        <v>2.5000000000000001E-2</v>
      </c>
      <c r="N1807" s="15">
        <v>70.158000000000001</v>
      </c>
      <c r="O1807" s="167">
        <v>5.7000000000000002E-2</v>
      </c>
      <c r="P1807" s="96"/>
      <c r="Q1807" s="93"/>
      <c r="R1807" s="93"/>
      <c r="S1807" s="93"/>
      <c r="T1807" s="93"/>
    </row>
    <row r="1808" spans="1:20" ht="14.25" customHeight="1" x14ac:dyDescent="0.35">
      <c r="A1808" s="1">
        <v>2020</v>
      </c>
      <c r="B1808" s="1" t="s">
        <v>34</v>
      </c>
      <c r="C1808" s="1">
        <v>10</v>
      </c>
      <c r="D1808" s="49">
        <v>110.15600000000001</v>
      </c>
      <c r="E1808" s="50">
        <v>93.5</v>
      </c>
      <c r="F1808" s="169">
        <v>77.215000000000003</v>
      </c>
      <c r="G1808" s="162">
        <v>1657.5730000000001</v>
      </c>
      <c r="H1808" s="163">
        <v>6.9</v>
      </c>
      <c r="I1808" s="16">
        <v>1.7999999999999999E-2</v>
      </c>
      <c r="J1808" s="170">
        <v>7.7439999999999998</v>
      </c>
      <c r="K1808" s="165">
        <v>27.561</v>
      </c>
      <c r="L1808" s="13">
        <v>5.45</v>
      </c>
      <c r="M1808" s="171">
        <v>2.5000000000000001E-2</v>
      </c>
      <c r="N1808" s="15">
        <v>70.241</v>
      </c>
      <c r="O1808" s="172">
        <v>5.2999999999999999E-2</v>
      </c>
      <c r="P1808" s="96"/>
      <c r="Q1808" s="93"/>
      <c r="R1808" s="93"/>
      <c r="S1808" s="93"/>
      <c r="T1808" s="93"/>
    </row>
    <row r="1809" spans="1:20" ht="14.25" customHeight="1" x14ac:dyDescent="0.35">
      <c r="A1809" s="1">
        <v>2020</v>
      </c>
      <c r="B1809" s="1" t="s">
        <v>34</v>
      </c>
      <c r="C1809" s="1">
        <v>11</v>
      </c>
      <c r="D1809" s="49">
        <v>105.14100000000001</v>
      </c>
      <c r="E1809" s="50">
        <v>89.125</v>
      </c>
      <c r="F1809" s="169">
        <v>76.918999999999997</v>
      </c>
      <c r="G1809" s="162">
        <v>1639.56</v>
      </c>
      <c r="H1809" s="163">
        <v>6.9</v>
      </c>
      <c r="I1809" s="16">
        <v>0.02</v>
      </c>
      <c r="J1809" s="170">
        <v>8.3569999999999993</v>
      </c>
      <c r="K1809" s="165">
        <v>26.681000000000001</v>
      </c>
      <c r="L1809" s="13">
        <v>5.5170000000000003</v>
      </c>
      <c r="M1809" s="171">
        <v>2.5000000000000001E-2</v>
      </c>
      <c r="N1809" s="15">
        <v>60.856000000000002</v>
      </c>
      <c r="O1809" s="172">
        <v>6.9000000000000006E-2</v>
      </c>
      <c r="P1809" s="96"/>
      <c r="Q1809" s="93"/>
      <c r="R1809" s="93"/>
      <c r="S1809" s="93"/>
      <c r="T1809" s="93"/>
    </row>
    <row r="1810" spans="1:20" ht="14.25" customHeight="1" x14ac:dyDescent="0.35">
      <c r="A1810" s="1">
        <v>2020</v>
      </c>
      <c r="B1810" s="1" t="s">
        <v>34</v>
      </c>
      <c r="C1810" s="1">
        <v>12</v>
      </c>
      <c r="D1810" s="49">
        <v>109.547</v>
      </c>
      <c r="E1810" s="50">
        <v>93.063000000000002</v>
      </c>
      <c r="F1810" s="169">
        <v>76.995999999999995</v>
      </c>
      <c r="G1810" s="162">
        <v>1617.9590000000001</v>
      </c>
      <c r="H1810" s="163">
        <v>6.9</v>
      </c>
      <c r="I1810" s="16">
        <v>1.9E-2</v>
      </c>
      <c r="J1810" s="170">
        <v>7.7350000000000003</v>
      </c>
      <c r="K1810" s="165">
        <v>26.274000000000001</v>
      </c>
      <c r="L1810" s="13">
        <v>5.5650000000000004</v>
      </c>
      <c r="M1810" s="171">
        <v>2.5000000000000001E-2</v>
      </c>
      <c r="N1810" s="15">
        <v>54.002000000000002</v>
      </c>
      <c r="O1810" s="172">
        <v>5.2999999999999999E-2</v>
      </c>
      <c r="P1810" s="96"/>
      <c r="Q1810" s="93"/>
      <c r="R1810" s="93"/>
      <c r="S1810" s="93"/>
      <c r="T1810" s="93"/>
    </row>
    <row r="1811" spans="1:20" ht="14.25" customHeight="1" x14ac:dyDescent="0.35">
      <c r="A1811" s="1">
        <v>2020</v>
      </c>
      <c r="B1811" s="1" t="s">
        <v>34</v>
      </c>
      <c r="C1811" s="1">
        <v>13</v>
      </c>
      <c r="D1811" s="49">
        <v>106.953</v>
      </c>
      <c r="E1811" s="50">
        <v>90.625</v>
      </c>
      <c r="F1811" s="173">
        <v>76.799000000000007</v>
      </c>
      <c r="G1811" s="162">
        <v>1541.5889999999999</v>
      </c>
      <c r="H1811" s="163">
        <v>6.9</v>
      </c>
      <c r="I1811" s="16">
        <v>1.7999999999999999E-2</v>
      </c>
      <c r="J1811" s="174">
        <v>7.6710000000000003</v>
      </c>
      <c r="K1811" s="165">
        <v>24.777999999999999</v>
      </c>
      <c r="L1811" s="13">
        <v>5.5780000000000003</v>
      </c>
      <c r="M1811" s="166">
        <v>2.5000000000000001E-2</v>
      </c>
      <c r="N1811" s="15">
        <v>52.223999999999997</v>
      </c>
      <c r="O1811" s="175">
        <v>4.7E-2</v>
      </c>
      <c r="P1811" s="96"/>
      <c r="Q1811" s="93"/>
      <c r="R1811" s="93"/>
      <c r="S1811" s="93"/>
      <c r="T1811" s="93"/>
    </row>
    <row r="1812" spans="1:20" ht="14.25" customHeight="1" x14ac:dyDescent="0.35">
      <c r="A1812" s="1">
        <v>2020</v>
      </c>
      <c r="B1812" s="1" t="s">
        <v>34</v>
      </c>
      <c r="C1812" s="1">
        <v>14</v>
      </c>
      <c r="D1812" s="49">
        <v>100.26600000000001</v>
      </c>
      <c r="E1812" s="50">
        <v>84.843999999999994</v>
      </c>
      <c r="F1812" s="161">
        <v>76.804000000000002</v>
      </c>
      <c r="G1812" s="162">
        <v>1520.135</v>
      </c>
      <c r="H1812" s="163">
        <v>6.9</v>
      </c>
      <c r="I1812" s="16">
        <v>1.7999999999999999E-2</v>
      </c>
      <c r="J1812" s="174">
        <v>7.7450000000000001</v>
      </c>
      <c r="K1812" s="176">
        <v>24.312999999999999</v>
      </c>
      <c r="L1812" s="13">
        <v>5.556</v>
      </c>
      <c r="M1812" s="166">
        <v>2.5000000000000001E-2</v>
      </c>
      <c r="N1812" s="15">
        <v>54.832999999999998</v>
      </c>
      <c r="O1812" s="175">
        <v>0.05</v>
      </c>
      <c r="P1812" s="96"/>
      <c r="Q1812" s="93"/>
      <c r="R1812" s="93"/>
      <c r="S1812" s="93"/>
      <c r="T1812" s="93"/>
    </row>
    <row r="1813" spans="1:20" ht="14.25" customHeight="1" x14ac:dyDescent="0.35">
      <c r="A1813" s="1">
        <v>2020</v>
      </c>
      <c r="B1813" s="1" t="s">
        <v>34</v>
      </c>
      <c r="C1813" s="1">
        <v>15</v>
      </c>
      <c r="D1813" s="49">
        <v>97.703000000000003</v>
      </c>
      <c r="E1813" s="50">
        <v>82.688000000000002</v>
      </c>
      <c r="F1813" s="161">
        <v>76.495000000000005</v>
      </c>
      <c r="G1813" s="162">
        <v>1603.9380000000001</v>
      </c>
      <c r="H1813" s="163">
        <v>6.9</v>
      </c>
      <c r="I1813" s="16">
        <v>1.7999999999999999E-2</v>
      </c>
      <c r="J1813" s="170">
        <v>7.431</v>
      </c>
      <c r="K1813" s="165">
        <v>25.405000000000001</v>
      </c>
      <c r="L1813" s="13">
        <v>5.5389999999999997</v>
      </c>
      <c r="M1813" s="166">
        <v>2.5000000000000001E-2</v>
      </c>
      <c r="N1813" s="15">
        <v>56.892000000000003</v>
      </c>
      <c r="O1813" s="172">
        <v>5.1999999999999998E-2</v>
      </c>
      <c r="P1813" s="96"/>
      <c r="Q1813" s="93"/>
      <c r="R1813" s="93"/>
      <c r="S1813" s="93"/>
      <c r="T1813" s="93"/>
    </row>
    <row r="1814" spans="1:20" ht="14.25" customHeight="1" x14ac:dyDescent="0.35">
      <c r="A1814" s="1">
        <v>2020</v>
      </c>
      <c r="B1814" s="1" t="s">
        <v>34</v>
      </c>
      <c r="C1814" s="1">
        <v>16</v>
      </c>
      <c r="D1814" s="49">
        <v>91.733999999999995</v>
      </c>
      <c r="E1814" s="50">
        <v>77.593999999999994</v>
      </c>
      <c r="F1814" s="161">
        <v>76.483999999999995</v>
      </c>
      <c r="G1814" s="162">
        <v>1636.019</v>
      </c>
      <c r="H1814" s="163">
        <v>6.9</v>
      </c>
      <c r="I1814" s="16">
        <v>1.7000000000000001E-2</v>
      </c>
      <c r="J1814" s="174">
        <v>7.5229999999999997</v>
      </c>
      <c r="K1814" s="162">
        <v>25.93</v>
      </c>
      <c r="L1814" s="163">
        <v>5.5179999999999998</v>
      </c>
      <c r="M1814" s="166">
        <v>2.5000000000000001E-2</v>
      </c>
      <c r="N1814" s="15">
        <v>59.923000000000002</v>
      </c>
      <c r="O1814" s="175">
        <v>5.2999999999999999E-2</v>
      </c>
      <c r="P1814" s="96"/>
      <c r="Q1814" s="93"/>
      <c r="R1814" s="93"/>
      <c r="S1814" s="93"/>
      <c r="T1814" s="93"/>
    </row>
    <row r="1815" spans="1:20" ht="14.25" customHeight="1" x14ac:dyDescent="0.35">
      <c r="A1815" s="1">
        <v>2020</v>
      </c>
      <c r="B1815" s="1" t="s">
        <v>34</v>
      </c>
      <c r="C1815" s="1">
        <v>17</v>
      </c>
      <c r="D1815" s="49">
        <v>77.281000000000006</v>
      </c>
      <c r="E1815" s="50">
        <v>65.281000000000006</v>
      </c>
      <c r="F1815" s="161">
        <v>76.028999999999996</v>
      </c>
      <c r="G1815" s="162">
        <v>1656.3240000000001</v>
      </c>
      <c r="H1815" s="163">
        <v>6.9059999999999997</v>
      </c>
      <c r="I1815" s="16">
        <v>1.9E-2</v>
      </c>
      <c r="J1815" s="164">
        <v>8.0399999999999991</v>
      </c>
      <c r="K1815" s="165">
        <v>26.67</v>
      </c>
      <c r="L1815" s="13">
        <v>5.5549999999999997</v>
      </c>
      <c r="M1815" s="166">
        <v>2.5000000000000001E-2</v>
      </c>
      <c r="N1815" s="15">
        <v>55.301000000000002</v>
      </c>
      <c r="O1815" s="167">
        <v>5.6000000000000001E-2</v>
      </c>
      <c r="P1815" s="96"/>
      <c r="Q1815" s="93"/>
      <c r="R1815" s="93"/>
      <c r="S1815" s="93"/>
      <c r="T1815" s="93"/>
    </row>
    <row r="1816" spans="1:20" ht="14.25" customHeight="1" x14ac:dyDescent="0.35">
      <c r="A1816" s="1">
        <v>2020</v>
      </c>
      <c r="B1816" s="1" t="s">
        <v>34</v>
      </c>
      <c r="C1816" s="1">
        <v>18</v>
      </c>
      <c r="D1816" s="49">
        <v>110.09399999999999</v>
      </c>
      <c r="E1816" s="50">
        <v>93.406000000000006</v>
      </c>
      <c r="F1816" s="161">
        <v>76.462999999999994</v>
      </c>
      <c r="G1816" s="162">
        <v>1674.2360000000001</v>
      </c>
      <c r="H1816" s="163">
        <v>6.9</v>
      </c>
      <c r="I1816" s="16">
        <v>1.9E-2</v>
      </c>
      <c r="J1816" s="164">
        <v>8.5239999999999991</v>
      </c>
      <c r="K1816" s="162">
        <v>26.193999999999999</v>
      </c>
      <c r="L1816" s="163">
        <v>5.5410000000000004</v>
      </c>
      <c r="M1816" s="166">
        <v>2.5000000000000001E-2</v>
      </c>
      <c r="N1816" s="15">
        <v>56.662999999999997</v>
      </c>
      <c r="O1816" s="167">
        <v>5.2999999999999999E-2</v>
      </c>
      <c r="P1816" s="96"/>
      <c r="Q1816" s="93"/>
      <c r="R1816" s="93"/>
      <c r="S1816" s="93"/>
      <c r="T1816" s="93"/>
    </row>
    <row r="1817" spans="1:20" ht="14.25" customHeight="1" x14ac:dyDescent="0.35">
      <c r="A1817" s="1">
        <v>2020</v>
      </c>
      <c r="B1817" s="1" t="s">
        <v>34</v>
      </c>
      <c r="C1817" s="1">
        <v>19</v>
      </c>
      <c r="D1817" s="49">
        <v>105.76600000000001</v>
      </c>
      <c r="E1817" s="50">
        <v>89.593999999999994</v>
      </c>
      <c r="F1817" s="161">
        <v>76.313000000000002</v>
      </c>
      <c r="G1817" s="162">
        <v>1703.7070000000001</v>
      </c>
      <c r="H1817" s="163">
        <v>6.9</v>
      </c>
      <c r="I1817" s="16">
        <v>1.9E-2</v>
      </c>
      <c r="J1817" s="164">
        <v>8.8019999999999996</v>
      </c>
      <c r="K1817" s="165">
        <v>26.138000000000002</v>
      </c>
      <c r="L1817" s="13">
        <v>5.532</v>
      </c>
      <c r="M1817" s="166">
        <v>2.5000000000000001E-2</v>
      </c>
      <c r="N1817" s="15">
        <v>57.859000000000002</v>
      </c>
      <c r="O1817" s="167">
        <v>5.0999999999999997E-2</v>
      </c>
      <c r="P1817" s="96"/>
      <c r="Q1817" s="93"/>
      <c r="R1817" s="93"/>
      <c r="S1817" s="93"/>
      <c r="T1817" s="93"/>
    </row>
    <row r="1818" spans="1:20" ht="14.25" customHeight="1" x14ac:dyDescent="0.35">
      <c r="A1818" s="1">
        <v>2020</v>
      </c>
      <c r="B1818" s="1" t="s">
        <v>34</v>
      </c>
      <c r="C1818" s="1">
        <v>20</v>
      </c>
      <c r="D1818" s="49">
        <v>105.40600000000001</v>
      </c>
      <c r="E1818" s="50">
        <v>89.343999999999994</v>
      </c>
      <c r="F1818" s="161">
        <v>76.269000000000005</v>
      </c>
      <c r="G1818" s="162">
        <v>1645.5219999999999</v>
      </c>
      <c r="H1818" s="163">
        <v>6.9</v>
      </c>
      <c r="I1818" s="16">
        <v>1.7999999999999999E-2</v>
      </c>
      <c r="J1818" s="164">
        <v>8.7509999999999994</v>
      </c>
      <c r="K1818" s="162">
        <v>25.117000000000001</v>
      </c>
      <c r="L1818" s="163">
        <v>5.5129999999999999</v>
      </c>
      <c r="M1818" s="166">
        <v>2.5000000000000001E-2</v>
      </c>
      <c r="N1818" s="15">
        <v>60.536999999999999</v>
      </c>
      <c r="O1818" s="167">
        <v>4.9000000000000002E-2</v>
      </c>
      <c r="P1818" s="96"/>
      <c r="Q1818" s="93"/>
      <c r="R1818" s="93"/>
      <c r="S1818" s="93"/>
      <c r="T1818" s="93"/>
    </row>
    <row r="1819" spans="1:20" ht="14.25" customHeight="1" x14ac:dyDescent="0.35">
      <c r="A1819" s="1">
        <v>2020</v>
      </c>
      <c r="B1819" s="1" t="s">
        <v>34</v>
      </c>
      <c r="C1819" s="1">
        <v>21</v>
      </c>
      <c r="D1819" s="49">
        <v>107.78100000000001</v>
      </c>
      <c r="E1819" s="50">
        <v>91.375</v>
      </c>
      <c r="F1819" s="161">
        <v>76.436999999999998</v>
      </c>
      <c r="G1819" s="162">
        <v>1643.873</v>
      </c>
      <c r="H1819" s="163">
        <v>6.9</v>
      </c>
      <c r="I1819" s="16">
        <v>1.7999999999999999E-2</v>
      </c>
      <c r="J1819" s="164">
        <v>8.8970000000000002</v>
      </c>
      <c r="K1819" s="165">
        <v>25.593</v>
      </c>
      <c r="L1819" s="13">
        <v>5.516</v>
      </c>
      <c r="M1819" s="166">
        <v>2.5000000000000001E-2</v>
      </c>
      <c r="N1819" s="15">
        <v>59.923000000000002</v>
      </c>
      <c r="O1819" s="167">
        <v>4.9000000000000002E-2</v>
      </c>
      <c r="P1819" s="96"/>
      <c r="Q1819" s="93"/>
      <c r="R1819" s="93"/>
      <c r="S1819" s="93"/>
      <c r="T1819" s="93"/>
    </row>
    <row r="1820" spans="1:20" ht="14.25" customHeight="1" x14ac:dyDescent="0.35">
      <c r="A1820" s="1">
        <v>2020</v>
      </c>
      <c r="B1820" s="1" t="s">
        <v>34</v>
      </c>
      <c r="C1820" s="1">
        <v>22</v>
      </c>
      <c r="D1820" s="49">
        <v>108.39100000000001</v>
      </c>
      <c r="E1820" s="50">
        <v>92</v>
      </c>
      <c r="F1820" s="161">
        <v>76.37</v>
      </c>
      <c r="G1820" s="162">
        <v>1720.6110000000001</v>
      </c>
      <c r="H1820" s="163">
        <v>6.9009999999999998</v>
      </c>
      <c r="I1820" s="16">
        <v>1.7999999999999999E-2</v>
      </c>
      <c r="J1820" s="164">
        <v>8.91</v>
      </c>
      <c r="K1820" s="162">
        <v>27.052</v>
      </c>
      <c r="L1820" s="163">
        <v>5.508</v>
      </c>
      <c r="M1820" s="166">
        <v>2.5000000000000001E-2</v>
      </c>
      <c r="N1820" s="15">
        <v>61.231999999999999</v>
      </c>
      <c r="O1820" s="167">
        <v>5.1999999999999998E-2</v>
      </c>
      <c r="P1820" s="96"/>
      <c r="Q1820" s="93"/>
      <c r="R1820" s="93"/>
      <c r="S1820" s="93"/>
      <c r="T1820" s="93"/>
    </row>
    <row r="1821" spans="1:20" ht="14.25" customHeight="1" x14ac:dyDescent="0.35">
      <c r="A1821" s="1">
        <v>2020</v>
      </c>
      <c r="B1821" s="1" t="s">
        <v>34</v>
      </c>
      <c r="C1821" s="1">
        <v>23</v>
      </c>
      <c r="D1821" s="49">
        <v>106</v>
      </c>
      <c r="E1821" s="50">
        <v>89.938000000000002</v>
      </c>
      <c r="F1821" s="161">
        <v>76.290999999999997</v>
      </c>
      <c r="G1821" s="162">
        <v>1798.4169999999999</v>
      </c>
      <c r="H1821" s="163">
        <v>6.899</v>
      </c>
      <c r="I1821" s="16">
        <v>1.9E-2</v>
      </c>
      <c r="J1821" s="164">
        <v>8.8629999999999995</v>
      </c>
      <c r="K1821" s="165">
        <v>28.390999999999998</v>
      </c>
      <c r="L1821" s="13">
        <v>5.5259999999999998</v>
      </c>
      <c r="M1821" s="166">
        <v>2.5000000000000001E-2</v>
      </c>
      <c r="N1821" s="15">
        <v>58.831000000000003</v>
      </c>
      <c r="O1821" s="167">
        <v>5.3999999999999999E-2</v>
      </c>
      <c r="P1821" s="96"/>
      <c r="Q1821" s="93"/>
      <c r="R1821" s="93"/>
      <c r="S1821" s="93"/>
      <c r="T1821" s="93"/>
    </row>
    <row r="1822" spans="1:20" ht="14.25" customHeight="1" x14ac:dyDescent="0.35">
      <c r="A1822" s="1">
        <v>2020</v>
      </c>
      <c r="B1822" s="1" t="s">
        <v>34</v>
      </c>
      <c r="C1822" s="1">
        <v>24</v>
      </c>
      <c r="D1822" s="49">
        <v>108.23399999999999</v>
      </c>
      <c r="E1822" s="50">
        <v>91.875</v>
      </c>
      <c r="F1822" s="161">
        <v>75.88</v>
      </c>
      <c r="G1822" s="162">
        <v>1765.9359999999999</v>
      </c>
      <c r="H1822" s="163">
        <v>6.9</v>
      </c>
      <c r="I1822" s="16">
        <v>1.7999999999999999E-2</v>
      </c>
      <c r="J1822" s="164">
        <v>8.8580000000000005</v>
      </c>
      <c r="K1822" s="162">
        <v>26.797999999999998</v>
      </c>
      <c r="L1822" s="163">
        <v>5.5309999999999997</v>
      </c>
      <c r="M1822" s="166">
        <v>2.5000000000000001E-2</v>
      </c>
      <c r="N1822" s="15">
        <v>58.598999999999997</v>
      </c>
      <c r="O1822" s="167">
        <v>6.7000000000000004E-2</v>
      </c>
      <c r="P1822" s="96"/>
      <c r="Q1822" s="93"/>
      <c r="R1822" s="93"/>
      <c r="S1822" s="93"/>
      <c r="T1822" s="93"/>
    </row>
    <row r="1823" spans="1:20" ht="14.25" customHeight="1" x14ac:dyDescent="0.35">
      <c r="A1823" s="1">
        <v>2020</v>
      </c>
      <c r="B1823" s="1" t="s">
        <v>34</v>
      </c>
      <c r="C1823" s="1">
        <v>25</v>
      </c>
      <c r="D1823" s="49">
        <v>100.328</v>
      </c>
      <c r="E1823" s="50">
        <v>85</v>
      </c>
      <c r="F1823" s="161">
        <v>76.02</v>
      </c>
      <c r="G1823" s="162">
        <v>1644.7809999999999</v>
      </c>
      <c r="H1823" s="163">
        <v>6.899</v>
      </c>
      <c r="I1823" s="16">
        <v>1.7000000000000001E-2</v>
      </c>
      <c r="J1823" s="164">
        <v>7.9630000000000001</v>
      </c>
      <c r="K1823" s="165">
        <v>25.852</v>
      </c>
      <c r="L1823" s="13">
        <v>5.532</v>
      </c>
      <c r="M1823" s="166">
        <v>2.5000000000000001E-2</v>
      </c>
      <c r="N1823" s="15">
        <v>58.06</v>
      </c>
      <c r="O1823" s="167">
        <v>6.3E-2</v>
      </c>
      <c r="P1823" s="96"/>
      <c r="Q1823" s="93"/>
      <c r="R1823" s="93"/>
      <c r="S1823" s="93"/>
      <c r="T1823" s="93"/>
    </row>
    <row r="1824" spans="1:20" ht="14.25" customHeight="1" x14ac:dyDescent="0.35">
      <c r="A1824" s="1">
        <v>2020</v>
      </c>
      <c r="B1824" s="1" t="s">
        <v>34</v>
      </c>
      <c r="C1824" s="1">
        <v>26</v>
      </c>
      <c r="D1824" s="49">
        <v>98.188000000000002</v>
      </c>
      <c r="E1824" s="50">
        <v>83.25</v>
      </c>
      <c r="F1824" s="161">
        <v>75.753</v>
      </c>
      <c r="G1824" s="162">
        <v>1572.848</v>
      </c>
      <c r="H1824" s="163">
        <v>6.9</v>
      </c>
      <c r="I1824" s="16">
        <v>1.7999999999999999E-2</v>
      </c>
      <c r="J1824" s="164">
        <v>8.1359999999999992</v>
      </c>
      <c r="K1824" s="162">
        <v>25.454999999999998</v>
      </c>
      <c r="L1824" s="163">
        <v>5.5549999999999997</v>
      </c>
      <c r="M1824" s="166">
        <v>2.5000000000000001E-2</v>
      </c>
      <c r="N1824" s="15">
        <v>55.225000000000001</v>
      </c>
      <c r="O1824" s="167">
        <v>6.0999999999999999E-2</v>
      </c>
      <c r="P1824" s="96"/>
      <c r="Q1824" s="93"/>
      <c r="R1824" s="93"/>
      <c r="S1824" s="93"/>
      <c r="T1824" s="93"/>
    </row>
    <row r="1825" spans="1:20" ht="14.25" customHeight="1" x14ac:dyDescent="0.35">
      <c r="A1825" s="1">
        <v>2020</v>
      </c>
      <c r="B1825" s="1" t="s">
        <v>34</v>
      </c>
      <c r="C1825" s="1">
        <v>27</v>
      </c>
      <c r="D1825" s="12">
        <v>106.46899999999999</v>
      </c>
      <c r="E1825" s="13">
        <v>90.25</v>
      </c>
      <c r="F1825" s="161">
        <v>75.765000000000001</v>
      </c>
      <c r="G1825" s="162">
        <v>1585.472</v>
      </c>
      <c r="H1825" s="163">
        <v>6.9</v>
      </c>
      <c r="I1825" s="16">
        <v>1.7999999999999999E-2</v>
      </c>
      <c r="J1825" s="164">
        <v>8.7149999999999999</v>
      </c>
      <c r="K1825" s="165">
        <v>24.831</v>
      </c>
      <c r="L1825" s="13">
        <v>5.5650000000000004</v>
      </c>
      <c r="M1825" s="166">
        <v>2.5000000000000001E-2</v>
      </c>
      <c r="N1825" s="15">
        <v>53.912999999999997</v>
      </c>
      <c r="O1825" s="167">
        <v>6.0999999999999999E-2</v>
      </c>
      <c r="P1825" s="96"/>
      <c r="Q1825" s="93"/>
      <c r="R1825" s="93"/>
      <c r="S1825" s="93"/>
      <c r="T1825" s="93"/>
    </row>
    <row r="1826" spans="1:20" ht="14.25" customHeight="1" x14ac:dyDescent="0.35">
      <c r="A1826" s="1">
        <v>2020</v>
      </c>
      <c r="B1826" s="1" t="s">
        <v>34</v>
      </c>
      <c r="C1826" s="1">
        <v>28</v>
      </c>
      <c r="D1826" s="12">
        <v>109.703</v>
      </c>
      <c r="E1826" s="13">
        <v>93.218999999999994</v>
      </c>
      <c r="F1826" s="161">
        <v>74.989000000000004</v>
      </c>
      <c r="G1826" s="162">
        <v>1633.319</v>
      </c>
      <c r="H1826" s="163">
        <v>6.9</v>
      </c>
      <c r="I1826" s="16">
        <v>1.7999999999999999E-2</v>
      </c>
      <c r="J1826" s="164">
        <v>9.18</v>
      </c>
      <c r="K1826" s="162">
        <v>24.259399999999999</v>
      </c>
      <c r="L1826" s="163">
        <v>5.5419</v>
      </c>
      <c r="M1826" s="166">
        <v>2.4899999999999999E-2</v>
      </c>
      <c r="N1826" s="15">
        <v>56.734999999999999</v>
      </c>
      <c r="O1826" s="167">
        <v>6.1199999999999997E-2</v>
      </c>
      <c r="P1826" s="96"/>
      <c r="Q1826" s="93"/>
      <c r="R1826" s="93"/>
      <c r="S1826" s="93"/>
      <c r="T1826" s="93"/>
    </row>
    <row r="1827" spans="1:20" ht="14.25" customHeight="1" x14ac:dyDescent="0.35">
      <c r="A1827" s="1">
        <v>2020</v>
      </c>
      <c r="B1827" s="1" t="s">
        <v>34</v>
      </c>
      <c r="C1827" s="1">
        <v>29</v>
      </c>
      <c r="D1827" s="12">
        <v>108.03100000000001</v>
      </c>
      <c r="E1827" s="13">
        <v>91.718999999999994</v>
      </c>
      <c r="F1827" s="187">
        <v>74.06</v>
      </c>
      <c r="G1827" s="22">
        <v>1612.835</v>
      </c>
      <c r="H1827" s="13">
        <v>6.9</v>
      </c>
      <c r="I1827" s="166">
        <v>1.7999999999999999E-2</v>
      </c>
      <c r="J1827" s="188">
        <v>9.0039999999999996</v>
      </c>
      <c r="K1827" s="162">
        <v>22.963999999999999</v>
      </c>
      <c r="L1827" s="163">
        <v>5.5140000000000002</v>
      </c>
      <c r="M1827" s="166">
        <v>2.5000000000000001E-2</v>
      </c>
      <c r="N1827" s="15">
        <v>60.530999999999999</v>
      </c>
      <c r="O1827" s="227">
        <v>6.4000000000000001E-2</v>
      </c>
      <c r="P1827" s="96"/>
      <c r="Q1827" s="93"/>
      <c r="R1827" s="93"/>
      <c r="S1827" s="93"/>
      <c r="T1827" s="93"/>
    </row>
    <row r="1828" spans="1:20" ht="14.25" customHeight="1" x14ac:dyDescent="0.35">
      <c r="A1828" s="1">
        <v>2020</v>
      </c>
      <c r="B1828" s="1" t="s">
        <v>34</v>
      </c>
      <c r="C1828" s="1">
        <v>30</v>
      </c>
      <c r="D1828" s="12">
        <v>108.85899999999999</v>
      </c>
      <c r="E1828" s="13">
        <v>92.5</v>
      </c>
      <c r="F1828" s="187">
        <v>74.712000000000003</v>
      </c>
      <c r="G1828" s="22">
        <v>1684.87</v>
      </c>
      <c r="H1828" s="13">
        <v>6.9</v>
      </c>
      <c r="I1828" s="166">
        <v>1.7999999999999999E-2</v>
      </c>
      <c r="J1828" s="188">
        <v>8.9339999999999993</v>
      </c>
      <c r="K1828" s="162">
        <v>24.51</v>
      </c>
      <c r="L1828" s="163">
        <v>5.5270000000000001</v>
      </c>
      <c r="M1828" s="166">
        <v>2.5000000000000001E-2</v>
      </c>
      <c r="N1828" s="15">
        <v>58.814999999999998</v>
      </c>
      <c r="O1828" s="227">
        <v>6.8000000000000005E-2</v>
      </c>
      <c r="P1828" s="96"/>
      <c r="Q1828" s="93"/>
      <c r="R1828" s="93"/>
      <c r="S1828" s="93"/>
      <c r="T1828" s="93"/>
    </row>
    <row r="1829" spans="1:20" ht="14.25" customHeight="1" x14ac:dyDescent="0.35">
      <c r="A1829" s="1">
        <v>2020</v>
      </c>
      <c r="B1829" s="1" t="s">
        <v>34</v>
      </c>
      <c r="C1829" s="1">
        <v>31</v>
      </c>
      <c r="D1829" s="85">
        <v>109</v>
      </c>
      <c r="E1829" s="86">
        <v>92.468999999999994</v>
      </c>
      <c r="F1829" s="228">
        <v>75.206999999999994</v>
      </c>
      <c r="G1829" s="229">
        <v>1693.809</v>
      </c>
      <c r="H1829" s="230">
        <v>6.9</v>
      </c>
      <c r="I1829" s="231">
        <v>1.9E-2</v>
      </c>
      <c r="J1829" s="232">
        <v>8.8569999999999993</v>
      </c>
      <c r="K1829" s="162">
        <v>25.045000000000002</v>
      </c>
      <c r="L1829" s="16">
        <v>5.4619999999999997</v>
      </c>
      <c r="M1829" s="166">
        <v>2.5000000000000001E-2</v>
      </c>
      <c r="N1829" s="15">
        <v>68.168000000000006</v>
      </c>
      <c r="O1829" s="233">
        <v>6.5000000000000002E-2</v>
      </c>
      <c r="P1829" s="96"/>
      <c r="Q1829" s="93"/>
      <c r="R1829" s="93"/>
      <c r="S1829" s="93"/>
      <c r="T1829" s="93"/>
    </row>
    <row r="1830" spans="1:20" ht="14.25" customHeight="1" x14ac:dyDescent="0.35">
      <c r="A1830" s="1"/>
      <c r="B1830" s="1"/>
      <c r="C1830" s="1"/>
      <c r="D1830" s="93"/>
      <c r="E1830" s="238"/>
      <c r="F1830" s="93"/>
      <c r="G1830" s="93"/>
      <c r="H1830" s="93"/>
      <c r="I1830" s="93"/>
      <c r="J1830" s="94"/>
      <c r="K1830" s="93"/>
      <c r="L1830" s="93"/>
      <c r="M1830" s="93"/>
      <c r="N1830" s="94"/>
      <c r="O1830" s="239"/>
      <c r="P1830" s="96"/>
      <c r="Q1830" s="93"/>
      <c r="R1830" s="93"/>
      <c r="S1830" s="93"/>
      <c r="T1830" s="93"/>
    </row>
  </sheetData>
  <mergeCells count="2">
    <mergeCell ref="F1:J1"/>
    <mergeCell ref="K1:P1"/>
  </mergeCells>
  <conditionalFormatting sqref="F3:F368">
    <cfRule type="cellIs" dxfId="56" priority="1" stopIfTrue="1" operator="notBetween">
      <formula>74</formula>
      <formula>85</formula>
    </cfRule>
  </conditionalFormatting>
  <conditionalFormatting sqref="F369:F399">
    <cfRule type="cellIs" dxfId="55" priority="11" stopIfTrue="1" operator="notBetween">
      <formula>70</formula>
      <formula>78</formula>
    </cfRule>
  </conditionalFormatting>
  <conditionalFormatting sqref="F400:F702">
    <cfRule type="cellIs" dxfId="54" priority="22" stopIfTrue="1" operator="notBetween">
      <formula>75</formula>
      <formula>85</formula>
    </cfRule>
  </conditionalFormatting>
  <conditionalFormatting sqref="F734:F1585">
    <cfRule type="cellIs" dxfId="53" priority="113" stopIfTrue="1" operator="notBetween">
      <formula>75</formula>
      <formula>85</formula>
    </cfRule>
  </conditionalFormatting>
  <conditionalFormatting sqref="F1590 F1592:F1829">
    <cfRule type="cellIs" dxfId="52" priority="401" stopIfTrue="1" operator="notBetween">
      <formula>75</formula>
      <formula>85</formula>
    </cfRule>
  </conditionalFormatting>
  <conditionalFormatting sqref="G3:G368">
    <cfRule type="cellIs" dxfId="51" priority="2" stopIfTrue="1" operator="notBetween">
      <formula>1400</formula>
      <formula>3500</formula>
    </cfRule>
  </conditionalFormatting>
  <conditionalFormatting sqref="G369:G399">
    <cfRule type="cellIs" dxfId="50" priority="12" stopIfTrue="1" operator="notBetween">
      <formula>2000</formula>
      <formula>3000</formula>
    </cfRule>
  </conditionalFormatting>
  <conditionalFormatting sqref="G400:G702">
    <cfRule type="cellIs" dxfId="49" priority="23" stopIfTrue="1" operator="notBetween">
      <formula>1400</formula>
      <formula>1700</formula>
    </cfRule>
  </conditionalFormatting>
  <conditionalFormatting sqref="G734:G1585">
    <cfRule type="cellIs" dxfId="48" priority="114" stopIfTrue="1" operator="notBetween">
      <formula>1400</formula>
      <formula>1700</formula>
    </cfRule>
  </conditionalFormatting>
  <conditionalFormatting sqref="G1590 G1592:G1829">
    <cfRule type="cellIs" dxfId="47" priority="403" stopIfTrue="1" operator="notBetween">
      <formula>1400</formula>
      <formula>1700</formula>
    </cfRule>
  </conditionalFormatting>
  <conditionalFormatting sqref="H3:H368">
    <cfRule type="cellIs" dxfId="46" priority="3" stopIfTrue="1" operator="notBetween">
      <formula>6.88</formula>
      <formula>6.95</formula>
    </cfRule>
  </conditionalFormatting>
  <conditionalFormatting sqref="H369:H702">
    <cfRule type="cellIs" dxfId="45" priority="13" stopIfTrue="1" operator="notBetween">
      <formula>6.71</formula>
      <formula>7</formula>
    </cfRule>
  </conditionalFormatting>
  <conditionalFormatting sqref="H734:H1585">
    <cfRule type="cellIs" dxfId="44" priority="115" stopIfTrue="1" operator="notBetween">
      <formula>6.71</formula>
      <formula>7</formula>
    </cfRule>
  </conditionalFormatting>
  <conditionalFormatting sqref="H1590 H1592:H1829">
    <cfRule type="cellIs" dxfId="43" priority="405" stopIfTrue="1" operator="notBetween">
      <formula>6.71</formula>
      <formula>7</formula>
    </cfRule>
  </conditionalFormatting>
  <conditionalFormatting sqref="I3:I368">
    <cfRule type="cellIs" dxfId="42" priority="4" stopIfTrue="1" operator="notBetween">
      <formula>0</formula>
      <formula>0.15</formula>
    </cfRule>
  </conditionalFormatting>
  <conditionalFormatting sqref="I369:I702">
    <cfRule type="cellIs" dxfId="41" priority="14" stopIfTrue="1" operator="notBetween">
      <formula>0</formula>
      <formula>0.2</formula>
    </cfRule>
  </conditionalFormatting>
  <conditionalFormatting sqref="I734:I1585">
    <cfRule type="cellIs" dxfId="40" priority="116" stopIfTrue="1" operator="notBetween">
      <formula>0</formula>
      <formula>0.2</formula>
    </cfRule>
  </conditionalFormatting>
  <conditionalFormatting sqref="I1590 I1592:I1681">
    <cfRule type="cellIs" dxfId="39" priority="399" stopIfTrue="1" operator="notBetween">
      <formula>0</formula>
      <formula>0.2</formula>
    </cfRule>
  </conditionalFormatting>
  <conditionalFormatting sqref="I1687:I1829">
    <cfRule type="cellIs" dxfId="38" priority="441" stopIfTrue="1" operator="notBetween">
      <formula>0</formula>
      <formula>0.2</formula>
    </cfRule>
  </conditionalFormatting>
  <conditionalFormatting sqref="J3:J368 P3:P368">
    <cfRule type="cellIs" dxfId="37" priority="5" stopIfTrue="1" operator="notBetween">
      <formula>6.5</formula>
      <formula>8</formula>
    </cfRule>
  </conditionalFormatting>
  <conditionalFormatting sqref="J369:J399">
    <cfRule type="cellIs" dxfId="36" priority="15" stopIfTrue="1" operator="notBetween">
      <formula>4</formula>
      <formula>9</formula>
    </cfRule>
  </conditionalFormatting>
  <conditionalFormatting sqref="J400:J702 P400:P702">
    <cfRule type="cellIs" dxfId="35" priority="26" stopIfTrue="1" operator="notBetween">
      <formula>7</formula>
      <formula>9</formula>
    </cfRule>
  </conditionalFormatting>
  <conditionalFormatting sqref="J734:J1585">
    <cfRule type="cellIs" dxfId="34" priority="117" stopIfTrue="1" operator="notBetween">
      <formula>7</formula>
      <formula>9</formula>
    </cfRule>
  </conditionalFormatting>
  <conditionalFormatting sqref="J1590 J1592:J1829">
    <cfRule type="cellIs" dxfId="33" priority="407" stopIfTrue="1" operator="notBetween">
      <formula>7</formula>
      <formula>9</formula>
    </cfRule>
  </conditionalFormatting>
  <conditionalFormatting sqref="K3:K368">
    <cfRule type="cellIs" dxfId="32" priority="6" stopIfTrue="1" operator="notBetween">
      <formula>20</formula>
      <formula>75</formula>
    </cfRule>
  </conditionalFormatting>
  <conditionalFormatting sqref="K369:K702">
    <cfRule type="cellIs" dxfId="31" priority="17" stopIfTrue="1" operator="notBetween">
      <formula>30</formula>
      <formula>80</formula>
    </cfRule>
  </conditionalFormatting>
  <conditionalFormatting sqref="K734:K792">
    <cfRule type="cellIs" dxfId="30" priority="118" stopIfTrue="1" operator="notBetween">
      <formula>30</formula>
      <formula>80</formula>
    </cfRule>
  </conditionalFormatting>
  <conditionalFormatting sqref="K793:K800 K802:K823">
    <cfRule type="cellIs" dxfId="29" priority="148" stopIfTrue="1" operator="notBetween">
      <formula>30</formula>
      <formula>60</formula>
    </cfRule>
  </conditionalFormatting>
  <conditionalFormatting sqref="K801">
    <cfRule type="cellIs" dxfId="28" priority="149" stopIfTrue="1" operator="notBetween">
      <formula>30</formula>
      <formula>80</formula>
    </cfRule>
  </conditionalFormatting>
  <conditionalFormatting sqref="K824:K1157">
    <cfRule type="cellIs" dxfId="27" priority="159" stopIfTrue="1" operator="notBetween">
      <formula>30</formula>
      <formula>80</formula>
    </cfRule>
  </conditionalFormatting>
  <conditionalFormatting sqref="K1158:K1165 K1167:K1188">
    <cfRule type="cellIs" dxfId="26" priority="269" stopIfTrue="1" operator="notBetween">
      <formula>30</formula>
      <formula>60</formula>
    </cfRule>
  </conditionalFormatting>
  <conditionalFormatting sqref="K1166">
    <cfRule type="cellIs" dxfId="25" priority="270" stopIfTrue="1" operator="notBetween">
      <formula>30</formula>
      <formula>80</formula>
    </cfRule>
  </conditionalFormatting>
  <conditionalFormatting sqref="K1189:K1463">
    <cfRule type="cellIs" dxfId="24" priority="280" stopIfTrue="1" operator="notBetween">
      <formula>30</formula>
      <formula>80</formula>
    </cfRule>
  </conditionalFormatting>
  <conditionalFormatting sqref="K1464:K1585">
    <cfRule type="cellIs" dxfId="23" priority="373" stopIfTrue="1" operator="notBetween">
      <formula>30</formula>
      <formula>60</formula>
    </cfRule>
  </conditionalFormatting>
  <conditionalFormatting sqref="K1590 K1592:K1829">
    <cfRule type="cellIs" dxfId="22" priority="409" stopIfTrue="1" operator="notBetween">
      <formula>30</formula>
      <formula>60</formula>
    </cfRule>
  </conditionalFormatting>
  <conditionalFormatting sqref="L3:L702">
    <cfRule type="cellIs" dxfId="21" priority="7" stopIfTrue="1" operator="notBetween">
      <formula>5</formula>
      <formula>6.5</formula>
    </cfRule>
  </conditionalFormatting>
  <conditionalFormatting sqref="L734:L1585">
    <cfRule type="cellIs" dxfId="20" priority="119" stopIfTrue="1" operator="notBetween">
      <formula>5</formula>
      <formula>6.5</formula>
    </cfRule>
  </conditionalFormatting>
  <conditionalFormatting sqref="L1590 L1592:L1829">
    <cfRule type="cellIs" dxfId="19" priority="411" stopIfTrue="1" operator="notBetween">
      <formula>5</formula>
      <formula>6.5</formula>
    </cfRule>
  </conditionalFormatting>
  <conditionalFormatting sqref="M3:M702">
    <cfRule type="cellIs" dxfId="18" priority="8" stopIfTrue="1" operator="notBetween">
      <formula>0</formula>
      <formula>0.1</formula>
    </cfRule>
  </conditionalFormatting>
  <conditionalFormatting sqref="M734:M1585">
    <cfRule type="cellIs" dxfId="17" priority="120" stopIfTrue="1" operator="notBetween">
      <formula>0</formula>
      <formula>0.1</formula>
    </cfRule>
  </conditionalFormatting>
  <conditionalFormatting sqref="M1590 M1592:M1829">
    <cfRule type="cellIs" dxfId="16" priority="413" stopIfTrue="1" operator="notBetween">
      <formula>0</formula>
      <formula>0.1</formula>
    </cfRule>
  </conditionalFormatting>
  <conditionalFormatting sqref="N3:N368">
    <cfRule type="cellIs" dxfId="15" priority="9" stopIfTrue="1" operator="greaterThan">
      <formula>200</formula>
    </cfRule>
  </conditionalFormatting>
  <conditionalFormatting sqref="N369:N702">
    <cfRule type="cellIs" dxfId="14" priority="20" stopIfTrue="1" operator="greaterThan">
      <formula>100</formula>
    </cfRule>
  </conditionalFormatting>
  <conditionalFormatting sqref="N734:N1585">
    <cfRule type="cellIs" dxfId="13" priority="121" stopIfTrue="1" operator="greaterThan">
      <formula>100</formula>
    </cfRule>
  </conditionalFormatting>
  <conditionalFormatting sqref="N1590 N1592:N1829">
    <cfRule type="cellIs" dxfId="12" priority="415" stopIfTrue="1" operator="greaterThan">
      <formula>100</formula>
    </cfRule>
  </conditionalFormatting>
  <conditionalFormatting sqref="O734:O948">
    <cfRule type="cellIs" dxfId="11" priority="122" stopIfTrue="1" operator="notBetween">
      <formula>0</formula>
      <formula>0.1</formula>
    </cfRule>
  </conditionalFormatting>
  <conditionalFormatting sqref="O950:O1015">
    <cfRule type="cellIs" dxfId="10" priority="203" stopIfTrue="1" operator="notBetween">
      <formula>0</formula>
      <formula>0.1</formula>
    </cfRule>
  </conditionalFormatting>
  <conditionalFormatting sqref="O1017:O1018 O1020:O1030 O1032:O1313">
    <cfRule type="cellIs" dxfId="9" priority="223" stopIfTrue="1" operator="notBetween">
      <formula>0</formula>
      <formula>0.1</formula>
    </cfRule>
  </conditionalFormatting>
  <conditionalFormatting sqref="O1315:O1380">
    <cfRule type="cellIs" dxfId="8" priority="325" stopIfTrue="1" operator="notBetween">
      <formula>0</formula>
      <formula>0.1</formula>
    </cfRule>
  </conditionalFormatting>
  <conditionalFormatting sqref="O1382:O1383 O1385:O1395 O1397:O1585">
    <cfRule type="cellIs" dxfId="7" priority="347" stopIfTrue="1" operator="notBetween">
      <formula>0</formula>
      <formula>0.1</formula>
    </cfRule>
  </conditionalFormatting>
  <conditionalFormatting sqref="O1590 O1592:O1829">
    <cfRule type="cellIs" dxfId="6" priority="417" stopIfTrue="1" operator="notBetween">
      <formula>0</formula>
      <formula>0.1</formula>
    </cfRule>
  </conditionalFormatting>
  <conditionalFormatting sqref="O3:P368">
    <cfRule type="cellIs" dxfId="5" priority="10" stopIfTrue="1" operator="notBetween">
      <formula>0</formula>
      <formula>0.1</formula>
    </cfRule>
  </conditionalFormatting>
  <conditionalFormatting sqref="O369:P399">
    <cfRule type="cellIs" dxfId="4" priority="21" stopIfTrue="1" operator="notBetween">
      <formula>0</formula>
      <formula>0.1</formula>
    </cfRule>
  </conditionalFormatting>
  <conditionalFormatting sqref="O400:P702">
    <cfRule type="cellIs" dxfId="3" priority="31" stopIfTrue="1" operator="notBetween">
      <formula>0</formula>
      <formula>0.1</formula>
    </cfRule>
  </conditionalFormatting>
  <conditionalFormatting sqref="P369:P399">
    <cfRule type="cellIs" dxfId="2" priority="16" stopIfTrue="1" operator="notBetween">
      <formula>4</formula>
      <formula>10</formula>
    </cfRule>
  </conditionalFormatting>
  <conditionalFormatting sqref="P1342:P1371">
    <cfRule type="cellIs" dxfId="1" priority="336" stopIfTrue="1" operator="notBetween">
      <formula>95.5</formula>
      <formula>100</formula>
    </cfRule>
  </conditionalFormatting>
  <conditionalFormatting sqref="Q1342:Q1371">
    <cfRule type="cellIs" dxfId="0" priority="337" operator="notBetween">
      <formula>0.23</formula>
      <formula>0.3</formula>
    </cfRule>
  </conditionalFormatting>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197"/>
  <sheetViews>
    <sheetView workbookViewId="0"/>
  </sheetViews>
  <sheetFormatPr defaultColWidth="12.6328125" defaultRowHeight="15" customHeight="1" x14ac:dyDescent="0.35"/>
  <cols>
    <col min="1" max="1" width="15.26953125" customWidth="1"/>
    <col min="2" max="4" width="8.6328125" customWidth="1"/>
    <col min="5" max="5" width="11.90625" customWidth="1"/>
    <col min="6" max="8" width="8.6328125" customWidth="1"/>
    <col min="9" max="9" width="12.6328125" customWidth="1"/>
    <col min="10" max="26" width="8.6328125" customWidth="1"/>
  </cols>
  <sheetData>
    <row r="1" spans="1:15" ht="14.25" customHeight="1" x14ac:dyDescent="0.35">
      <c r="A1" s="247" t="s">
        <v>45</v>
      </c>
      <c r="C1" s="247" t="s">
        <v>46</v>
      </c>
      <c r="G1" s="247" t="s">
        <v>21</v>
      </c>
      <c r="I1" s="247" t="s">
        <v>45</v>
      </c>
      <c r="K1" s="247" t="s">
        <v>47</v>
      </c>
      <c r="M1" s="247" t="s">
        <v>45</v>
      </c>
      <c r="O1" s="247" t="s">
        <v>48</v>
      </c>
    </row>
    <row r="2" spans="1:15" ht="14.25" customHeight="1" x14ac:dyDescent="0.35">
      <c r="A2" s="248">
        <v>44293</v>
      </c>
      <c r="B2" s="249">
        <v>0.375</v>
      </c>
      <c r="C2" s="250" t="s">
        <v>49</v>
      </c>
      <c r="E2" s="248">
        <v>44901</v>
      </c>
      <c r="F2" s="249">
        <v>0.34027777777777779</v>
      </c>
      <c r="G2" s="250">
        <v>0.5</v>
      </c>
      <c r="I2" s="248">
        <v>44901</v>
      </c>
      <c r="J2" s="249">
        <v>0.34027777777777779</v>
      </c>
      <c r="K2" s="250">
        <v>1.3</v>
      </c>
      <c r="M2" s="248">
        <v>43838</v>
      </c>
      <c r="N2" s="249">
        <v>0.3611111111111111</v>
      </c>
      <c r="O2" s="250">
        <v>240</v>
      </c>
    </row>
    <row r="3" spans="1:15" ht="14.25" customHeight="1" x14ac:dyDescent="0.35">
      <c r="A3" s="248">
        <v>44328</v>
      </c>
      <c r="B3" s="249">
        <v>0.375</v>
      </c>
      <c r="C3" s="250" t="s">
        <v>49</v>
      </c>
      <c r="E3" s="248">
        <v>44901</v>
      </c>
      <c r="F3" s="249">
        <v>0.43055555555555558</v>
      </c>
      <c r="G3" s="250">
        <v>6.1</v>
      </c>
      <c r="I3" s="248">
        <v>44901</v>
      </c>
      <c r="J3" s="249">
        <v>0.43055555555555558</v>
      </c>
      <c r="K3" s="250">
        <v>16.399999999999999</v>
      </c>
      <c r="M3" s="248">
        <v>44020</v>
      </c>
      <c r="N3" s="249">
        <v>0.375</v>
      </c>
      <c r="O3" s="250">
        <v>80</v>
      </c>
    </row>
    <row r="4" spans="1:15" ht="14.25" customHeight="1" x14ac:dyDescent="0.35">
      <c r="A4" s="248">
        <v>44356</v>
      </c>
      <c r="B4" s="249">
        <v>0.375</v>
      </c>
      <c r="C4" s="250">
        <v>3.6</v>
      </c>
      <c r="E4" s="248">
        <v>43831</v>
      </c>
      <c r="F4" s="249">
        <v>0.25</v>
      </c>
      <c r="G4" s="250">
        <v>0.2</v>
      </c>
      <c r="I4" s="248">
        <v>43831</v>
      </c>
      <c r="J4" s="249">
        <v>0.25</v>
      </c>
      <c r="K4" s="250">
        <v>0.9</v>
      </c>
      <c r="M4" s="248">
        <v>44202</v>
      </c>
      <c r="N4" s="249">
        <v>0.35416666666666669</v>
      </c>
      <c r="O4" s="250">
        <v>140</v>
      </c>
    </row>
    <row r="5" spans="1:15" ht="14.25" customHeight="1" x14ac:dyDescent="0.35">
      <c r="A5" s="248">
        <v>44384</v>
      </c>
      <c r="B5" s="249">
        <v>0.375</v>
      </c>
      <c r="C5" s="250" t="s">
        <v>49</v>
      </c>
      <c r="E5" s="248">
        <v>43832</v>
      </c>
      <c r="F5" s="249">
        <v>0.25</v>
      </c>
      <c r="G5" s="250">
        <v>0.1</v>
      </c>
      <c r="I5" s="248">
        <v>43832</v>
      </c>
      <c r="J5" s="249">
        <v>0.25</v>
      </c>
      <c r="K5" s="250">
        <v>0.8</v>
      </c>
      <c r="M5" s="248">
        <v>44384</v>
      </c>
      <c r="N5" s="249">
        <v>0.3125</v>
      </c>
      <c r="O5" s="250">
        <v>100</v>
      </c>
    </row>
    <row r="6" spans="1:15" ht="14.25" customHeight="1" x14ac:dyDescent="0.35">
      <c r="A6" s="248">
        <v>44390</v>
      </c>
      <c r="B6" s="249">
        <v>0.375</v>
      </c>
      <c r="C6" s="250" t="s">
        <v>49</v>
      </c>
      <c r="E6" s="248">
        <v>43836</v>
      </c>
      <c r="F6" s="249">
        <v>0.25</v>
      </c>
      <c r="G6" s="250">
        <v>0.1</v>
      </c>
      <c r="I6" s="248">
        <v>43836</v>
      </c>
      <c r="J6" s="249">
        <v>0.25</v>
      </c>
      <c r="K6" s="250">
        <v>0.9</v>
      </c>
      <c r="M6" s="248">
        <v>44566</v>
      </c>
      <c r="N6" s="249">
        <v>0.38194444444444442</v>
      </c>
      <c r="O6" s="250">
        <v>200</v>
      </c>
    </row>
    <row r="7" spans="1:15" ht="14.25" customHeight="1" x14ac:dyDescent="0.35">
      <c r="A7" s="248">
        <v>44419</v>
      </c>
      <c r="B7" s="249">
        <v>0.375</v>
      </c>
      <c r="C7" s="250" t="s">
        <v>49</v>
      </c>
      <c r="E7" s="248">
        <v>43838</v>
      </c>
      <c r="F7" s="249">
        <v>0.44444444444444442</v>
      </c>
      <c r="G7" s="250">
        <v>0.2</v>
      </c>
      <c r="I7" s="248">
        <v>43838</v>
      </c>
      <c r="J7" s="249">
        <v>0.44444444444444442</v>
      </c>
      <c r="K7" s="250">
        <v>1</v>
      </c>
      <c r="M7" s="248">
        <v>44748</v>
      </c>
      <c r="N7" s="249">
        <v>0.35416666666666669</v>
      </c>
      <c r="O7" s="250">
        <v>100</v>
      </c>
    </row>
    <row r="8" spans="1:15" ht="14.25" customHeight="1" x14ac:dyDescent="0.35">
      <c r="A8" s="248">
        <v>44447</v>
      </c>
      <c r="B8" s="249">
        <v>0.375</v>
      </c>
      <c r="C8" s="250">
        <v>3.1</v>
      </c>
      <c r="E8" s="248">
        <v>43839</v>
      </c>
      <c r="F8" s="249">
        <v>0.25</v>
      </c>
      <c r="G8" s="250">
        <v>0.2</v>
      </c>
      <c r="I8" s="248">
        <v>43839</v>
      </c>
      <c r="J8" s="249">
        <v>0.25</v>
      </c>
      <c r="K8" s="250">
        <v>0.9</v>
      </c>
      <c r="M8" s="248">
        <v>44937</v>
      </c>
      <c r="N8" s="249">
        <v>0.34722222222222221</v>
      </c>
      <c r="O8" s="250">
        <v>84</v>
      </c>
    </row>
    <row r="9" spans="1:15" ht="14.25" customHeight="1" x14ac:dyDescent="0.35">
      <c r="A9" s="248">
        <v>44475</v>
      </c>
      <c r="B9" s="249">
        <v>0.375</v>
      </c>
      <c r="C9" s="250" t="s">
        <v>49</v>
      </c>
      <c r="E9" s="248">
        <v>43843</v>
      </c>
      <c r="F9" s="249">
        <v>0.25</v>
      </c>
      <c r="G9" s="250">
        <v>0.2</v>
      </c>
      <c r="I9" s="248">
        <v>43843</v>
      </c>
      <c r="J9" s="249">
        <v>0.25</v>
      </c>
      <c r="K9" s="250">
        <v>0.8</v>
      </c>
      <c r="M9" s="248">
        <v>45119</v>
      </c>
      <c r="N9" s="249">
        <v>0.32291666666666669</v>
      </c>
      <c r="O9" s="250">
        <v>64</v>
      </c>
    </row>
    <row r="10" spans="1:15" ht="14.25" customHeight="1" x14ac:dyDescent="0.35">
      <c r="A10" s="248">
        <v>44503</v>
      </c>
      <c r="B10" s="249">
        <v>0.375</v>
      </c>
      <c r="C10" s="250">
        <v>2</v>
      </c>
      <c r="E10" s="248">
        <v>43846</v>
      </c>
      <c r="F10" s="249">
        <v>0.25</v>
      </c>
      <c r="G10" s="250">
        <v>0.2</v>
      </c>
      <c r="I10" s="248">
        <v>43846</v>
      </c>
      <c r="J10" s="249">
        <v>0.25</v>
      </c>
      <c r="K10" s="250">
        <v>0.9</v>
      </c>
      <c r="M10" s="248">
        <v>45301</v>
      </c>
      <c r="N10" s="249">
        <v>0.32291666666666669</v>
      </c>
      <c r="O10" s="250">
        <v>98</v>
      </c>
    </row>
    <row r="11" spans="1:15" ht="14.25" customHeight="1" x14ac:dyDescent="0.35">
      <c r="A11" s="248">
        <v>44538</v>
      </c>
      <c r="B11" s="249">
        <v>0.375</v>
      </c>
      <c r="C11" s="250" t="s">
        <v>49</v>
      </c>
      <c r="E11" s="248">
        <v>43850</v>
      </c>
      <c r="F11" s="249">
        <v>0.25</v>
      </c>
      <c r="G11" s="250">
        <v>0.2</v>
      </c>
      <c r="I11" s="248">
        <v>43850</v>
      </c>
      <c r="J11" s="249">
        <v>0.25</v>
      </c>
      <c r="K11" s="250">
        <v>1</v>
      </c>
      <c r="M11" s="248">
        <v>45483</v>
      </c>
      <c r="N11" s="249">
        <v>0.30902777777777779</v>
      </c>
      <c r="O11" s="250">
        <v>72</v>
      </c>
    </row>
    <row r="12" spans="1:15" ht="14.25" customHeight="1" x14ac:dyDescent="0.35">
      <c r="A12" s="248">
        <v>44543</v>
      </c>
      <c r="B12" s="249">
        <v>0.375</v>
      </c>
      <c r="C12" s="250" t="s">
        <v>49</v>
      </c>
      <c r="E12" s="248">
        <v>43853</v>
      </c>
      <c r="F12" s="249">
        <v>0.25</v>
      </c>
      <c r="G12" s="250">
        <v>0.2</v>
      </c>
      <c r="I12" s="248">
        <v>43853</v>
      </c>
      <c r="J12" s="249">
        <v>0.25</v>
      </c>
      <c r="K12" s="250">
        <v>0.6</v>
      </c>
      <c r="M12" s="248">
        <v>45664</v>
      </c>
      <c r="N12" s="249">
        <v>0.38541666666666669</v>
      </c>
      <c r="O12" s="250">
        <v>140</v>
      </c>
    </row>
    <row r="13" spans="1:15" ht="14.25" customHeight="1" x14ac:dyDescent="0.35">
      <c r="A13" s="248">
        <v>44544</v>
      </c>
      <c r="B13" s="249">
        <v>0.33333333333333331</v>
      </c>
      <c r="C13" s="250" t="s">
        <v>49</v>
      </c>
      <c r="E13" s="248">
        <v>43857</v>
      </c>
      <c r="F13" s="249">
        <v>0.25</v>
      </c>
      <c r="G13" s="250">
        <v>0.1</v>
      </c>
      <c r="I13" s="248">
        <v>43857</v>
      </c>
      <c r="J13" s="249">
        <v>0.25</v>
      </c>
      <c r="K13" s="250">
        <v>0.6</v>
      </c>
      <c r="M13" s="248">
        <v>43838</v>
      </c>
      <c r="N13" s="249">
        <v>0.34375</v>
      </c>
      <c r="O13" s="250">
        <v>140</v>
      </c>
    </row>
    <row r="14" spans="1:15" ht="14.25" customHeight="1" x14ac:dyDescent="0.35">
      <c r="A14" s="248">
        <v>44566</v>
      </c>
      <c r="B14" s="249">
        <v>0.375</v>
      </c>
      <c r="C14" s="250" t="s">
        <v>49</v>
      </c>
      <c r="E14" s="248">
        <v>43860</v>
      </c>
      <c r="F14" s="249">
        <v>0.25</v>
      </c>
      <c r="G14" s="250">
        <v>0.1</v>
      </c>
      <c r="I14" s="248">
        <v>43860</v>
      </c>
      <c r="J14" s="249">
        <v>0.25</v>
      </c>
      <c r="K14" s="250">
        <v>0.8</v>
      </c>
      <c r="M14" s="248">
        <v>44020</v>
      </c>
      <c r="N14" s="249">
        <v>0.38194444444444442</v>
      </c>
      <c r="O14" s="250">
        <v>130</v>
      </c>
    </row>
    <row r="15" spans="1:15" ht="14.25" customHeight="1" x14ac:dyDescent="0.35">
      <c r="A15" s="248">
        <v>44578</v>
      </c>
      <c r="B15" s="249">
        <v>0.375</v>
      </c>
      <c r="C15" s="250" t="s">
        <v>49</v>
      </c>
      <c r="E15" s="248">
        <v>43864</v>
      </c>
      <c r="F15" s="249">
        <v>0.25</v>
      </c>
      <c r="G15" s="250" t="s">
        <v>50</v>
      </c>
      <c r="I15" s="248">
        <v>43864</v>
      </c>
      <c r="J15" s="249">
        <v>0.25</v>
      </c>
      <c r="K15" s="250">
        <v>0.7</v>
      </c>
      <c r="M15" s="248">
        <v>44202</v>
      </c>
      <c r="N15" s="249">
        <v>0.3263888888888889</v>
      </c>
      <c r="O15" s="250">
        <v>110</v>
      </c>
    </row>
    <row r="16" spans="1:15" ht="14.25" customHeight="1" x14ac:dyDescent="0.35">
      <c r="A16" s="248">
        <v>44579</v>
      </c>
      <c r="B16" s="249">
        <v>0.3263888888888889</v>
      </c>
      <c r="C16" s="250" t="s">
        <v>49</v>
      </c>
      <c r="E16" s="248">
        <v>43867</v>
      </c>
      <c r="F16" s="249">
        <v>0.25</v>
      </c>
      <c r="G16" s="250">
        <v>0.1</v>
      </c>
      <c r="I16" s="248">
        <v>43867</v>
      </c>
      <c r="J16" s="249">
        <v>0.25</v>
      </c>
      <c r="K16" s="250">
        <v>0.9</v>
      </c>
      <c r="M16" s="248">
        <v>44384</v>
      </c>
      <c r="N16" s="249">
        <v>0.3</v>
      </c>
      <c r="O16" s="250">
        <v>170</v>
      </c>
    </row>
    <row r="17" spans="1:15" ht="14.25" customHeight="1" x14ac:dyDescent="0.35">
      <c r="A17" s="248">
        <v>44601</v>
      </c>
      <c r="B17" s="249">
        <v>0.375</v>
      </c>
      <c r="C17" s="250" t="s">
        <v>49</v>
      </c>
      <c r="E17" s="248">
        <v>43871</v>
      </c>
      <c r="F17" s="249">
        <v>0.25</v>
      </c>
      <c r="G17" s="250">
        <v>0.1</v>
      </c>
      <c r="I17" s="248">
        <v>43871</v>
      </c>
      <c r="J17" s="249">
        <v>0.25</v>
      </c>
      <c r="K17" s="250">
        <v>0.8</v>
      </c>
      <c r="M17" s="248">
        <v>44566</v>
      </c>
      <c r="N17" s="249">
        <v>0.36805555555555558</v>
      </c>
      <c r="O17" s="250">
        <v>160</v>
      </c>
    </row>
    <row r="18" spans="1:15" ht="14.25" customHeight="1" x14ac:dyDescent="0.35">
      <c r="A18" s="248">
        <v>44629</v>
      </c>
      <c r="B18" s="249">
        <v>0.375</v>
      </c>
      <c r="C18" s="250" t="s">
        <v>49</v>
      </c>
      <c r="E18" s="248">
        <v>43873</v>
      </c>
      <c r="F18" s="249">
        <v>0.25</v>
      </c>
      <c r="G18" s="250">
        <v>0.3</v>
      </c>
      <c r="I18" s="248">
        <v>43873</v>
      </c>
      <c r="J18" s="249">
        <v>0.25</v>
      </c>
      <c r="K18" s="250">
        <v>1</v>
      </c>
      <c r="M18" s="248">
        <v>44748</v>
      </c>
      <c r="N18" s="249">
        <v>0.33680555555555558</v>
      </c>
      <c r="O18" s="250">
        <v>150</v>
      </c>
    </row>
    <row r="19" spans="1:15" ht="14.25" customHeight="1" x14ac:dyDescent="0.35">
      <c r="A19" s="248">
        <v>44664</v>
      </c>
      <c r="B19" s="249">
        <v>0.375</v>
      </c>
      <c r="C19" s="250" t="s">
        <v>49</v>
      </c>
      <c r="E19" s="248">
        <v>43874</v>
      </c>
      <c r="F19" s="249">
        <v>0.25</v>
      </c>
      <c r="G19" s="250">
        <v>0.2</v>
      </c>
      <c r="I19" s="248">
        <v>43874</v>
      </c>
      <c r="J19" s="249">
        <v>0.25</v>
      </c>
      <c r="K19" s="250">
        <v>0.7</v>
      </c>
      <c r="M19" s="248">
        <v>44937</v>
      </c>
      <c r="N19" s="249">
        <v>0.33333333333333331</v>
      </c>
      <c r="O19" s="250">
        <v>170</v>
      </c>
    </row>
    <row r="20" spans="1:15" ht="14.25" customHeight="1" x14ac:dyDescent="0.35">
      <c r="A20" s="248">
        <v>44699</v>
      </c>
      <c r="B20" s="249">
        <v>0.375</v>
      </c>
      <c r="C20" s="250" t="s">
        <v>49</v>
      </c>
      <c r="E20" s="248">
        <v>43878</v>
      </c>
      <c r="F20" s="249">
        <v>0.25</v>
      </c>
      <c r="G20" s="250">
        <v>0.2</v>
      </c>
      <c r="I20" s="248">
        <v>43878</v>
      </c>
      <c r="J20" s="249">
        <v>0.25</v>
      </c>
      <c r="K20" s="250">
        <v>1</v>
      </c>
      <c r="M20" s="248">
        <v>45119</v>
      </c>
      <c r="N20" s="249">
        <v>0.30902777777777779</v>
      </c>
      <c r="O20" s="250">
        <v>180</v>
      </c>
    </row>
    <row r="21" spans="1:15" ht="14.25" customHeight="1" x14ac:dyDescent="0.35">
      <c r="A21" s="248">
        <v>44727</v>
      </c>
      <c r="B21" s="249">
        <v>0.375</v>
      </c>
      <c r="C21" s="250" t="s">
        <v>49</v>
      </c>
      <c r="E21" s="248">
        <v>43881</v>
      </c>
      <c r="F21" s="249">
        <v>0.375</v>
      </c>
      <c r="G21" s="250">
        <v>0.2</v>
      </c>
      <c r="I21" s="248">
        <v>43881</v>
      </c>
      <c r="J21" s="249">
        <v>0.375</v>
      </c>
      <c r="K21" s="250">
        <v>0.7</v>
      </c>
      <c r="M21" s="248">
        <v>45301</v>
      </c>
      <c r="N21" s="249">
        <v>0.31597222222222221</v>
      </c>
      <c r="O21" s="250">
        <v>200</v>
      </c>
    </row>
    <row r="22" spans="1:15" ht="14.25" customHeight="1" x14ac:dyDescent="0.35">
      <c r="A22" s="248">
        <v>44748</v>
      </c>
      <c r="B22" s="249">
        <v>0.375</v>
      </c>
      <c r="C22" s="250" t="s">
        <v>49</v>
      </c>
      <c r="E22" s="248">
        <v>43885</v>
      </c>
      <c r="F22" s="249">
        <v>0.25</v>
      </c>
      <c r="G22" s="250">
        <v>0.2</v>
      </c>
      <c r="I22" s="248">
        <v>43885</v>
      </c>
      <c r="J22" s="249">
        <v>0.25</v>
      </c>
      <c r="K22" s="250">
        <v>0.8</v>
      </c>
      <c r="M22" s="248">
        <v>45483</v>
      </c>
      <c r="N22" s="249">
        <v>0.30208333333333331</v>
      </c>
      <c r="O22" s="250">
        <v>120</v>
      </c>
    </row>
    <row r="23" spans="1:15" ht="14.25" customHeight="1" x14ac:dyDescent="0.35">
      <c r="A23" s="248">
        <v>44783</v>
      </c>
      <c r="B23" s="249">
        <v>0.375</v>
      </c>
      <c r="C23" s="250" t="s">
        <v>49</v>
      </c>
      <c r="E23" s="248">
        <v>43888</v>
      </c>
      <c r="F23" s="249">
        <v>0.25</v>
      </c>
      <c r="G23" s="250">
        <v>0.1</v>
      </c>
      <c r="I23" s="248">
        <v>43888</v>
      </c>
      <c r="J23" s="249">
        <v>0.25</v>
      </c>
      <c r="K23" s="250">
        <v>0.8</v>
      </c>
      <c r="M23" s="248">
        <v>45664</v>
      </c>
      <c r="N23" s="249">
        <v>0.35069444444444442</v>
      </c>
      <c r="O23" s="250">
        <v>150</v>
      </c>
    </row>
    <row r="24" spans="1:15" ht="14.25" customHeight="1" x14ac:dyDescent="0.35">
      <c r="A24" s="248">
        <v>44811</v>
      </c>
      <c r="B24" s="249">
        <v>0.375</v>
      </c>
      <c r="C24" s="250" t="s">
        <v>49</v>
      </c>
      <c r="E24" s="248">
        <v>43892</v>
      </c>
      <c r="F24" s="249">
        <v>0.25</v>
      </c>
      <c r="G24" s="250">
        <v>0.1</v>
      </c>
      <c r="I24" s="248">
        <v>43892</v>
      </c>
      <c r="J24" s="249">
        <v>0.25</v>
      </c>
      <c r="K24" s="250">
        <v>0.7</v>
      </c>
    </row>
    <row r="25" spans="1:15" ht="14.25" customHeight="1" x14ac:dyDescent="0.35">
      <c r="A25" s="248">
        <v>44853</v>
      </c>
      <c r="B25" s="249">
        <v>0.375</v>
      </c>
      <c r="C25" s="250" t="s">
        <v>49</v>
      </c>
      <c r="E25" s="248">
        <v>43895</v>
      </c>
      <c r="F25" s="249">
        <v>0.25</v>
      </c>
      <c r="G25" s="250">
        <v>0.1</v>
      </c>
      <c r="I25" s="248">
        <v>43895</v>
      </c>
      <c r="J25" s="249">
        <v>0.25</v>
      </c>
      <c r="K25" s="250">
        <v>0.8</v>
      </c>
    </row>
    <row r="26" spans="1:15" ht="14.25" customHeight="1" x14ac:dyDescent="0.35">
      <c r="A26" s="248">
        <v>44867</v>
      </c>
      <c r="B26" s="249">
        <v>0.375</v>
      </c>
      <c r="C26" s="250" t="s">
        <v>49</v>
      </c>
      <c r="E26" s="248">
        <v>43899</v>
      </c>
      <c r="F26" s="249">
        <v>0.25</v>
      </c>
      <c r="G26" s="250">
        <v>0.2</v>
      </c>
      <c r="I26" s="248">
        <v>43899</v>
      </c>
      <c r="J26" s="249">
        <v>0.25</v>
      </c>
      <c r="K26" s="250">
        <v>0.7</v>
      </c>
    </row>
    <row r="27" spans="1:15" ht="14.25" customHeight="1" x14ac:dyDescent="0.35">
      <c r="A27" s="248">
        <v>44906</v>
      </c>
      <c r="B27" s="249">
        <v>0.375</v>
      </c>
      <c r="C27" s="250" t="s">
        <v>49</v>
      </c>
      <c r="E27" s="248">
        <v>43901</v>
      </c>
      <c r="F27" s="249">
        <v>0.25</v>
      </c>
      <c r="G27" s="250">
        <v>0.3</v>
      </c>
      <c r="I27" s="248">
        <v>43901</v>
      </c>
      <c r="J27" s="249">
        <v>0.25</v>
      </c>
      <c r="K27" s="250">
        <v>0.8</v>
      </c>
    </row>
    <row r="28" spans="1:15" ht="14.25" customHeight="1" x14ac:dyDescent="0.35">
      <c r="A28" s="248">
        <v>44937</v>
      </c>
      <c r="B28" s="249">
        <v>0.375</v>
      </c>
      <c r="C28" s="250" t="s">
        <v>49</v>
      </c>
      <c r="E28" s="248">
        <v>43902</v>
      </c>
      <c r="F28" s="249">
        <v>0.25</v>
      </c>
      <c r="G28" s="250">
        <v>0.2</v>
      </c>
      <c r="I28" s="248">
        <v>43902</v>
      </c>
      <c r="J28" s="249">
        <v>0.25</v>
      </c>
      <c r="K28" s="250">
        <v>0.8</v>
      </c>
    </row>
    <row r="29" spans="1:15" ht="14.25" customHeight="1" x14ac:dyDescent="0.35">
      <c r="A29" s="248">
        <v>45021</v>
      </c>
      <c r="B29" s="249">
        <v>0.375</v>
      </c>
      <c r="C29" s="250" t="s">
        <v>49</v>
      </c>
      <c r="E29" s="248">
        <v>43906</v>
      </c>
      <c r="F29" s="249">
        <v>0.25</v>
      </c>
      <c r="G29" s="250">
        <v>0.2</v>
      </c>
      <c r="I29" s="248">
        <v>43906</v>
      </c>
      <c r="J29" s="249">
        <v>0.25</v>
      </c>
      <c r="K29" s="250">
        <v>0.7</v>
      </c>
    </row>
    <row r="30" spans="1:15" ht="14.25" customHeight="1" x14ac:dyDescent="0.35">
      <c r="A30" s="248">
        <v>45119</v>
      </c>
      <c r="B30" s="249">
        <v>0.375</v>
      </c>
      <c r="C30" s="250" t="s">
        <v>49</v>
      </c>
      <c r="E30" s="248">
        <v>43909</v>
      </c>
      <c r="F30" s="249">
        <v>0.25</v>
      </c>
      <c r="G30" s="250">
        <v>0.2</v>
      </c>
      <c r="I30" s="248">
        <v>43909</v>
      </c>
      <c r="J30" s="249">
        <v>0.25</v>
      </c>
      <c r="K30" s="250">
        <v>0.7</v>
      </c>
    </row>
    <row r="31" spans="1:15" ht="14.25" customHeight="1" x14ac:dyDescent="0.35">
      <c r="A31" s="248">
        <v>45203</v>
      </c>
      <c r="B31" s="249">
        <v>0.375</v>
      </c>
      <c r="C31" s="250" t="s">
        <v>49</v>
      </c>
      <c r="E31" s="248">
        <v>43913</v>
      </c>
      <c r="F31" s="249">
        <v>0.25</v>
      </c>
      <c r="G31" s="250">
        <v>0.2</v>
      </c>
      <c r="I31" s="248">
        <v>43913</v>
      </c>
      <c r="J31" s="249">
        <v>0.25</v>
      </c>
      <c r="K31" s="250">
        <v>0.8</v>
      </c>
    </row>
    <row r="32" spans="1:15" ht="14.25" customHeight="1" x14ac:dyDescent="0.35">
      <c r="A32" s="248">
        <v>45301</v>
      </c>
      <c r="B32" s="249">
        <v>0.375</v>
      </c>
      <c r="C32" s="250" t="s">
        <v>49</v>
      </c>
      <c r="E32" s="248">
        <v>43916</v>
      </c>
      <c r="F32" s="249">
        <v>0.25</v>
      </c>
      <c r="G32" s="250">
        <v>0.2</v>
      </c>
      <c r="I32" s="248">
        <v>43916</v>
      </c>
      <c r="J32" s="249">
        <v>0.25</v>
      </c>
      <c r="K32" s="250">
        <v>0.7</v>
      </c>
    </row>
    <row r="33" spans="1:11" ht="14.25" customHeight="1" x14ac:dyDescent="0.35">
      <c r="A33" s="248">
        <v>45385</v>
      </c>
      <c r="B33" s="249">
        <v>0.375</v>
      </c>
      <c r="C33" s="250" t="s">
        <v>49</v>
      </c>
      <c r="E33" s="248">
        <v>43920</v>
      </c>
      <c r="F33" s="249">
        <v>0.25</v>
      </c>
      <c r="G33" s="250">
        <v>0.2</v>
      </c>
      <c r="I33" s="248">
        <v>43920</v>
      </c>
      <c r="J33" s="249">
        <v>0.25</v>
      </c>
      <c r="K33" s="250">
        <v>0.7</v>
      </c>
    </row>
    <row r="34" spans="1:11" ht="14.25" customHeight="1" x14ac:dyDescent="0.35">
      <c r="A34" s="248">
        <v>45483</v>
      </c>
      <c r="B34" s="249">
        <v>0.375</v>
      </c>
      <c r="C34" s="250" t="s">
        <v>49</v>
      </c>
      <c r="E34" s="248">
        <v>43923</v>
      </c>
      <c r="F34" s="249">
        <v>0.25</v>
      </c>
      <c r="G34" s="250">
        <v>0.2</v>
      </c>
      <c r="I34" s="248">
        <v>43923</v>
      </c>
      <c r="J34" s="249">
        <v>0.25</v>
      </c>
      <c r="K34" s="250">
        <v>0.8</v>
      </c>
    </row>
    <row r="35" spans="1:11" ht="14.25" customHeight="1" x14ac:dyDescent="0.35">
      <c r="A35" s="248">
        <v>45567</v>
      </c>
      <c r="B35" s="249">
        <v>0.375</v>
      </c>
      <c r="C35" s="250" t="s">
        <v>49</v>
      </c>
      <c r="E35" s="248">
        <v>43927</v>
      </c>
      <c r="F35" s="249">
        <v>0.25</v>
      </c>
      <c r="G35" s="250">
        <v>0.2</v>
      </c>
      <c r="I35" s="248">
        <v>43927</v>
      </c>
      <c r="J35" s="249">
        <v>0.25</v>
      </c>
      <c r="K35" s="250">
        <v>0.8</v>
      </c>
    </row>
    <row r="36" spans="1:11" ht="14.25" customHeight="1" x14ac:dyDescent="0.35">
      <c r="A36" s="248">
        <v>45663</v>
      </c>
      <c r="B36" s="249">
        <v>0.375</v>
      </c>
      <c r="C36" s="250" t="s">
        <v>49</v>
      </c>
      <c r="E36" s="248">
        <v>43929</v>
      </c>
      <c r="F36" s="249">
        <v>0.52777777777777779</v>
      </c>
      <c r="G36" s="250">
        <v>0.2</v>
      </c>
      <c r="I36" s="248">
        <v>43929</v>
      </c>
      <c r="J36" s="249">
        <v>0.52777777777777779</v>
      </c>
      <c r="K36" s="250">
        <v>0.8</v>
      </c>
    </row>
    <row r="37" spans="1:11" ht="14.25" customHeight="1" x14ac:dyDescent="0.35">
      <c r="A37" s="248">
        <v>43838</v>
      </c>
      <c r="B37" s="249">
        <v>0.375</v>
      </c>
      <c r="C37" s="250">
        <v>11</v>
      </c>
      <c r="E37" s="248">
        <v>43930</v>
      </c>
      <c r="F37" s="249">
        <v>0.25</v>
      </c>
      <c r="G37" s="250">
        <v>0.2</v>
      </c>
      <c r="I37" s="248">
        <v>43930</v>
      </c>
      <c r="J37" s="249">
        <v>0.25</v>
      </c>
      <c r="K37" s="250">
        <v>0.9</v>
      </c>
    </row>
    <row r="38" spans="1:11" ht="14.25" customHeight="1" x14ac:dyDescent="0.35">
      <c r="A38" s="248">
        <v>43929</v>
      </c>
      <c r="B38" s="249">
        <v>0.375</v>
      </c>
      <c r="C38" s="250">
        <v>17</v>
      </c>
      <c r="E38" s="248">
        <v>43934</v>
      </c>
      <c r="F38" s="249">
        <v>0.25</v>
      </c>
      <c r="G38" s="250">
        <v>0.1</v>
      </c>
      <c r="I38" s="248">
        <v>43934</v>
      </c>
      <c r="J38" s="249">
        <v>0.25</v>
      </c>
      <c r="K38" s="250">
        <v>0.9</v>
      </c>
    </row>
    <row r="39" spans="1:11" ht="14.25" customHeight="1" x14ac:dyDescent="0.35">
      <c r="A39" s="248">
        <v>44020</v>
      </c>
      <c r="B39" s="249">
        <v>0.375</v>
      </c>
      <c r="C39" s="250">
        <v>7.7</v>
      </c>
      <c r="E39" s="248">
        <v>43937</v>
      </c>
      <c r="F39" s="249">
        <v>0.25</v>
      </c>
      <c r="G39" s="250">
        <v>0.1</v>
      </c>
      <c r="I39" s="248">
        <v>43937</v>
      </c>
      <c r="J39" s="249">
        <v>0.25</v>
      </c>
      <c r="K39" s="250">
        <v>0.9</v>
      </c>
    </row>
    <row r="40" spans="1:11" ht="14.25" customHeight="1" x14ac:dyDescent="0.35">
      <c r="A40" s="248">
        <v>44111</v>
      </c>
      <c r="B40" s="249">
        <v>0.375</v>
      </c>
      <c r="C40" s="250">
        <v>14</v>
      </c>
      <c r="E40" s="248">
        <v>43941</v>
      </c>
      <c r="F40" s="249">
        <v>0.25</v>
      </c>
      <c r="G40" s="250" t="s">
        <v>50</v>
      </c>
      <c r="I40" s="248">
        <v>43941</v>
      </c>
      <c r="J40" s="249">
        <v>0.25</v>
      </c>
      <c r="K40" s="250">
        <v>0.7</v>
      </c>
    </row>
    <row r="41" spans="1:11" ht="14.25" customHeight="1" x14ac:dyDescent="0.35">
      <c r="A41" s="248">
        <v>44202</v>
      </c>
      <c r="B41" s="249">
        <v>0.375</v>
      </c>
      <c r="C41" s="250">
        <v>18</v>
      </c>
      <c r="E41" s="248">
        <v>43944</v>
      </c>
      <c r="F41" s="249">
        <v>0.25</v>
      </c>
      <c r="G41" s="250">
        <v>0.1</v>
      </c>
      <c r="I41" s="248">
        <v>43944</v>
      </c>
      <c r="J41" s="249">
        <v>0.25</v>
      </c>
      <c r="K41" s="250">
        <v>1</v>
      </c>
    </row>
    <row r="42" spans="1:11" ht="14.25" customHeight="1" x14ac:dyDescent="0.35">
      <c r="A42" s="248">
        <v>44293</v>
      </c>
      <c r="B42" s="249">
        <v>0.375</v>
      </c>
      <c r="C42" s="250">
        <v>12</v>
      </c>
      <c r="E42" s="248">
        <v>43965</v>
      </c>
      <c r="F42" s="249">
        <v>0.25</v>
      </c>
      <c r="G42" s="250">
        <v>0.1</v>
      </c>
      <c r="I42" s="248">
        <v>43965</v>
      </c>
      <c r="J42" s="249">
        <v>0.25</v>
      </c>
      <c r="K42" s="250">
        <v>1</v>
      </c>
    </row>
    <row r="43" spans="1:11" ht="14.25" customHeight="1" x14ac:dyDescent="0.35">
      <c r="A43" s="248">
        <v>44384</v>
      </c>
      <c r="B43" s="249">
        <v>0.375</v>
      </c>
      <c r="C43" s="250">
        <v>13</v>
      </c>
      <c r="E43" s="248">
        <v>43969</v>
      </c>
      <c r="F43" s="249">
        <v>0.25</v>
      </c>
      <c r="G43" s="250">
        <v>0.2</v>
      </c>
      <c r="I43" s="248">
        <v>43969</v>
      </c>
      <c r="J43" s="249">
        <v>0.25</v>
      </c>
      <c r="K43" s="250">
        <v>0.8</v>
      </c>
    </row>
    <row r="44" spans="1:11" ht="14.25" customHeight="1" x14ac:dyDescent="0.35">
      <c r="A44" s="248">
        <v>44475</v>
      </c>
      <c r="B44" s="249">
        <v>0.375</v>
      </c>
      <c r="C44" s="250">
        <v>14</v>
      </c>
      <c r="E44" s="248">
        <v>43971</v>
      </c>
      <c r="F44" s="249">
        <v>0.25</v>
      </c>
      <c r="G44" s="250">
        <v>0.5</v>
      </c>
      <c r="I44" s="248">
        <v>43971</v>
      </c>
      <c r="J44" s="249">
        <v>0.25</v>
      </c>
      <c r="K44" s="250">
        <v>1.3</v>
      </c>
    </row>
    <row r="45" spans="1:11" ht="14.25" customHeight="1" x14ac:dyDescent="0.35">
      <c r="A45" s="248">
        <v>44566</v>
      </c>
      <c r="B45" s="249">
        <v>0.375</v>
      </c>
      <c r="C45" s="250">
        <v>10</v>
      </c>
      <c r="E45" s="248">
        <v>43972</v>
      </c>
      <c r="F45" s="249">
        <v>0.25</v>
      </c>
      <c r="G45" s="250">
        <v>0.1</v>
      </c>
      <c r="I45" s="248">
        <v>43972</v>
      </c>
      <c r="J45" s="249">
        <v>0.25</v>
      </c>
      <c r="K45" s="250">
        <v>0.7</v>
      </c>
    </row>
    <row r="46" spans="1:11" ht="14.25" customHeight="1" x14ac:dyDescent="0.35">
      <c r="A46" s="248">
        <v>44664</v>
      </c>
      <c r="B46" s="249">
        <v>0.375</v>
      </c>
      <c r="C46" s="250">
        <v>12</v>
      </c>
      <c r="E46" s="248">
        <v>43976</v>
      </c>
      <c r="F46" s="249">
        <v>0.25</v>
      </c>
      <c r="G46" s="250">
        <v>0.1</v>
      </c>
      <c r="I46" s="248">
        <v>43976</v>
      </c>
      <c r="J46" s="249">
        <v>0.25</v>
      </c>
      <c r="K46" s="250">
        <v>0.8</v>
      </c>
    </row>
    <row r="47" spans="1:11" ht="14.25" customHeight="1" x14ac:dyDescent="0.35">
      <c r="A47" s="248">
        <v>44748</v>
      </c>
      <c r="B47" s="249">
        <v>0.375</v>
      </c>
      <c r="C47" s="250">
        <v>4.7</v>
      </c>
      <c r="E47" s="248">
        <v>43979</v>
      </c>
      <c r="F47" s="249">
        <v>0.25</v>
      </c>
      <c r="G47" s="250">
        <v>0.1</v>
      </c>
      <c r="I47" s="248">
        <v>43979</v>
      </c>
      <c r="J47" s="249">
        <v>0.25</v>
      </c>
      <c r="K47" s="250">
        <v>0.7</v>
      </c>
    </row>
    <row r="48" spans="1:11" ht="14.25" customHeight="1" x14ac:dyDescent="0.35">
      <c r="A48" s="248">
        <v>44853</v>
      </c>
      <c r="B48" s="249">
        <v>0.375</v>
      </c>
      <c r="C48" s="250">
        <v>4.4000000000000004</v>
      </c>
      <c r="E48" s="248">
        <v>43983</v>
      </c>
      <c r="F48" s="249">
        <v>0.25</v>
      </c>
      <c r="G48" s="250">
        <v>0.2</v>
      </c>
      <c r="I48" s="248">
        <v>43983</v>
      </c>
      <c r="J48" s="249">
        <v>0.25</v>
      </c>
      <c r="K48" s="250">
        <v>0.8</v>
      </c>
    </row>
    <row r="49" spans="1:11" ht="14.25" customHeight="1" x14ac:dyDescent="0.35">
      <c r="A49" s="248">
        <v>44937</v>
      </c>
      <c r="B49" s="249">
        <v>0.375</v>
      </c>
      <c r="C49" s="250">
        <v>6.5</v>
      </c>
      <c r="E49" s="248">
        <v>43986</v>
      </c>
      <c r="F49" s="249">
        <v>0.25</v>
      </c>
      <c r="G49" s="250">
        <v>0.1</v>
      </c>
      <c r="I49" s="248">
        <v>43986</v>
      </c>
      <c r="J49" s="249">
        <v>0.25</v>
      </c>
      <c r="K49" s="250">
        <v>0.9</v>
      </c>
    </row>
    <row r="50" spans="1:11" ht="14.25" customHeight="1" x14ac:dyDescent="0.35">
      <c r="A50" s="248">
        <v>45021</v>
      </c>
      <c r="B50" s="249">
        <v>0.375</v>
      </c>
      <c r="C50" s="250">
        <v>7.5</v>
      </c>
      <c r="E50" s="248">
        <v>43990</v>
      </c>
      <c r="F50" s="249">
        <v>0.25</v>
      </c>
      <c r="G50" s="250">
        <v>0.2</v>
      </c>
      <c r="I50" s="248">
        <v>43990</v>
      </c>
      <c r="J50" s="249">
        <v>0.25</v>
      </c>
      <c r="K50" s="250">
        <v>0.9</v>
      </c>
    </row>
    <row r="51" spans="1:11" ht="14.25" customHeight="1" x14ac:dyDescent="0.35">
      <c r="A51" s="248">
        <v>45119</v>
      </c>
      <c r="B51" s="249">
        <v>0.375</v>
      </c>
      <c r="C51" s="250">
        <v>13</v>
      </c>
      <c r="E51" s="248">
        <v>43992</v>
      </c>
      <c r="F51" s="249">
        <v>0.25</v>
      </c>
      <c r="G51" s="250">
        <v>0.6</v>
      </c>
      <c r="I51" s="248">
        <v>43992</v>
      </c>
      <c r="J51" s="249">
        <v>0.25</v>
      </c>
      <c r="K51" s="250">
        <v>1.4</v>
      </c>
    </row>
    <row r="52" spans="1:11" ht="14.25" customHeight="1" x14ac:dyDescent="0.35">
      <c r="A52" s="248">
        <v>45203</v>
      </c>
      <c r="B52" s="249">
        <v>0.375</v>
      </c>
      <c r="C52" s="250">
        <v>9.4</v>
      </c>
      <c r="E52" s="248">
        <v>43993</v>
      </c>
      <c r="F52" s="249">
        <v>0.25</v>
      </c>
      <c r="G52" s="250">
        <v>0.1</v>
      </c>
      <c r="I52" s="248">
        <v>43993</v>
      </c>
      <c r="J52" s="249">
        <v>0.25</v>
      </c>
      <c r="K52" s="250">
        <v>0.8</v>
      </c>
    </row>
    <row r="53" spans="1:11" ht="14.25" customHeight="1" x14ac:dyDescent="0.35">
      <c r="A53" s="248">
        <v>45301</v>
      </c>
      <c r="B53" s="249">
        <v>0.375</v>
      </c>
      <c r="C53" s="250">
        <v>12</v>
      </c>
      <c r="E53" s="248">
        <v>43997</v>
      </c>
      <c r="F53" s="249">
        <v>0.25</v>
      </c>
      <c r="G53" s="250">
        <v>0.2</v>
      </c>
      <c r="I53" s="248">
        <v>43997</v>
      </c>
      <c r="J53" s="249">
        <v>0.25</v>
      </c>
      <c r="K53" s="250">
        <v>0.9</v>
      </c>
    </row>
    <row r="54" spans="1:11" ht="14.25" customHeight="1" x14ac:dyDescent="0.35">
      <c r="A54" s="248">
        <v>45385</v>
      </c>
      <c r="B54" s="249">
        <v>0.375</v>
      </c>
      <c r="C54" s="250">
        <v>9.9</v>
      </c>
      <c r="E54" s="248">
        <v>44000</v>
      </c>
      <c r="F54" s="249">
        <v>0.25</v>
      </c>
      <c r="G54" s="250">
        <v>0.1</v>
      </c>
      <c r="I54" s="248">
        <v>44000</v>
      </c>
      <c r="J54" s="249">
        <v>0.25</v>
      </c>
      <c r="K54" s="250">
        <v>0.9</v>
      </c>
    </row>
    <row r="55" spans="1:11" ht="14.25" customHeight="1" x14ac:dyDescent="0.35">
      <c r="A55" s="248">
        <v>45483</v>
      </c>
      <c r="B55" s="249">
        <v>0.375</v>
      </c>
      <c r="C55" s="250">
        <v>5.7</v>
      </c>
      <c r="E55" s="248">
        <v>44004</v>
      </c>
      <c r="F55" s="249">
        <v>0.25</v>
      </c>
      <c r="G55" s="250">
        <v>0.2</v>
      </c>
      <c r="I55" s="248">
        <v>44004</v>
      </c>
      <c r="J55" s="249">
        <v>0.25</v>
      </c>
      <c r="K55" s="250">
        <v>1</v>
      </c>
    </row>
    <row r="56" spans="1:11" ht="14.25" customHeight="1" x14ac:dyDescent="0.35">
      <c r="A56" s="248">
        <v>45567</v>
      </c>
      <c r="B56" s="249">
        <v>0.375</v>
      </c>
      <c r="C56" s="250">
        <v>5.7</v>
      </c>
      <c r="E56" s="248">
        <v>44007</v>
      </c>
      <c r="F56" s="249">
        <v>0.25</v>
      </c>
      <c r="G56" s="250">
        <v>0.1</v>
      </c>
      <c r="I56" s="248">
        <v>44007</v>
      </c>
      <c r="J56" s="249">
        <v>0.25</v>
      </c>
      <c r="K56" s="250">
        <v>0.9</v>
      </c>
    </row>
    <row r="57" spans="1:11" ht="14.25" customHeight="1" x14ac:dyDescent="0.35">
      <c r="A57" s="248">
        <v>45663</v>
      </c>
      <c r="B57" s="249">
        <v>0.375</v>
      </c>
      <c r="C57" s="250">
        <v>11</v>
      </c>
      <c r="E57" s="248">
        <v>44011</v>
      </c>
      <c r="F57" s="249">
        <v>0.25</v>
      </c>
      <c r="G57" s="250">
        <v>0.2</v>
      </c>
      <c r="I57" s="248">
        <v>44011</v>
      </c>
      <c r="J57" s="249">
        <v>0.25</v>
      </c>
      <c r="K57" s="250">
        <v>1.1000000000000001</v>
      </c>
    </row>
    <row r="58" spans="1:11" ht="14.25" customHeight="1" x14ac:dyDescent="0.35">
      <c r="E58" s="248">
        <v>44014</v>
      </c>
      <c r="F58" s="249">
        <v>0.25</v>
      </c>
      <c r="G58" s="250">
        <v>0.2</v>
      </c>
      <c r="I58" s="248">
        <v>44014</v>
      </c>
      <c r="J58" s="249">
        <v>0.25</v>
      </c>
      <c r="K58" s="250">
        <v>1</v>
      </c>
    </row>
    <row r="59" spans="1:11" ht="14.25" customHeight="1" x14ac:dyDescent="0.35">
      <c r="E59" s="248">
        <v>44018</v>
      </c>
      <c r="F59" s="249">
        <v>0.25</v>
      </c>
      <c r="G59" s="250">
        <v>0.2</v>
      </c>
      <c r="I59" s="248">
        <v>44018</v>
      </c>
      <c r="J59" s="249">
        <v>0.25</v>
      </c>
      <c r="K59" s="250">
        <v>1</v>
      </c>
    </row>
    <row r="60" spans="1:11" ht="14.25" customHeight="1" x14ac:dyDescent="0.35">
      <c r="E60" s="248">
        <v>44020</v>
      </c>
      <c r="F60" s="249">
        <v>0.3923611111111111</v>
      </c>
      <c r="G60" s="250" t="s">
        <v>50</v>
      </c>
      <c r="I60" s="248">
        <v>44020</v>
      </c>
      <c r="J60" s="249">
        <v>0.3923611111111111</v>
      </c>
      <c r="K60" s="250">
        <v>0.8</v>
      </c>
    </row>
    <row r="61" spans="1:11" ht="14.25" customHeight="1" x14ac:dyDescent="0.35">
      <c r="E61" s="248">
        <v>44021</v>
      </c>
      <c r="F61" s="249">
        <v>0.25</v>
      </c>
      <c r="G61" s="250">
        <v>0.1</v>
      </c>
      <c r="I61" s="248">
        <v>44021</v>
      </c>
      <c r="J61" s="249">
        <v>0.25</v>
      </c>
      <c r="K61" s="250">
        <v>0.9</v>
      </c>
    </row>
    <row r="62" spans="1:11" ht="14.25" customHeight="1" x14ac:dyDescent="0.35">
      <c r="E62" s="248">
        <v>44025</v>
      </c>
      <c r="F62" s="249">
        <v>0.25</v>
      </c>
      <c r="G62" s="250" t="s">
        <v>50</v>
      </c>
      <c r="I62" s="248">
        <v>44025</v>
      </c>
      <c r="J62" s="249">
        <v>0.25</v>
      </c>
      <c r="K62" s="250">
        <v>0.9</v>
      </c>
    </row>
    <row r="63" spans="1:11" ht="14.25" customHeight="1" x14ac:dyDescent="0.35">
      <c r="E63" s="248">
        <v>44028</v>
      </c>
      <c r="F63" s="249">
        <v>0.25</v>
      </c>
      <c r="G63" s="250">
        <v>0.2</v>
      </c>
      <c r="I63" s="248">
        <v>44028</v>
      </c>
      <c r="J63" s="249">
        <v>0.25</v>
      </c>
      <c r="K63" s="250">
        <v>1</v>
      </c>
    </row>
    <row r="64" spans="1:11" ht="14.25" customHeight="1" x14ac:dyDescent="0.35">
      <c r="E64" s="248">
        <v>44032</v>
      </c>
      <c r="F64" s="249">
        <v>0.25</v>
      </c>
      <c r="G64" s="250">
        <v>0.2</v>
      </c>
      <c r="I64" s="248">
        <v>44032</v>
      </c>
      <c r="J64" s="249">
        <v>0.25</v>
      </c>
      <c r="K64" s="250">
        <v>0.9</v>
      </c>
    </row>
    <row r="65" spans="5:11" ht="14.25" customHeight="1" x14ac:dyDescent="0.35">
      <c r="E65" s="248">
        <v>44035</v>
      </c>
      <c r="F65" s="249">
        <v>0.25</v>
      </c>
      <c r="G65" s="250">
        <v>0.2</v>
      </c>
      <c r="I65" s="248">
        <v>44035</v>
      </c>
      <c r="J65" s="249">
        <v>0.25</v>
      </c>
      <c r="K65" s="250">
        <v>0.9</v>
      </c>
    </row>
    <row r="66" spans="5:11" ht="14.25" customHeight="1" x14ac:dyDescent="0.35">
      <c r="E66" s="248">
        <v>44039</v>
      </c>
      <c r="F66" s="249">
        <v>0.25</v>
      </c>
      <c r="G66" s="250">
        <v>0.2</v>
      </c>
      <c r="I66" s="248">
        <v>44039</v>
      </c>
      <c r="J66" s="249">
        <v>0.25</v>
      </c>
      <c r="K66" s="250">
        <v>0.9</v>
      </c>
    </row>
    <row r="67" spans="5:11" ht="14.25" customHeight="1" x14ac:dyDescent="0.35">
      <c r="E67" s="248">
        <v>44042</v>
      </c>
      <c r="F67" s="249">
        <v>0.25</v>
      </c>
      <c r="G67" s="250">
        <v>0.2</v>
      </c>
      <c r="I67" s="248">
        <v>44042</v>
      </c>
      <c r="J67" s="249">
        <v>0.25</v>
      </c>
      <c r="K67" s="250">
        <v>1</v>
      </c>
    </row>
    <row r="68" spans="5:11" ht="14.25" customHeight="1" x14ac:dyDescent="0.35">
      <c r="E68" s="248">
        <v>44046</v>
      </c>
      <c r="F68" s="249">
        <v>0.25</v>
      </c>
      <c r="G68" s="250">
        <v>0.2</v>
      </c>
      <c r="I68" s="248">
        <v>44046</v>
      </c>
      <c r="J68" s="249">
        <v>0.25</v>
      </c>
      <c r="K68" s="250">
        <v>0.9</v>
      </c>
    </row>
    <row r="69" spans="5:11" ht="14.25" customHeight="1" x14ac:dyDescent="0.35">
      <c r="E69" s="248">
        <v>44049</v>
      </c>
      <c r="F69" s="249">
        <v>0.25</v>
      </c>
      <c r="G69" s="250">
        <v>0.4</v>
      </c>
      <c r="I69" s="248">
        <v>44049</v>
      </c>
      <c r="J69" s="249">
        <v>0.25</v>
      </c>
      <c r="K69" s="250">
        <v>1</v>
      </c>
    </row>
    <row r="70" spans="5:11" ht="14.25" customHeight="1" x14ac:dyDescent="0.35">
      <c r="E70" s="248">
        <v>44053</v>
      </c>
      <c r="F70" s="249">
        <v>0.25</v>
      </c>
      <c r="G70" s="250">
        <v>0.2</v>
      </c>
      <c r="I70" s="248">
        <v>44053</v>
      </c>
      <c r="J70" s="249">
        <v>0.25</v>
      </c>
      <c r="K70" s="250">
        <v>1</v>
      </c>
    </row>
    <row r="71" spans="5:11" ht="14.25" customHeight="1" x14ac:dyDescent="0.35">
      <c r="E71" s="248">
        <v>44055</v>
      </c>
      <c r="F71" s="249">
        <v>0.25</v>
      </c>
      <c r="G71" s="250">
        <v>0.7</v>
      </c>
      <c r="I71" s="248">
        <v>44055</v>
      </c>
      <c r="J71" s="249">
        <v>0.25</v>
      </c>
      <c r="K71" s="250">
        <v>1.6</v>
      </c>
    </row>
    <row r="72" spans="5:11" ht="14.25" customHeight="1" x14ac:dyDescent="0.35">
      <c r="E72" s="248">
        <v>44056</v>
      </c>
      <c r="F72" s="249">
        <v>0.25</v>
      </c>
      <c r="G72" s="250">
        <v>0.2</v>
      </c>
      <c r="I72" s="248">
        <v>44056</v>
      </c>
      <c r="J72" s="249">
        <v>0.25</v>
      </c>
      <c r="K72" s="250">
        <v>1.1000000000000001</v>
      </c>
    </row>
    <row r="73" spans="5:11" ht="14.25" customHeight="1" x14ac:dyDescent="0.35">
      <c r="E73" s="248">
        <v>44060</v>
      </c>
      <c r="F73" s="249">
        <v>0.25</v>
      </c>
      <c r="G73" s="250">
        <v>0.2</v>
      </c>
      <c r="I73" s="248">
        <v>44060</v>
      </c>
      <c r="J73" s="249">
        <v>0.25</v>
      </c>
      <c r="K73" s="250">
        <v>1.1000000000000001</v>
      </c>
    </row>
    <row r="74" spans="5:11" ht="14.25" customHeight="1" x14ac:dyDescent="0.35">
      <c r="E74" s="248">
        <v>44063</v>
      </c>
      <c r="F74" s="249">
        <v>0.25</v>
      </c>
      <c r="G74" s="250">
        <v>0.2</v>
      </c>
      <c r="I74" s="248">
        <v>44063</v>
      </c>
      <c r="J74" s="249">
        <v>0.25</v>
      </c>
      <c r="K74" s="250">
        <v>1.1000000000000001</v>
      </c>
    </row>
    <row r="75" spans="5:11" ht="14.25" customHeight="1" x14ac:dyDescent="0.35">
      <c r="E75" s="248">
        <v>44067</v>
      </c>
      <c r="F75" s="249">
        <v>0.25</v>
      </c>
      <c r="G75" s="250">
        <v>0.1</v>
      </c>
      <c r="I75" s="248">
        <v>44067</v>
      </c>
      <c r="J75" s="249">
        <v>0.25</v>
      </c>
      <c r="K75" s="250">
        <v>0.9</v>
      </c>
    </row>
    <row r="76" spans="5:11" ht="14.25" customHeight="1" x14ac:dyDescent="0.35">
      <c r="E76" s="248">
        <v>44070</v>
      </c>
      <c r="F76" s="249">
        <v>0.25</v>
      </c>
      <c r="G76" s="250">
        <v>0.1</v>
      </c>
      <c r="I76" s="248">
        <v>44070</v>
      </c>
      <c r="J76" s="249">
        <v>0.25</v>
      </c>
      <c r="K76" s="250">
        <v>0.8</v>
      </c>
    </row>
    <row r="77" spans="5:11" ht="14.25" customHeight="1" x14ac:dyDescent="0.35">
      <c r="E77" s="248">
        <v>44077</v>
      </c>
      <c r="F77" s="249">
        <v>0.25</v>
      </c>
      <c r="G77" s="250" t="s">
        <v>50</v>
      </c>
      <c r="I77" s="248">
        <v>44077</v>
      </c>
      <c r="J77" s="249">
        <v>0.25</v>
      </c>
      <c r="K77" s="250">
        <v>0.7</v>
      </c>
    </row>
    <row r="78" spans="5:11" ht="14.25" customHeight="1" x14ac:dyDescent="0.35">
      <c r="E78" s="248">
        <v>44081</v>
      </c>
      <c r="F78" s="249">
        <v>0.25</v>
      </c>
      <c r="G78" s="250">
        <v>0.2</v>
      </c>
      <c r="I78" s="248">
        <v>44081</v>
      </c>
      <c r="J78" s="249">
        <v>0.25</v>
      </c>
      <c r="K78" s="250">
        <v>1</v>
      </c>
    </row>
    <row r="79" spans="5:11" ht="14.25" customHeight="1" x14ac:dyDescent="0.35">
      <c r="E79" s="248">
        <v>44083</v>
      </c>
      <c r="F79" s="249">
        <v>0.25</v>
      </c>
      <c r="G79" s="250">
        <v>0.5</v>
      </c>
      <c r="I79" s="248">
        <v>44083</v>
      </c>
      <c r="J79" s="249">
        <v>0.25</v>
      </c>
      <c r="K79" s="250">
        <v>1.3</v>
      </c>
    </row>
    <row r="80" spans="5:11" ht="14.25" customHeight="1" x14ac:dyDescent="0.35">
      <c r="E80" s="248">
        <v>44084</v>
      </c>
      <c r="F80" s="249">
        <v>0.25</v>
      </c>
      <c r="G80" s="250" t="s">
        <v>50</v>
      </c>
      <c r="I80" s="248">
        <v>44084</v>
      </c>
      <c r="J80" s="249">
        <v>0.25</v>
      </c>
      <c r="K80" s="250">
        <v>0.8</v>
      </c>
    </row>
    <row r="81" spans="5:11" ht="14.25" customHeight="1" x14ac:dyDescent="0.35">
      <c r="E81" s="248">
        <v>44088</v>
      </c>
      <c r="F81" s="249">
        <v>0.25</v>
      </c>
      <c r="G81" s="250" t="s">
        <v>50</v>
      </c>
      <c r="I81" s="248">
        <v>44088</v>
      </c>
      <c r="J81" s="249">
        <v>0.25</v>
      </c>
      <c r="K81" s="250">
        <v>0.8</v>
      </c>
    </row>
    <row r="82" spans="5:11" ht="14.25" customHeight="1" x14ac:dyDescent="0.35">
      <c r="E82" s="248">
        <v>44091</v>
      </c>
      <c r="F82" s="249">
        <v>0.25</v>
      </c>
      <c r="G82" s="250">
        <v>0.1</v>
      </c>
      <c r="I82" s="248">
        <v>44091</v>
      </c>
      <c r="J82" s="249">
        <v>0.25</v>
      </c>
      <c r="K82" s="250">
        <v>0.8</v>
      </c>
    </row>
    <row r="83" spans="5:11" ht="14.25" customHeight="1" x14ac:dyDescent="0.35">
      <c r="E83" s="248">
        <v>44095</v>
      </c>
      <c r="F83" s="249">
        <v>0.25</v>
      </c>
      <c r="G83" s="250" t="s">
        <v>50</v>
      </c>
      <c r="I83" s="248">
        <v>44095</v>
      </c>
      <c r="J83" s="249">
        <v>0.25</v>
      </c>
      <c r="K83" s="250">
        <v>0.9</v>
      </c>
    </row>
    <row r="84" spans="5:11" ht="14.25" customHeight="1" x14ac:dyDescent="0.35">
      <c r="E84" s="248">
        <v>44098</v>
      </c>
      <c r="F84" s="249">
        <v>0.25</v>
      </c>
      <c r="G84" s="250">
        <v>0.1</v>
      </c>
      <c r="I84" s="248">
        <v>44098</v>
      </c>
      <c r="J84" s="249">
        <v>0.25</v>
      </c>
      <c r="K84" s="250">
        <v>0.8</v>
      </c>
    </row>
    <row r="85" spans="5:11" ht="14.25" customHeight="1" x14ac:dyDescent="0.35">
      <c r="E85" s="248">
        <v>44102</v>
      </c>
      <c r="F85" s="249">
        <v>0.25</v>
      </c>
      <c r="G85" s="250">
        <v>0.1</v>
      </c>
      <c r="I85" s="248">
        <v>44102</v>
      </c>
      <c r="J85" s="249">
        <v>0.25</v>
      </c>
      <c r="K85" s="250">
        <v>0.9</v>
      </c>
    </row>
    <row r="86" spans="5:11" ht="14.25" customHeight="1" x14ac:dyDescent="0.35">
      <c r="E86" s="248">
        <v>44105</v>
      </c>
      <c r="F86" s="249">
        <v>0.25</v>
      </c>
      <c r="G86" s="250">
        <v>0.2</v>
      </c>
      <c r="I86" s="248">
        <v>44105</v>
      </c>
      <c r="J86" s="249">
        <v>0.25</v>
      </c>
      <c r="K86" s="250">
        <v>0.8</v>
      </c>
    </row>
    <row r="87" spans="5:11" ht="14.25" customHeight="1" x14ac:dyDescent="0.35">
      <c r="E87" s="248">
        <v>44109</v>
      </c>
      <c r="F87" s="249">
        <v>0.25</v>
      </c>
      <c r="G87" s="250">
        <v>0.1</v>
      </c>
      <c r="I87" s="248">
        <v>44109</v>
      </c>
      <c r="J87" s="249">
        <v>0.25</v>
      </c>
      <c r="K87" s="250">
        <v>0.8</v>
      </c>
    </row>
    <row r="88" spans="5:11" ht="14.25" customHeight="1" x14ac:dyDescent="0.35">
      <c r="E88" s="248">
        <v>44110</v>
      </c>
      <c r="F88" s="249">
        <v>0.44444444444444442</v>
      </c>
      <c r="G88" s="250">
        <v>0.2</v>
      </c>
      <c r="I88" s="248">
        <v>44110</v>
      </c>
      <c r="J88" s="249">
        <v>0.44444444444444442</v>
      </c>
      <c r="K88" s="250">
        <v>0.8</v>
      </c>
    </row>
    <row r="89" spans="5:11" ht="14.25" customHeight="1" x14ac:dyDescent="0.35">
      <c r="E89" s="248">
        <v>44112</v>
      </c>
      <c r="F89" s="249">
        <v>0.25</v>
      </c>
      <c r="G89" s="250">
        <v>0.2</v>
      </c>
      <c r="I89" s="248">
        <v>44112</v>
      </c>
      <c r="J89" s="249">
        <v>0.25</v>
      </c>
      <c r="K89" s="250">
        <v>0.9</v>
      </c>
    </row>
    <row r="90" spans="5:11" ht="14.25" customHeight="1" x14ac:dyDescent="0.35">
      <c r="E90" s="248">
        <v>44116</v>
      </c>
      <c r="F90" s="249">
        <v>0.25</v>
      </c>
      <c r="G90" s="250" t="s">
        <v>50</v>
      </c>
      <c r="I90" s="248">
        <v>44116</v>
      </c>
      <c r="J90" s="249">
        <v>0.25</v>
      </c>
      <c r="K90" s="250">
        <v>1</v>
      </c>
    </row>
    <row r="91" spans="5:11" ht="14.25" customHeight="1" x14ac:dyDescent="0.35">
      <c r="E91" s="248">
        <v>44119</v>
      </c>
      <c r="F91" s="249">
        <v>0.25</v>
      </c>
      <c r="G91" s="250">
        <v>0.2</v>
      </c>
      <c r="I91" s="248">
        <v>44119</v>
      </c>
      <c r="J91" s="249">
        <v>0.25</v>
      </c>
      <c r="K91" s="250">
        <v>0.7</v>
      </c>
    </row>
    <row r="92" spans="5:11" ht="14.25" customHeight="1" x14ac:dyDescent="0.35">
      <c r="E92" s="248">
        <v>44123</v>
      </c>
      <c r="F92" s="249">
        <v>0.25</v>
      </c>
      <c r="G92" s="250">
        <v>0.2</v>
      </c>
      <c r="I92" s="248">
        <v>44123</v>
      </c>
      <c r="J92" s="249">
        <v>0.25</v>
      </c>
      <c r="K92" s="250">
        <v>0.7</v>
      </c>
    </row>
    <row r="93" spans="5:11" ht="14.25" customHeight="1" x14ac:dyDescent="0.35">
      <c r="E93" s="248">
        <v>44126</v>
      </c>
      <c r="F93" s="249">
        <v>0.25</v>
      </c>
      <c r="G93" s="250">
        <v>0.2</v>
      </c>
      <c r="I93" s="248">
        <v>44126</v>
      </c>
      <c r="J93" s="249">
        <v>0.25</v>
      </c>
      <c r="K93" s="250">
        <v>1</v>
      </c>
    </row>
    <row r="94" spans="5:11" ht="14.25" customHeight="1" x14ac:dyDescent="0.35">
      <c r="E94" s="248">
        <v>44130</v>
      </c>
      <c r="F94" s="249">
        <v>0.25</v>
      </c>
      <c r="G94" s="250">
        <v>0.1</v>
      </c>
      <c r="I94" s="248">
        <v>44130</v>
      </c>
      <c r="J94" s="249">
        <v>0.25</v>
      </c>
      <c r="K94" s="250">
        <v>0.9</v>
      </c>
    </row>
    <row r="95" spans="5:11" ht="14.25" customHeight="1" x14ac:dyDescent="0.35">
      <c r="E95" s="248">
        <v>44133</v>
      </c>
      <c r="F95" s="249">
        <v>0.25</v>
      </c>
      <c r="G95" s="250">
        <v>0.2</v>
      </c>
      <c r="I95" s="248">
        <v>44133</v>
      </c>
      <c r="J95" s="249">
        <v>0.25</v>
      </c>
      <c r="K95" s="250">
        <v>0.7</v>
      </c>
    </row>
    <row r="96" spans="5:11" ht="14.25" customHeight="1" x14ac:dyDescent="0.35">
      <c r="E96" s="248">
        <v>44137</v>
      </c>
      <c r="F96" s="249">
        <v>0.25</v>
      </c>
      <c r="G96" s="250">
        <v>0.1</v>
      </c>
      <c r="I96" s="248">
        <v>44137</v>
      </c>
      <c r="J96" s="249">
        <v>0.25</v>
      </c>
      <c r="K96" s="250">
        <v>0.8</v>
      </c>
    </row>
    <row r="97" spans="5:11" ht="14.25" customHeight="1" x14ac:dyDescent="0.35">
      <c r="E97" s="248">
        <v>44139</v>
      </c>
      <c r="F97" s="249">
        <v>0.25</v>
      </c>
      <c r="G97" s="250">
        <v>0.4</v>
      </c>
      <c r="I97" s="248">
        <v>44139</v>
      </c>
      <c r="J97" s="249">
        <v>0.25</v>
      </c>
      <c r="K97" s="250">
        <v>1.1000000000000001</v>
      </c>
    </row>
    <row r="98" spans="5:11" ht="14.25" customHeight="1" x14ac:dyDescent="0.35">
      <c r="E98" s="248">
        <v>44140</v>
      </c>
      <c r="F98" s="249">
        <v>0.25</v>
      </c>
      <c r="G98" s="250" t="s">
        <v>50</v>
      </c>
      <c r="I98" s="248">
        <v>44140</v>
      </c>
      <c r="J98" s="249">
        <v>0.25</v>
      </c>
      <c r="K98" s="250">
        <v>0.7</v>
      </c>
    </row>
    <row r="99" spans="5:11" ht="14.25" customHeight="1" x14ac:dyDescent="0.35">
      <c r="E99" s="248">
        <v>44144</v>
      </c>
      <c r="F99" s="249">
        <v>0.25</v>
      </c>
      <c r="G99" s="250">
        <v>0.1</v>
      </c>
      <c r="I99" s="248">
        <v>44144</v>
      </c>
      <c r="J99" s="249">
        <v>0.25</v>
      </c>
      <c r="K99" s="250">
        <v>0.7</v>
      </c>
    </row>
    <row r="100" spans="5:11" ht="14.25" customHeight="1" x14ac:dyDescent="0.35">
      <c r="E100" s="248">
        <v>44147</v>
      </c>
      <c r="F100" s="249">
        <v>0.25</v>
      </c>
      <c r="G100" s="250">
        <v>0.1</v>
      </c>
      <c r="I100" s="248">
        <v>44147</v>
      </c>
      <c r="J100" s="249">
        <v>0.25</v>
      </c>
      <c r="K100" s="250">
        <v>0.8</v>
      </c>
    </row>
    <row r="101" spans="5:11" ht="14.25" customHeight="1" x14ac:dyDescent="0.35">
      <c r="E101" s="248">
        <v>44151</v>
      </c>
      <c r="F101" s="249">
        <v>0.25</v>
      </c>
      <c r="G101" s="250">
        <v>0.2</v>
      </c>
      <c r="I101" s="248">
        <v>44151</v>
      </c>
      <c r="J101" s="249">
        <v>0.25</v>
      </c>
      <c r="K101" s="250">
        <v>0.8</v>
      </c>
    </row>
    <row r="102" spans="5:11" ht="14.25" customHeight="1" x14ac:dyDescent="0.35">
      <c r="E102" s="248">
        <v>44154</v>
      </c>
      <c r="F102" s="249">
        <v>0.25</v>
      </c>
      <c r="G102" s="250">
        <v>0.1</v>
      </c>
      <c r="I102" s="248">
        <v>44154</v>
      </c>
      <c r="J102" s="249">
        <v>0.25</v>
      </c>
      <c r="K102" s="250">
        <v>0.7</v>
      </c>
    </row>
    <row r="103" spans="5:11" ht="14.25" customHeight="1" x14ac:dyDescent="0.35">
      <c r="E103" s="248">
        <v>44157</v>
      </c>
      <c r="F103" s="249">
        <v>0.25</v>
      </c>
      <c r="G103" s="250">
        <v>0.2</v>
      </c>
      <c r="I103" s="248">
        <v>44157</v>
      </c>
      <c r="J103" s="249">
        <v>0.25</v>
      </c>
      <c r="K103" s="250">
        <v>0.8</v>
      </c>
    </row>
    <row r="104" spans="5:11" ht="14.25" customHeight="1" x14ac:dyDescent="0.35">
      <c r="E104" s="248">
        <v>44158</v>
      </c>
      <c r="F104" s="249">
        <v>0.25</v>
      </c>
      <c r="G104" s="250">
        <v>0.2</v>
      </c>
      <c r="I104" s="248">
        <v>44158</v>
      </c>
      <c r="J104" s="249">
        <v>0.25</v>
      </c>
      <c r="K104" s="250">
        <v>0.8</v>
      </c>
    </row>
    <row r="105" spans="5:11" ht="14.25" customHeight="1" x14ac:dyDescent="0.35">
      <c r="E105" s="248">
        <v>44160</v>
      </c>
      <c r="F105" s="249">
        <v>0.25</v>
      </c>
      <c r="G105" s="250">
        <v>0.2</v>
      </c>
      <c r="I105" s="248">
        <v>44160</v>
      </c>
      <c r="J105" s="249">
        <v>0.25</v>
      </c>
      <c r="K105" s="250">
        <v>0.8</v>
      </c>
    </row>
    <row r="106" spans="5:11" ht="14.25" customHeight="1" x14ac:dyDescent="0.35">
      <c r="E106" s="248">
        <v>44165</v>
      </c>
      <c r="F106" s="249">
        <v>0.25</v>
      </c>
      <c r="G106" s="250">
        <v>0.3</v>
      </c>
      <c r="I106" s="248">
        <v>44165</v>
      </c>
      <c r="J106" s="249">
        <v>0.25</v>
      </c>
      <c r="K106" s="250">
        <v>0.9</v>
      </c>
    </row>
    <row r="107" spans="5:11" ht="14.25" customHeight="1" x14ac:dyDescent="0.35">
      <c r="E107" s="248">
        <v>44168</v>
      </c>
      <c r="F107" s="249">
        <v>0.25</v>
      </c>
      <c r="G107" s="250">
        <v>0.1</v>
      </c>
      <c r="I107" s="248">
        <v>44168</v>
      </c>
      <c r="J107" s="249">
        <v>0.25</v>
      </c>
      <c r="K107" s="250">
        <v>0.9</v>
      </c>
    </row>
    <row r="108" spans="5:11" ht="14.25" customHeight="1" x14ac:dyDescent="0.35">
      <c r="E108" s="248">
        <v>44172</v>
      </c>
      <c r="F108" s="249">
        <v>0.25</v>
      </c>
      <c r="G108" s="250">
        <v>0.2</v>
      </c>
      <c r="I108" s="248">
        <v>44172</v>
      </c>
      <c r="J108" s="249">
        <v>0.25</v>
      </c>
      <c r="K108" s="250">
        <v>0.9</v>
      </c>
    </row>
    <row r="109" spans="5:11" ht="14.25" customHeight="1" x14ac:dyDescent="0.35">
      <c r="E109" s="248">
        <v>44174</v>
      </c>
      <c r="F109" s="249">
        <v>0.25</v>
      </c>
      <c r="G109" s="250">
        <v>0.5</v>
      </c>
      <c r="I109" s="248">
        <v>44174</v>
      </c>
      <c r="J109" s="249">
        <v>0.25</v>
      </c>
      <c r="K109" s="250">
        <v>1.2</v>
      </c>
    </row>
    <row r="110" spans="5:11" ht="14.25" customHeight="1" x14ac:dyDescent="0.35">
      <c r="E110" s="248">
        <v>44175</v>
      </c>
      <c r="F110" s="249">
        <v>0.25</v>
      </c>
      <c r="G110" s="250">
        <v>0.1</v>
      </c>
      <c r="I110" s="248">
        <v>44175</v>
      </c>
      <c r="J110" s="249">
        <v>0.25</v>
      </c>
      <c r="K110" s="250">
        <v>0.9</v>
      </c>
    </row>
    <row r="111" spans="5:11" ht="14.25" customHeight="1" x14ac:dyDescent="0.35">
      <c r="E111" s="248">
        <v>44179</v>
      </c>
      <c r="F111" s="249">
        <v>0.25</v>
      </c>
      <c r="G111" s="250">
        <v>0.1</v>
      </c>
      <c r="I111" s="248">
        <v>44179</v>
      </c>
      <c r="J111" s="249">
        <v>0.25</v>
      </c>
      <c r="K111" s="250">
        <v>1</v>
      </c>
    </row>
    <row r="112" spans="5:11" ht="14.25" customHeight="1" x14ac:dyDescent="0.35">
      <c r="E112" s="248">
        <v>44182</v>
      </c>
      <c r="F112" s="249">
        <v>0.25</v>
      </c>
      <c r="G112" s="250" t="s">
        <v>50</v>
      </c>
      <c r="I112" s="248">
        <v>44182</v>
      </c>
      <c r="J112" s="249">
        <v>0.25</v>
      </c>
      <c r="K112" s="250">
        <v>0.8</v>
      </c>
    </row>
    <row r="113" spans="5:11" ht="14.25" customHeight="1" x14ac:dyDescent="0.35">
      <c r="E113" s="248">
        <v>44185</v>
      </c>
      <c r="F113" s="249">
        <v>0.25</v>
      </c>
      <c r="G113" s="250">
        <v>0.1</v>
      </c>
      <c r="I113" s="248">
        <v>44185</v>
      </c>
      <c r="J113" s="249">
        <v>0.25</v>
      </c>
      <c r="K113" s="250">
        <v>0.8</v>
      </c>
    </row>
    <row r="114" spans="5:11" ht="14.25" customHeight="1" x14ac:dyDescent="0.35">
      <c r="E114" s="248">
        <v>44188</v>
      </c>
      <c r="F114" s="249">
        <v>0.25</v>
      </c>
      <c r="G114" s="250">
        <v>0.2</v>
      </c>
      <c r="I114" s="248">
        <v>44188</v>
      </c>
      <c r="J114" s="249">
        <v>0.25</v>
      </c>
      <c r="K114" s="250">
        <v>1</v>
      </c>
    </row>
    <row r="115" spans="5:11" ht="14.25" customHeight="1" x14ac:dyDescent="0.35">
      <c r="E115" s="248">
        <v>44193</v>
      </c>
      <c r="F115" s="249">
        <v>0.25</v>
      </c>
      <c r="G115" s="250">
        <v>0.1</v>
      </c>
      <c r="I115" s="248">
        <v>44193</v>
      </c>
      <c r="J115" s="249">
        <v>0.25</v>
      </c>
      <c r="K115" s="250">
        <v>0.9</v>
      </c>
    </row>
    <row r="116" spans="5:11" ht="14.25" customHeight="1" x14ac:dyDescent="0.35">
      <c r="E116" s="248">
        <v>44196</v>
      </c>
      <c r="F116" s="249">
        <v>0.25</v>
      </c>
      <c r="G116" s="250" t="s">
        <v>50</v>
      </c>
      <c r="I116" s="248">
        <v>44196</v>
      </c>
      <c r="J116" s="249">
        <v>0.25</v>
      </c>
      <c r="K116" s="250">
        <v>0.7</v>
      </c>
    </row>
    <row r="117" spans="5:11" ht="14.25" customHeight="1" x14ac:dyDescent="0.35">
      <c r="E117" s="248">
        <v>44200</v>
      </c>
      <c r="F117" s="249">
        <v>0.25</v>
      </c>
      <c r="G117" s="250">
        <v>0.2</v>
      </c>
      <c r="I117" s="248">
        <v>44200</v>
      </c>
      <c r="J117" s="249">
        <v>0.25</v>
      </c>
      <c r="K117" s="250">
        <v>0.7</v>
      </c>
    </row>
    <row r="118" spans="5:11" ht="14.25" customHeight="1" x14ac:dyDescent="0.35">
      <c r="E118" s="248">
        <v>44202</v>
      </c>
      <c r="F118" s="249">
        <v>0.43055555555555558</v>
      </c>
      <c r="G118" s="250">
        <v>0.2</v>
      </c>
      <c r="I118" s="248">
        <v>44202</v>
      </c>
      <c r="J118" s="249">
        <v>0.43055555555555558</v>
      </c>
      <c r="K118" s="250">
        <v>0.9</v>
      </c>
    </row>
    <row r="119" spans="5:11" ht="14.25" customHeight="1" x14ac:dyDescent="0.35">
      <c r="E119" s="248">
        <v>44203</v>
      </c>
      <c r="F119" s="249">
        <v>0.25</v>
      </c>
      <c r="G119" s="250">
        <v>0.2</v>
      </c>
      <c r="I119" s="248">
        <v>44203</v>
      </c>
      <c r="J119" s="249">
        <v>0.25</v>
      </c>
      <c r="K119" s="250">
        <v>0.7</v>
      </c>
    </row>
    <row r="120" spans="5:11" ht="14.25" customHeight="1" x14ac:dyDescent="0.35">
      <c r="E120" s="248">
        <v>44207</v>
      </c>
      <c r="F120" s="249">
        <v>0.25</v>
      </c>
      <c r="G120" s="250">
        <v>0.1</v>
      </c>
      <c r="I120" s="248">
        <v>44207</v>
      </c>
      <c r="J120" s="249">
        <v>0.25</v>
      </c>
      <c r="K120" s="250">
        <v>0.6</v>
      </c>
    </row>
    <row r="121" spans="5:11" ht="14.25" customHeight="1" x14ac:dyDescent="0.35">
      <c r="E121" s="248">
        <v>44210</v>
      </c>
      <c r="F121" s="249">
        <v>0.25</v>
      </c>
      <c r="G121" s="250">
        <v>0.2</v>
      </c>
      <c r="I121" s="248">
        <v>44210</v>
      </c>
      <c r="J121" s="249">
        <v>0.25</v>
      </c>
      <c r="K121" s="250">
        <v>0.7</v>
      </c>
    </row>
    <row r="122" spans="5:11" ht="14.25" customHeight="1" x14ac:dyDescent="0.35">
      <c r="E122" s="248">
        <v>44214</v>
      </c>
      <c r="F122" s="249">
        <v>0.25</v>
      </c>
      <c r="G122" s="250">
        <v>0.1</v>
      </c>
      <c r="I122" s="248">
        <v>44214</v>
      </c>
      <c r="J122" s="249">
        <v>0.25</v>
      </c>
      <c r="K122" s="250">
        <v>0.7</v>
      </c>
    </row>
    <row r="123" spans="5:11" ht="14.25" customHeight="1" x14ac:dyDescent="0.35">
      <c r="E123" s="248">
        <v>44217</v>
      </c>
      <c r="F123" s="249">
        <v>0.25</v>
      </c>
      <c r="G123" s="250">
        <v>0.2</v>
      </c>
      <c r="I123" s="248">
        <v>44217</v>
      </c>
      <c r="J123" s="249">
        <v>0.25</v>
      </c>
      <c r="K123" s="250">
        <v>0.8</v>
      </c>
    </row>
    <row r="124" spans="5:11" ht="14.25" customHeight="1" x14ac:dyDescent="0.35">
      <c r="E124" s="248">
        <v>44221</v>
      </c>
      <c r="F124" s="249">
        <v>0.25</v>
      </c>
      <c r="G124" s="250">
        <v>0.2</v>
      </c>
      <c r="I124" s="248">
        <v>44221</v>
      </c>
      <c r="J124" s="249">
        <v>0.25</v>
      </c>
      <c r="K124" s="250">
        <v>0.7</v>
      </c>
    </row>
    <row r="125" spans="5:11" ht="14.25" customHeight="1" x14ac:dyDescent="0.35">
      <c r="E125" s="248">
        <v>44224</v>
      </c>
      <c r="F125" s="249">
        <v>0.25</v>
      </c>
      <c r="G125" s="250">
        <v>0.1</v>
      </c>
      <c r="I125" s="248">
        <v>44224</v>
      </c>
      <c r="J125" s="249">
        <v>0.25</v>
      </c>
      <c r="K125" s="250">
        <v>0.8</v>
      </c>
    </row>
    <row r="126" spans="5:11" ht="14.25" customHeight="1" x14ac:dyDescent="0.35">
      <c r="E126" s="248">
        <v>44228</v>
      </c>
      <c r="F126" s="249">
        <v>0.25</v>
      </c>
      <c r="G126" s="250">
        <v>0.1</v>
      </c>
      <c r="I126" s="248">
        <v>44228</v>
      </c>
      <c r="J126" s="249">
        <v>0.25</v>
      </c>
      <c r="K126" s="250">
        <v>0.7</v>
      </c>
    </row>
    <row r="127" spans="5:11" ht="14.25" customHeight="1" x14ac:dyDescent="0.35">
      <c r="E127" s="248">
        <v>44231</v>
      </c>
      <c r="F127" s="249">
        <v>0.25</v>
      </c>
      <c r="G127" s="250" t="s">
        <v>50</v>
      </c>
      <c r="I127" s="248">
        <v>44231</v>
      </c>
      <c r="J127" s="249">
        <v>0.25</v>
      </c>
      <c r="K127" s="250">
        <v>0.7</v>
      </c>
    </row>
    <row r="128" spans="5:11" ht="14.25" customHeight="1" x14ac:dyDescent="0.35">
      <c r="E128" s="248">
        <v>44235</v>
      </c>
      <c r="F128" s="249">
        <v>0.25</v>
      </c>
      <c r="G128" s="250">
        <v>0.1</v>
      </c>
      <c r="I128" s="248">
        <v>44235</v>
      </c>
      <c r="J128" s="249">
        <v>0.25</v>
      </c>
      <c r="K128" s="250">
        <v>0.7</v>
      </c>
    </row>
    <row r="129" spans="5:11" ht="14.25" customHeight="1" x14ac:dyDescent="0.35">
      <c r="E129" s="248">
        <v>44237</v>
      </c>
      <c r="F129" s="249">
        <v>0.25</v>
      </c>
      <c r="G129" s="250" t="s">
        <v>50</v>
      </c>
      <c r="I129" s="248">
        <v>44237</v>
      </c>
      <c r="J129" s="249">
        <v>0.25</v>
      </c>
      <c r="K129" s="250">
        <v>0.6</v>
      </c>
    </row>
    <row r="130" spans="5:11" ht="14.25" customHeight="1" x14ac:dyDescent="0.35">
      <c r="E130" s="248">
        <v>44238</v>
      </c>
      <c r="F130" s="249">
        <v>0.25</v>
      </c>
      <c r="G130" s="250" t="s">
        <v>50</v>
      </c>
      <c r="I130" s="248">
        <v>44238</v>
      </c>
      <c r="J130" s="249">
        <v>0.25</v>
      </c>
      <c r="K130" s="250">
        <v>0.7</v>
      </c>
    </row>
    <row r="131" spans="5:11" ht="14.25" customHeight="1" x14ac:dyDescent="0.35">
      <c r="E131" s="248">
        <v>44242</v>
      </c>
      <c r="F131" s="249">
        <v>0.25</v>
      </c>
      <c r="G131" s="250">
        <v>0.1</v>
      </c>
      <c r="I131" s="248">
        <v>44242</v>
      </c>
      <c r="J131" s="249">
        <v>0.25</v>
      </c>
      <c r="K131" s="250">
        <v>0.8</v>
      </c>
    </row>
    <row r="132" spans="5:11" ht="14.25" customHeight="1" x14ac:dyDescent="0.35">
      <c r="E132" s="248">
        <v>44245</v>
      </c>
      <c r="F132" s="249">
        <v>0.25</v>
      </c>
      <c r="G132" s="250" t="s">
        <v>50</v>
      </c>
      <c r="I132" s="248">
        <v>44245</v>
      </c>
      <c r="J132" s="249">
        <v>0.25</v>
      </c>
      <c r="K132" s="250">
        <v>0.7</v>
      </c>
    </row>
    <row r="133" spans="5:11" ht="14.25" customHeight="1" x14ac:dyDescent="0.35">
      <c r="E133" s="248">
        <v>44249</v>
      </c>
      <c r="F133" s="249">
        <v>0.25</v>
      </c>
      <c r="G133" s="250" t="s">
        <v>50</v>
      </c>
      <c r="I133" s="248">
        <v>44249</v>
      </c>
      <c r="J133" s="249">
        <v>0.25</v>
      </c>
      <c r="K133" s="250">
        <v>0.5</v>
      </c>
    </row>
    <row r="134" spans="5:11" ht="14.25" customHeight="1" x14ac:dyDescent="0.35">
      <c r="E134" s="248">
        <v>44252</v>
      </c>
      <c r="F134" s="249">
        <v>0.25</v>
      </c>
      <c r="G134" s="250" t="s">
        <v>50</v>
      </c>
      <c r="I134" s="248">
        <v>44252</v>
      </c>
      <c r="J134" s="249">
        <v>0.25</v>
      </c>
      <c r="K134" s="250">
        <v>0.7</v>
      </c>
    </row>
    <row r="135" spans="5:11" ht="14.25" customHeight="1" x14ac:dyDescent="0.35">
      <c r="E135" s="248">
        <v>44256</v>
      </c>
      <c r="F135" s="249">
        <v>0.25</v>
      </c>
      <c r="G135" s="250">
        <v>0.2</v>
      </c>
      <c r="I135" s="248">
        <v>44256</v>
      </c>
      <c r="J135" s="249">
        <v>0.25</v>
      </c>
      <c r="K135" s="250">
        <v>0.7</v>
      </c>
    </row>
    <row r="136" spans="5:11" ht="14.25" customHeight="1" x14ac:dyDescent="0.35">
      <c r="E136" s="248">
        <v>44259</v>
      </c>
      <c r="F136" s="249">
        <v>0.25</v>
      </c>
      <c r="G136" s="250">
        <v>0.1</v>
      </c>
      <c r="I136" s="248">
        <v>44259</v>
      </c>
      <c r="J136" s="249">
        <v>0.25</v>
      </c>
      <c r="K136" s="250">
        <v>0.7</v>
      </c>
    </row>
    <row r="137" spans="5:11" ht="14.25" customHeight="1" x14ac:dyDescent="0.35">
      <c r="E137" s="248">
        <v>44263</v>
      </c>
      <c r="F137" s="249">
        <v>0.25</v>
      </c>
      <c r="G137" s="250">
        <v>0.1</v>
      </c>
      <c r="I137" s="248">
        <v>44263</v>
      </c>
      <c r="J137" s="249">
        <v>0.25</v>
      </c>
      <c r="K137" s="250">
        <v>0.5</v>
      </c>
    </row>
    <row r="138" spans="5:11" ht="14.25" customHeight="1" x14ac:dyDescent="0.35">
      <c r="E138" s="248">
        <v>44265</v>
      </c>
      <c r="F138" s="249">
        <v>0.25</v>
      </c>
      <c r="G138" s="250">
        <v>0.4</v>
      </c>
      <c r="I138" s="248">
        <v>44265</v>
      </c>
      <c r="J138" s="249">
        <v>0.25</v>
      </c>
      <c r="K138" s="250">
        <v>1</v>
      </c>
    </row>
    <row r="139" spans="5:11" ht="14.25" customHeight="1" x14ac:dyDescent="0.35">
      <c r="E139" s="248">
        <v>44266</v>
      </c>
      <c r="F139" s="249">
        <v>0.25</v>
      </c>
      <c r="G139" s="250">
        <v>0.1</v>
      </c>
      <c r="I139" s="248">
        <v>44266</v>
      </c>
      <c r="J139" s="249">
        <v>0.25</v>
      </c>
      <c r="K139" s="250">
        <v>0.5</v>
      </c>
    </row>
    <row r="140" spans="5:11" ht="14.25" customHeight="1" x14ac:dyDescent="0.35">
      <c r="E140" s="248">
        <v>44270</v>
      </c>
      <c r="F140" s="249">
        <v>0.25</v>
      </c>
      <c r="G140" s="250">
        <v>0.1</v>
      </c>
      <c r="I140" s="248">
        <v>44270</v>
      </c>
      <c r="J140" s="249">
        <v>0.25</v>
      </c>
      <c r="K140" s="250">
        <v>0.6</v>
      </c>
    </row>
    <row r="141" spans="5:11" ht="14.25" customHeight="1" x14ac:dyDescent="0.35">
      <c r="E141" s="248">
        <v>44273</v>
      </c>
      <c r="F141" s="249">
        <v>0.25</v>
      </c>
      <c r="G141" s="250" t="s">
        <v>50</v>
      </c>
      <c r="I141" s="248">
        <v>44273</v>
      </c>
      <c r="J141" s="249">
        <v>0.25</v>
      </c>
      <c r="K141" s="250">
        <v>0.7</v>
      </c>
    </row>
    <row r="142" spans="5:11" ht="14.25" customHeight="1" x14ac:dyDescent="0.35">
      <c r="E142" s="248">
        <v>44277</v>
      </c>
      <c r="F142" s="249">
        <v>0.25</v>
      </c>
      <c r="G142" s="250">
        <v>0.1</v>
      </c>
      <c r="I142" s="248">
        <v>44277</v>
      </c>
      <c r="J142" s="249">
        <v>0.25</v>
      </c>
      <c r="K142" s="250">
        <v>0.7</v>
      </c>
    </row>
    <row r="143" spans="5:11" ht="14.25" customHeight="1" x14ac:dyDescent="0.35">
      <c r="E143" s="248">
        <v>44280</v>
      </c>
      <c r="F143" s="249">
        <v>0.25</v>
      </c>
      <c r="G143" s="250">
        <v>0.1</v>
      </c>
      <c r="I143" s="248">
        <v>44280</v>
      </c>
      <c r="J143" s="249">
        <v>0.25</v>
      </c>
      <c r="K143" s="250">
        <v>0.8</v>
      </c>
    </row>
    <row r="144" spans="5:11" ht="14.25" customHeight="1" x14ac:dyDescent="0.35">
      <c r="E144" s="248">
        <v>44284</v>
      </c>
      <c r="F144" s="249">
        <v>0.25</v>
      </c>
      <c r="G144" s="250">
        <v>0.1</v>
      </c>
      <c r="I144" s="248">
        <v>44284</v>
      </c>
      <c r="J144" s="249">
        <v>0.25</v>
      </c>
      <c r="K144" s="250">
        <v>0.7</v>
      </c>
    </row>
    <row r="145" spans="5:11" ht="14.25" customHeight="1" x14ac:dyDescent="0.35">
      <c r="E145" s="248">
        <v>44287</v>
      </c>
      <c r="F145" s="249">
        <v>0.25</v>
      </c>
      <c r="G145" s="250">
        <v>0.2</v>
      </c>
      <c r="I145" s="248">
        <v>44287</v>
      </c>
      <c r="J145" s="249">
        <v>0.25</v>
      </c>
      <c r="K145" s="250">
        <v>0.7</v>
      </c>
    </row>
    <row r="146" spans="5:11" ht="14.25" customHeight="1" x14ac:dyDescent="0.35">
      <c r="E146" s="248">
        <v>44291</v>
      </c>
      <c r="F146" s="249">
        <v>0.25</v>
      </c>
      <c r="G146" s="250" t="s">
        <v>50</v>
      </c>
      <c r="I146" s="248">
        <v>44291</v>
      </c>
      <c r="J146" s="249">
        <v>0.25</v>
      </c>
      <c r="K146" s="250">
        <v>0.6</v>
      </c>
    </row>
    <row r="147" spans="5:11" ht="14.25" customHeight="1" x14ac:dyDescent="0.35">
      <c r="E147" s="248">
        <v>44293</v>
      </c>
      <c r="F147" s="249">
        <v>0.39930555555555558</v>
      </c>
      <c r="G147" s="250" t="s">
        <v>50</v>
      </c>
      <c r="I147" s="248">
        <v>44293</v>
      </c>
      <c r="J147" s="249">
        <v>0.39930555555555558</v>
      </c>
      <c r="K147" s="250">
        <v>0.6</v>
      </c>
    </row>
    <row r="148" spans="5:11" ht="14.25" customHeight="1" x14ac:dyDescent="0.35">
      <c r="E148" s="248">
        <v>44294</v>
      </c>
      <c r="F148" s="249">
        <v>0.25</v>
      </c>
      <c r="G148" s="250">
        <v>0.1</v>
      </c>
      <c r="I148" s="248">
        <v>44294</v>
      </c>
      <c r="J148" s="249">
        <v>0.25</v>
      </c>
      <c r="K148" s="250">
        <v>0.7</v>
      </c>
    </row>
    <row r="149" spans="5:11" ht="14.25" customHeight="1" x14ac:dyDescent="0.35">
      <c r="E149" s="248">
        <v>44298</v>
      </c>
      <c r="F149" s="249">
        <v>0.25</v>
      </c>
      <c r="G149" s="250">
        <v>0.1</v>
      </c>
      <c r="I149" s="248">
        <v>44298</v>
      </c>
      <c r="J149" s="249">
        <v>0.25</v>
      </c>
      <c r="K149" s="250">
        <v>0.6</v>
      </c>
    </row>
    <row r="150" spans="5:11" ht="14.25" customHeight="1" x14ac:dyDescent="0.35">
      <c r="E150" s="248">
        <v>44301</v>
      </c>
      <c r="F150" s="249">
        <v>0.25</v>
      </c>
      <c r="G150" s="250">
        <v>0.1</v>
      </c>
      <c r="I150" s="248">
        <v>44301</v>
      </c>
      <c r="J150" s="249">
        <v>0.25</v>
      </c>
      <c r="K150" s="250">
        <v>0.7</v>
      </c>
    </row>
    <row r="151" spans="5:11" ht="14.25" customHeight="1" x14ac:dyDescent="0.35">
      <c r="E151" s="248">
        <v>44305</v>
      </c>
      <c r="F151" s="249">
        <v>0.25</v>
      </c>
      <c r="G151" s="250">
        <v>0.3</v>
      </c>
      <c r="I151" s="248">
        <v>44305</v>
      </c>
      <c r="J151" s="249">
        <v>0.25</v>
      </c>
      <c r="K151" s="250">
        <v>0.8</v>
      </c>
    </row>
    <row r="152" spans="5:11" ht="14.25" customHeight="1" x14ac:dyDescent="0.35">
      <c r="E152" s="248">
        <v>44308</v>
      </c>
      <c r="F152" s="249">
        <v>0.25</v>
      </c>
      <c r="G152" s="250">
        <v>0.3</v>
      </c>
      <c r="I152" s="248">
        <v>44308</v>
      </c>
      <c r="J152" s="249">
        <v>0.25</v>
      </c>
      <c r="K152" s="250">
        <v>0.8</v>
      </c>
    </row>
    <row r="153" spans="5:11" ht="14.25" customHeight="1" x14ac:dyDescent="0.35">
      <c r="E153" s="248">
        <v>44312</v>
      </c>
      <c r="F153" s="249">
        <v>0.25</v>
      </c>
      <c r="G153" s="250">
        <v>0.2</v>
      </c>
      <c r="I153" s="248">
        <v>44312</v>
      </c>
      <c r="J153" s="249">
        <v>0.25</v>
      </c>
      <c r="K153" s="250">
        <v>1</v>
      </c>
    </row>
    <row r="154" spans="5:11" ht="14.25" customHeight="1" x14ac:dyDescent="0.35">
      <c r="E154" s="248">
        <v>44315</v>
      </c>
      <c r="F154" s="249">
        <v>0.25</v>
      </c>
      <c r="G154" s="250">
        <v>0.2</v>
      </c>
      <c r="I154" s="248">
        <v>44315</v>
      </c>
      <c r="J154" s="249">
        <v>0.25</v>
      </c>
      <c r="K154" s="250">
        <v>0.9</v>
      </c>
    </row>
    <row r="155" spans="5:11" ht="14.25" customHeight="1" x14ac:dyDescent="0.35">
      <c r="E155" s="248">
        <v>44319</v>
      </c>
      <c r="F155" s="249">
        <v>0.25</v>
      </c>
      <c r="G155" s="250">
        <v>0.2</v>
      </c>
      <c r="I155" s="248">
        <v>44319</v>
      </c>
      <c r="J155" s="249">
        <v>0.25</v>
      </c>
      <c r="K155" s="250">
        <v>0.9</v>
      </c>
    </row>
    <row r="156" spans="5:11" ht="14.25" customHeight="1" x14ac:dyDescent="0.35">
      <c r="E156" s="248">
        <v>44322</v>
      </c>
      <c r="F156" s="249">
        <v>0.25</v>
      </c>
      <c r="G156" s="250">
        <v>0.2</v>
      </c>
      <c r="I156" s="248">
        <v>44322</v>
      </c>
      <c r="J156" s="249">
        <v>0.25</v>
      </c>
      <c r="K156" s="250">
        <v>0.9</v>
      </c>
    </row>
    <row r="157" spans="5:11" ht="14.25" customHeight="1" x14ac:dyDescent="0.35">
      <c r="E157" s="248">
        <v>44326</v>
      </c>
      <c r="F157" s="249">
        <v>0.25</v>
      </c>
      <c r="G157" s="250">
        <v>0.2</v>
      </c>
      <c r="I157" s="248">
        <v>44326</v>
      </c>
      <c r="J157" s="249">
        <v>0.25</v>
      </c>
      <c r="K157" s="250">
        <v>0.8</v>
      </c>
    </row>
    <row r="158" spans="5:11" ht="14.25" customHeight="1" x14ac:dyDescent="0.35">
      <c r="E158" s="248">
        <v>44328</v>
      </c>
      <c r="F158" s="249">
        <v>0.25</v>
      </c>
      <c r="G158" s="250">
        <v>0.2</v>
      </c>
      <c r="I158" s="248">
        <v>44328</v>
      </c>
      <c r="J158" s="249">
        <v>0.25</v>
      </c>
      <c r="K158" s="250">
        <v>0.9</v>
      </c>
    </row>
    <row r="159" spans="5:11" ht="14.25" customHeight="1" x14ac:dyDescent="0.35">
      <c r="E159" s="248">
        <v>44329</v>
      </c>
      <c r="F159" s="249">
        <v>0.25</v>
      </c>
      <c r="G159" s="250">
        <v>0.2</v>
      </c>
      <c r="I159" s="248">
        <v>44329</v>
      </c>
      <c r="J159" s="249">
        <v>0.25</v>
      </c>
      <c r="K159" s="250">
        <v>0.7</v>
      </c>
    </row>
    <row r="160" spans="5:11" ht="14.25" customHeight="1" x14ac:dyDescent="0.35">
      <c r="E160" s="248">
        <v>44333</v>
      </c>
      <c r="F160" s="249">
        <v>0.25</v>
      </c>
      <c r="G160" s="250">
        <v>0.2</v>
      </c>
      <c r="I160" s="248">
        <v>44333</v>
      </c>
      <c r="J160" s="249">
        <v>0.25</v>
      </c>
      <c r="K160" s="250">
        <v>0.8</v>
      </c>
    </row>
    <row r="161" spans="5:11" ht="14.25" customHeight="1" x14ac:dyDescent="0.35">
      <c r="E161" s="248">
        <v>44336</v>
      </c>
      <c r="F161" s="249">
        <v>0.25</v>
      </c>
      <c r="G161" s="250">
        <v>0.2</v>
      </c>
      <c r="I161" s="248">
        <v>44336</v>
      </c>
      <c r="J161" s="249">
        <v>0.25</v>
      </c>
      <c r="K161" s="250">
        <v>0.9</v>
      </c>
    </row>
    <row r="162" spans="5:11" ht="14.25" customHeight="1" x14ac:dyDescent="0.35">
      <c r="E162" s="248">
        <v>44340</v>
      </c>
      <c r="F162" s="249">
        <v>0.25</v>
      </c>
      <c r="G162" s="250">
        <v>0.3</v>
      </c>
      <c r="I162" s="248">
        <v>44340</v>
      </c>
      <c r="J162" s="249">
        <v>0.25</v>
      </c>
      <c r="K162" s="250">
        <v>0.9</v>
      </c>
    </row>
    <row r="163" spans="5:11" ht="14.25" customHeight="1" x14ac:dyDescent="0.35">
      <c r="E163" s="248">
        <v>44343</v>
      </c>
      <c r="F163" s="249">
        <v>0.25</v>
      </c>
      <c r="G163" s="250">
        <v>0.2</v>
      </c>
      <c r="I163" s="248">
        <v>44343</v>
      </c>
      <c r="J163" s="249">
        <v>0.25</v>
      </c>
      <c r="K163" s="250">
        <v>0.6</v>
      </c>
    </row>
    <row r="164" spans="5:11" ht="14.25" customHeight="1" x14ac:dyDescent="0.35">
      <c r="E164" s="248">
        <v>44347</v>
      </c>
      <c r="F164" s="249">
        <v>0.25</v>
      </c>
      <c r="G164" s="250">
        <v>0.3</v>
      </c>
      <c r="I164" s="248">
        <v>44347</v>
      </c>
      <c r="J164" s="249">
        <v>0.25</v>
      </c>
      <c r="K164" s="250">
        <v>0.7</v>
      </c>
    </row>
    <row r="165" spans="5:11" ht="14.25" customHeight="1" x14ac:dyDescent="0.35">
      <c r="E165" s="248">
        <v>44350</v>
      </c>
      <c r="F165" s="249">
        <v>0.25</v>
      </c>
      <c r="G165" s="250">
        <v>0.2</v>
      </c>
      <c r="I165" s="248">
        <v>44350</v>
      </c>
      <c r="J165" s="249">
        <v>0.25</v>
      </c>
      <c r="K165" s="250">
        <v>0.9</v>
      </c>
    </row>
    <row r="166" spans="5:11" ht="14.25" customHeight="1" x14ac:dyDescent="0.35">
      <c r="E166" s="248">
        <v>44354</v>
      </c>
      <c r="F166" s="249">
        <v>0.25</v>
      </c>
      <c r="G166" s="250">
        <v>0.2</v>
      </c>
      <c r="I166" s="248">
        <v>44354</v>
      </c>
      <c r="J166" s="249">
        <v>0.25</v>
      </c>
      <c r="K166" s="250">
        <v>0.8</v>
      </c>
    </row>
    <row r="167" spans="5:11" ht="14.25" customHeight="1" x14ac:dyDescent="0.35">
      <c r="E167" s="248">
        <v>44356</v>
      </c>
      <c r="F167" s="249">
        <v>0.25</v>
      </c>
      <c r="G167" s="250">
        <v>0.4</v>
      </c>
      <c r="I167" s="248">
        <v>44356</v>
      </c>
      <c r="J167" s="249">
        <v>0.25</v>
      </c>
      <c r="K167" s="250">
        <v>1</v>
      </c>
    </row>
    <row r="168" spans="5:11" ht="14.25" customHeight="1" x14ac:dyDescent="0.35">
      <c r="E168" s="248">
        <v>44357</v>
      </c>
      <c r="F168" s="249">
        <v>0.25</v>
      </c>
      <c r="G168" s="250">
        <v>0.2</v>
      </c>
      <c r="I168" s="248">
        <v>44357</v>
      </c>
      <c r="J168" s="249">
        <v>0.25</v>
      </c>
      <c r="K168" s="250">
        <v>1.3</v>
      </c>
    </row>
    <row r="169" spans="5:11" ht="14.25" customHeight="1" x14ac:dyDescent="0.35">
      <c r="E169" s="248">
        <v>44361</v>
      </c>
      <c r="F169" s="249">
        <v>0.25</v>
      </c>
      <c r="G169" s="250">
        <v>0.2</v>
      </c>
      <c r="I169" s="248">
        <v>44361</v>
      </c>
      <c r="J169" s="249">
        <v>0.25</v>
      </c>
      <c r="K169" s="250">
        <v>0.6</v>
      </c>
    </row>
    <row r="170" spans="5:11" ht="14.25" customHeight="1" x14ac:dyDescent="0.35">
      <c r="E170" s="248">
        <v>44364</v>
      </c>
      <c r="F170" s="249">
        <v>0.25</v>
      </c>
      <c r="G170" s="250">
        <v>0.2</v>
      </c>
      <c r="I170" s="248">
        <v>44364</v>
      </c>
      <c r="J170" s="249">
        <v>0.25</v>
      </c>
      <c r="K170" s="250">
        <v>1</v>
      </c>
    </row>
    <row r="171" spans="5:11" ht="14.25" customHeight="1" x14ac:dyDescent="0.35">
      <c r="E171" s="248">
        <v>44368</v>
      </c>
      <c r="F171" s="249">
        <v>0.25</v>
      </c>
      <c r="G171" s="250">
        <v>0.2</v>
      </c>
      <c r="I171" s="248">
        <v>44368</v>
      </c>
      <c r="J171" s="249">
        <v>0.25</v>
      </c>
      <c r="K171" s="250">
        <v>0.9</v>
      </c>
    </row>
    <row r="172" spans="5:11" ht="14.25" customHeight="1" x14ac:dyDescent="0.35">
      <c r="E172" s="248">
        <v>44371</v>
      </c>
      <c r="F172" s="249">
        <v>0.25</v>
      </c>
      <c r="G172" s="250">
        <v>0.2</v>
      </c>
      <c r="I172" s="248">
        <v>44371</v>
      </c>
      <c r="J172" s="249">
        <v>0.25</v>
      </c>
      <c r="K172" s="250">
        <v>1</v>
      </c>
    </row>
    <row r="173" spans="5:11" ht="14.25" customHeight="1" x14ac:dyDescent="0.35">
      <c r="E173" s="248">
        <v>44375</v>
      </c>
      <c r="F173" s="249">
        <v>0.25</v>
      </c>
      <c r="G173" s="250">
        <v>0.2</v>
      </c>
      <c r="I173" s="248">
        <v>44375</v>
      </c>
      <c r="J173" s="249">
        <v>0.25</v>
      </c>
      <c r="K173" s="250">
        <v>1.1000000000000001</v>
      </c>
    </row>
    <row r="174" spans="5:11" ht="14.25" customHeight="1" x14ac:dyDescent="0.35">
      <c r="E174" s="248">
        <v>44378</v>
      </c>
      <c r="F174" s="249">
        <v>0.25</v>
      </c>
      <c r="G174" s="250">
        <v>0.2</v>
      </c>
      <c r="I174" s="248">
        <v>44378</v>
      </c>
      <c r="J174" s="249">
        <v>0.25</v>
      </c>
      <c r="K174" s="250">
        <v>1</v>
      </c>
    </row>
    <row r="175" spans="5:11" ht="14.25" customHeight="1" x14ac:dyDescent="0.35">
      <c r="E175" s="248">
        <v>44382</v>
      </c>
      <c r="F175" s="249">
        <v>0.25</v>
      </c>
      <c r="G175" s="250">
        <v>0.2</v>
      </c>
      <c r="I175" s="248">
        <v>44382</v>
      </c>
      <c r="J175" s="249">
        <v>0.25</v>
      </c>
      <c r="K175" s="250">
        <v>1</v>
      </c>
    </row>
    <row r="176" spans="5:11" ht="14.25" customHeight="1" x14ac:dyDescent="0.35">
      <c r="E176" s="248">
        <v>44384</v>
      </c>
      <c r="F176" s="249">
        <v>0.40625</v>
      </c>
      <c r="G176" s="250">
        <v>0.2</v>
      </c>
      <c r="I176" s="248">
        <v>44384</v>
      </c>
      <c r="J176" s="249">
        <v>0.40625</v>
      </c>
      <c r="K176" s="250">
        <v>0.8</v>
      </c>
    </row>
    <row r="177" spans="5:11" ht="14.25" customHeight="1" x14ac:dyDescent="0.35">
      <c r="E177" s="248">
        <v>44385</v>
      </c>
      <c r="F177" s="249">
        <v>0.25</v>
      </c>
      <c r="G177" s="250">
        <v>0.2</v>
      </c>
      <c r="I177" s="248">
        <v>44385</v>
      </c>
      <c r="J177" s="249">
        <v>0.25</v>
      </c>
      <c r="K177" s="250">
        <v>0.8</v>
      </c>
    </row>
    <row r="178" spans="5:11" ht="14.25" customHeight="1" x14ac:dyDescent="0.35">
      <c r="E178" s="248">
        <v>44389</v>
      </c>
      <c r="F178" s="249">
        <v>0.25</v>
      </c>
      <c r="G178" s="250">
        <v>0.2</v>
      </c>
      <c r="I178" s="248">
        <v>44389</v>
      </c>
      <c r="J178" s="249">
        <v>0.25</v>
      </c>
      <c r="K178" s="250">
        <v>0.9</v>
      </c>
    </row>
    <row r="179" spans="5:11" ht="14.25" customHeight="1" x14ac:dyDescent="0.35">
      <c r="E179" s="248">
        <v>44392</v>
      </c>
      <c r="F179" s="249">
        <v>0.25</v>
      </c>
      <c r="G179" s="250">
        <v>0.2</v>
      </c>
      <c r="I179" s="248">
        <v>44392</v>
      </c>
      <c r="J179" s="249">
        <v>0.25</v>
      </c>
      <c r="K179" s="250">
        <v>0.7</v>
      </c>
    </row>
    <row r="180" spans="5:11" ht="14.25" customHeight="1" x14ac:dyDescent="0.35">
      <c r="E180" s="248">
        <v>44396</v>
      </c>
      <c r="F180" s="249">
        <v>0.25</v>
      </c>
      <c r="G180" s="250">
        <v>0.2</v>
      </c>
      <c r="I180" s="248">
        <v>44396</v>
      </c>
      <c r="J180" s="249">
        <v>0.25</v>
      </c>
      <c r="K180" s="250">
        <v>1</v>
      </c>
    </row>
    <row r="181" spans="5:11" ht="14.25" customHeight="1" x14ac:dyDescent="0.35">
      <c r="E181" s="248">
        <v>44399</v>
      </c>
      <c r="F181" s="249">
        <v>0.25</v>
      </c>
      <c r="G181" s="250">
        <v>0.2</v>
      </c>
      <c r="I181" s="248">
        <v>44399</v>
      </c>
      <c r="J181" s="249">
        <v>0.25</v>
      </c>
      <c r="K181" s="250">
        <v>1</v>
      </c>
    </row>
    <row r="182" spans="5:11" ht="14.25" customHeight="1" x14ac:dyDescent="0.35">
      <c r="E182" s="248">
        <v>44403</v>
      </c>
      <c r="F182" s="249">
        <v>0.25</v>
      </c>
      <c r="G182" s="250">
        <v>0.4</v>
      </c>
      <c r="I182" s="248">
        <v>44403</v>
      </c>
      <c r="J182" s="249">
        <v>0.25</v>
      </c>
      <c r="K182" s="250">
        <v>1.1000000000000001</v>
      </c>
    </row>
    <row r="183" spans="5:11" ht="14.25" customHeight="1" x14ac:dyDescent="0.35">
      <c r="E183" s="248">
        <v>44406</v>
      </c>
      <c r="F183" s="249">
        <v>0.25</v>
      </c>
      <c r="G183" s="250">
        <v>0.4</v>
      </c>
      <c r="I183" s="248">
        <v>44406</v>
      </c>
      <c r="J183" s="249">
        <v>0.25</v>
      </c>
      <c r="K183" s="250">
        <v>1.1000000000000001</v>
      </c>
    </row>
    <row r="184" spans="5:11" ht="14.25" customHeight="1" x14ac:dyDescent="0.35">
      <c r="E184" s="248">
        <v>44410</v>
      </c>
      <c r="F184" s="249">
        <v>0.25</v>
      </c>
      <c r="G184" s="250">
        <v>0.5</v>
      </c>
      <c r="I184" s="248">
        <v>44410</v>
      </c>
      <c r="J184" s="249">
        <v>0.25</v>
      </c>
      <c r="K184" s="250">
        <v>1.2</v>
      </c>
    </row>
    <row r="185" spans="5:11" ht="14.25" customHeight="1" x14ac:dyDescent="0.35">
      <c r="E185" s="248">
        <v>44413</v>
      </c>
      <c r="F185" s="249">
        <v>0.25</v>
      </c>
      <c r="G185" s="250">
        <v>0.3</v>
      </c>
      <c r="I185" s="248">
        <v>44413</v>
      </c>
      <c r="J185" s="249">
        <v>0.25</v>
      </c>
      <c r="K185" s="250">
        <v>1</v>
      </c>
    </row>
    <row r="186" spans="5:11" ht="14.25" customHeight="1" x14ac:dyDescent="0.35">
      <c r="E186" s="248">
        <v>44417</v>
      </c>
      <c r="F186" s="249">
        <v>0.25</v>
      </c>
      <c r="G186" s="250">
        <v>0.4</v>
      </c>
      <c r="I186" s="248">
        <v>44417</v>
      </c>
      <c r="J186" s="249">
        <v>0.25</v>
      </c>
      <c r="K186" s="250">
        <v>1.1000000000000001</v>
      </c>
    </row>
    <row r="187" spans="5:11" ht="14.25" customHeight="1" x14ac:dyDescent="0.35">
      <c r="E187" s="248">
        <v>44419</v>
      </c>
      <c r="F187" s="249">
        <v>0.25</v>
      </c>
      <c r="G187" s="250">
        <v>0.4</v>
      </c>
      <c r="I187" s="248">
        <v>44419</v>
      </c>
      <c r="J187" s="249">
        <v>0.25</v>
      </c>
      <c r="K187" s="250">
        <v>1.2</v>
      </c>
    </row>
    <row r="188" spans="5:11" ht="14.25" customHeight="1" x14ac:dyDescent="0.35">
      <c r="E188" s="248">
        <v>44420</v>
      </c>
      <c r="F188" s="249">
        <v>0.25</v>
      </c>
      <c r="G188" s="250">
        <v>0.3</v>
      </c>
      <c r="I188" s="248">
        <v>44420</v>
      </c>
      <c r="J188" s="249">
        <v>0.25</v>
      </c>
      <c r="K188" s="250">
        <v>0.9</v>
      </c>
    </row>
    <row r="189" spans="5:11" ht="14.25" customHeight="1" x14ac:dyDescent="0.35">
      <c r="E189" s="248">
        <v>44441</v>
      </c>
      <c r="F189" s="249">
        <v>0.25</v>
      </c>
      <c r="G189" s="250">
        <v>0.6</v>
      </c>
      <c r="I189" s="248">
        <v>44441</v>
      </c>
      <c r="J189" s="249">
        <v>0.25</v>
      </c>
      <c r="K189" s="250">
        <v>1.3</v>
      </c>
    </row>
    <row r="190" spans="5:11" ht="14.25" customHeight="1" x14ac:dyDescent="0.35">
      <c r="E190" s="248">
        <v>44445</v>
      </c>
      <c r="F190" s="249">
        <v>0.25</v>
      </c>
      <c r="G190" s="250">
        <v>0.3</v>
      </c>
      <c r="I190" s="248">
        <v>44445</v>
      </c>
      <c r="J190" s="249">
        <v>0.25</v>
      </c>
      <c r="K190" s="250">
        <v>1.2</v>
      </c>
    </row>
    <row r="191" spans="5:11" ht="14.25" customHeight="1" x14ac:dyDescent="0.35">
      <c r="E191" s="248">
        <v>44447</v>
      </c>
      <c r="F191" s="249">
        <v>0.25</v>
      </c>
      <c r="G191" s="250">
        <v>0.5</v>
      </c>
      <c r="I191" s="248">
        <v>44447</v>
      </c>
      <c r="J191" s="249">
        <v>0.25</v>
      </c>
      <c r="K191" s="250">
        <v>1.1000000000000001</v>
      </c>
    </row>
    <row r="192" spans="5:11" ht="14.25" customHeight="1" x14ac:dyDescent="0.35">
      <c r="E192" s="248">
        <v>44448</v>
      </c>
      <c r="F192" s="249">
        <v>0.25</v>
      </c>
      <c r="G192" s="250">
        <v>0.3</v>
      </c>
      <c r="I192" s="248">
        <v>44448</v>
      </c>
      <c r="J192" s="249">
        <v>0.25</v>
      </c>
      <c r="K192" s="250">
        <v>1</v>
      </c>
    </row>
    <row r="193" spans="5:11" ht="14.25" customHeight="1" x14ac:dyDescent="0.35">
      <c r="E193" s="248">
        <v>44452</v>
      </c>
      <c r="F193" s="249">
        <v>0.25</v>
      </c>
      <c r="G193" s="250">
        <v>0.2</v>
      </c>
      <c r="I193" s="248">
        <v>44452</v>
      </c>
      <c r="J193" s="249">
        <v>0.25</v>
      </c>
      <c r="K193" s="250">
        <v>0.9</v>
      </c>
    </row>
    <row r="194" spans="5:11" ht="14.25" customHeight="1" x14ac:dyDescent="0.35">
      <c r="E194" s="248">
        <v>44455</v>
      </c>
      <c r="F194" s="249">
        <v>0.25</v>
      </c>
      <c r="G194" s="250">
        <v>0.1</v>
      </c>
      <c r="I194" s="248">
        <v>44455</v>
      </c>
      <c r="J194" s="249">
        <v>0.25</v>
      </c>
      <c r="K194" s="250">
        <v>0.8</v>
      </c>
    </row>
    <row r="195" spans="5:11" ht="14.25" customHeight="1" x14ac:dyDescent="0.35">
      <c r="E195" s="248">
        <v>44459</v>
      </c>
      <c r="F195" s="249">
        <v>0.25</v>
      </c>
      <c r="G195" s="250">
        <v>0.2</v>
      </c>
      <c r="I195" s="248">
        <v>44459</v>
      </c>
      <c r="J195" s="249">
        <v>0.25</v>
      </c>
      <c r="K195" s="250">
        <v>0.6</v>
      </c>
    </row>
    <row r="196" spans="5:11" ht="14.25" customHeight="1" x14ac:dyDescent="0.35">
      <c r="E196" s="248">
        <v>44462</v>
      </c>
      <c r="F196" s="249">
        <v>0.25</v>
      </c>
      <c r="G196" s="250">
        <v>0.2</v>
      </c>
      <c r="I196" s="248">
        <v>44462</v>
      </c>
      <c r="J196" s="249">
        <v>0.25</v>
      </c>
      <c r="K196" s="250">
        <v>1.1000000000000001</v>
      </c>
    </row>
    <row r="197" spans="5:11" ht="14.25" customHeight="1" x14ac:dyDescent="0.35">
      <c r="E197" s="248">
        <v>44466</v>
      </c>
      <c r="F197" s="249">
        <v>0.25</v>
      </c>
      <c r="G197" s="250">
        <v>0.1</v>
      </c>
      <c r="I197" s="248">
        <v>44466</v>
      </c>
      <c r="J197" s="249">
        <v>0.25</v>
      </c>
      <c r="K197" s="250">
        <v>0.7</v>
      </c>
    </row>
    <row r="198" spans="5:11" ht="14.25" customHeight="1" x14ac:dyDescent="0.35">
      <c r="E198" s="248">
        <v>44469</v>
      </c>
      <c r="F198" s="249">
        <v>0.25</v>
      </c>
      <c r="G198" s="250" t="s">
        <v>50</v>
      </c>
      <c r="I198" s="248">
        <v>44469</v>
      </c>
      <c r="J198" s="249">
        <v>0.25</v>
      </c>
      <c r="K198" s="250">
        <v>1</v>
      </c>
    </row>
    <row r="199" spans="5:11" ht="14.25" customHeight="1" x14ac:dyDescent="0.35">
      <c r="E199" s="248">
        <v>44473</v>
      </c>
      <c r="F199" s="249">
        <v>0.25</v>
      </c>
      <c r="G199" s="250" t="s">
        <v>50</v>
      </c>
      <c r="I199" s="248">
        <v>44473</v>
      </c>
      <c r="J199" s="249">
        <v>0.25</v>
      </c>
      <c r="K199" s="250">
        <v>0.9</v>
      </c>
    </row>
    <row r="200" spans="5:11" ht="14.25" customHeight="1" x14ac:dyDescent="0.35">
      <c r="E200" s="248">
        <v>44475</v>
      </c>
      <c r="F200" s="249">
        <v>0.41666666666666669</v>
      </c>
      <c r="G200" s="250" t="s">
        <v>50</v>
      </c>
      <c r="I200" s="248">
        <v>44475</v>
      </c>
      <c r="J200" s="249">
        <v>0.41666666666666669</v>
      </c>
      <c r="K200" s="250">
        <v>0.6</v>
      </c>
    </row>
    <row r="201" spans="5:11" ht="14.25" customHeight="1" x14ac:dyDescent="0.35">
      <c r="E201" s="248">
        <v>44476</v>
      </c>
      <c r="F201" s="249">
        <v>0.25</v>
      </c>
      <c r="G201" s="250">
        <v>0.2</v>
      </c>
      <c r="I201" s="248">
        <v>44476</v>
      </c>
      <c r="J201" s="249">
        <v>0.25</v>
      </c>
      <c r="K201" s="250">
        <v>0.7</v>
      </c>
    </row>
    <row r="202" spans="5:11" ht="14.25" customHeight="1" x14ac:dyDescent="0.35">
      <c r="E202" s="248">
        <v>44480</v>
      </c>
      <c r="F202" s="249">
        <v>0.25</v>
      </c>
      <c r="G202" s="250">
        <v>0.2</v>
      </c>
      <c r="I202" s="248">
        <v>44480</v>
      </c>
      <c r="J202" s="249">
        <v>0.25</v>
      </c>
      <c r="K202" s="250">
        <v>0.9</v>
      </c>
    </row>
    <row r="203" spans="5:11" ht="14.25" customHeight="1" x14ac:dyDescent="0.35">
      <c r="E203" s="248">
        <v>44483</v>
      </c>
      <c r="F203" s="249">
        <v>0.25</v>
      </c>
      <c r="G203" s="250">
        <v>0.2</v>
      </c>
      <c r="I203" s="248">
        <v>44483</v>
      </c>
      <c r="J203" s="249">
        <v>0.25</v>
      </c>
      <c r="K203" s="250">
        <v>0.7</v>
      </c>
    </row>
    <row r="204" spans="5:11" ht="14.25" customHeight="1" x14ac:dyDescent="0.35">
      <c r="E204" s="248">
        <v>44487</v>
      </c>
      <c r="F204" s="249">
        <v>0.25</v>
      </c>
      <c r="G204" s="250">
        <v>0.2</v>
      </c>
      <c r="I204" s="248">
        <v>44487</v>
      </c>
      <c r="J204" s="249">
        <v>0.25</v>
      </c>
      <c r="K204" s="250">
        <v>0.8</v>
      </c>
    </row>
    <row r="205" spans="5:11" ht="14.25" customHeight="1" x14ac:dyDescent="0.35">
      <c r="E205" s="248">
        <v>44490</v>
      </c>
      <c r="F205" s="249">
        <v>0.25</v>
      </c>
      <c r="G205" s="250">
        <v>0.2</v>
      </c>
      <c r="I205" s="248">
        <v>44490</v>
      </c>
      <c r="J205" s="249">
        <v>0.25</v>
      </c>
      <c r="K205" s="250">
        <v>0.8</v>
      </c>
    </row>
    <row r="206" spans="5:11" ht="14.25" customHeight="1" x14ac:dyDescent="0.35">
      <c r="E206" s="248">
        <v>44494</v>
      </c>
      <c r="F206" s="249">
        <v>0.25</v>
      </c>
      <c r="G206" s="250">
        <v>0.3</v>
      </c>
      <c r="I206" s="248">
        <v>44494</v>
      </c>
      <c r="J206" s="249">
        <v>0.25</v>
      </c>
      <c r="K206" s="250">
        <v>1.5</v>
      </c>
    </row>
    <row r="207" spans="5:11" ht="14.25" customHeight="1" x14ac:dyDescent="0.35">
      <c r="E207" s="248">
        <v>44497</v>
      </c>
      <c r="F207" s="249">
        <v>0.25</v>
      </c>
      <c r="G207" s="250">
        <v>0.4</v>
      </c>
      <c r="I207" s="248">
        <v>44497</v>
      </c>
      <c r="J207" s="249">
        <v>0.25</v>
      </c>
      <c r="K207" s="250">
        <v>1.3</v>
      </c>
    </row>
    <row r="208" spans="5:11" ht="14.25" customHeight="1" x14ac:dyDescent="0.35">
      <c r="E208" s="248">
        <v>44501</v>
      </c>
      <c r="F208" s="249">
        <v>0.25</v>
      </c>
      <c r="G208" s="250">
        <v>0.5</v>
      </c>
      <c r="I208" s="248">
        <v>44501</v>
      </c>
      <c r="J208" s="249">
        <v>0.25</v>
      </c>
      <c r="K208" s="250">
        <v>1.5</v>
      </c>
    </row>
    <row r="209" spans="5:11" ht="14.25" customHeight="1" x14ac:dyDescent="0.35">
      <c r="E209" s="248">
        <v>44503</v>
      </c>
      <c r="F209" s="249">
        <v>0.25</v>
      </c>
      <c r="G209" s="250">
        <v>0.7</v>
      </c>
      <c r="I209" s="248">
        <v>44503</v>
      </c>
      <c r="J209" s="249">
        <v>0.25</v>
      </c>
      <c r="K209" s="250">
        <v>1.5</v>
      </c>
    </row>
    <row r="210" spans="5:11" ht="14.25" customHeight="1" x14ac:dyDescent="0.35">
      <c r="E210" s="248">
        <v>44504</v>
      </c>
      <c r="F210" s="249">
        <v>0.25</v>
      </c>
      <c r="G210" s="250">
        <v>0.5</v>
      </c>
      <c r="I210" s="248">
        <v>44504</v>
      </c>
      <c r="J210" s="249">
        <v>0.25</v>
      </c>
      <c r="K210" s="250">
        <v>1.5</v>
      </c>
    </row>
    <row r="211" spans="5:11" ht="14.25" customHeight="1" x14ac:dyDescent="0.35">
      <c r="E211" s="248">
        <v>44508</v>
      </c>
      <c r="F211" s="249">
        <v>0.25</v>
      </c>
      <c r="G211" s="250">
        <v>0.6</v>
      </c>
      <c r="I211" s="248">
        <v>44508</v>
      </c>
      <c r="J211" s="249">
        <v>0.25</v>
      </c>
      <c r="K211" s="250">
        <v>1.4</v>
      </c>
    </row>
    <row r="212" spans="5:11" ht="14.25" customHeight="1" x14ac:dyDescent="0.35">
      <c r="E212" s="248">
        <v>44511</v>
      </c>
      <c r="F212" s="249">
        <v>0.25</v>
      </c>
      <c r="G212" s="250">
        <v>0.4</v>
      </c>
      <c r="I212" s="248">
        <v>44511</v>
      </c>
      <c r="J212" s="249">
        <v>0.25</v>
      </c>
      <c r="K212" s="250">
        <v>1.3</v>
      </c>
    </row>
    <row r="213" spans="5:11" ht="14.25" customHeight="1" x14ac:dyDescent="0.35">
      <c r="E213" s="248">
        <v>44515</v>
      </c>
      <c r="F213" s="249">
        <v>0.25</v>
      </c>
      <c r="G213" s="250">
        <v>0.1</v>
      </c>
      <c r="I213" s="248">
        <v>44515</v>
      </c>
      <c r="J213" s="249">
        <v>0.25</v>
      </c>
      <c r="K213" s="250">
        <v>1</v>
      </c>
    </row>
    <row r="214" spans="5:11" ht="14.25" customHeight="1" x14ac:dyDescent="0.35">
      <c r="E214" s="248">
        <v>44518</v>
      </c>
      <c r="F214" s="249">
        <v>0.25</v>
      </c>
      <c r="G214" s="250">
        <v>0.2</v>
      </c>
      <c r="I214" s="248">
        <v>44518</v>
      </c>
      <c r="J214" s="249">
        <v>0.25</v>
      </c>
      <c r="K214" s="250">
        <v>0.9</v>
      </c>
    </row>
    <row r="215" spans="5:11" ht="14.25" customHeight="1" x14ac:dyDescent="0.35">
      <c r="E215" s="248">
        <v>44522</v>
      </c>
      <c r="F215" s="249">
        <v>0.25</v>
      </c>
      <c r="G215" s="250">
        <v>0.2</v>
      </c>
      <c r="I215" s="248">
        <v>44522</v>
      </c>
      <c r="J215" s="249">
        <v>0.25</v>
      </c>
      <c r="K215" s="250">
        <v>1</v>
      </c>
    </row>
    <row r="216" spans="5:11" ht="14.25" customHeight="1" x14ac:dyDescent="0.35">
      <c r="E216" s="248">
        <v>44524</v>
      </c>
      <c r="F216" s="249">
        <v>0.25</v>
      </c>
      <c r="G216" s="250">
        <v>0.2</v>
      </c>
      <c r="I216" s="248">
        <v>44524</v>
      </c>
      <c r="J216" s="249">
        <v>0.25</v>
      </c>
      <c r="K216" s="250">
        <v>0.9</v>
      </c>
    </row>
    <row r="217" spans="5:11" ht="14.25" customHeight="1" x14ac:dyDescent="0.35">
      <c r="E217" s="248">
        <v>44529</v>
      </c>
      <c r="F217" s="249">
        <v>0.25</v>
      </c>
      <c r="G217" s="250">
        <v>0.3</v>
      </c>
      <c r="I217" s="248">
        <v>44529</v>
      </c>
      <c r="J217" s="249">
        <v>0.25</v>
      </c>
      <c r="K217" s="250">
        <v>1.2</v>
      </c>
    </row>
    <row r="218" spans="5:11" ht="14.25" customHeight="1" x14ac:dyDescent="0.35">
      <c r="E218" s="248">
        <v>44532</v>
      </c>
      <c r="F218" s="249">
        <v>0.25</v>
      </c>
      <c r="G218" s="250">
        <v>0.3</v>
      </c>
      <c r="I218" s="248">
        <v>44532</v>
      </c>
      <c r="J218" s="249">
        <v>0.25</v>
      </c>
      <c r="K218" s="250">
        <v>1.1000000000000001</v>
      </c>
    </row>
    <row r="219" spans="5:11" ht="14.25" customHeight="1" x14ac:dyDescent="0.35">
      <c r="E219" s="248">
        <v>44536</v>
      </c>
      <c r="F219" s="249">
        <v>0.25</v>
      </c>
      <c r="G219" s="250" t="s">
        <v>50</v>
      </c>
      <c r="I219" s="248">
        <v>44536</v>
      </c>
      <c r="J219" s="249">
        <v>0.25</v>
      </c>
      <c r="K219" s="250">
        <v>1.1000000000000001</v>
      </c>
    </row>
    <row r="220" spans="5:11" ht="14.25" customHeight="1" x14ac:dyDescent="0.35">
      <c r="E220" s="248">
        <v>44538</v>
      </c>
      <c r="F220" s="249">
        <v>0.25</v>
      </c>
      <c r="G220" s="250">
        <v>0.3</v>
      </c>
      <c r="I220" s="248">
        <v>44538</v>
      </c>
      <c r="J220" s="249">
        <v>0.25</v>
      </c>
      <c r="K220" s="250">
        <v>0.9</v>
      </c>
    </row>
    <row r="221" spans="5:11" ht="14.25" customHeight="1" x14ac:dyDescent="0.35">
      <c r="E221" s="248">
        <v>44539</v>
      </c>
      <c r="F221" s="249">
        <v>0.25</v>
      </c>
      <c r="G221" s="250">
        <v>0.5</v>
      </c>
      <c r="I221" s="248">
        <v>44539</v>
      </c>
      <c r="J221" s="249">
        <v>0.25</v>
      </c>
      <c r="K221" s="250">
        <v>1.2</v>
      </c>
    </row>
    <row r="222" spans="5:11" ht="14.25" customHeight="1" x14ac:dyDescent="0.35">
      <c r="E222" s="248">
        <v>44543</v>
      </c>
      <c r="F222" s="249">
        <v>0.25</v>
      </c>
      <c r="G222" s="250">
        <v>0.3</v>
      </c>
      <c r="I222" s="248">
        <v>44543</v>
      </c>
      <c r="J222" s="249">
        <v>0.25</v>
      </c>
      <c r="K222" s="250">
        <v>1</v>
      </c>
    </row>
    <row r="223" spans="5:11" ht="14.25" customHeight="1" x14ac:dyDescent="0.35">
      <c r="E223" s="248">
        <v>44546</v>
      </c>
      <c r="F223" s="249">
        <v>0.25</v>
      </c>
      <c r="G223" s="250">
        <v>0.3</v>
      </c>
      <c r="I223" s="248">
        <v>44546</v>
      </c>
      <c r="J223" s="249">
        <v>0.25</v>
      </c>
      <c r="K223" s="250">
        <v>0.8</v>
      </c>
    </row>
    <row r="224" spans="5:11" ht="14.25" customHeight="1" x14ac:dyDescent="0.35">
      <c r="E224" s="248">
        <v>44549</v>
      </c>
      <c r="F224" s="249">
        <v>0.25</v>
      </c>
      <c r="G224" s="250">
        <v>0.3</v>
      </c>
      <c r="I224" s="248">
        <v>44549</v>
      </c>
      <c r="J224" s="249">
        <v>0.25</v>
      </c>
      <c r="K224" s="250">
        <v>1</v>
      </c>
    </row>
    <row r="225" spans="5:11" ht="14.25" customHeight="1" x14ac:dyDescent="0.35">
      <c r="E225" s="248">
        <v>44552</v>
      </c>
      <c r="F225" s="249">
        <v>0.25</v>
      </c>
      <c r="G225" s="250">
        <v>0.3</v>
      </c>
      <c r="I225" s="248">
        <v>44552</v>
      </c>
      <c r="J225" s="249">
        <v>0.25</v>
      </c>
      <c r="K225" s="250">
        <v>1</v>
      </c>
    </row>
    <row r="226" spans="5:11" ht="14.25" customHeight="1" x14ac:dyDescent="0.35">
      <c r="E226" s="248">
        <v>44557</v>
      </c>
      <c r="F226" s="249">
        <v>0.25</v>
      </c>
      <c r="G226" s="250">
        <v>0.2</v>
      </c>
      <c r="I226" s="248">
        <v>44557</v>
      </c>
      <c r="J226" s="249">
        <v>0.25</v>
      </c>
      <c r="K226" s="250">
        <v>1</v>
      </c>
    </row>
    <row r="227" spans="5:11" ht="14.25" customHeight="1" x14ac:dyDescent="0.35">
      <c r="E227" s="248">
        <v>44560</v>
      </c>
      <c r="F227" s="249">
        <v>0.25</v>
      </c>
      <c r="G227" s="250">
        <v>0.2</v>
      </c>
      <c r="I227" s="248">
        <v>44560</v>
      </c>
      <c r="J227" s="249">
        <v>0.25</v>
      </c>
      <c r="K227" s="250">
        <v>0.9</v>
      </c>
    </row>
    <row r="228" spans="5:11" ht="14.25" customHeight="1" x14ac:dyDescent="0.35">
      <c r="E228" s="248">
        <v>44564</v>
      </c>
      <c r="F228" s="249">
        <v>0.25</v>
      </c>
      <c r="G228" s="250">
        <v>0.3</v>
      </c>
      <c r="I228" s="248">
        <v>44564</v>
      </c>
      <c r="J228" s="249">
        <v>0.25</v>
      </c>
      <c r="K228" s="250">
        <v>1</v>
      </c>
    </row>
    <row r="229" spans="5:11" ht="14.25" customHeight="1" x14ac:dyDescent="0.35">
      <c r="E229" s="248">
        <v>44566</v>
      </c>
      <c r="F229" s="249">
        <v>0.39583333333333331</v>
      </c>
      <c r="G229" s="250">
        <v>0.1</v>
      </c>
      <c r="I229" s="248">
        <v>44566</v>
      </c>
      <c r="J229" s="249">
        <v>0.39583333333333331</v>
      </c>
      <c r="K229" s="250">
        <v>0.8</v>
      </c>
    </row>
    <row r="230" spans="5:11" ht="14.25" customHeight="1" x14ac:dyDescent="0.35">
      <c r="E230" s="248">
        <v>44567</v>
      </c>
      <c r="F230" s="249">
        <v>0.25</v>
      </c>
      <c r="G230" s="250">
        <v>0.2</v>
      </c>
      <c r="I230" s="248">
        <v>44567</v>
      </c>
      <c r="J230" s="249">
        <v>0.25</v>
      </c>
      <c r="K230" s="250">
        <v>1</v>
      </c>
    </row>
    <row r="231" spans="5:11" ht="14.25" customHeight="1" x14ac:dyDescent="0.35">
      <c r="E231" s="248">
        <v>44571</v>
      </c>
      <c r="F231" s="249">
        <v>0.25</v>
      </c>
      <c r="G231" s="250">
        <v>0.2</v>
      </c>
      <c r="I231" s="248">
        <v>44571</v>
      </c>
      <c r="J231" s="249">
        <v>0.25</v>
      </c>
      <c r="K231" s="250">
        <v>0.9</v>
      </c>
    </row>
    <row r="232" spans="5:11" ht="14.25" customHeight="1" x14ac:dyDescent="0.35">
      <c r="E232" s="248">
        <v>44574</v>
      </c>
      <c r="F232" s="249">
        <v>0.25</v>
      </c>
      <c r="G232" s="250">
        <v>0.2</v>
      </c>
      <c r="I232" s="248">
        <v>44574</v>
      </c>
      <c r="J232" s="249">
        <v>0.25</v>
      </c>
      <c r="K232" s="250">
        <v>0.8</v>
      </c>
    </row>
    <row r="233" spans="5:11" ht="14.25" customHeight="1" x14ac:dyDescent="0.35">
      <c r="E233" s="248">
        <v>44578</v>
      </c>
      <c r="F233" s="249">
        <v>0.25</v>
      </c>
      <c r="G233" s="250">
        <v>0.2</v>
      </c>
      <c r="I233" s="248">
        <v>44578</v>
      </c>
      <c r="J233" s="249">
        <v>0.25</v>
      </c>
      <c r="K233" s="250">
        <v>0.9</v>
      </c>
    </row>
    <row r="234" spans="5:11" ht="14.25" customHeight="1" x14ac:dyDescent="0.35">
      <c r="E234" s="248">
        <v>44581</v>
      </c>
      <c r="F234" s="249">
        <v>0.25</v>
      </c>
      <c r="G234" s="250">
        <v>0.1</v>
      </c>
      <c r="I234" s="248">
        <v>44581</v>
      </c>
      <c r="J234" s="249">
        <v>0.25</v>
      </c>
      <c r="K234" s="250">
        <v>1</v>
      </c>
    </row>
    <row r="235" spans="5:11" ht="14.25" customHeight="1" x14ac:dyDescent="0.35">
      <c r="E235" s="248">
        <v>44585</v>
      </c>
      <c r="F235" s="249">
        <v>0.25</v>
      </c>
      <c r="G235" s="250">
        <v>0.2</v>
      </c>
      <c r="I235" s="248">
        <v>44585</v>
      </c>
      <c r="J235" s="249">
        <v>0.25</v>
      </c>
      <c r="K235" s="250">
        <v>0.8</v>
      </c>
    </row>
    <row r="236" spans="5:11" ht="14.25" customHeight="1" x14ac:dyDescent="0.35">
      <c r="E236" s="248">
        <v>44588</v>
      </c>
      <c r="F236" s="249">
        <v>0.25</v>
      </c>
      <c r="G236" s="250">
        <v>0.1</v>
      </c>
      <c r="I236" s="248">
        <v>44588</v>
      </c>
      <c r="J236" s="249">
        <v>0.25</v>
      </c>
      <c r="K236" s="250">
        <v>1</v>
      </c>
    </row>
    <row r="237" spans="5:11" ht="14.25" customHeight="1" x14ac:dyDescent="0.35">
      <c r="E237" s="248">
        <v>44592</v>
      </c>
      <c r="F237" s="249">
        <v>0.25</v>
      </c>
      <c r="G237" s="250">
        <v>0.4</v>
      </c>
      <c r="I237" s="248">
        <v>44592</v>
      </c>
      <c r="J237" s="249">
        <v>0.25</v>
      </c>
      <c r="K237" s="250">
        <v>0.9</v>
      </c>
    </row>
    <row r="238" spans="5:11" ht="14.25" customHeight="1" x14ac:dyDescent="0.35">
      <c r="E238" s="248">
        <v>44595</v>
      </c>
      <c r="F238" s="249">
        <v>0.25</v>
      </c>
      <c r="G238" s="250">
        <v>0.1</v>
      </c>
      <c r="I238" s="248">
        <v>44595</v>
      </c>
      <c r="J238" s="249">
        <v>0.25</v>
      </c>
      <c r="K238" s="250">
        <v>0.9</v>
      </c>
    </row>
    <row r="239" spans="5:11" ht="14.25" customHeight="1" x14ac:dyDescent="0.35">
      <c r="E239" s="248">
        <v>44599</v>
      </c>
      <c r="F239" s="249">
        <v>0.25</v>
      </c>
      <c r="G239" s="250">
        <v>0.2</v>
      </c>
      <c r="I239" s="248">
        <v>44599</v>
      </c>
      <c r="J239" s="249">
        <v>0.25</v>
      </c>
      <c r="K239" s="250">
        <v>0.9</v>
      </c>
    </row>
    <row r="240" spans="5:11" ht="14.25" customHeight="1" x14ac:dyDescent="0.35">
      <c r="E240" s="248">
        <v>44601</v>
      </c>
      <c r="F240" s="249">
        <v>0.25</v>
      </c>
      <c r="G240" s="250">
        <v>0.1</v>
      </c>
      <c r="I240" s="248">
        <v>44601</v>
      </c>
      <c r="J240" s="249">
        <v>0.25</v>
      </c>
      <c r="K240" s="250">
        <v>1.2</v>
      </c>
    </row>
    <row r="241" spans="5:11" ht="14.25" customHeight="1" x14ac:dyDescent="0.35">
      <c r="E241" s="248">
        <v>44602</v>
      </c>
      <c r="F241" s="249">
        <v>0.25</v>
      </c>
      <c r="G241" s="250">
        <v>0.1</v>
      </c>
      <c r="I241" s="248">
        <v>44602</v>
      </c>
      <c r="J241" s="249">
        <v>0.25</v>
      </c>
      <c r="K241" s="250">
        <v>1</v>
      </c>
    </row>
    <row r="242" spans="5:11" ht="14.25" customHeight="1" x14ac:dyDescent="0.35">
      <c r="E242" s="248">
        <v>44606</v>
      </c>
      <c r="F242" s="249">
        <v>0.25</v>
      </c>
      <c r="G242" s="250">
        <v>0.2</v>
      </c>
      <c r="I242" s="248">
        <v>44606</v>
      </c>
      <c r="J242" s="249">
        <v>0.25</v>
      </c>
      <c r="K242" s="250">
        <v>0.8</v>
      </c>
    </row>
    <row r="243" spans="5:11" ht="14.25" customHeight="1" x14ac:dyDescent="0.35">
      <c r="E243" s="248">
        <v>44609</v>
      </c>
      <c r="F243" s="249">
        <v>0.25</v>
      </c>
      <c r="G243" s="250">
        <v>0.1</v>
      </c>
      <c r="I243" s="248">
        <v>44609</v>
      </c>
      <c r="J243" s="249">
        <v>0.25</v>
      </c>
      <c r="K243" s="250">
        <v>0.8</v>
      </c>
    </row>
    <row r="244" spans="5:11" ht="14.25" customHeight="1" x14ac:dyDescent="0.35">
      <c r="E244" s="248">
        <v>44613</v>
      </c>
      <c r="F244" s="249">
        <v>0.25</v>
      </c>
      <c r="G244" s="250">
        <v>0.2</v>
      </c>
      <c r="I244" s="248">
        <v>44613</v>
      </c>
      <c r="J244" s="249">
        <v>0.25</v>
      </c>
      <c r="K244" s="250">
        <v>1</v>
      </c>
    </row>
    <row r="245" spans="5:11" ht="14.25" customHeight="1" x14ac:dyDescent="0.35">
      <c r="E245" s="248">
        <v>44616</v>
      </c>
      <c r="F245" s="249">
        <v>0.25</v>
      </c>
      <c r="G245" s="250">
        <v>0.1</v>
      </c>
      <c r="I245" s="248">
        <v>44616</v>
      </c>
      <c r="J245" s="249">
        <v>0.25</v>
      </c>
      <c r="K245" s="250">
        <v>0.8</v>
      </c>
    </row>
    <row r="246" spans="5:11" ht="14.25" customHeight="1" x14ac:dyDescent="0.35">
      <c r="E246" s="248">
        <v>44620</v>
      </c>
      <c r="F246" s="249">
        <v>0.25</v>
      </c>
      <c r="G246" s="250">
        <v>0.2</v>
      </c>
      <c r="I246" s="248">
        <v>44620</v>
      </c>
      <c r="J246" s="249">
        <v>0.25</v>
      </c>
      <c r="K246" s="250">
        <v>1</v>
      </c>
    </row>
    <row r="247" spans="5:11" ht="14.25" customHeight="1" x14ac:dyDescent="0.35">
      <c r="E247" s="248">
        <v>44623</v>
      </c>
      <c r="F247" s="249">
        <v>0.25</v>
      </c>
      <c r="G247" s="250" t="s">
        <v>50</v>
      </c>
      <c r="I247" s="248">
        <v>44623</v>
      </c>
      <c r="J247" s="249">
        <v>0.25</v>
      </c>
      <c r="K247" s="250">
        <v>0.8</v>
      </c>
    </row>
    <row r="248" spans="5:11" ht="14.25" customHeight="1" x14ac:dyDescent="0.35">
      <c r="E248" s="248">
        <v>44627</v>
      </c>
      <c r="F248" s="249">
        <v>0.25</v>
      </c>
      <c r="G248" s="250">
        <v>0.3</v>
      </c>
      <c r="I248" s="248">
        <v>44627</v>
      </c>
      <c r="J248" s="249">
        <v>0.25</v>
      </c>
      <c r="K248" s="250">
        <v>0.9</v>
      </c>
    </row>
    <row r="249" spans="5:11" ht="14.25" customHeight="1" x14ac:dyDescent="0.35">
      <c r="E249" s="248">
        <v>44629</v>
      </c>
      <c r="F249" s="249">
        <v>0.25</v>
      </c>
      <c r="G249" s="250">
        <v>0.1</v>
      </c>
      <c r="I249" s="248">
        <v>44629</v>
      </c>
      <c r="J249" s="249">
        <v>0.25</v>
      </c>
      <c r="K249" s="250">
        <v>1</v>
      </c>
    </row>
    <row r="250" spans="5:11" ht="14.25" customHeight="1" x14ac:dyDescent="0.35">
      <c r="E250" s="248">
        <v>44630</v>
      </c>
      <c r="F250" s="249">
        <v>0.25</v>
      </c>
      <c r="G250" s="250">
        <v>0.1</v>
      </c>
      <c r="I250" s="248">
        <v>44630</v>
      </c>
      <c r="J250" s="249">
        <v>0.25</v>
      </c>
      <c r="K250" s="250">
        <v>0.9</v>
      </c>
    </row>
    <row r="251" spans="5:11" ht="14.25" customHeight="1" x14ac:dyDescent="0.35">
      <c r="E251" s="248">
        <v>44634</v>
      </c>
      <c r="F251" s="249">
        <v>0.25</v>
      </c>
      <c r="G251" s="250">
        <v>0.1</v>
      </c>
      <c r="I251" s="248">
        <v>44634</v>
      </c>
      <c r="J251" s="249">
        <v>0.25</v>
      </c>
      <c r="K251" s="250">
        <v>0.9</v>
      </c>
    </row>
    <row r="252" spans="5:11" ht="14.25" customHeight="1" x14ac:dyDescent="0.35">
      <c r="E252" s="248">
        <v>44637</v>
      </c>
      <c r="F252" s="249">
        <v>0.25</v>
      </c>
      <c r="G252" s="250" t="s">
        <v>50</v>
      </c>
      <c r="I252" s="248">
        <v>44637</v>
      </c>
      <c r="J252" s="249">
        <v>0.25</v>
      </c>
      <c r="K252" s="250">
        <v>1</v>
      </c>
    </row>
    <row r="253" spans="5:11" ht="14.25" customHeight="1" x14ac:dyDescent="0.35">
      <c r="E253" s="248">
        <v>44641</v>
      </c>
      <c r="F253" s="249">
        <v>0.25</v>
      </c>
      <c r="G253" s="250">
        <v>0.2</v>
      </c>
      <c r="I253" s="248">
        <v>44641</v>
      </c>
      <c r="J253" s="249">
        <v>0.25</v>
      </c>
      <c r="K253" s="250">
        <v>0.9</v>
      </c>
    </row>
    <row r="254" spans="5:11" ht="14.25" customHeight="1" x14ac:dyDescent="0.35">
      <c r="E254" s="248">
        <v>44644</v>
      </c>
      <c r="F254" s="249">
        <v>0.25</v>
      </c>
      <c r="G254" s="250">
        <v>0.2</v>
      </c>
      <c r="I254" s="248">
        <v>44644</v>
      </c>
      <c r="J254" s="249">
        <v>0.25</v>
      </c>
      <c r="K254" s="250">
        <v>0.9</v>
      </c>
    </row>
    <row r="255" spans="5:11" ht="14.25" customHeight="1" x14ac:dyDescent="0.35">
      <c r="E255" s="248">
        <v>44648</v>
      </c>
      <c r="F255" s="249">
        <v>0.25</v>
      </c>
      <c r="G255" s="250">
        <v>0.2</v>
      </c>
      <c r="I255" s="248">
        <v>44648</v>
      </c>
      <c r="J255" s="249">
        <v>0.25</v>
      </c>
      <c r="K255" s="250">
        <v>0.9</v>
      </c>
    </row>
    <row r="256" spans="5:11" ht="14.25" customHeight="1" x14ac:dyDescent="0.35">
      <c r="E256" s="248">
        <v>44651</v>
      </c>
      <c r="F256" s="249">
        <v>0.25</v>
      </c>
      <c r="G256" s="250">
        <v>0.1</v>
      </c>
      <c r="I256" s="248">
        <v>44651</v>
      </c>
      <c r="J256" s="249">
        <v>0.25</v>
      </c>
      <c r="K256" s="250">
        <v>0.9</v>
      </c>
    </row>
    <row r="257" spans="5:11" ht="14.25" customHeight="1" x14ac:dyDescent="0.35">
      <c r="E257" s="248">
        <v>44655</v>
      </c>
      <c r="F257" s="249">
        <v>0.25</v>
      </c>
      <c r="G257" s="250">
        <v>0.2</v>
      </c>
      <c r="I257" s="248">
        <v>44655</v>
      </c>
      <c r="J257" s="249">
        <v>0.25</v>
      </c>
      <c r="K257" s="250">
        <v>1</v>
      </c>
    </row>
    <row r="258" spans="5:11" ht="14.25" customHeight="1" x14ac:dyDescent="0.35">
      <c r="E258" s="248">
        <v>44658</v>
      </c>
      <c r="F258" s="249">
        <v>0.25</v>
      </c>
      <c r="G258" s="250">
        <v>0.3</v>
      </c>
      <c r="I258" s="248">
        <v>44658</v>
      </c>
      <c r="J258" s="249">
        <v>0.25</v>
      </c>
      <c r="K258" s="250">
        <v>1</v>
      </c>
    </row>
    <row r="259" spans="5:11" ht="14.25" customHeight="1" x14ac:dyDescent="0.35">
      <c r="E259" s="248">
        <v>44662</v>
      </c>
      <c r="F259" s="249">
        <v>0.25</v>
      </c>
      <c r="G259" s="250">
        <v>0.5</v>
      </c>
      <c r="I259" s="248">
        <v>44662</v>
      </c>
      <c r="J259" s="249">
        <v>0.25</v>
      </c>
      <c r="K259" s="250">
        <v>1.2</v>
      </c>
    </row>
    <row r="260" spans="5:11" ht="14.25" customHeight="1" x14ac:dyDescent="0.35">
      <c r="E260" s="248">
        <v>44664</v>
      </c>
      <c r="F260" s="249">
        <v>0.37847222222222221</v>
      </c>
      <c r="G260" s="250">
        <v>0.4</v>
      </c>
      <c r="I260" s="248">
        <v>44664</v>
      </c>
      <c r="J260" s="249">
        <v>0.37847222222222221</v>
      </c>
      <c r="K260" s="250">
        <v>1.1000000000000001</v>
      </c>
    </row>
    <row r="261" spans="5:11" ht="14.25" customHeight="1" x14ac:dyDescent="0.35">
      <c r="E261" s="248">
        <v>44665</v>
      </c>
      <c r="F261" s="249">
        <v>0.25</v>
      </c>
      <c r="G261" s="250">
        <v>0.5</v>
      </c>
      <c r="I261" s="248">
        <v>44665</v>
      </c>
      <c r="J261" s="249">
        <v>0.25</v>
      </c>
      <c r="K261" s="250">
        <v>1.3</v>
      </c>
    </row>
    <row r="262" spans="5:11" ht="14.25" customHeight="1" x14ac:dyDescent="0.35">
      <c r="E262" s="248">
        <v>44676</v>
      </c>
      <c r="F262" s="249">
        <v>0.25</v>
      </c>
      <c r="G262" s="250">
        <v>0.2</v>
      </c>
      <c r="I262" s="248">
        <v>44676</v>
      </c>
      <c r="J262" s="249">
        <v>0.25</v>
      </c>
      <c r="K262" s="250">
        <v>1</v>
      </c>
    </row>
    <row r="263" spans="5:11" ht="14.25" customHeight="1" x14ac:dyDescent="0.35">
      <c r="E263" s="248">
        <v>44679</v>
      </c>
      <c r="F263" s="249">
        <v>0.25</v>
      </c>
      <c r="G263" s="250">
        <v>0.2</v>
      </c>
      <c r="I263" s="248">
        <v>44679</v>
      </c>
      <c r="J263" s="249">
        <v>0.25</v>
      </c>
      <c r="K263" s="250">
        <v>0.8</v>
      </c>
    </row>
    <row r="264" spans="5:11" ht="14.25" customHeight="1" x14ac:dyDescent="0.35">
      <c r="E264" s="248">
        <v>44683</v>
      </c>
      <c r="F264" s="249">
        <v>0.25</v>
      </c>
      <c r="G264" s="250">
        <v>0.2</v>
      </c>
      <c r="I264" s="248">
        <v>44683</v>
      </c>
      <c r="J264" s="249">
        <v>0.25</v>
      </c>
      <c r="K264" s="250">
        <v>1</v>
      </c>
    </row>
    <row r="265" spans="5:11" ht="14.25" customHeight="1" x14ac:dyDescent="0.35">
      <c r="E265" s="248">
        <v>44686</v>
      </c>
      <c r="F265" s="249">
        <v>0.25</v>
      </c>
      <c r="G265" s="250">
        <v>0.2</v>
      </c>
      <c r="I265" s="248">
        <v>44686</v>
      </c>
      <c r="J265" s="249">
        <v>0.25</v>
      </c>
      <c r="K265" s="250">
        <v>1</v>
      </c>
    </row>
    <row r="266" spans="5:11" ht="14.25" customHeight="1" x14ac:dyDescent="0.35">
      <c r="E266" s="248">
        <v>44690</v>
      </c>
      <c r="F266" s="249">
        <v>0.25</v>
      </c>
      <c r="G266" s="250">
        <v>0.1</v>
      </c>
      <c r="I266" s="248">
        <v>44690</v>
      </c>
      <c r="J266" s="249">
        <v>0.25</v>
      </c>
      <c r="K266" s="250">
        <v>1</v>
      </c>
    </row>
    <row r="267" spans="5:11" ht="14.25" customHeight="1" x14ac:dyDescent="0.35">
      <c r="E267" s="248">
        <v>44692</v>
      </c>
      <c r="F267" s="249">
        <v>0.25</v>
      </c>
      <c r="G267" s="250">
        <v>0.2</v>
      </c>
      <c r="I267" s="248">
        <v>44692</v>
      </c>
      <c r="J267" s="249">
        <v>0.25</v>
      </c>
      <c r="K267" s="250">
        <v>1.4</v>
      </c>
    </row>
    <row r="268" spans="5:11" ht="14.25" customHeight="1" x14ac:dyDescent="0.35">
      <c r="E268" s="248">
        <v>44693</v>
      </c>
      <c r="F268" s="249">
        <v>0.25</v>
      </c>
      <c r="G268" s="250">
        <v>0.2</v>
      </c>
      <c r="I268" s="248">
        <v>44693</v>
      </c>
      <c r="J268" s="249">
        <v>0.25</v>
      </c>
      <c r="K268" s="250">
        <v>1</v>
      </c>
    </row>
    <row r="269" spans="5:11" ht="14.25" customHeight="1" x14ac:dyDescent="0.35">
      <c r="E269" s="248">
        <v>44697</v>
      </c>
      <c r="F269" s="249">
        <v>0.25</v>
      </c>
      <c r="G269" s="250">
        <v>0.2</v>
      </c>
      <c r="I269" s="248">
        <v>44697</v>
      </c>
      <c r="J269" s="249">
        <v>0.25</v>
      </c>
      <c r="K269" s="250">
        <v>1.1000000000000001</v>
      </c>
    </row>
    <row r="270" spans="5:11" ht="14.25" customHeight="1" x14ac:dyDescent="0.35">
      <c r="E270" s="248">
        <v>44700</v>
      </c>
      <c r="F270" s="249">
        <v>0.25</v>
      </c>
      <c r="G270" s="250">
        <v>0.2</v>
      </c>
      <c r="I270" s="248">
        <v>44700</v>
      </c>
      <c r="J270" s="249">
        <v>0.25</v>
      </c>
      <c r="K270" s="250">
        <v>1.1000000000000001</v>
      </c>
    </row>
    <row r="271" spans="5:11" ht="14.25" customHeight="1" x14ac:dyDescent="0.35">
      <c r="E271" s="248">
        <v>44704</v>
      </c>
      <c r="F271" s="249">
        <v>0.25</v>
      </c>
      <c r="G271" s="250">
        <v>0.2</v>
      </c>
      <c r="I271" s="248">
        <v>44704</v>
      </c>
      <c r="J271" s="249">
        <v>0.25</v>
      </c>
      <c r="K271" s="250">
        <v>1</v>
      </c>
    </row>
    <row r="272" spans="5:11" ht="14.25" customHeight="1" x14ac:dyDescent="0.35">
      <c r="E272" s="248">
        <v>44707</v>
      </c>
      <c r="F272" s="249">
        <v>0.25</v>
      </c>
      <c r="G272" s="250">
        <v>0.2</v>
      </c>
      <c r="I272" s="248">
        <v>44707</v>
      </c>
      <c r="J272" s="249">
        <v>0.25</v>
      </c>
      <c r="K272" s="250">
        <v>0.9</v>
      </c>
    </row>
    <row r="273" spans="5:11" ht="14.25" customHeight="1" x14ac:dyDescent="0.35">
      <c r="E273" s="248">
        <v>44711</v>
      </c>
      <c r="F273" s="249">
        <v>0.25</v>
      </c>
      <c r="G273" s="250">
        <v>0.2</v>
      </c>
      <c r="I273" s="248">
        <v>44711</v>
      </c>
      <c r="J273" s="249">
        <v>0.25</v>
      </c>
      <c r="K273" s="250">
        <v>1</v>
      </c>
    </row>
    <row r="274" spans="5:11" ht="14.25" customHeight="1" x14ac:dyDescent="0.35">
      <c r="E274" s="248">
        <v>44714</v>
      </c>
      <c r="F274" s="249">
        <v>0.25</v>
      </c>
      <c r="G274" s="250">
        <v>0.2</v>
      </c>
      <c r="I274" s="248">
        <v>44714</v>
      </c>
      <c r="J274" s="249">
        <v>0.25</v>
      </c>
      <c r="K274" s="250">
        <v>1</v>
      </c>
    </row>
    <row r="275" spans="5:11" ht="14.25" customHeight="1" x14ac:dyDescent="0.35">
      <c r="E275" s="248">
        <v>44718</v>
      </c>
      <c r="F275" s="249">
        <v>0.25</v>
      </c>
      <c r="G275" s="250">
        <v>0.3</v>
      </c>
      <c r="I275" s="248">
        <v>44718</v>
      </c>
      <c r="J275" s="249">
        <v>0.25</v>
      </c>
      <c r="K275" s="250">
        <v>0.8</v>
      </c>
    </row>
    <row r="276" spans="5:11" ht="14.25" customHeight="1" x14ac:dyDescent="0.35">
      <c r="E276" s="248">
        <v>44721</v>
      </c>
      <c r="F276" s="249">
        <v>0.25</v>
      </c>
      <c r="G276" s="250">
        <v>0.2</v>
      </c>
      <c r="I276" s="248">
        <v>44721</v>
      </c>
      <c r="J276" s="249">
        <v>0.25</v>
      </c>
      <c r="K276" s="250">
        <v>0.8</v>
      </c>
    </row>
    <row r="277" spans="5:11" ht="14.25" customHeight="1" x14ac:dyDescent="0.35">
      <c r="E277" s="248">
        <v>44725</v>
      </c>
      <c r="F277" s="249">
        <v>0.25</v>
      </c>
      <c r="G277" s="250">
        <v>0.3</v>
      </c>
      <c r="I277" s="248">
        <v>44725</v>
      </c>
      <c r="J277" s="249">
        <v>0.25</v>
      </c>
      <c r="K277" s="250">
        <v>1</v>
      </c>
    </row>
    <row r="278" spans="5:11" ht="14.25" customHeight="1" x14ac:dyDescent="0.35">
      <c r="E278" s="248">
        <v>44727</v>
      </c>
      <c r="F278" s="249">
        <v>0.25</v>
      </c>
      <c r="G278" s="250">
        <v>0.3</v>
      </c>
      <c r="I278" s="248">
        <v>44727</v>
      </c>
      <c r="J278" s="249">
        <v>0.25</v>
      </c>
      <c r="K278" s="250">
        <v>1.1000000000000001</v>
      </c>
    </row>
    <row r="279" spans="5:11" ht="14.25" customHeight="1" x14ac:dyDescent="0.35">
      <c r="E279" s="248">
        <v>44728</v>
      </c>
      <c r="F279" s="249">
        <v>0.25</v>
      </c>
      <c r="G279" s="250">
        <v>0.3</v>
      </c>
      <c r="I279" s="248">
        <v>44728</v>
      </c>
      <c r="J279" s="249">
        <v>0.25</v>
      </c>
      <c r="K279" s="250">
        <v>1.2</v>
      </c>
    </row>
    <row r="280" spans="5:11" ht="14.25" customHeight="1" x14ac:dyDescent="0.35">
      <c r="E280" s="248">
        <v>44732</v>
      </c>
      <c r="F280" s="249">
        <v>0.25</v>
      </c>
      <c r="G280" s="250">
        <v>0.3</v>
      </c>
      <c r="I280" s="248">
        <v>44732</v>
      </c>
      <c r="J280" s="249">
        <v>0.25</v>
      </c>
      <c r="K280" s="250">
        <v>1.1000000000000001</v>
      </c>
    </row>
    <row r="281" spans="5:11" ht="14.25" customHeight="1" x14ac:dyDescent="0.35">
      <c r="E281" s="248">
        <v>44735</v>
      </c>
      <c r="F281" s="249">
        <v>0.25</v>
      </c>
      <c r="G281" s="250">
        <v>0.4</v>
      </c>
      <c r="I281" s="248">
        <v>44735</v>
      </c>
      <c r="J281" s="249">
        <v>0.25</v>
      </c>
      <c r="K281" s="250">
        <v>1.1000000000000001</v>
      </c>
    </row>
    <row r="282" spans="5:11" ht="14.25" customHeight="1" x14ac:dyDescent="0.35">
      <c r="E282" s="248">
        <v>44739</v>
      </c>
      <c r="F282" s="249">
        <v>0.25</v>
      </c>
      <c r="G282" s="250">
        <v>0.3</v>
      </c>
      <c r="I282" s="248">
        <v>44739</v>
      </c>
      <c r="J282" s="249">
        <v>0.25</v>
      </c>
      <c r="K282" s="250">
        <v>1.1000000000000001</v>
      </c>
    </row>
    <row r="283" spans="5:11" ht="14.25" customHeight="1" x14ac:dyDescent="0.35">
      <c r="E283" s="248">
        <v>44742</v>
      </c>
      <c r="F283" s="249">
        <v>0.25</v>
      </c>
      <c r="G283" s="250">
        <v>0.5</v>
      </c>
      <c r="I283" s="248">
        <v>44742</v>
      </c>
      <c r="J283" s="249">
        <v>0.25</v>
      </c>
      <c r="K283" s="250">
        <v>1.2</v>
      </c>
    </row>
    <row r="284" spans="5:11" ht="14.25" customHeight="1" x14ac:dyDescent="0.35">
      <c r="E284" s="248">
        <v>44746</v>
      </c>
      <c r="F284" s="249">
        <v>0.25</v>
      </c>
      <c r="G284" s="250">
        <v>0.3</v>
      </c>
      <c r="I284" s="248">
        <v>44746</v>
      </c>
      <c r="J284" s="249">
        <v>0.25</v>
      </c>
      <c r="K284" s="250">
        <v>1.1000000000000001</v>
      </c>
    </row>
    <row r="285" spans="5:11" ht="14.25" customHeight="1" x14ac:dyDescent="0.35">
      <c r="E285" s="248">
        <v>44748</v>
      </c>
      <c r="F285" s="249">
        <v>0.39583333333333331</v>
      </c>
      <c r="G285" s="250">
        <v>0.4</v>
      </c>
      <c r="I285" s="248">
        <v>44748</v>
      </c>
      <c r="J285" s="249">
        <v>0.39583333333333331</v>
      </c>
      <c r="K285" s="250">
        <v>1.1000000000000001</v>
      </c>
    </row>
    <row r="286" spans="5:11" ht="14.25" customHeight="1" x14ac:dyDescent="0.35">
      <c r="E286" s="248">
        <v>44749</v>
      </c>
      <c r="F286" s="249">
        <v>0.25</v>
      </c>
      <c r="G286" s="250">
        <v>0.4</v>
      </c>
      <c r="I286" s="248">
        <v>44749</v>
      </c>
      <c r="J286" s="249">
        <v>0.25</v>
      </c>
      <c r="K286" s="250">
        <v>1</v>
      </c>
    </row>
    <row r="287" spans="5:11" ht="14.25" customHeight="1" x14ac:dyDescent="0.35">
      <c r="E287" s="248">
        <v>44753</v>
      </c>
      <c r="F287" s="249">
        <v>0.25</v>
      </c>
      <c r="G287" s="250">
        <v>0.2</v>
      </c>
      <c r="I287" s="248">
        <v>44753</v>
      </c>
      <c r="J287" s="249">
        <v>0.25</v>
      </c>
      <c r="K287" s="250">
        <v>1.1000000000000001</v>
      </c>
    </row>
    <row r="288" spans="5:11" ht="14.25" customHeight="1" x14ac:dyDescent="0.35">
      <c r="E288" s="248">
        <v>44756</v>
      </c>
      <c r="F288" s="249">
        <v>0.25</v>
      </c>
      <c r="G288" s="250">
        <v>0.6</v>
      </c>
      <c r="I288" s="248">
        <v>44756</v>
      </c>
      <c r="J288" s="249">
        <v>0.25</v>
      </c>
      <c r="K288" s="250">
        <v>0.8</v>
      </c>
    </row>
    <row r="289" spans="5:11" ht="14.25" customHeight="1" x14ac:dyDescent="0.35">
      <c r="E289" s="248">
        <v>44760</v>
      </c>
      <c r="F289" s="249">
        <v>0.25</v>
      </c>
      <c r="G289" s="250">
        <v>0.4</v>
      </c>
      <c r="I289" s="248">
        <v>44760</v>
      </c>
      <c r="J289" s="249">
        <v>0.25</v>
      </c>
      <c r="K289" s="250">
        <v>1</v>
      </c>
    </row>
    <row r="290" spans="5:11" ht="14.25" customHeight="1" x14ac:dyDescent="0.35">
      <c r="E290" s="248">
        <v>44763</v>
      </c>
      <c r="F290" s="249">
        <v>0.25</v>
      </c>
      <c r="G290" s="250">
        <v>0.5</v>
      </c>
      <c r="I290" s="248">
        <v>44763</v>
      </c>
      <c r="J290" s="249">
        <v>0.25</v>
      </c>
      <c r="K290" s="250">
        <v>1.3</v>
      </c>
    </row>
    <row r="291" spans="5:11" ht="14.25" customHeight="1" x14ac:dyDescent="0.35">
      <c r="E291" s="248">
        <v>44767</v>
      </c>
      <c r="F291" s="249">
        <v>0.25</v>
      </c>
      <c r="G291" s="250">
        <v>0.5</v>
      </c>
      <c r="I291" s="248">
        <v>44767</v>
      </c>
      <c r="J291" s="249">
        <v>0.25</v>
      </c>
      <c r="K291" s="250">
        <v>1.3</v>
      </c>
    </row>
    <row r="292" spans="5:11" ht="14.25" customHeight="1" x14ac:dyDescent="0.35">
      <c r="E292" s="248">
        <v>44770</v>
      </c>
      <c r="F292" s="249">
        <v>0.25</v>
      </c>
      <c r="G292" s="250">
        <v>0.5</v>
      </c>
      <c r="I292" s="248">
        <v>44770</v>
      </c>
      <c r="J292" s="249">
        <v>0.25</v>
      </c>
      <c r="K292" s="250">
        <v>1.2</v>
      </c>
    </row>
    <row r="293" spans="5:11" ht="14.25" customHeight="1" x14ac:dyDescent="0.35">
      <c r="E293" s="248">
        <v>44774</v>
      </c>
      <c r="F293" s="249">
        <v>0.25</v>
      </c>
      <c r="G293" s="250">
        <v>0.3</v>
      </c>
      <c r="I293" s="248">
        <v>44774</v>
      </c>
      <c r="J293" s="249">
        <v>0.25</v>
      </c>
      <c r="K293" s="250">
        <v>1.1000000000000001</v>
      </c>
    </row>
    <row r="294" spans="5:11" ht="14.25" customHeight="1" x14ac:dyDescent="0.35">
      <c r="E294" s="248">
        <v>44777</v>
      </c>
      <c r="F294" s="249">
        <v>0.25</v>
      </c>
      <c r="G294" s="250">
        <v>0.3</v>
      </c>
      <c r="I294" s="248">
        <v>44777</v>
      </c>
      <c r="J294" s="249">
        <v>0.25</v>
      </c>
      <c r="K294" s="250">
        <v>1.2</v>
      </c>
    </row>
    <row r="295" spans="5:11" ht="14.25" customHeight="1" x14ac:dyDescent="0.35">
      <c r="E295" s="248">
        <v>44781</v>
      </c>
      <c r="F295" s="249">
        <v>0.25</v>
      </c>
      <c r="G295" s="250">
        <v>0.4</v>
      </c>
      <c r="I295" s="248">
        <v>44781</v>
      </c>
      <c r="J295" s="249">
        <v>0.25</v>
      </c>
      <c r="K295" s="250">
        <v>1.3</v>
      </c>
    </row>
    <row r="296" spans="5:11" ht="14.25" customHeight="1" x14ac:dyDescent="0.35">
      <c r="E296" s="248">
        <v>44783</v>
      </c>
      <c r="F296" s="249">
        <v>0.25</v>
      </c>
      <c r="G296" s="250">
        <v>0.4</v>
      </c>
      <c r="I296" s="248">
        <v>44783</v>
      </c>
      <c r="J296" s="249">
        <v>0.25</v>
      </c>
      <c r="K296" s="250">
        <v>1.4</v>
      </c>
    </row>
    <row r="297" spans="5:11" ht="14.25" customHeight="1" x14ac:dyDescent="0.35">
      <c r="E297" s="248">
        <v>44784</v>
      </c>
      <c r="F297" s="249">
        <v>0.25</v>
      </c>
      <c r="G297" s="250">
        <v>0.6</v>
      </c>
      <c r="I297" s="248">
        <v>44784</v>
      </c>
      <c r="J297" s="249">
        <v>0.25</v>
      </c>
      <c r="K297" s="250">
        <v>1.3</v>
      </c>
    </row>
    <row r="298" spans="5:11" ht="14.25" customHeight="1" x14ac:dyDescent="0.35">
      <c r="E298" s="248">
        <v>44788</v>
      </c>
      <c r="F298" s="249">
        <v>0.25</v>
      </c>
      <c r="G298" s="250">
        <v>0.5</v>
      </c>
      <c r="I298" s="248">
        <v>44788</v>
      </c>
      <c r="J298" s="249">
        <v>0.25</v>
      </c>
      <c r="K298" s="250">
        <v>1.5</v>
      </c>
    </row>
    <row r="299" spans="5:11" ht="14.25" customHeight="1" x14ac:dyDescent="0.35">
      <c r="E299" s="248">
        <v>44791</v>
      </c>
      <c r="F299" s="249">
        <v>0.25</v>
      </c>
      <c r="G299" s="250">
        <v>0.7</v>
      </c>
      <c r="I299" s="248">
        <v>44791</v>
      </c>
      <c r="J299" s="249">
        <v>0.25</v>
      </c>
      <c r="K299" s="250">
        <v>1.4</v>
      </c>
    </row>
    <row r="300" spans="5:11" ht="14.25" customHeight="1" x14ac:dyDescent="0.35">
      <c r="E300" s="248">
        <v>44795</v>
      </c>
      <c r="F300" s="249">
        <v>0.25</v>
      </c>
      <c r="G300" s="250">
        <v>0.7</v>
      </c>
      <c r="I300" s="248">
        <v>44795</v>
      </c>
      <c r="J300" s="249">
        <v>0.25</v>
      </c>
      <c r="K300" s="250">
        <v>1.4</v>
      </c>
    </row>
    <row r="301" spans="5:11" ht="14.25" customHeight="1" x14ac:dyDescent="0.35">
      <c r="E301" s="248">
        <v>44798</v>
      </c>
      <c r="F301" s="249">
        <v>0.25</v>
      </c>
      <c r="G301" s="250">
        <v>0.6</v>
      </c>
      <c r="I301" s="248">
        <v>44798</v>
      </c>
      <c r="J301" s="249">
        <v>0.25</v>
      </c>
      <c r="K301" s="250">
        <v>1.3</v>
      </c>
    </row>
    <row r="302" spans="5:11" ht="14.25" customHeight="1" x14ac:dyDescent="0.35">
      <c r="E302" s="248">
        <v>44802</v>
      </c>
      <c r="F302" s="249">
        <v>0.25</v>
      </c>
      <c r="G302" s="250">
        <v>0.6</v>
      </c>
      <c r="I302" s="248">
        <v>44802</v>
      </c>
      <c r="J302" s="249">
        <v>0.25</v>
      </c>
      <c r="K302" s="250">
        <v>1.3</v>
      </c>
    </row>
    <row r="303" spans="5:11" ht="14.25" customHeight="1" x14ac:dyDescent="0.35">
      <c r="E303" s="248">
        <v>44805</v>
      </c>
      <c r="F303" s="249">
        <v>0.25</v>
      </c>
      <c r="G303" s="250">
        <v>0.8</v>
      </c>
      <c r="I303" s="248">
        <v>44805</v>
      </c>
      <c r="J303" s="249">
        <v>0.25</v>
      </c>
      <c r="K303" s="250">
        <v>1.5</v>
      </c>
    </row>
    <row r="304" spans="5:11" ht="14.25" customHeight="1" x14ac:dyDescent="0.35">
      <c r="E304" s="248">
        <v>44809</v>
      </c>
      <c r="F304" s="249">
        <v>0.25</v>
      </c>
      <c r="G304" s="250">
        <v>1</v>
      </c>
      <c r="I304" s="248">
        <v>44809</v>
      </c>
      <c r="J304" s="249">
        <v>0.25</v>
      </c>
      <c r="K304" s="250">
        <v>1.8</v>
      </c>
    </row>
    <row r="305" spans="5:11" ht="14.25" customHeight="1" x14ac:dyDescent="0.35">
      <c r="E305" s="248">
        <v>44811</v>
      </c>
      <c r="F305" s="249">
        <v>0.25</v>
      </c>
      <c r="G305" s="250">
        <v>1</v>
      </c>
      <c r="I305" s="248">
        <v>44811</v>
      </c>
      <c r="J305" s="249">
        <v>0.25</v>
      </c>
      <c r="K305" s="250">
        <v>1.8</v>
      </c>
    </row>
    <row r="306" spans="5:11" ht="14.25" customHeight="1" x14ac:dyDescent="0.35">
      <c r="E306" s="248">
        <v>44812</v>
      </c>
      <c r="F306" s="249">
        <v>0.25</v>
      </c>
      <c r="G306" s="250">
        <v>0.8</v>
      </c>
      <c r="I306" s="248">
        <v>44812</v>
      </c>
      <c r="J306" s="249">
        <v>0.25</v>
      </c>
      <c r="K306" s="250">
        <v>1.6</v>
      </c>
    </row>
    <row r="307" spans="5:11" ht="14.25" customHeight="1" x14ac:dyDescent="0.35">
      <c r="E307" s="248">
        <v>44816</v>
      </c>
      <c r="F307" s="249">
        <v>0.25</v>
      </c>
      <c r="G307" s="250">
        <v>0.8</v>
      </c>
      <c r="I307" s="248">
        <v>44816</v>
      </c>
      <c r="J307" s="249">
        <v>0.25</v>
      </c>
      <c r="K307" s="250">
        <v>1.6</v>
      </c>
    </row>
    <row r="308" spans="5:11" ht="14.25" customHeight="1" x14ac:dyDescent="0.35">
      <c r="E308" s="248">
        <v>44819</v>
      </c>
      <c r="F308" s="249">
        <v>0.25</v>
      </c>
      <c r="G308" s="250">
        <v>0.8</v>
      </c>
      <c r="I308" s="248">
        <v>44819</v>
      </c>
      <c r="J308" s="249">
        <v>0.25</v>
      </c>
      <c r="K308" s="250">
        <v>1.4</v>
      </c>
    </row>
    <row r="309" spans="5:11" ht="14.25" customHeight="1" x14ac:dyDescent="0.35">
      <c r="E309" s="248">
        <v>44823</v>
      </c>
      <c r="F309" s="249">
        <v>0.25</v>
      </c>
      <c r="G309" s="250">
        <v>1</v>
      </c>
      <c r="I309" s="248">
        <v>44823</v>
      </c>
      <c r="J309" s="249">
        <v>0.25</v>
      </c>
      <c r="K309" s="250">
        <v>1.4</v>
      </c>
    </row>
    <row r="310" spans="5:11" ht="14.25" customHeight="1" x14ac:dyDescent="0.35">
      <c r="E310" s="248">
        <v>44826</v>
      </c>
      <c r="F310" s="249">
        <v>0.25</v>
      </c>
      <c r="G310" s="250">
        <v>0.6</v>
      </c>
      <c r="I310" s="248">
        <v>44826</v>
      </c>
      <c r="J310" s="249">
        <v>0.25</v>
      </c>
      <c r="K310" s="250">
        <v>1.1000000000000001</v>
      </c>
    </row>
    <row r="311" spans="5:11" ht="14.25" customHeight="1" x14ac:dyDescent="0.35">
      <c r="E311" s="248">
        <v>44830</v>
      </c>
      <c r="F311" s="249">
        <v>0.25</v>
      </c>
      <c r="G311" s="250">
        <v>0.5</v>
      </c>
      <c r="I311" s="248">
        <v>44830</v>
      </c>
      <c r="J311" s="249">
        <v>0.25</v>
      </c>
      <c r="K311" s="250">
        <v>1.2</v>
      </c>
    </row>
    <row r="312" spans="5:11" ht="14.25" customHeight="1" x14ac:dyDescent="0.35">
      <c r="E312" s="248">
        <v>44833</v>
      </c>
      <c r="F312" s="249">
        <v>0.25</v>
      </c>
      <c r="G312" s="250">
        <v>0.4</v>
      </c>
      <c r="I312" s="248">
        <v>44833</v>
      </c>
      <c r="J312" s="249">
        <v>0.25</v>
      </c>
      <c r="K312" s="250">
        <v>1.1000000000000001</v>
      </c>
    </row>
    <row r="313" spans="5:11" ht="14.25" customHeight="1" x14ac:dyDescent="0.35">
      <c r="E313" s="248">
        <v>44837</v>
      </c>
      <c r="F313" s="249">
        <v>0.25</v>
      </c>
      <c r="G313" s="250">
        <v>0.2</v>
      </c>
      <c r="I313" s="248">
        <v>44837</v>
      </c>
      <c r="J313" s="249">
        <v>0.25</v>
      </c>
      <c r="K313" s="250">
        <v>1.2</v>
      </c>
    </row>
    <row r="314" spans="5:11" ht="14.25" customHeight="1" x14ac:dyDescent="0.35">
      <c r="E314" s="248">
        <v>44840</v>
      </c>
      <c r="F314" s="249">
        <v>0.25</v>
      </c>
      <c r="G314" s="250">
        <v>0.2</v>
      </c>
      <c r="I314" s="248">
        <v>44840</v>
      </c>
      <c r="J314" s="249">
        <v>0.25</v>
      </c>
      <c r="K314" s="250">
        <v>1</v>
      </c>
    </row>
    <row r="315" spans="5:11" ht="14.25" customHeight="1" x14ac:dyDescent="0.35">
      <c r="E315" s="248">
        <v>44844</v>
      </c>
      <c r="F315" s="249">
        <v>0.25</v>
      </c>
      <c r="G315" s="250">
        <v>0.4</v>
      </c>
      <c r="I315" s="248">
        <v>44844</v>
      </c>
      <c r="J315" s="249">
        <v>0.25</v>
      </c>
      <c r="K315" s="250">
        <v>1.1000000000000001</v>
      </c>
    </row>
    <row r="316" spans="5:11" ht="14.25" customHeight="1" x14ac:dyDescent="0.35">
      <c r="E316" s="248">
        <v>44847</v>
      </c>
      <c r="F316" s="249">
        <v>0.25</v>
      </c>
      <c r="G316" s="250">
        <v>0.5</v>
      </c>
      <c r="I316" s="248">
        <v>44847</v>
      </c>
      <c r="J316" s="249">
        <v>0.25</v>
      </c>
      <c r="K316" s="250">
        <v>1</v>
      </c>
    </row>
    <row r="317" spans="5:11" ht="14.25" customHeight="1" x14ac:dyDescent="0.35">
      <c r="E317" s="248">
        <v>44851</v>
      </c>
      <c r="F317" s="249">
        <v>0.25</v>
      </c>
      <c r="G317" s="250">
        <v>0.3</v>
      </c>
      <c r="I317" s="248">
        <v>44851</v>
      </c>
      <c r="J317" s="249">
        <v>0.25</v>
      </c>
      <c r="K317" s="250">
        <v>1</v>
      </c>
    </row>
    <row r="318" spans="5:11" ht="14.25" customHeight="1" x14ac:dyDescent="0.35">
      <c r="E318" s="248">
        <v>44853</v>
      </c>
      <c r="F318" s="249">
        <v>0.46875</v>
      </c>
      <c r="G318" s="250">
        <v>0.6</v>
      </c>
      <c r="I318" s="248">
        <v>44853</v>
      </c>
      <c r="J318" s="249">
        <v>0.46875</v>
      </c>
      <c r="K318" s="250">
        <v>1.2</v>
      </c>
    </row>
    <row r="319" spans="5:11" ht="14.25" customHeight="1" x14ac:dyDescent="0.35">
      <c r="E319" s="248">
        <v>44854</v>
      </c>
      <c r="F319" s="249">
        <v>0.25</v>
      </c>
      <c r="G319" s="250">
        <v>0.5</v>
      </c>
      <c r="I319" s="248">
        <v>44854</v>
      </c>
      <c r="J319" s="249">
        <v>0.25</v>
      </c>
      <c r="K319" s="250">
        <v>1.2</v>
      </c>
    </row>
    <row r="320" spans="5:11" ht="14.25" customHeight="1" x14ac:dyDescent="0.35">
      <c r="E320" s="248">
        <v>44858</v>
      </c>
      <c r="F320" s="249">
        <v>0.25</v>
      </c>
      <c r="G320" s="250">
        <v>0.6</v>
      </c>
      <c r="I320" s="248">
        <v>44858</v>
      </c>
      <c r="J320" s="249">
        <v>0.25</v>
      </c>
      <c r="K320" s="250">
        <v>1.1000000000000001</v>
      </c>
    </row>
    <row r="321" spans="5:11" ht="14.25" customHeight="1" x14ac:dyDescent="0.35">
      <c r="E321" s="248">
        <v>44861</v>
      </c>
      <c r="F321" s="249">
        <v>0.25</v>
      </c>
      <c r="G321" s="250">
        <v>0.5</v>
      </c>
      <c r="I321" s="248">
        <v>44861</v>
      </c>
      <c r="J321" s="249">
        <v>0.25</v>
      </c>
      <c r="K321" s="250">
        <v>1.1000000000000001</v>
      </c>
    </row>
    <row r="322" spans="5:11" ht="14.25" customHeight="1" x14ac:dyDescent="0.35">
      <c r="E322" s="248">
        <v>44865</v>
      </c>
      <c r="F322" s="249">
        <v>0.25</v>
      </c>
      <c r="G322" s="250">
        <v>0.7</v>
      </c>
      <c r="I322" s="248">
        <v>44865</v>
      </c>
      <c r="J322" s="249">
        <v>0.25</v>
      </c>
      <c r="K322" s="250">
        <v>1.3</v>
      </c>
    </row>
    <row r="323" spans="5:11" ht="14.25" customHeight="1" x14ac:dyDescent="0.35">
      <c r="E323" s="248">
        <v>44868</v>
      </c>
      <c r="F323" s="249">
        <v>0.25</v>
      </c>
      <c r="G323" s="250">
        <v>0.6</v>
      </c>
      <c r="I323" s="248">
        <v>44868</v>
      </c>
      <c r="J323" s="249">
        <v>0.25</v>
      </c>
      <c r="K323" s="250">
        <v>1.2</v>
      </c>
    </row>
    <row r="324" spans="5:11" ht="14.25" customHeight="1" x14ac:dyDescent="0.35">
      <c r="E324" s="248">
        <v>44872</v>
      </c>
      <c r="F324" s="249">
        <v>0.25</v>
      </c>
      <c r="G324" s="250">
        <v>0.7</v>
      </c>
      <c r="I324" s="248">
        <v>44872</v>
      </c>
      <c r="J324" s="249">
        <v>0.25</v>
      </c>
      <c r="K324" s="250">
        <v>1.2</v>
      </c>
    </row>
    <row r="325" spans="5:11" ht="14.25" customHeight="1" x14ac:dyDescent="0.35">
      <c r="E325" s="248">
        <v>44874</v>
      </c>
      <c r="F325" s="249">
        <v>0.25</v>
      </c>
      <c r="G325" s="250">
        <v>0.7</v>
      </c>
      <c r="I325" s="248">
        <v>44874</v>
      </c>
      <c r="J325" s="249">
        <v>0.25</v>
      </c>
      <c r="K325" s="250">
        <v>1.4</v>
      </c>
    </row>
    <row r="326" spans="5:11" ht="14.25" customHeight="1" x14ac:dyDescent="0.35">
      <c r="E326" s="248">
        <v>44875</v>
      </c>
      <c r="F326" s="249">
        <v>0.25</v>
      </c>
      <c r="G326" s="250">
        <v>0.6</v>
      </c>
      <c r="I326" s="248">
        <v>44875</v>
      </c>
      <c r="J326" s="249">
        <v>0.25</v>
      </c>
      <c r="K326" s="250">
        <v>1.5</v>
      </c>
    </row>
    <row r="327" spans="5:11" ht="14.25" customHeight="1" x14ac:dyDescent="0.35">
      <c r="E327" s="248">
        <v>44879</v>
      </c>
      <c r="F327" s="249">
        <v>0.25</v>
      </c>
      <c r="G327" s="250">
        <v>0.4</v>
      </c>
      <c r="I327" s="248">
        <v>44879</v>
      </c>
      <c r="J327" s="249">
        <v>0.25</v>
      </c>
      <c r="K327" s="250">
        <v>1.2</v>
      </c>
    </row>
    <row r="328" spans="5:11" ht="14.25" customHeight="1" x14ac:dyDescent="0.35">
      <c r="E328" s="248">
        <v>44882</v>
      </c>
      <c r="F328" s="249">
        <v>0.25</v>
      </c>
      <c r="G328" s="250">
        <v>0.3</v>
      </c>
      <c r="I328" s="248">
        <v>44882</v>
      </c>
      <c r="J328" s="249">
        <v>0.25</v>
      </c>
      <c r="K328" s="250">
        <v>0.9</v>
      </c>
    </row>
    <row r="329" spans="5:11" ht="14.25" customHeight="1" x14ac:dyDescent="0.35">
      <c r="E329" s="248">
        <v>44885</v>
      </c>
      <c r="F329" s="249">
        <v>0.25</v>
      </c>
      <c r="G329" s="250">
        <v>0.3</v>
      </c>
      <c r="I329" s="248">
        <v>44885</v>
      </c>
      <c r="J329" s="249">
        <v>0.25</v>
      </c>
      <c r="K329" s="250">
        <v>0.8</v>
      </c>
    </row>
    <row r="330" spans="5:11" ht="14.25" customHeight="1" x14ac:dyDescent="0.35">
      <c r="E330" s="248">
        <v>44888</v>
      </c>
      <c r="F330" s="249">
        <v>0.25</v>
      </c>
      <c r="G330" s="250">
        <v>0.2</v>
      </c>
      <c r="I330" s="248">
        <v>44888</v>
      </c>
      <c r="J330" s="249">
        <v>0.25</v>
      </c>
      <c r="K330" s="250">
        <v>1</v>
      </c>
    </row>
    <row r="331" spans="5:11" ht="14.25" customHeight="1" x14ac:dyDescent="0.35">
      <c r="E331" s="248">
        <v>44896</v>
      </c>
      <c r="F331" s="249">
        <v>0.25</v>
      </c>
      <c r="G331" s="250">
        <v>0.3</v>
      </c>
      <c r="I331" s="248">
        <v>44896</v>
      </c>
      <c r="J331" s="249">
        <v>0.25</v>
      </c>
      <c r="K331" s="250">
        <v>0.9</v>
      </c>
    </row>
    <row r="332" spans="5:11" ht="14.25" customHeight="1" x14ac:dyDescent="0.35">
      <c r="E332" s="248">
        <v>44900</v>
      </c>
      <c r="F332" s="249">
        <v>0.25</v>
      </c>
      <c r="G332" s="250">
        <v>0.5</v>
      </c>
      <c r="I332" s="248">
        <v>44900</v>
      </c>
      <c r="J332" s="249">
        <v>0.25</v>
      </c>
      <c r="K332" s="250">
        <v>1.2</v>
      </c>
    </row>
    <row r="333" spans="5:11" ht="14.25" customHeight="1" x14ac:dyDescent="0.35">
      <c r="E333" s="248">
        <v>44903</v>
      </c>
      <c r="F333" s="249">
        <v>0.25</v>
      </c>
      <c r="G333" s="250">
        <v>0.3</v>
      </c>
      <c r="I333" s="248">
        <v>44903</v>
      </c>
      <c r="J333" s="249">
        <v>0.25</v>
      </c>
      <c r="K333" s="250">
        <v>0.9</v>
      </c>
    </row>
    <row r="334" spans="5:11" ht="14.25" customHeight="1" x14ac:dyDescent="0.35">
      <c r="E334" s="248">
        <v>44907</v>
      </c>
      <c r="F334" s="249">
        <v>0.25</v>
      </c>
      <c r="G334" s="250">
        <v>0.3</v>
      </c>
      <c r="I334" s="248">
        <v>44907</v>
      </c>
      <c r="J334" s="249">
        <v>0.25</v>
      </c>
      <c r="K334" s="250">
        <v>0.8</v>
      </c>
    </row>
    <row r="335" spans="5:11" ht="14.25" customHeight="1" x14ac:dyDescent="0.35">
      <c r="E335" s="248">
        <v>44909</v>
      </c>
      <c r="F335" s="249">
        <v>0.25</v>
      </c>
      <c r="G335" s="250">
        <v>0.5</v>
      </c>
      <c r="I335" s="248">
        <v>44909</v>
      </c>
      <c r="J335" s="249">
        <v>0.25</v>
      </c>
      <c r="K335" s="250">
        <v>1</v>
      </c>
    </row>
    <row r="336" spans="5:11" ht="14.25" customHeight="1" x14ac:dyDescent="0.35">
      <c r="E336" s="248">
        <v>44910</v>
      </c>
      <c r="F336" s="249">
        <v>0.25</v>
      </c>
      <c r="G336" s="250">
        <v>0.5</v>
      </c>
      <c r="I336" s="248">
        <v>44910</v>
      </c>
      <c r="J336" s="249">
        <v>0.25</v>
      </c>
      <c r="K336" s="250">
        <v>0.9</v>
      </c>
    </row>
    <row r="337" spans="5:11" ht="14.25" customHeight="1" x14ac:dyDescent="0.35">
      <c r="E337" s="248">
        <v>44914</v>
      </c>
      <c r="F337" s="249">
        <v>0.25</v>
      </c>
      <c r="G337" s="250">
        <v>0.6</v>
      </c>
      <c r="I337" s="248">
        <v>44914</v>
      </c>
      <c r="J337" s="249">
        <v>0.25</v>
      </c>
      <c r="K337" s="250">
        <v>0.9</v>
      </c>
    </row>
    <row r="338" spans="5:11" ht="14.25" customHeight="1" x14ac:dyDescent="0.35">
      <c r="E338" s="248">
        <v>44917</v>
      </c>
      <c r="F338" s="249">
        <v>0.25</v>
      </c>
      <c r="G338" s="250">
        <v>0.5</v>
      </c>
      <c r="I338" s="248">
        <v>44917</v>
      </c>
      <c r="J338" s="249">
        <v>0.25</v>
      </c>
      <c r="K338" s="250">
        <v>1</v>
      </c>
    </row>
    <row r="339" spans="5:11" ht="14.25" customHeight="1" x14ac:dyDescent="0.35">
      <c r="E339" s="248">
        <v>44921</v>
      </c>
      <c r="F339" s="249">
        <v>0.25</v>
      </c>
      <c r="G339" s="250">
        <v>0.8</v>
      </c>
      <c r="I339" s="248">
        <v>44921</v>
      </c>
      <c r="J339" s="249">
        <v>0.25</v>
      </c>
      <c r="K339" s="250">
        <v>1.3</v>
      </c>
    </row>
    <row r="340" spans="5:11" ht="14.25" customHeight="1" x14ac:dyDescent="0.35">
      <c r="E340" s="248">
        <v>44924</v>
      </c>
      <c r="F340" s="249">
        <v>0.25</v>
      </c>
      <c r="G340" s="250">
        <v>0.6</v>
      </c>
      <c r="I340" s="248">
        <v>44924</v>
      </c>
      <c r="J340" s="249">
        <v>0.25</v>
      </c>
      <c r="K340" s="250">
        <v>0.9</v>
      </c>
    </row>
    <row r="341" spans="5:11" ht="14.25" customHeight="1" x14ac:dyDescent="0.35">
      <c r="E341" s="248">
        <v>44928</v>
      </c>
      <c r="F341" s="249">
        <v>0.25</v>
      </c>
      <c r="G341" s="250">
        <v>0.5</v>
      </c>
      <c r="I341" s="248">
        <v>44928</v>
      </c>
      <c r="J341" s="249">
        <v>0.25</v>
      </c>
      <c r="K341" s="250">
        <v>0.9</v>
      </c>
    </row>
    <row r="342" spans="5:11" ht="14.25" customHeight="1" x14ac:dyDescent="0.35">
      <c r="E342" s="248">
        <v>44931</v>
      </c>
      <c r="F342" s="249">
        <v>0.25</v>
      </c>
      <c r="G342" s="250">
        <v>0.5</v>
      </c>
      <c r="I342" s="248">
        <v>44931</v>
      </c>
      <c r="J342" s="249">
        <v>0.25</v>
      </c>
      <c r="K342" s="250">
        <v>0.9</v>
      </c>
    </row>
    <row r="343" spans="5:11" ht="14.25" customHeight="1" x14ac:dyDescent="0.35">
      <c r="E343" s="248">
        <v>44935</v>
      </c>
      <c r="F343" s="249">
        <v>0.25</v>
      </c>
      <c r="G343" s="250">
        <v>0.5</v>
      </c>
      <c r="I343" s="248">
        <v>44935</v>
      </c>
      <c r="J343" s="249">
        <v>0.25</v>
      </c>
      <c r="K343" s="250">
        <v>1</v>
      </c>
    </row>
    <row r="344" spans="5:11" ht="14.25" customHeight="1" x14ac:dyDescent="0.35">
      <c r="E344" s="248">
        <v>44937</v>
      </c>
      <c r="F344" s="249">
        <v>0.38541666666666669</v>
      </c>
      <c r="G344" s="250">
        <v>0.4</v>
      </c>
      <c r="I344" s="248">
        <v>44937</v>
      </c>
      <c r="J344" s="249">
        <v>0.38541666666666669</v>
      </c>
      <c r="K344" s="250">
        <v>0.7</v>
      </c>
    </row>
    <row r="345" spans="5:11" ht="14.25" customHeight="1" x14ac:dyDescent="0.35">
      <c r="E345" s="248">
        <v>44938</v>
      </c>
      <c r="F345" s="249">
        <v>0.25</v>
      </c>
      <c r="G345" s="250">
        <v>0.5</v>
      </c>
      <c r="I345" s="248">
        <v>44938</v>
      </c>
      <c r="J345" s="249">
        <v>0.25</v>
      </c>
      <c r="K345" s="250">
        <v>0.9</v>
      </c>
    </row>
    <row r="346" spans="5:11" ht="14.25" customHeight="1" x14ac:dyDescent="0.35">
      <c r="E346" s="248">
        <v>44942</v>
      </c>
      <c r="F346" s="249">
        <v>0.25</v>
      </c>
      <c r="G346" s="250">
        <v>0.6</v>
      </c>
      <c r="I346" s="248">
        <v>44942</v>
      </c>
      <c r="J346" s="249">
        <v>0.25</v>
      </c>
      <c r="K346" s="250">
        <v>1</v>
      </c>
    </row>
    <row r="347" spans="5:11" ht="14.25" customHeight="1" x14ac:dyDescent="0.35">
      <c r="E347" s="248">
        <v>44945</v>
      </c>
      <c r="F347" s="249">
        <v>0.25</v>
      </c>
      <c r="G347" s="250">
        <v>0.6</v>
      </c>
      <c r="I347" s="248">
        <v>44945</v>
      </c>
      <c r="J347" s="249">
        <v>0.25</v>
      </c>
      <c r="K347" s="250">
        <v>1</v>
      </c>
    </row>
    <row r="348" spans="5:11" ht="14.25" customHeight="1" x14ac:dyDescent="0.35">
      <c r="E348" s="248">
        <v>44949</v>
      </c>
      <c r="F348" s="249">
        <v>0.25</v>
      </c>
      <c r="G348" s="250">
        <v>0.7</v>
      </c>
      <c r="I348" s="248">
        <v>44949</v>
      </c>
      <c r="J348" s="249">
        <v>0.25</v>
      </c>
      <c r="K348" s="250">
        <v>1</v>
      </c>
    </row>
    <row r="349" spans="5:11" ht="14.25" customHeight="1" x14ac:dyDescent="0.35">
      <c r="E349" s="248">
        <v>44952</v>
      </c>
      <c r="F349" s="249">
        <v>0.25</v>
      </c>
      <c r="G349" s="250">
        <v>0.8</v>
      </c>
      <c r="I349" s="248">
        <v>44952</v>
      </c>
      <c r="J349" s="249">
        <v>0.25</v>
      </c>
      <c r="K349" s="250">
        <v>1.3</v>
      </c>
    </row>
    <row r="350" spans="5:11" ht="14.25" customHeight="1" x14ac:dyDescent="0.35">
      <c r="E350" s="248">
        <v>44956</v>
      </c>
      <c r="F350" s="249">
        <v>0.25</v>
      </c>
      <c r="G350" s="250">
        <v>0.7</v>
      </c>
      <c r="I350" s="248">
        <v>44956</v>
      </c>
      <c r="J350" s="249">
        <v>0.25</v>
      </c>
      <c r="K350" s="250">
        <v>1.1000000000000001</v>
      </c>
    </row>
    <row r="351" spans="5:11" ht="14.25" customHeight="1" x14ac:dyDescent="0.35">
      <c r="E351" s="248">
        <v>44959</v>
      </c>
      <c r="F351" s="249">
        <v>0.25</v>
      </c>
      <c r="G351" s="250">
        <v>0.7</v>
      </c>
      <c r="I351" s="248">
        <v>44959</v>
      </c>
      <c r="J351" s="249">
        <v>0.25</v>
      </c>
      <c r="K351" s="250">
        <v>1.1000000000000001</v>
      </c>
    </row>
    <row r="352" spans="5:11" ht="14.25" customHeight="1" x14ac:dyDescent="0.35">
      <c r="E352" s="248">
        <v>44963</v>
      </c>
      <c r="F352" s="249">
        <v>0.25</v>
      </c>
      <c r="G352" s="250">
        <v>0.7</v>
      </c>
      <c r="I352" s="248">
        <v>44963</v>
      </c>
      <c r="J352" s="249">
        <v>0.25</v>
      </c>
      <c r="K352" s="250">
        <v>1.1000000000000001</v>
      </c>
    </row>
    <row r="353" spans="5:11" ht="14.25" customHeight="1" x14ac:dyDescent="0.35">
      <c r="E353" s="248">
        <v>44965</v>
      </c>
      <c r="F353" s="249">
        <v>0.25</v>
      </c>
      <c r="G353" s="250">
        <v>0.7</v>
      </c>
      <c r="I353" s="248">
        <v>44965</v>
      </c>
      <c r="J353" s="249">
        <v>0.25</v>
      </c>
      <c r="K353" s="250">
        <v>1.3</v>
      </c>
    </row>
    <row r="354" spans="5:11" ht="14.25" customHeight="1" x14ac:dyDescent="0.35">
      <c r="E354" s="248">
        <v>44966</v>
      </c>
      <c r="F354" s="249">
        <v>0.25</v>
      </c>
      <c r="G354" s="250">
        <v>0.7</v>
      </c>
      <c r="I354" s="248">
        <v>44966</v>
      </c>
      <c r="J354" s="249">
        <v>0.25</v>
      </c>
      <c r="K354" s="250">
        <v>1.2</v>
      </c>
    </row>
    <row r="355" spans="5:11" ht="14.25" customHeight="1" x14ac:dyDescent="0.35">
      <c r="E355" s="248">
        <v>44970</v>
      </c>
      <c r="F355" s="249">
        <v>0.25</v>
      </c>
      <c r="G355" s="250">
        <v>0.7</v>
      </c>
      <c r="I355" s="248">
        <v>44970</v>
      </c>
      <c r="J355" s="249">
        <v>0.25</v>
      </c>
      <c r="K355" s="250">
        <v>1.1000000000000001</v>
      </c>
    </row>
    <row r="356" spans="5:11" ht="14.25" customHeight="1" x14ac:dyDescent="0.35">
      <c r="E356" s="248">
        <v>44973</v>
      </c>
      <c r="F356" s="249">
        <v>0.25</v>
      </c>
      <c r="G356" s="250">
        <v>0.7</v>
      </c>
      <c r="I356" s="248">
        <v>44973</v>
      </c>
      <c r="J356" s="249">
        <v>0.25</v>
      </c>
      <c r="K356" s="250">
        <v>1.1000000000000001</v>
      </c>
    </row>
    <row r="357" spans="5:11" ht="14.25" customHeight="1" x14ac:dyDescent="0.35">
      <c r="E357" s="248">
        <v>44977</v>
      </c>
      <c r="F357" s="249">
        <v>0.25</v>
      </c>
      <c r="G357" s="250">
        <v>0.6</v>
      </c>
      <c r="I357" s="248">
        <v>44977</v>
      </c>
      <c r="J357" s="249">
        <v>0.25</v>
      </c>
      <c r="K357" s="250">
        <v>1.1000000000000001</v>
      </c>
    </row>
    <row r="358" spans="5:11" ht="14.25" customHeight="1" x14ac:dyDescent="0.35">
      <c r="E358" s="248">
        <v>44980</v>
      </c>
      <c r="F358" s="249">
        <v>0.25</v>
      </c>
      <c r="G358" s="250">
        <v>0.4</v>
      </c>
      <c r="I358" s="248">
        <v>44980</v>
      </c>
      <c r="J358" s="249">
        <v>0.25</v>
      </c>
      <c r="K358" s="250">
        <v>1.1000000000000001</v>
      </c>
    </row>
    <row r="359" spans="5:11" ht="14.25" customHeight="1" x14ac:dyDescent="0.35">
      <c r="E359" s="248">
        <v>44984</v>
      </c>
      <c r="F359" s="249">
        <v>0.25</v>
      </c>
      <c r="G359" s="250">
        <v>0.2</v>
      </c>
      <c r="I359" s="248">
        <v>44984</v>
      </c>
      <c r="J359" s="249">
        <v>0.25</v>
      </c>
      <c r="K359" s="250">
        <v>0.8</v>
      </c>
    </row>
    <row r="360" spans="5:11" ht="14.25" customHeight="1" x14ac:dyDescent="0.35">
      <c r="E360" s="248">
        <v>44987</v>
      </c>
      <c r="F360" s="249">
        <v>0.25</v>
      </c>
      <c r="G360" s="250">
        <v>0.2</v>
      </c>
      <c r="I360" s="248">
        <v>44987</v>
      </c>
      <c r="J360" s="249">
        <v>0.25</v>
      </c>
      <c r="K360" s="250">
        <v>0.9</v>
      </c>
    </row>
    <row r="361" spans="5:11" ht="14.25" customHeight="1" x14ac:dyDescent="0.35">
      <c r="E361" s="248">
        <v>44991</v>
      </c>
      <c r="F361" s="249">
        <v>0.25</v>
      </c>
      <c r="G361" s="250">
        <v>0.3</v>
      </c>
      <c r="I361" s="248">
        <v>44991</v>
      </c>
      <c r="J361" s="249">
        <v>0.25</v>
      </c>
      <c r="K361" s="250">
        <v>1.1000000000000001</v>
      </c>
    </row>
    <row r="362" spans="5:11" ht="14.25" customHeight="1" x14ac:dyDescent="0.35">
      <c r="E362" s="248">
        <v>44993</v>
      </c>
      <c r="F362" s="249">
        <v>0.25</v>
      </c>
      <c r="G362" s="250">
        <v>0.5</v>
      </c>
      <c r="I362" s="248">
        <v>44993</v>
      </c>
      <c r="J362" s="249">
        <v>0.25</v>
      </c>
      <c r="K362" s="250">
        <v>1</v>
      </c>
    </row>
    <row r="363" spans="5:11" ht="14.25" customHeight="1" x14ac:dyDescent="0.35">
      <c r="E363" s="248">
        <v>44994</v>
      </c>
      <c r="F363" s="249">
        <v>0.25</v>
      </c>
      <c r="G363" s="250">
        <v>0.4</v>
      </c>
      <c r="I363" s="248">
        <v>44994</v>
      </c>
      <c r="J363" s="249">
        <v>0.25</v>
      </c>
      <c r="K363" s="250">
        <v>0.9</v>
      </c>
    </row>
    <row r="364" spans="5:11" ht="14.25" customHeight="1" x14ac:dyDescent="0.35">
      <c r="E364" s="248">
        <v>44998</v>
      </c>
      <c r="F364" s="249">
        <v>0.25</v>
      </c>
      <c r="G364" s="250">
        <v>0.4</v>
      </c>
      <c r="I364" s="248">
        <v>44998</v>
      </c>
      <c r="J364" s="249">
        <v>0.25</v>
      </c>
      <c r="K364" s="250">
        <v>0.7</v>
      </c>
    </row>
    <row r="365" spans="5:11" ht="14.25" customHeight="1" x14ac:dyDescent="0.35">
      <c r="E365" s="248">
        <v>45001</v>
      </c>
      <c r="F365" s="249">
        <v>0.25</v>
      </c>
      <c r="G365" s="250">
        <v>0.6</v>
      </c>
      <c r="I365" s="248">
        <v>45001</v>
      </c>
      <c r="J365" s="249">
        <v>0.25</v>
      </c>
      <c r="K365" s="250">
        <v>1</v>
      </c>
    </row>
    <row r="366" spans="5:11" ht="14.25" customHeight="1" x14ac:dyDescent="0.35">
      <c r="E366" s="248">
        <v>45005</v>
      </c>
      <c r="F366" s="249">
        <v>0.25</v>
      </c>
      <c r="G366" s="250">
        <v>0.6</v>
      </c>
      <c r="I366" s="248">
        <v>45005</v>
      </c>
      <c r="J366" s="249">
        <v>0.25</v>
      </c>
      <c r="K366" s="250">
        <v>1.1000000000000001</v>
      </c>
    </row>
    <row r="367" spans="5:11" ht="14.25" customHeight="1" x14ac:dyDescent="0.35">
      <c r="E367" s="248">
        <v>45008</v>
      </c>
      <c r="F367" s="249">
        <v>0.25</v>
      </c>
      <c r="G367" s="250">
        <v>0.4</v>
      </c>
      <c r="I367" s="248">
        <v>45008</v>
      </c>
      <c r="J367" s="249">
        <v>0.25</v>
      </c>
      <c r="K367" s="250">
        <v>1.1000000000000001</v>
      </c>
    </row>
    <row r="368" spans="5:11" ht="14.25" customHeight="1" x14ac:dyDescent="0.35">
      <c r="E368" s="248">
        <v>45012</v>
      </c>
      <c r="F368" s="249">
        <v>0.25</v>
      </c>
      <c r="G368" s="250">
        <v>0.3</v>
      </c>
      <c r="I368" s="248">
        <v>45012</v>
      </c>
      <c r="J368" s="249">
        <v>0.25</v>
      </c>
      <c r="K368" s="250">
        <v>0.9</v>
      </c>
    </row>
    <row r="369" spans="5:11" ht="14.25" customHeight="1" x14ac:dyDescent="0.35">
      <c r="E369" s="248">
        <v>45015</v>
      </c>
      <c r="F369" s="249">
        <v>0.25</v>
      </c>
      <c r="G369" s="250">
        <v>0.4</v>
      </c>
      <c r="I369" s="248">
        <v>45015</v>
      </c>
      <c r="J369" s="249">
        <v>0.25</v>
      </c>
      <c r="K369" s="250">
        <v>1</v>
      </c>
    </row>
    <row r="370" spans="5:11" ht="14.25" customHeight="1" x14ac:dyDescent="0.35">
      <c r="E370" s="248">
        <v>45019</v>
      </c>
      <c r="F370" s="249">
        <v>0.25</v>
      </c>
      <c r="G370" s="250">
        <v>0.3</v>
      </c>
      <c r="I370" s="248">
        <v>45019</v>
      </c>
      <c r="J370" s="249">
        <v>0.25</v>
      </c>
      <c r="K370" s="250">
        <v>0.7</v>
      </c>
    </row>
    <row r="371" spans="5:11" ht="14.25" customHeight="1" x14ac:dyDescent="0.35">
      <c r="E371" s="248">
        <v>45021</v>
      </c>
      <c r="F371" s="249">
        <v>0.3888888888888889</v>
      </c>
      <c r="G371" s="250">
        <v>0.3</v>
      </c>
      <c r="I371" s="248">
        <v>45021</v>
      </c>
      <c r="J371" s="249">
        <v>0.3888888888888889</v>
      </c>
      <c r="K371" s="250">
        <v>0.9</v>
      </c>
    </row>
    <row r="372" spans="5:11" ht="14.25" customHeight="1" x14ac:dyDescent="0.35">
      <c r="E372" s="248">
        <v>45022</v>
      </c>
      <c r="F372" s="249">
        <v>0.25</v>
      </c>
      <c r="G372" s="250">
        <v>0.3</v>
      </c>
      <c r="I372" s="248">
        <v>45022</v>
      </c>
      <c r="J372" s="249">
        <v>0.25</v>
      </c>
      <c r="K372" s="250">
        <v>0.8</v>
      </c>
    </row>
    <row r="373" spans="5:11" ht="14.25" customHeight="1" x14ac:dyDescent="0.35">
      <c r="E373" s="248">
        <v>45026</v>
      </c>
      <c r="F373" s="249">
        <v>0.25</v>
      </c>
      <c r="G373" s="250">
        <v>0.3</v>
      </c>
      <c r="I373" s="248">
        <v>45026</v>
      </c>
      <c r="J373" s="249">
        <v>0.25</v>
      </c>
      <c r="K373" s="250">
        <v>1</v>
      </c>
    </row>
    <row r="374" spans="5:11" ht="14.25" customHeight="1" x14ac:dyDescent="0.35">
      <c r="E374" s="248">
        <v>45029</v>
      </c>
      <c r="F374" s="249">
        <v>0.25</v>
      </c>
      <c r="G374" s="250">
        <v>0.4</v>
      </c>
      <c r="I374" s="248">
        <v>45029</v>
      </c>
      <c r="J374" s="249">
        <v>0.25</v>
      </c>
      <c r="K374" s="250">
        <v>1.1000000000000001</v>
      </c>
    </row>
    <row r="375" spans="5:11" ht="14.25" customHeight="1" x14ac:dyDescent="0.35">
      <c r="E375" s="248">
        <v>45033</v>
      </c>
      <c r="F375" s="249">
        <v>0.25</v>
      </c>
      <c r="G375" s="250">
        <v>0.2</v>
      </c>
      <c r="I375" s="248">
        <v>45033</v>
      </c>
      <c r="J375" s="249">
        <v>0.25</v>
      </c>
      <c r="K375" s="250">
        <v>0.6</v>
      </c>
    </row>
    <row r="376" spans="5:11" ht="14.25" customHeight="1" x14ac:dyDescent="0.35">
      <c r="E376" s="248">
        <v>45036</v>
      </c>
      <c r="F376" s="249">
        <v>0.25</v>
      </c>
      <c r="G376" s="250">
        <v>0.4</v>
      </c>
      <c r="I376" s="248">
        <v>45036</v>
      </c>
      <c r="J376" s="249">
        <v>0.25</v>
      </c>
      <c r="K376" s="250">
        <v>1</v>
      </c>
    </row>
    <row r="377" spans="5:11" ht="14.25" customHeight="1" x14ac:dyDescent="0.35">
      <c r="E377" s="248">
        <v>45040</v>
      </c>
      <c r="F377" s="249">
        <v>0.25</v>
      </c>
      <c r="G377" s="250">
        <v>0.4</v>
      </c>
      <c r="I377" s="248">
        <v>45040</v>
      </c>
      <c r="J377" s="249">
        <v>0.25</v>
      </c>
      <c r="K377" s="250">
        <v>1.1000000000000001</v>
      </c>
    </row>
    <row r="378" spans="5:11" ht="14.25" customHeight="1" x14ac:dyDescent="0.35">
      <c r="E378" s="248">
        <v>45043</v>
      </c>
      <c r="F378" s="249">
        <v>0.25</v>
      </c>
      <c r="G378" s="250">
        <v>0.5</v>
      </c>
      <c r="I378" s="248">
        <v>45043</v>
      </c>
      <c r="J378" s="249">
        <v>0.25</v>
      </c>
      <c r="K378" s="250">
        <v>1.1000000000000001</v>
      </c>
    </row>
    <row r="379" spans="5:11" ht="14.25" customHeight="1" x14ac:dyDescent="0.35">
      <c r="E379" s="248">
        <v>45047</v>
      </c>
      <c r="F379" s="249">
        <v>0.25</v>
      </c>
      <c r="G379" s="250">
        <v>0.4</v>
      </c>
      <c r="I379" s="248">
        <v>45047</v>
      </c>
      <c r="J379" s="249">
        <v>0.25</v>
      </c>
      <c r="K379" s="250">
        <v>1</v>
      </c>
    </row>
    <row r="380" spans="5:11" ht="14.25" customHeight="1" x14ac:dyDescent="0.35">
      <c r="E380" s="248">
        <v>45050</v>
      </c>
      <c r="F380" s="249">
        <v>0.25</v>
      </c>
      <c r="G380" s="250">
        <v>0.6</v>
      </c>
      <c r="I380" s="248">
        <v>45050</v>
      </c>
      <c r="J380" s="249">
        <v>0.25</v>
      </c>
      <c r="K380" s="250">
        <v>1.1000000000000001</v>
      </c>
    </row>
    <row r="381" spans="5:11" ht="14.25" customHeight="1" x14ac:dyDescent="0.35">
      <c r="E381" s="248">
        <v>45054</v>
      </c>
      <c r="F381" s="249">
        <v>0.25</v>
      </c>
      <c r="G381" s="250">
        <v>0.4</v>
      </c>
      <c r="I381" s="248">
        <v>45054</v>
      </c>
      <c r="J381" s="249">
        <v>0.25</v>
      </c>
      <c r="K381" s="250">
        <v>1</v>
      </c>
    </row>
    <row r="382" spans="5:11" ht="14.25" customHeight="1" x14ac:dyDescent="0.35">
      <c r="E382" s="248">
        <v>45056</v>
      </c>
      <c r="F382" s="249">
        <v>0.25</v>
      </c>
      <c r="G382" s="250">
        <v>0.4</v>
      </c>
      <c r="I382" s="248">
        <v>45056</v>
      </c>
      <c r="J382" s="249">
        <v>0.25</v>
      </c>
      <c r="K382" s="250">
        <v>1.2</v>
      </c>
    </row>
    <row r="383" spans="5:11" ht="14.25" customHeight="1" x14ac:dyDescent="0.35">
      <c r="E383" s="248">
        <v>45057</v>
      </c>
      <c r="F383" s="249">
        <v>0.25</v>
      </c>
      <c r="G383" s="250">
        <v>0.3</v>
      </c>
      <c r="I383" s="248">
        <v>45057</v>
      </c>
      <c r="J383" s="249">
        <v>0.25</v>
      </c>
      <c r="K383" s="250">
        <v>1.2</v>
      </c>
    </row>
    <row r="384" spans="5:11" ht="14.25" customHeight="1" x14ac:dyDescent="0.35">
      <c r="E384" s="248">
        <v>45061</v>
      </c>
      <c r="F384" s="249">
        <v>0.25</v>
      </c>
      <c r="G384" s="250">
        <v>0.5</v>
      </c>
      <c r="I384" s="248">
        <v>45061</v>
      </c>
      <c r="J384" s="249">
        <v>0.25</v>
      </c>
      <c r="K384" s="250">
        <v>1.1000000000000001</v>
      </c>
    </row>
    <row r="385" spans="5:11" ht="14.25" customHeight="1" x14ac:dyDescent="0.35">
      <c r="E385" s="248">
        <v>45064</v>
      </c>
      <c r="F385" s="249">
        <v>0.25</v>
      </c>
      <c r="G385" s="250">
        <v>0.5</v>
      </c>
      <c r="I385" s="248">
        <v>45064</v>
      </c>
      <c r="J385" s="249">
        <v>0.25</v>
      </c>
      <c r="K385" s="250">
        <v>1</v>
      </c>
    </row>
    <row r="386" spans="5:11" ht="14.25" customHeight="1" x14ac:dyDescent="0.35">
      <c r="E386" s="248">
        <v>45068</v>
      </c>
      <c r="F386" s="249">
        <v>0.25</v>
      </c>
      <c r="G386" s="250">
        <v>0.4</v>
      </c>
      <c r="I386" s="248">
        <v>45068</v>
      </c>
      <c r="J386" s="249">
        <v>0.25</v>
      </c>
      <c r="K386" s="250">
        <v>1.1000000000000001</v>
      </c>
    </row>
    <row r="387" spans="5:11" ht="14.25" customHeight="1" x14ac:dyDescent="0.35">
      <c r="E387" s="248">
        <v>45071</v>
      </c>
      <c r="F387" s="249">
        <v>0.25</v>
      </c>
      <c r="G387" s="250">
        <v>0.5</v>
      </c>
      <c r="I387" s="248">
        <v>45071</v>
      </c>
      <c r="J387" s="249">
        <v>0.25</v>
      </c>
      <c r="K387" s="250">
        <v>1.2</v>
      </c>
    </row>
    <row r="388" spans="5:11" ht="14.25" customHeight="1" x14ac:dyDescent="0.35">
      <c r="E388" s="248">
        <v>45075</v>
      </c>
      <c r="F388" s="249">
        <v>0.25</v>
      </c>
      <c r="G388" s="250">
        <v>0.4</v>
      </c>
      <c r="I388" s="248">
        <v>45075</v>
      </c>
      <c r="J388" s="249">
        <v>0.25</v>
      </c>
      <c r="K388" s="250">
        <v>1.3</v>
      </c>
    </row>
    <row r="389" spans="5:11" ht="14.25" customHeight="1" x14ac:dyDescent="0.35">
      <c r="E389" s="248">
        <v>45078</v>
      </c>
      <c r="F389" s="249">
        <v>0.25</v>
      </c>
      <c r="G389" s="250">
        <v>0.5</v>
      </c>
      <c r="I389" s="248">
        <v>45078</v>
      </c>
      <c r="J389" s="249">
        <v>0.25</v>
      </c>
      <c r="K389" s="250">
        <v>1.3</v>
      </c>
    </row>
    <row r="390" spans="5:11" ht="14.25" customHeight="1" x14ac:dyDescent="0.35">
      <c r="E390" s="248">
        <v>45082</v>
      </c>
      <c r="F390" s="249">
        <v>0.25</v>
      </c>
      <c r="G390" s="250">
        <v>0.4</v>
      </c>
      <c r="I390" s="248">
        <v>45082</v>
      </c>
      <c r="J390" s="249">
        <v>0.25</v>
      </c>
      <c r="K390" s="250">
        <v>1.1000000000000001</v>
      </c>
    </row>
    <row r="391" spans="5:11" ht="14.25" customHeight="1" x14ac:dyDescent="0.35">
      <c r="E391" s="248">
        <v>45084</v>
      </c>
      <c r="F391" s="249">
        <v>0.25</v>
      </c>
      <c r="G391" s="250">
        <v>0.5</v>
      </c>
      <c r="I391" s="248">
        <v>45084</v>
      </c>
      <c r="J391" s="249">
        <v>0.25</v>
      </c>
      <c r="K391" s="250">
        <v>0.9</v>
      </c>
    </row>
    <row r="392" spans="5:11" ht="14.25" customHeight="1" x14ac:dyDescent="0.35">
      <c r="E392" s="248">
        <v>45085</v>
      </c>
      <c r="F392" s="249">
        <v>0.25</v>
      </c>
      <c r="G392" s="250">
        <v>0.7</v>
      </c>
      <c r="I392" s="248">
        <v>45085</v>
      </c>
      <c r="J392" s="249">
        <v>0.25</v>
      </c>
      <c r="K392" s="250">
        <v>0.9</v>
      </c>
    </row>
    <row r="393" spans="5:11" ht="14.25" customHeight="1" x14ac:dyDescent="0.35">
      <c r="E393" s="248">
        <v>45089</v>
      </c>
      <c r="F393" s="249">
        <v>0.25</v>
      </c>
      <c r="G393" s="250">
        <v>0.4</v>
      </c>
      <c r="I393" s="248">
        <v>45089</v>
      </c>
      <c r="J393" s="249">
        <v>0.25</v>
      </c>
      <c r="K393" s="250">
        <v>0.9</v>
      </c>
    </row>
    <row r="394" spans="5:11" ht="14.25" customHeight="1" x14ac:dyDescent="0.35">
      <c r="E394" s="248">
        <v>45092</v>
      </c>
      <c r="F394" s="249">
        <v>0.25</v>
      </c>
      <c r="G394" s="250">
        <v>0.5</v>
      </c>
      <c r="I394" s="248">
        <v>45092</v>
      </c>
      <c r="J394" s="249">
        <v>0.25</v>
      </c>
      <c r="K394" s="250">
        <v>1.1000000000000001</v>
      </c>
    </row>
    <row r="395" spans="5:11" ht="14.25" customHeight="1" x14ac:dyDescent="0.35">
      <c r="E395" s="248">
        <v>45096</v>
      </c>
      <c r="F395" s="249">
        <v>0.25</v>
      </c>
      <c r="G395" s="250">
        <v>0.5</v>
      </c>
      <c r="I395" s="248">
        <v>45096</v>
      </c>
      <c r="J395" s="249">
        <v>0.25</v>
      </c>
      <c r="K395" s="250">
        <v>1.1000000000000001</v>
      </c>
    </row>
    <row r="396" spans="5:11" ht="14.25" customHeight="1" x14ac:dyDescent="0.35">
      <c r="E396" s="248">
        <v>45099</v>
      </c>
      <c r="F396" s="249">
        <v>0.25</v>
      </c>
      <c r="G396" s="250">
        <v>0.5</v>
      </c>
      <c r="I396" s="248">
        <v>45099</v>
      </c>
      <c r="J396" s="249">
        <v>0.25</v>
      </c>
      <c r="K396" s="250">
        <v>1</v>
      </c>
    </row>
    <row r="397" spans="5:11" ht="14.25" customHeight="1" x14ac:dyDescent="0.35">
      <c r="E397" s="248">
        <v>45103</v>
      </c>
      <c r="F397" s="249">
        <v>0.25</v>
      </c>
      <c r="G397" s="250">
        <v>0.5</v>
      </c>
      <c r="I397" s="248">
        <v>45103</v>
      </c>
      <c r="J397" s="249">
        <v>0.25</v>
      </c>
      <c r="K397" s="250">
        <v>1.1000000000000001</v>
      </c>
    </row>
    <row r="398" spans="5:11" ht="14.25" customHeight="1" x14ac:dyDescent="0.35">
      <c r="E398" s="248">
        <v>45106</v>
      </c>
      <c r="F398" s="249">
        <v>0.25</v>
      </c>
      <c r="G398" s="250">
        <v>0.5</v>
      </c>
      <c r="I398" s="248">
        <v>45106</v>
      </c>
      <c r="J398" s="249">
        <v>0.25</v>
      </c>
      <c r="K398" s="250">
        <v>1.2</v>
      </c>
    </row>
    <row r="399" spans="5:11" ht="14.25" customHeight="1" x14ac:dyDescent="0.35">
      <c r="E399" s="248">
        <v>45110</v>
      </c>
      <c r="F399" s="249">
        <v>0.25</v>
      </c>
      <c r="G399" s="250">
        <v>0.6</v>
      </c>
      <c r="I399" s="248">
        <v>45110</v>
      </c>
      <c r="J399" s="249">
        <v>0.25</v>
      </c>
      <c r="K399" s="250">
        <v>1.2</v>
      </c>
    </row>
    <row r="400" spans="5:11" ht="14.25" customHeight="1" x14ac:dyDescent="0.35">
      <c r="E400" s="248">
        <v>45113</v>
      </c>
      <c r="F400" s="249">
        <v>0.25</v>
      </c>
      <c r="G400" s="250">
        <v>0.5</v>
      </c>
      <c r="I400" s="248">
        <v>45113</v>
      </c>
      <c r="J400" s="249">
        <v>0.25</v>
      </c>
      <c r="K400" s="250">
        <v>1.1000000000000001</v>
      </c>
    </row>
    <row r="401" spans="5:11" ht="14.25" customHeight="1" x14ac:dyDescent="0.35">
      <c r="E401" s="248">
        <v>45117</v>
      </c>
      <c r="F401" s="249">
        <v>0.25</v>
      </c>
      <c r="G401" s="250">
        <v>0.5</v>
      </c>
      <c r="I401" s="248">
        <v>45117</v>
      </c>
      <c r="J401" s="249">
        <v>0.25</v>
      </c>
      <c r="K401" s="250">
        <v>1.2</v>
      </c>
    </row>
    <row r="402" spans="5:11" ht="14.25" customHeight="1" x14ac:dyDescent="0.35">
      <c r="E402" s="248">
        <v>45119</v>
      </c>
      <c r="F402" s="249">
        <v>0.37847222222222221</v>
      </c>
      <c r="G402" s="250">
        <v>0.5</v>
      </c>
      <c r="I402" s="248">
        <v>45119</v>
      </c>
      <c r="J402" s="249">
        <v>0.37847222222222221</v>
      </c>
      <c r="K402" s="250">
        <v>1.2</v>
      </c>
    </row>
    <row r="403" spans="5:11" ht="14.25" customHeight="1" x14ac:dyDescent="0.35">
      <c r="E403" s="248">
        <v>45120</v>
      </c>
      <c r="F403" s="249">
        <v>0.25</v>
      </c>
      <c r="G403" s="250">
        <v>0.7</v>
      </c>
      <c r="I403" s="248">
        <v>45120</v>
      </c>
      <c r="J403" s="249">
        <v>0.25</v>
      </c>
      <c r="K403" s="250">
        <v>1.2</v>
      </c>
    </row>
    <row r="404" spans="5:11" ht="14.25" customHeight="1" x14ac:dyDescent="0.35">
      <c r="E404" s="248">
        <v>45124</v>
      </c>
      <c r="F404" s="249">
        <v>0.25</v>
      </c>
      <c r="G404" s="250">
        <v>0.6</v>
      </c>
      <c r="I404" s="248">
        <v>45124</v>
      </c>
      <c r="J404" s="249">
        <v>0.25</v>
      </c>
      <c r="K404" s="250">
        <v>1.3</v>
      </c>
    </row>
    <row r="405" spans="5:11" ht="14.25" customHeight="1" x14ac:dyDescent="0.35">
      <c r="E405" s="248">
        <v>45127</v>
      </c>
      <c r="F405" s="249">
        <v>0.25</v>
      </c>
      <c r="G405" s="250">
        <v>0.6</v>
      </c>
      <c r="I405" s="248">
        <v>45127</v>
      </c>
      <c r="J405" s="249">
        <v>0.25</v>
      </c>
      <c r="K405" s="250">
        <v>1.4</v>
      </c>
    </row>
    <row r="406" spans="5:11" ht="14.25" customHeight="1" x14ac:dyDescent="0.35">
      <c r="E406" s="248">
        <v>45131</v>
      </c>
      <c r="F406" s="249">
        <v>0.25</v>
      </c>
      <c r="G406" s="250">
        <v>0.6</v>
      </c>
      <c r="I406" s="248">
        <v>45131</v>
      </c>
      <c r="J406" s="249">
        <v>0.25</v>
      </c>
      <c r="K406" s="250">
        <v>1.4</v>
      </c>
    </row>
    <row r="407" spans="5:11" ht="14.25" customHeight="1" x14ac:dyDescent="0.35">
      <c r="E407" s="248">
        <v>45134</v>
      </c>
      <c r="F407" s="249">
        <v>0.25</v>
      </c>
      <c r="G407" s="250">
        <v>0.5</v>
      </c>
      <c r="I407" s="248">
        <v>45134</v>
      </c>
      <c r="J407" s="249">
        <v>0.25</v>
      </c>
      <c r="K407" s="250">
        <v>1.3</v>
      </c>
    </row>
    <row r="408" spans="5:11" ht="14.25" customHeight="1" x14ac:dyDescent="0.35">
      <c r="E408" s="248">
        <v>45138</v>
      </c>
      <c r="F408" s="249">
        <v>0.25</v>
      </c>
      <c r="G408" s="250">
        <v>0.5</v>
      </c>
      <c r="I408" s="248">
        <v>45138</v>
      </c>
      <c r="J408" s="249">
        <v>0.25</v>
      </c>
      <c r="K408" s="250">
        <v>1.3</v>
      </c>
    </row>
    <row r="409" spans="5:11" ht="14.25" customHeight="1" x14ac:dyDescent="0.35">
      <c r="E409" s="248">
        <v>45141</v>
      </c>
      <c r="F409" s="249">
        <v>0.25</v>
      </c>
      <c r="G409" s="250">
        <v>0.4</v>
      </c>
      <c r="I409" s="248">
        <v>45141</v>
      </c>
      <c r="J409" s="249">
        <v>0.25</v>
      </c>
      <c r="K409" s="250">
        <v>1.4</v>
      </c>
    </row>
    <row r="410" spans="5:11" ht="14.25" customHeight="1" x14ac:dyDescent="0.35">
      <c r="E410" s="248">
        <v>45145</v>
      </c>
      <c r="F410" s="249">
        <v>0.25</v>
      </c>
      <c r="G410" s="250">
        <v>0.4</v>
      </c>
      <c r="I410" s="248">
        <v>45145</v>
      </c>
      <c r="J410" s="249">
        <v>0.25</v>
      </c>
      <c r="K410" s="250">
        <v>1.2</v>
      </c>
    </row>
    <row r="411" spans="5:11" ht="14.25" customHeight="1" x14ac:dyDescent="0.35">
      <c r="E411" s="248">
        <v>45147</v>
      </c>
      <c r="F411" s="249">
        <v>0.25</v>
      </c>
      <c r="G411" s="250">
        <v>0.2</v>
      </c>
      <c r="I411" s="248">
        <v>45147</v>
      </c>
      <c r="J411" s="249">
        <v>0.25</v>
      </c>
      <c r="K411" s="250">
        <v>1.1000000000000001</v>
      </c>
    </row>
    <row r="412" spans="5:11" ht="14.25" customHeight="1" x14ac:dyDescent="0.35">
      <c r="E412" s="248">
        <v>45148</v>
      </c>
      <c r="F412" s="249">
        <v>0.25</v>
      </c>
      <c r="G412" s="250">
        <v>0.2</v>
      </c>
      <c r="I412" s="248">
        <v>45148</v>
      </c>
      <c r="J412" s="249">
        <v>0.25</v>
      </c>
      <c r="K412" s="250">
        <v>1.1000000000000001</v>
      </c>
    </row>
    <row r="413" spans="5:11" ht="14.25" customHeight="1" x14ac:dyDescent="0.35">
      <c r="E413" s="248">
        <v>45152</v>
      </c>
      <c r="F413" s="249">
        <v>0.25</v>
      </c>
      <c r="G413" s="250">
        <v>0.1</v>
      </c>
      <c r="I413" s="248">
        <v>45152</v>
      </c>
      <c r="J413" s="249">
        <v>0.25</v>
      </c>
      <c r="K413" s="250">
        <v>0.9</v>
      </c>
    </row>
    <row r="414" spans="5:11" ht="14.25" customHeight="1" x14ac:dyDescent="0.35">
      <c r="E414" s="248">
        <v>45155</v>
      </c>
      <c r="F414" s="249">
        <v>0.25</v>
      </c>
      <c r="G414" s="250">
        <v>0.2</v>
      </c>
      <c r="I414" s="248">
        <v>45155</v>
      </c>
      <c r="J414" s="249">
        <v>0.25</v>
      </c>
      <c r="K414" s="250">
        <v>1.1000000000000001</v>
      </c>
    </row>
    <row r="415" spans="5:11" ht="14.25" customHeight="1" x14ac:dyDescent="0.35">
      <c r="E415" s="248">
        <v>45159</v>
      </c>
      <c r="F415" s="249">
        <v>0.25</v>
      </c>
      <c r="G415" s="250">
        <v>0.2</v>
      </c>
      <c r="I415" s="248">
        <v>45159</v>
      </c>
      <c r="J415" s="249">
        <v>0.25</v>
      </c>
      <c r="K415" s="250">
        <v>0.9</v>
      </c>
    </row>
    <row r="416" spans="5:11" ht="14.25" customHeight="1" x14ac:dyDescent="0.35">
      <c r="E416" s="248">
        <v>45162</v>
      </c>
      <c r="F416" s="249">
        <v>0.25</v>
      </c>
      <c r="G416" s="250" t="s">
        <v>50</v>
      </c>
      <c r="I416" s="248">
        <v>45162</v>
      </c>
      <c r="J416" s="249">
        <v>0.25</v>
      </c>
      <c r="K416" s="250">
        <v>0.8</v>
      </c>
    </row>
    <row r="417" spans="5:11" ht="14.25" customHeight="1" x14ac:dyDescent="0.35">
      <c r="E417" s="248">
        <v>45166</v>
      </c>
      <c r="F417" s="249">
        <v>0.25</v>
      </c>
      <c r="G417" s="250">
        <v>0.2</v>
      </c>
      <c r="I417" s="248">
        <v>45166</v>
      </c>
      <c r="J417" s="249">
        <v>0.25</v>
      </c>
      <c r="K417" s="250">
        <v>0.9</v>
      </c>
    </row>
    <row r="418" spans="5:11" ht="14.25" customHeight="1" x14ac:dyDescent="0.35">
      <c r="E418" s="248">
        <v>45169</v>
      </c>
      <c r="F418" s="249">
        <v>0.25</v>
      </c>
      <c r="G418" s="250">
        <v>0.2</v>
      </c>
      <c r="I418" s="248">
        <v>45169</v>
      </c>
      <c r="J418" s="249">
        <v>0.25</v>
      </c>
      <c r="K418" s="250">
        <v>1.1000000000000001</v>
      </c>
    </row>
    <row r="419" spans="5:11" ht="14.25" customHeight="1" x14ac:dyDescent="0.35">
      <c r="E419" s="248">
        <v>45173</v>
      </c>
      <c r="F419" s="249">
        <v>0.25</v>
      </c>
      <c r="G419" s="250">
        <v>0.3</v>
      </c>
      <c r="I419" s="248">
        <v>45173</v>
      </c>
      <c r="J419" s="249">
        <v>0.25</v>
      </c>
      <c r="K419" s="250">
        <v>1.1000000000000001</v>
      </c>
    </row>
    <row r="420" spans="5:11" ht="14.25" customHeight="1" x14ac:dyDescent="0.35">
      <c r="E420" s="248">
        <v>45176</v>
      </c>
      <c r="F420" s="249">
        <v>0.25</v>
      </c>
      <c r="G420" s="250">
        <v>0.1</v>
      </c>
      <c r="I420" s="248">
        <v>45176</v>
      </c>
      <c r="J420" s="249">
        <v>0.25</v>
      </c>
      <c r="K420" s="250">
        <v>0.9</v>
      </c>
    </row>
    <row r="421" spans="5:11" ht="14.25" customHeight="1" x14ac:dyDescent="0.35">
      <c r="E421" s="248">
        <v>45180</v>
      </c>
      <c r="F421" s="249">
        <v>0.25</v>
      </c>
      <c r="G421" s="250" t="s">
        <v>50</v>
      </c>
      <c r="I421" s="248">
        <v>45180</v>
      </c>
      <c r="J421" s="249">
        <v>0.25</v>
      </c>
      <c r="K421" s="250">
        <v>0.8</v>
      </c>
    </row>
    <row r="422" spans="5:11" ht="14.25" customHeight="1" x14ac:dyDescent="0.35">
      <c r="E422" s="248">
        <v>45182</v>
      </c>
      <c r="F422" s="249">
        <v>0.25</v>
      </c>
      <c r="G422" s="250">
        <v>0.1</v>
      </c>
      <c r="I422" s="248">
        <v>45182</v>
      </c>
      <c r="J422" s="249">
        <v>0.25</v>
      </c>
      <c r="K422" s="250">
        <v>0.9</v>
      </c>
    </row>
    <row r="423" spans="5:11" ht="14.25" customHeight="1" x14ac:dyDescent="0.35">
      <c r="E423" s="248">
        <v>45183</v>
      </c>
      <c r="F423" s="249">
        <v>0.25</v>
      </c>
      <c r="G423" s="250" t="s">
        <v>50</v>
      </c>
      <c r="I423" s="248">
        <v>45183</v>
      </c>
      <c r="J423" s="249">
        <v>0.25</v>
      </c>
      <c r="K423" s="250">
        <v>0.7</v>
      </c>
    </row>
    <row r="424" spans="5:11" ht="14.25" customHeight="1" x14ac:dyDescent="0.35">
      <c r="E424" s="248">
        <v>45187</v>
      </c>
      <c r="F424" s="249">
        <v>0.25</v>
      </c>
      <c r="G424" s="250">
        <v>0.2</v>
      </c>
      <c r="I424" s="248">
        <v>45187</v>
      </c>
      <c r="J424" s="249">
        <v>0.25</v>
      </c>
      <c r="K424" s="250">
        <v>0.9</v>
      </c>
    </row>
    <row r="425" spans="5:11" ht="14.25" customHeight="1" x14ac:dyDescent="0.35">
      <c r="E425" s="248">
        <v>45190</v>
      </c>
      <c r="F425" s="249">
        <v>0.25</v>
      </c>
      <c r="G425" s="250">
        <v>0.1</v>
      </c>
      <c r="I425" s="248">
        <v>45190</v>
      </c>
      <c r="J425" s="249">
        <v>0.25</v>
      </c>
      <c r="K425" s="250">
        <v>0.9</v>
      </c>
    </row>
    <row r="426" spans="5:11" ht="14.25" customHeight="1" x14ac:dyDescent="0.35">
      <c r="E426" s="248">
        <v>45194</v>
      </c>
      <c r="F426" s="249">
        <v>0.25</v>
      </c>
      <c r="G426" s="250" t="s">
        <v>50</v>
      </c>
      <c r="I426" s="248">
        <v>45194</v>
      </c>
      <c r="J426" s="249">
        <v>0.25</v>
      </c>
      <c r="K426" s="250">
        <v>0.8</v>
      </c>
    </row>
    <row r="427" spans="5:11" ht="14.25" customHeight="1" x14ac:dyDescent="0.35">
      <c r="E427" s="248">
        <v>45197</v>
      </c>
      <c r="F427" s="249">
        <v>0.25</v>
      </c>
      <c r="G427" s="250">
        <v>0.1</v>
      </c>
      <c r="I427" s="248">
        <v>45197</v>
      </c>
      <c r="J427" s="249">
        <v>0.25</v>
      </c>
      <c r="K427" s="250">
        <v>0.9</v>
      </c>
    </row>
    <row r="428" spans="5:11" ht="14.25" customHeight="1" x14ac:dyDescent="0.35">
      <c r="E428" s="248">
        <v>45201</v>
      </c>
      <c r="F428" s="249">
        <v>0.25</v>
      </c>
      <c r="G428" s="250">
        <v>0.1</v>
      </c>
      <c r="I428" s="248">
        <v>45201</v>
      </c>
      <c r="J428" s="249">
        <v>0.25</v>
      </c>
      <c r="K428" s="250">
        <v>0.9</v>
      </c>
    </row>
    <row r="429" spans="5:11" ht="14.25" customHeight="1" x14ac:dyDescent="0.35">
      <c r="E429" s="248">
        <v>45203</v>
      </c>
      <c r="F429" s="249">
        <v>0.42708333333333331</v>
      </c>
      <c r="G429" s="250">
        <v>0.4</v>
      </c>
      <c r="I429" s="248">
        <v>45203</v>
      </c>
      <c r="J429" s="249">
        <v>0.42708333333333331</v>
      </c>
      <c r="K429" s="250">
        <v>1.3</v>
      </c>
    </row>
    <row r="430" spans="5:11" ht="14.25" customHeight="1" x14ac:dyDescent="0.35">
      <c r="E430" s="248">
        <v>45204</v>
      </c>
      <c r="F430" s="249">
        <v>0.25</v>
      </c>
      <c r="G430" s="250">
        <v>0.4</v>
      </c>
      <c r="I430" s="248">
        <v>45204</v>
      </c>
      <c r="J430" s="249">
        <v>0.25</v>
      </c>
      <c r="K430" s="250">
        <v>1.3</v>
      </c>
    </row>
    <row r="431" spans="5:11" ht="14.25" customHeight="1" x14ac:dyDescent="0.35">
      <c r="E431" s="248">
        <v>45208</v>
      </c>
      <c r="F431" s="249">
        <v>0.25</v>
      </c>
      <c r="G431" s="250">
        <v>0.5</v>
      </c>
      <c r="I431" s="248">
        <v>45208</v>
      </c>
      <c r="J431" s="249">
        <v>0.25</v>
      </c>
      <c r="K431" s="250">
        <v>1.2</v>
      </c>
    </row>
    <row r="432" spans="5:11" ht="14.25" customHeight="1" x14ac:dyDescent="0.35">
      <c r="E432" s="248">
        <v>45211</v>
      </c>
      <c r="F432" s="249">
        <v>0.25</v>
      </c>
      <c r="G432" s="250">
        <v>0.4</v>
      </c>
      <c r="I432" s="248">
        <v>45211</v>
      </c>
      <c r="J432" s="249">
        <v>0.25</v>
      </c>
      <c r="K432" s="250">
        <v>1.2</v>
      </c>
    </row>
    <row r="433" spans="5:11" ht="14.25" customHeight="1" x14ac:dyDescent="0.35">
      <c r="E433" s="248">
        <v>45215</v>
      </c>
      <c r="F433" s="249">
        <v>0.25</v>
      </c>
      <c r="G433" s="250">
        <v>0.6</v>
      </c>
      <c r="I433" s="248">
        <v>45215</v>
      </c>
      <c r="J433" s="249">
        <v>0.25</v>
      </c>
      <c r="K433" s="250">
        <v>1.4</v>
      </c>
    </row>
    <row r="434" spans="5:11" ht="14.25" customHeight="1" x14ac:dyDescent="0.35">
      <c r="E434" s="248">
        <v>45218</v>
      </c>
      <c r="F434" s="249">
        <v>0.25</v>
      </c>
      <c r="G434" s="250">
        <v>0.4</v>
      </c>
      <c r="I434" s="248">
        <v>45218</v>
      </c>
      <c r="J434" s="249">
        <v>0.25</v>
      </c>
      <c r="K434" s="250">
        <v>1.3</v>
      </c>
    </row>
    <row r="435" spans="5:11" ht="14.25" customHeight="1" x14ac:dyDescent="0.35">
      <c r="E435" s="248">
        <v>45222</v>
      </c>
      <c r="F435" s="249">
        <v>0.25</v>
      </c>
      <c r="G435" s="250">
        <v>0.5</v>
      </c>
      <c r="I435" s="248">
        <v>45222</v>
      </c>
      <c r="J435" s="249">
        <v>0.25</v>
      </c>
      <c r="K435" s="250">
        <v>1.3</v>
      </c>
    </row>
    <row r="436" spans="5:11" ht="14.25" customHeight="1" x14ac:dyDescent="0.35">
      <c r="E436" s="248">
        <v>45225</v>
      </c>
      <c r="F436" s="249">
        <v>0.25</v>
      </c>
      <c r="G436" s="250">
        <v>0.6</v>
      </c>
      <c r="I436" s="248">
        <v>45225</v>
      </c>
      <c r="J436" s="249">
        <v>0.25</v>
      </c>
      <c r="K436" s="250">
        <v>1.5</v>
      </c>
    </row>
    <row r="437" spans="5:11" ht="14.25" customHeight="1" x14ac:dyDescent="0.35">
      <c r="E437" s="248">
        <v>45229</v>
      </c>
      <c r="F437" s="249">
        <v>0.25</v>
      </c>
      <c r="G437" s="250">
        <v>0.5</v>
      </c>
      <c r="I437" s="248">
        <v>45229</v>
      </c>
      <c r="J437" s="249">
        <v>0.25</v>
      </c>
      <c r="K437" s="250">
        <v>1.4</v>
      </c>
    </row>
    <row r="438" spans="5:11" ht="14.25" customHeight="1" x14ac:dyDescent="0.35">
      <c r="E438" s="248">
        <v>45232</v>
      </c>
      <c r="F438" s="249">
        <v>0.25</v>
      </c>
      <c r="G438" s="250">
        <v>0.5</v>
      </c>
      <c r="I438" s="248">
        <v>45232</v>
      </c>
      <c r="J438" s="249">
        <v>0.25</v>
      </c>
      <c r="K438" s="250">
        <v>1.2</v>
      </c>
    </row>
    <row r="439" spans="5:11" ht="14.25" customHeight="1" x14ac:dyDescent="0.35">
      <c r="E439" s="248">
        <v>45236</v>
      </c>
      <c r="F439" s="249">
        <v>0.25</v>
      </c>
      <c r="G439" s="250">
        <v>0.5</v>
      </c>
      <c r="I439" s="248">
        <v>45236</v>
      </c>
      <c r="J439" s="249">
        <v>0.25</v>
      </c>
      <c r="K439" s="250">
        <v>1.1000000000000001</v>
      </c>
    </row>
    <row r="440" spans="5:11" ht="14.25" customHeight="1" x14ac:dyDescent="0.35">
      <c r="E440" s="248">
        <v>45238</v>
      </c>
      <c r="F440" s="249">
        <v>0.25</v>
      </c>
      <c r="G440" s="250">
        <v>0.4</v>
      </c>
      <c r="I440" s="248">
        <v>45238</v>
      </c>
      <c r="J440" s="249">
        <v>0.25</v>
      </c>
      <c r="K440" s="250">
        <v>1.3</v>
      </c>
    </row>
    <row r="441" spans="5:11" ht="14.25" customHeight="1" x14ac:dyDescent="0.35">
      <c r="E441" s="248">
        <v>45239</v>
      </c>
      <c r="F441" s="249">
        <v>0.25</v>
      </c>
      <c r="G441" s="250">
        <v>0.5</v>
      </c>
      <c r="I441" s="248">
        <v>45239</v>
      </c>
      <c r="J441" s="249">
        <v>0.25</v>
      </c>
      <c r="K441" s="250">
        <v>1.3</v>
      </c>
    </row>
    <row r="442" spans="5:11" ht="14.25" customHeight="1" x14ac:dyDescent="0.35">
      <c r="E442" s="248">
        <v>45243</v>
      </c>
      <c r="F442" s="249">
        <v>0.25</v>
      </c>
      <c r="G442" s="250">
        <v>0.4</v>
      </c>
      <c r="I442" s="248">
        <v>45243</v>
      </c>
      <c r="J442" s="249">
        <v>0.25</v>
      </c>
      <c r="K442" s="250">
        <v>1</v>
      </c>
    </row>
    <row r="443" spans="5:11" ht="14.25" customHeight="1" x14ac:dyDescent="0.35">
      <c r="E443" s="248">
        <v>45246</v>
      </c>
      <c r="F443" s="249">
        <v>0.25</v>
      </c>
      <c r="G443" s="250">
        <v>0.4</v>
      </c>
      <c r="I443" s="248">
        <v>45246</v>
      </c>
      <c r="J443" s="249">
        <v>0.25</v>
      </c>
      <c r="K443" s="250">
        <v>1</v>
      </c>
    </row>
    <row r="444" spans="5:11" ht="14.25" customHeight="1" x14ac:dyDescent="0.35">
      <c r="E444" s="248">
        <v>45249</v>
      </c>
      <c r="F444" s="249">
        <v>0.25</v>
      </c>
      <c r="G444" s="250">
        <v>0.4</v>
      </c>
      <c r="I444" s="248">
        <v>45249</v>
      </c>
      <c r="J444" s="249">
        <v>0.25</v>
      </c>
      <c r="K444" s="250">
        <v>1.2</v>
      </c>
    </row>
    <row r="445" spans="5:11" ht="14.25" customHeight="1" x14ac:dyDescent="0.35">
      <c r="E445" s="248">
        <v>45252</v>
      </c>
      <c r="F445" s="249">
        <v>0.25</v>
      </c>
      <c r="G445" s="250">
        <v>0.3</v>
      </c>
      <c r="I445" s="248">
        <v>45252</v>
      </c>
      <c r="J445" s="249">
        <v>0.25</v>
      </c>
      <c r="K445" s="250">
        <v>1</v>
      </c>
    </row>
    <row r="446" spans="5:11" ht="14.25" customHeight="1" x14ac:dyDescent="0.35">
      <c r="E446" s="248">
        <v>45257</v>
      </c>
      <c r="F446" s="249">
        <v>0.25</v>
      </c>
      <c r="G446" s="250">
        <v>0.3</v>
      </c>
      <c r="I446" s="248">
        <v>45257</v>
      </c>
      <c r="J446" s="249">
        <v>0.25</v>
      </c>
      <c r="K446" s="250">
        <v>1.3</v>
      </c>
    </row>
    <row r="447" spans="5:11" ht="14.25" customHeight="1" x14ac:dyDescent="0.35">
      <c r="E447" s="248">
        <v>45260</v>
      </c>
      <c r="F447" s="249">
        <v>0.25</v>
      </c>
      <c r="G447" s="250">
        <v>0.3</v>
      </c>
      <c r="I447" s="248">
        <v>45260</v>
      </c>
      <c r="J447" s="249">
        <v>0.25</v>
      </c>
      <c r="K447" s="250">
        <v>1.2</v>
      </c>
    </row>
    <row r="448" spans="5:11" ht="14.25" customHeight="1" x14ac:dyDescent="0.35">
      <c r="E448" s="248">
        <v>45264</v>
      </c>
      <c r="F448" s="249">
        <v>0.25</v>
      </c>
      <c r="G448" s="250">
        <v>0.4</v>
      </c>
      <c r="I448" s="248">
        <v>45264</v>
      </c>
      <c r="J448" s="249">
        <v>0.25</v>
      </c>
      <c r="K448" s="250">
        <v>1.2</v>
      </c>
    </row>
    <row r="449" spans="5:11" ht="14.25" customHeight="1" x14ac:dyDescent="0.35">
      <c r="E449" s="248">
        <v>45267</v>
      </c>
      <c r="F449" s="249">
        <v>0.25</v>
      </c>
      <c r="G449" s="250">
        <v>0.4</v>
      </c>
      <c r="I449" s="248">
        <v>45267</v>
      </c>
      <c r="J449" s="249">
        <v>0.25</v>
      </c>
      <c r="K449" s="250">
        <v>1.1000000000000001</v>
      </c>
    </row>
    <row r="450" spans="5:11" ht="14.25" customHeight="1" x14ac:dyDescent="0.35">
      <c r="E450" s="248">
        <v>45271</v>
      </c>
      <c r="F450" s="249">
        <v>0.25</v>
      </c>
      <c r="G450" s="250">
        <v>0.3</v>
      </c>
      <c r="I450" s="248">
        <v>45271</v>
      </c>
      <c r="J450" s="249">
        <v>0.25</v>
      </c>
      <c r="K450" s="250">
        <v>1.2</v>
      </c>
    </row>
    <row r="451" spans="5:11" ht="14.25" customHeight="1" x14ac:dyDescent="0.35">
      <c r="E451" s="248">
        <v>45273</v>
      </c>
      <c r="F451" s="249">
        <v>0.25</v>
      </c>
      <c r="G451" s="250">
        <v>0.4</v>
      </c>
      <c r="I451" s="248">
        <v>45273</v>
      </c>
      <c r="J451" s="249">
        <v>0.25</v>
      </c>
      <c r="K451" s="250">
        <v>1.2</v>
      </c>
    </row>
    <row r="452" spans="5:11" ht="14.25" customHeight="1" x14ac:dyDescent="0.35">
      <c r="E452" s="248">
        <v>45274</v>
      </c>
      <c r="F452" s="249">
        <v>0.25</v>
      </c>
      <c r="G452" s="250">
        <v>0.5</v>
      </c>
      <c r="I452" s="248">
        <v>45274</v>
      </c>
      <c r="J452" s="249">
        <v>0.25</v>
      </c>
      <c r="K452" s="250">
        <v>1.2</v>
      </c>
    </row>
    <row r="453" spans="5:11" ht="14.25" customHeight="1" x14ac:dyDescent="0.35">
      <c r="E453" s="248">
        <v>45278</v>
      </c>
      <c r="F453" s="249">
        <v>0.25</v>
      </c>
      <c r="G453" s="250">
        <v>0.4</v>
      </c>
      <c r="I453" s="248">
        <v>45278</v>
      </c>
      <c r="J453" s="249">
        <v>0.25</v>
      </c>
      <c r="K453" s="250">
        <v>1.1000000000000001</v>
      </c>
    </row>
    <row r="454" spans="5:11" ht="14.25" customHeight="1" x14ac:dyDescent="0.35">
      <c r="E454" s="248">
        <v>45281</v>
      </c>
      <c r="F454" s="249">
        <v>0.25</v>
      </c>
      <c r="G454" s="250">
        <v>0.4</v>
      </c>
      <c r="I454" s="248">
        <v>45281</v>
      </c>
      <c r="J454" s="249">
        <v>0.25</v>
      </c>
      <c r="K454" s="250">
        <v>1.1000000000000001</v>
      </c>
    </row>
    <row r="455" spans="5:11" ht="14.25" customHeight="1" x14ac:dyDescent="0.35">
      <c r="E455" s="248">
        <v>45286</v>
      </c>
      <c r="F455" s="249">
        <v>0.25</v>
      </c>
      <c r="G455" s="250">
        <v>0.4</v>
      </c>
      <c r="I455" s="248">
        <v>45286</v>
      </c>
      <c r="J455" s="249">
        <v>0.25</v>
      </c>
      <c r="K455" s="250">
        <v>1.2</v>
      </c>
    </row>
    <row r="456" spans="5:11" ht="14.25" customHeight="1" x14ac:dyDescent="0.35">
      <c r="E456" s="248">
        <v>45289</v>
      </c>
      <c r="F456" s="249">
        <v>0.25</v>
      </c>
      <c r="G456" s="250">
        <v>0.4</v>
      </c>
      <c r="I456" s="248">
        <v>45289</v>
      </c>
      <c r="J456" s="249">
        <v>0.25</v>
      </c>
      <c r="K456" s="250">
        <v>1.1000000000000001</v>
      </c>
    </row>
    <row r="457" spans="5:11" ht="14.25" customHeight="1" x14ac:dyDescent="0.35">
      <c r="E457" s="248">
        <v>45292</v>
      </c>
      <c r="F457" s="249">
        <v>0.25</v>
      </c>
      <c r="G457" s="250">
        <v>0.6</v>
      </c>
      <c r="I457" s="248">
        <v>45292</v>
      </c>
      <c r="J457" s="249">
        <v>0.25</v>
      </c>
      <c r="K457" s="250">
        <v>1.1000000000000001</v>
      </c>
    </row>
    <row r="458" spans="5:11" ht="14.25" customHeight="1" x14ac:dyDescent="0.35">
      <c r="E458" s="248">
        <v>45295</v>
      </c>
      <c r="F458" s="249">
        <v>0.25</v>
      </c>
      <c r="G458" s="250">
        <v>0.7</v>
      </c>
      <c r="I458" s="248">
        <v>45295</v>
      </c>
      <c r="J458" s="249">
        <v>0.25</v>
      </c>
      <c r="K458" s="250">
        <v>1.2</v>
      </c>
    </row>
    <row r="459" spans="5:11" ht="14.25" customHeight="1" x14ac:dyDescent="0.35">
      <c r="E459" s="248">
        <v>45299</v>
      </c>
      <c r="F459" s="249">
        <v>0.25</v>
      </c>
      <c r="G459" s="250">
        <v>0.6</v>
      </c>
      <c r="I459" s="248">
        <v>45299</v>
      </c>
      <c r="J459" s="249">
        <v>0.25</v>
      </c>
      <c r="K459" s="250">
        <v>1.1000000000000001</v>
      </c>
    </row>
    <row r="460" spans="5:11" ht="14.25" customHeight="1" x14ac:dyDescent="0.35">
      <c r="E460" s="248">
        <v>45301</v>
      </c>
      <c r="F460" s="249">
        <v>0.3923611111111111</v>
      </c>
      <c r="G460" s="250">
        <v>0.6</v>
      </c>
      <c r="I460" s="248">
        <v>45301</v>
      </c>
      <c r="J460" s="249">
        <v>0.3923611111111111</v>
      </c>
      <c r="K460" s="250">
        <v>1.2</v>
      </c>
    </row>
    <row r="461" spans="5:11" ht="14.25" customHeight="1" x14ac:dyDescent="0.35">
      <c r="E461" s="248">
        <v>45302</v>
      </c>
      <c r="F461" s="249">
        <v>0.25</v>
      </c>
      <c r="G461" s="250">
        <v>0.8</v>
      </c>
      <c r="I461" s="248">
        <v>45302</v>
      </c>
      <c r="J461" s="249">
        <v>0.25</v>
      </c>
      <c r="K461" s="250">
        <v>1.2</v>
      </c>
    </row>
    <row r="462" spans="5:11" ht="14.25" customHeight="1" x14ac:dyDescent="0.35">
      <c r="E462" s="248">
        <v>45306</v>
      </c>
      <c r="F462" s="249">
        <v>0.25</v>
      </c>
      <c r="G462" s="250">
        <v>0.7</v>
      </c>
      <c r="I462" s="248">
        <v>45306</v>
      </c>
      <c r="J462" s="249">
        <v>0.25</v>
      </c>
      <c r="K462" s="250">
        <v>1.2</v>
      </c>
    </row>
    <row r="463" spans="5:11" ht="14.25" customHeight="1" x14ac:dyDescent="0.35">
      <c r="E463" s="248">
        <v>45309</v>
      </c>
      <c r="F463" s="249">
        <v>0.25</v>
      </c>
      <c r="G463" s="250">
        <v>0.6</v>
      </c>
      <c r="I463" s="248">
        <v>45309</v>
      </c>
      <c r="J463" s="249">
        <v>0.25</v>
      </c>
      <c r="K463" s="250">
        <v>1.2</v>
      </c>
    </row>
    <row r="464" spans="5:11" ht="14.25" customHeight="1" x14ac:dyDescent="0.35">
      <c r="E464" s="248">
        <v>45313</v>
      </c>
      <c r="F464" s="249">
        <v>0.25</v>
      </c>
      <c r="G464" s="250">
        <v>0.5</v>
      </c>
      <c r="I464" s="248">
        <v>45313</v>
      </c>
      <c r="J464" s="249">
        <v>0.25</v>
      </c>
      <c r="K464" s="250">
        <v>1.2</v>
      </c>
    </row>
    <row r="465" spans="5:11" ht="14.25" customHeight="1" x14ac:dyDescent="0.35">
      <c r="E465" s="248">
        <v>45316</v>
      </c>
      <c r="F465" s="249">
        <v>0.25</v>
      </c>
      <c r="G465" s="250">
        <v>0.4</v>
      </c>
      <c r="I465" s="248">
        <v>45316</v>
      </c>
      <c r="J465" s="249">
        <v>0.25</v>
      </c>
      <c r="K465" s="250">
        <v>1.2</v>
      </c>
    </row>
    <row r="466" spans="5:11" ht="14.25" customHeight="1" x14ac:dyDescent="0.35">
      <c r="E466" s="248">
        <v>45320</v>
      </c>
      <c r="F466" s="249">
        <v>0.25</v>
      </c>
      <c r="G466" s="250">
        <v>0.3</v>
      </c>
      <c r="I466" s="248">
        <v>45320</v>
      </c>
      <c r="J466" s="249">
        <v>0.25</v>
      </c>
      <c r="K466" s="250">
        <v>0.9</v>
      </c>
    </row>
    <row r="467" spans="5:11" ht="14.25" customHeight="1" x14ac:dyDescent="0.35">
      <c r="E467" s="248">
        <v>45323</v>
      </c>
      <c r="F467" s="249">
        <v>0.25</v>
      </c>
      <c r="G467" s="250">
        <v>0.2</v>
      </c>
      <c r="I467" s="248">
        <v>45323</v>
      </c>
      <c r="J467" s="249">
        <v>0.25</v>
      </c>
      <c r="K467" s="250">
        <v>0.7</v>
      </c>
    </row>
    <row r="468" spans="5:11" ht="14.25" customHeight="1" x14ac:dyDescent="0.35">
      <c r="E468" s="248">
        <v>45327</v>
      </c>
      <c r="F468" s="249">
        <v>0.25</v>
      </c>
      <c r="G468" s="250">
        <v>0.3</v>
      </c>
      <c r="I468" s="248">
        <v>45327</v>
      </c>
      <c r="J468" s="249">
        <v>0.25</v>
      </c>
      <c r="K468" s="250">
        <v>0.7</v>
      </c>
    </row>
    <row r="469" spans="5:11" ht="14.25" customHeight="1" x14ac:dyDescent="0.35">
      <c r="E469" s="248">
        <v>45329</v>
      </c>
      <c r="F469" s="249">
        <v>0.25</v>
      </c>
      <c r="G469" s="250">
        <v>0.3</v>
      </c>
      <c r="I469" s="248">
        <v>45329</v>
      </c>
      <c r="J469" s="249">
        <v>0.25</v>
      </c>
      <c r="K469" s="250">
        <v>0.9</v>
      </c>
    </row>
    <row r="470" spans="5:11" ht="14.25" customHeight="1" x14ac:dyDescent="0.35">
      <c r="E470" s="248">
        <v>45330</v>
      </c>
      <c r="F470" s="249">
        <v>0.25</v>
      </c>
      <c r="G470" s="250">
        <v>0.2</v>
      </c>
      <c r="I470" s="248">
        <v>45330</v>
      </c>
      <c r="J470" s="249">
        <v>0.25</v>
      </c>
      <c r="K470" s="250">
        <v>0.8</v>
      </c>
    </row>
    <row r="471" spans="5:11" ht="14.25" customHeight="1" x14ac:dyDescent="0.35">
      <c r="E471" s="248">
        <v>45334</v>
      </c>
      <c r="F471" s="249">
        <v>0.25</v>
      </c>
      <c r="G471" s="250">
        <v>0.2</v>
      </c>
      <c r="I471" s="248">
        <v>45334</v>
      </c>
      <c r="J471" s="249">
        <v>0.25</v>
      </c>
      <c r="K471" s="250">
        <v>0.9</v>
      </c>
    </row>
    <row r="472" spans="5:11" ht="14.25" customHeight="1" x14ac:dyDescent="0.35">
      <c r="E472" s="248">
        <v>45337</v>
      </c>
      <c r="F472" s="249">
        <v>0.25</v>
      </c>
      <c r="G472" s="250">
        <v>0.3</v>
      </c>
      <c r="I472" s="248">
        <v>45337</v>
      </c>
      <c r="J472" s="249">
        <v>0.25</v>
      </c>
      <c r="K472" s="250">
        <v>1</v>
      </c>
    </row>
    <row r="473" spans="5:11" ht="14.25" customHeight="1" x14ac:dyDescent="0.35">
      <c r="E473" s="248">
        <v>45341</v>
      </c>
      <c r="F473" s="249">
        <v>0.25</v>
      </c>
      <c r="G473" s="250">
        <v>0.2</v>
      </c>
      <c r="I473" s="248">
        <v>45341</v>
      </c>
      <c r="J473" s="249">
        <v>0.25</v>
      </c>
      <c r="K473" s="250">
        <v>0.8</v>
      </c>
    </row>
    <row r="474" spans="5:11" ht="14.25" customHeight="1" x14ac:dyDescent="0.35">
      <c r="E474" s="248">
        <v>45344</v>
      </c>
      <c r="F474" s="249">
        <v>0.25</v>
      </c>
      <c r="G474" s="250">
        <v>0.2</v>
      </c>
      <c r="I474" s="248">
        <v>45344</v>
      </c>
      <c r="J474" s="249">
        <v>0.25</v>
      </c>
      <c r="K474" s="250">
        <v>0.6</v>
      </c>
    </row>
    <row r="475" spans="5:11" ht="14.25" customHeight="1" x14ac:dyDescent="0.35">
      <c r="E475" s="248">
        <v>45348</v>
      </c>
      <c r="F475" s="249">
        <v>0.25</v>
      </c>
      <c r="G475" s="250">
        <v>0.2</v>
      </c>
      <c r="I475" s="248">
        <v>45348</v>
      </c>
      <c r="J475" s="249">
        <v>0.25</v>
      </c>
      <c r="K475" s="250">
        <v>0.8</v>
      </c>
    </row>
    <row r="476" spans="5:11" ht="14.25" customHeight="1" x14ac:dyDescent="0.35">
      <c r="E476" s="248">
        <v>45351</v>
      </c>
      <c r="F476" s="249">
        <v>0.25</v>
      </c>
      <c r="G476" s="250">
        <v>0.2</v>
      </c>
      <c r="I476" s="248">
        <v>45351</v>
      </c>
      <c r="J476" s="249">
        <v>0.25</v>
      </c>
      <c r="K476" s="250">
        <v>0.7</v>
      </c>
    </row>
    <row r="477" spans="5:11" ht="14.25" customHeight="1" x14ac:dyDescent="0.35">
      <c r="E477" s="248">
        <v>45355</v>
      </c>
      <c r="F477" s="249">
        <v>0.25</v>
      </c>
      <c r="G477" s="250" t="s">
        <v>50</v>
      </c>
      <c r="I477" s="248">
        <v>45355</v>
      </c>
      <c r="J477" s="249">
        <v>0.25</v>
      </c>
      <c r="K477" s="250">
        <v>0.4</v>
      </c>
    </row>
    <row r="478" spans="5:11" ht="14.25" customHeight="1" x14ac:dyDescent="0.35">
      <c r="E478" s="248">
        <v>45358</v>
      </c>
      <c r="F478" s="249">
        <v>0.375</v>
      </c>
      <c r="G478" s="250">
        <v>0.1</v>
      </c>
      <c r="I478" s="248">
        <v>45358</v>
      </c>
      <c r="J478" s="249">
        <v>0.375</v>
      </c>
      <c r="K478" s="250">
        <v>0.6</v>
      </c>
    </row>
    <row r="479" spans="5:11" ht="14.25" customHeight="1" x14ac:dyDescent="0.35">
      <c r="E479" s="248">
        <v>45362</v>
      </c>
      <c r="F479" s="249">
        <v>0.25</v>
      </c>
      <c r="G479" s="250">
        <v>0.1</v>
      </c>
      <c r="I479" s="248">
        <v>45362</v>
      </c>
      <c r="J479" s="249">
        <v>0.25</v>
      </c>
      <c r="K479" s="250">
        <v>0.5</v>
      </c>
    </row>
    <row r="480" spans="5:11" ht="14.25" customHeight="1" x14ac:dyDescent="0.35">
      <c r="E480" s="248">
        <v>45364</v>
      </c>
      <c r="F480" s="249">
        <v>0.25</v>
      </c>
      <c r="G480" s="250" t="s">
        <v>50</v>
      </c>
      <c r="I480" s="248">
        <v>45364</v>
      </c>
      <c r="J480" s="249">
        <v>0.25</v>
      </c>
      <c r="K480" s="250">
        <v>0.5</v>
      </c>
    </row>
    <row r="481" spans="5:11" ht="14.25" customHeight="1" x14ac:dyDescent="0.35">
      <c r="E481" s="248">
        <v>45365</v>
      </c>
      <c r="F481" s="249">
        <v>0.25</v>
      </c>
      <c r="G481" s="250">
        <v>0.2</v>
      </c>
      <c r="I481" s="248">
        <v>45365</v>
      </c>
      <c r="J481" s="249">
        <v>0.25</v>
      </c>
      <c r="K481" s="250">
        <v>0.9</v>
      </c>
    </row>
    <row r="482" spans="5:11" ht="14.25" customHeight="1" x14ac:dyDescent="0.35">
      <c r="E482" s="248">
        <v>45369</v>
      </c>
      <c r="F482" s="249">
        <v>0.25</v>
      </c>
      <c r="G482" s="250">
        <v>0.2</v>
      </c>
      <c r="I482" s="248">
        <v>45369</v>
      </c>
      <c r="J482" s="249">
        <v>0.25</v>
      </c>
      <c r="K482" s="250">
        <v>0.7</v>
      </c>
    </row>
    <row r="483" spans="5:11" ht="14.25" customHeight="1" x14ac:dyDescent="0.35">
      <c r="E483" s="248">
        <v>45372</v>
      </c>
      <c r="F483" s="249">
        <v>0.25</v>
      </c>
      <c r="G483" s="250">
        <v>0.3</v>
      </c>
      <c r="I483" s="248">
        <v>45372</v>
      </c>
      <c r="J483" s="249">
        <v>0.25</v>
      </c>
      <c r="K483" s="250">
        <v>0.8</v>
      </c>
    </row>
    <row r="484" spans="5:11" ht="14.25" customHeight="1" x14ac:dyDescent="0.35">
      <c r="E484" s="248">
        <v>45376</v>
      </c>
      <c r="F484" s="249">
        <v>0.25</v>
      </c>
      <c r="G484" s="250">
        <v>0.2</v>
      </c>
      <c r="I484" s="248">
        <v>45376</v>
      </c>
      <c r="J484" s="249">
        <v>0.25</v>
      </c>
      <c r="K484" s="250">
        <v>0.9</v>
      </c>
    </row>
    <row r="485" spans="5:11" ht="14.25" customHeight="1" x14ac:dyDescent="0.35">
      <c r="E485" s="248">
        <v>45383</v>
      </c>
      <c r="F485" s="249">
        <v>0.25</v>
      </c>
      <c r="G485" s="250">
        <v>0.1</v>
      </c>
      <c r="I485" s="248">
        <v>45383</v>
      </c>
      <c r="J485" s="249">
        <v>0.25</v>
      </c>
      <c r="K485" s="250">
        <v>0.7</v>
      </c>
    </row>
    <row r="486" spans="5:11" ht="14.25" customHeight="1" x14ac:dyDescent="0.35">
      <c r="E486" s="248">
        <v>45385</v>
      </c>
      <c r="F486" s="249">
        <v>0.4236111111111111</v>
      </c>
      <c r="G486" s="250">
        <v>0.2</v>
      </c>
      <c r="I486" s="248">
        <v>45385</v>
      </c>
      <c r="J486" s="249">
        <v>0.4236111111111111</v>
      </c>
      <c r="K486" s="250">
        <v>0.8</v>
      </c>
    </row>
    <row r="487" spans="5:11" ht="14.25" customHeight="1" x14ac:dyDescent="0.35">
      <c r="E487" s="248">
        <v>45386</v>
      </c>
      <c r="F487" s="249">
        <v>0.25</v>
      </c>
      <c r="G487" s="250">
        <v>0.2</v>
      </c>
      <c r="I487" s="248">
        <v>45386</v>
      </c>
      <c r="J487" s="249">
        <v>0.25</v>
      </c>
      <c r="K487" s="250">
        <v>0.8</v>
      </c>
    </row>
    <row r="488" spans="5:11" ht="14.25" customHeight="1" x14ac:dyDescent="0.35">
      <c r="E488" s="248">
        <v>45390</v>
      </c>
      <c r="F488" s="249">
        <v>0.25</v>
      </c>
      <c r="G488" s="250">
        <v>0.2</v>
      </c>
      <c r="I488" s="248">
        <v>45390</v>
      </c>
      <c r="J488" s="249">
        <v>0.25</v>
      </c>
      <c r="K488" s="250">
        <v>0.6</v>
      </c>
    </row>
    <row r="489" spans="5:11" ht="14.25" customHeight="1" x14ac:dyDescent="0.35">
      <c r="E489" s="248">
        <v>45393</v>
      </c>
      <c r="F489" s="249">
        <v>0.25</v>
      </c>
      <c r="G489" s="250">
        <v>0.4</v>
      </c>
      <c r="I489" s="248">
        <v>45393</v>
      </c>
      <c r="J489" s="249">
        <v>0.25</v>
      </c>
      <c r="K489" s="250">
        <v>0.9</v>
      </c>
    </row>
    <row r="490" spans="5:11" ht="14.25" customHeight="1" x14ac:dyDescent="0.35">
      <c r="E490" s="248">
        <v>45397</v>
      </c>
      <c r="F490" s="249">
        <v>0.25</v>
      </c>
      <c r="G490" s="250">
        <v>0.4</v>
      </c>
      <c r="I490" s="248">
        <v>45397</v>
      </c>
      <c r="J490" s="249">
        <v>0.25</v>
      </c>
      <c r="K490" s="250">
        <v>0.9</v>
      </c>
    </row>
    <row r="491" spans="5:11" ht="14.25" customHeight="1" x14ac:dyDescent="0.35">
      <c r="E491" s="248">
        <v>45400</v>
      </c>
      <c r="F491" s="249">
        <v>0.25</v>
      </c>
      <c r="G491" s="250">
        <v>0.7</v>
      </c>
      <c r="I491" s="248">
        <v>45400</v>
      </c>
      <c r="J491" s="249">
        <v>0.25</v>
      </c>
      <c r="K491" s="250">
        <v>1.2</v>
      </c>
    </row>
    <row r="492" spans="5:11" ht="14.25" customHeight="1" x14ac:dyDescent="0.35">
      <c r="E492" s="248">
        <v>45404</v>
      </c>
      <c r="F492" s="249">
        <v>0.26041666666666669</v>
      </c>
      <c r="G492" s="250">
        <v>0.6</v>
      </c>
      <c r="I492" s="248">
        <v>45404</v>
      </c>
      <c r="J492" s="249">
        <v>0.26041666666666669</v>
      </c>
      <c r="K492" s="250">
        <v>1.1000000000000001</v>
      </c>
    </row>
    <row r="493" spans="5:11" ht="14.25" customHeight="1" x14ac:dyDescent="0.35">
      <c r="E493" s="248">
        <v>45407</v>
      </c>
      <c r="F493" s="249">
        <v>0.26319444444444445</v>
      </c>
      <c r="G493" s="250">
        <v>0.6</v>
      </c>
      <c r="I493" s="248">
        <v>45407</v>
      </c>
      <c r="J493" s="249">
        <v>0.26319444444444445</v>
      </c>
      <c r="K493" s="250">
        <v>1.1000000000000001</v>
      </c>
    </row>
    <row r="494" spans="5:11" ht="14.25" customHeight="1" x14ac:dyDescent="0.35">
      <c r="E494" s="248">
        <v>45411</v>
      </c>
      <c r="F494" s="249">
        <v>0.24930555555555556</v>
      </c>
      <c r="G494" s="250">
        <v>0.6</v>
      </c>
      <c r="I494" s="248">
        <v>45411</v>
      </c>
      <c r="J494" s="249">
        <v>0.24930555555555556</v>
      </c>
      <c r="K494" s="250">
        <v>1.1000000000000001</v>
      </c>
    </row>
    <row r="495" spans="5:11" ht="14.25" customHeight="1" x14ac:dyDescent="0.35">
      <c r="E495" s="248">
        <v>45414</v>
      </c>
      <c r="F495" s="249">
        <v>0.26041666666666669</v>
      </c>
      <c r="G495" s="250" t="s">
        <v>50</v>
      </c>
      <c r="I495" s="248">
        <v>45414</v>
      </c>
      <c r="J495" s="249">
        <v>0.26041666666666669</v>
      </c>
      <c r="K495" s="250">
        <v>0.8</v>
      </c>
    </row>
    <row r="496" spans="5:11" ht="14.25" customHeight="1" x14ac:dyDescent="0.35">
      <c r="E496" s="248">
        <v>45418</v>
      </c>
      <c r="F496" s="249">
        <v>0.23958333333333334</v>
      </c>
      <c r="G496" s="250" t="s">
        <v>50</v>
      </c>
      <c r="I496" s="248">
        <v>45418</v>
      </c>
      <c r="J496" s="249">
        <v>0.23958333333333334</v>
      </c>
      <c r="K496" s="250">
        <v>0.6</v>
      </c>
    </row>
    <row r="497" spans="5:11" ht="14.25" customHeight="1" x14ac:dyDescent="0.35">
      <c r="E497" s="248">
        <v>45420</v>
      </c>
      <c r="F497" s="249">
        <v>0.26041666666666669</v>
      </c>
      <c r="G497" s="250" t="s">
        <v>50</v>
      </c>
      <c r="I497" s="248">
        <v>45420</v>
      </c>
      <c r="J497" s="249">
        <v>0.26041666666666669</v>
      </c>
      <c r="K497" s="250">
        <v>0.5</v>
      </c>
    </row>
    <row r="498" spans="5:11" ht="14.25" customHeight="1" x14ac:dyDescent="0.35">
      <c r="E498" s="248">
        <v>45421</v>
      </c>
      <c r="F498" s="249">
        <v>0.2638888888888889</v>
      </c>
      <c r="G498" s="250" t="s">
        <v>50</v>
      </c>
      <c r="I498" s="248">
        <v>45421</v>
      </c>
      <c r="J498" s="249">
        <v>0.2638888888888889</v>
      </c>
      <c r="K498" s="250">
        <v>0.7</v>
      </c>
    </row>
    <row r="499" spans="5:11" ht="14.25" customHeight="1" x14ac:dyDescent="0.35">
      <c r="E499" s="248">
        <v>45425</v>
      </c>
      <c r="F499" s="249">
        <v>0.24305555555555555</v>
      </c>
      <c r="G499" s="250" t="s">
        <v>50</v>
      </c>
      <c r="I499" s="248">
        <v>45425</v>
      </c>
      <c r="J499" s="249">
        <v>0.24305555555555555</v>
      </c>
      <c r="K499" s="250">
        <v>0.6</v>
      </c>
    </row>
    <row r="500" spans="5:11" ht="14.25" customHeight="1" x14ac:dyDescent="0.35">
      <c r="E500" s="248">
        <v>45428</v>
      </c>
      <c r="F500" s="249">
        <v>0.26250000000000001</v>
      </c>
      <c r="G500" s="250">
        <v>0.1</v>
      </c>
      <c r="I500" s="248">
        <v>45428</v>
      </c>
      <c r="J500" s="249">
        <v>0.26250000000000001</v>
      </c>
      <c r="K500" s="250">
        <v>0.6</v>
      </c>
    </row>
    <row r="501" spans="5:11" ht="14.25" customHeight="1" x14ac:dyDescent="0.35">
      <c r="E501" s="248">
        <v>45432</v>
      </c>
      <c r="F501" s="249">
        <v>0.24583333333333332</v>
      </c>
      <c r="G501" s="250" t="s">
        <v>50</v>
      </c>
      <c r="I501" s="248">
        <v>45432</v>
      </c>
      <c r="J501" s="249">
        <v>0.24583333333333332</v>
      </c>
      <c r="K501" s="250">
        <v>0.4</v>
      </c>
    </row>
    <row r="502" spans="5:11" ht="14.25" customHeight="1" x14ac:dyDescent="0.35">
      <c r="E502" s="248">
        <v>45435</v>
      </c>
      <c r="F502" s="249">
        <v>0.2673611111111111</v>
      </c>
      <c r="G502" s="250">
        <v>0.2</v>
      </c>
      <c r="I502" s="248">
        <v>45435</v>
      </c>
      <c r="J502" s="249">
        <v>0.2673611111111111</v>
      </c>
      <c r="K502" s="250">
        <v>0.7</v>
      </c>
    </row>
    <row r="503" spans="5:11" ht="14.25" customHeight="1" x14ac:dyDescent="0.35">
      <c r="E503" s="248">
        <v>45439</v>
      </c>
      <c r="F503" s="249">
        <v>0.24791666666666667</v>
      </c>
      <c r="G503" s="250">
        <v>0.3</v>
      </c>
      <c r="I503" s="248">
        <v>45439</v>
      </c>
      <c r="J503" s="249">
        <v>0.24791666666666667</v>
      </c>
      <c r="K503" s="250">
        <v>0.9</v>
      </c>
    </row>
    <row r="504" spans="5:11" ht="14.25" customHeight="1" x14ac:dyDescent="0.35">
      <c r="E504" s="248">
        <v>45441</v>
      </c>
      <c r="F504" s="249">
        <v>0.24305555555555555</v>
      </c>
      <c r="G504" s="250">
        <v>0.3</v>
      </c>
      <c r="I504" s="248">
        <v>45441</v>
      </c>
      <c r="J504" s="249">
        <v>0.24305555555555555</v>
      </c>
      <c r="K504" s="250">
        <v>0.9</v>
      </c>
    </row>
    <row r="505" spans="5:11" ht="14.25" customHeight="1" x14ac:dyDescent="0.35">
      <c r="E505" s="248">
        <v>45446</v>
      </c>
      <c r="F505" s="249">
        <v>0.24513888888888888</v>
      </c>
      <c r="G505" s="250">
        <v>0.1</v>
      </c>
      <c r="I505" s="248">
        <v>45446</v>
      </c>
      <c r="J505" s="249">
        <v>0.24513888888888888</v>
      </c>
      <c r="K505" s="250">
        <v>0.7</v>
      </c>
    </row>
    <row r="506" spans="5:11" ht="14.25" customHeight="1" x14ac:dyDescent="0.35">
      <c r="E506" s="248">
        <v>45449</v>
      </c>
      <c r="F506" s="249">
        <v>0.2638888888888889</v>
      </c>
      <c r="G506" s="250" t="s">
        <v>50</v>
      </c>
      <c r="I506" s="248">
        <v>45449</v>
      </c>
      <c r="J506" s="249">
        <v>0.2638888888888889</v>
      </c>
      <c r="K506" s="250">
        <v>0.7</v>
      </c>
    </row>
    <row r="507" spans="5:11" ht="14.25" customHeight="1" x14ac:dyDescent="0.35">
      <c r="E507" s="248">
        <v>45453</v>
      </c>
      <c r="F507" s="249">
        <v>0.24583333333333332</v>
      </c>
      <c r="G507" s="250" t="s">
        <v>50</v>
      </c>
      <c r="I507" s="248">
        <v>45453</v>
      </c>
      <c r="J507" s="249">
        <v>0.24583333333333332</v>
      </c>
      <c r="K507" s="250">
        <v>0.7</v>
      </c>
    </row>
    <row r="508" spans="5:11" ht="14.25" customHeight="1" x14ac:dyDescent="0.35">
      <c r="E508" s="248">
        <v>45455</v>
      </c>
      <c r="F508" s="249">
        <v>0.24305555555555555</v>
      </c>
      <c r="G508" s="250" t="s">
        <v>50</v>
      </c>
      <c r="I508" s="248">
        <v>45455</v>
      </c>
      <c r="J508" s="249">
        <v>0.24305555555555555</v>
      </c>
      <c r="K508" s="250">
        <v>0.6</v>
      </c>
    </row>
    <row r="509" spans="5:11" ht="14.25" customHeight="1" x14ac:dyDescent="0.35">
      <c r="E509" s="248">
        <v>45456</v>
      </c>
      <c r="F509" s="249">
        <v>0.2638888888888889</v>
      </c>
      <c r="G509" s="250" t="s">
        <v>50</v>
      </c>
      <c r="I509" s="248">
        <v>45456</v>
      </c>
      <c r="J509" s="249">
        <v>0.2638888888888889</v>
      </c>
      <c r="K509" s="250">
        <v>0.6</v>
      </c>
    </row>
    <row r="510" spans="5:11" ht="14.25" customHeight="1" x14ac:dyDescent="0.35">
      <c r="E510" s="248">
        <v>45460</v>
      </c>
      <c r="F510" s="249">
        <v>0.24583333333333332</v>
      </c>
      <c r="G510" s="250" t="s">
        <v>50</v>
      </c>
      <c r="I510" s="248">
        <v>45460</v>
      </c>
      <c r="J510" s="249">
        <v>0.24583333333333332</v>
      </c>
      <c r="K510" s="250">
        <v>0.7</v>
      </c>
    </row>
    <row r="511" spans="5:11" ht="14.25" customHeight="1" x14ac:dyDescent="0.35">
      <c r="E511" s="248">
        <v>45463</v>
      </c>
      <c r="F511" s="249">
        <v>0.2638888888888889</v>
      </c>
      <c r="G511" s="250">
        <v>0.1</v>
      </c>
      <c r="I511" s="248">
        <v>45463</v>
      </c>
      <c r="J511" s="249">
        <v>0.2638888888888889</v>
      </c>
      <c r="K511" s="250">
        <v>0.7</v>
      </c>
    </row>
    <row r="512" spans="5:11" ht="14.25" customHeight="1" x14ac:dyDescent="0.35">
      <c r="E512" s="248">
        <v>45467</v>
      </c>
      <c r="F512" s="249">
        <v>0.24305555555555555</v>
      </c>
      <c r="G512" s="250" t="s">
        <v>50</v>
      </c>
      <c r="I512" s="248">
        <v>45467</v>
      </c>
      <c r="J512" s="249">
        <v>0.24305555555555555</v>
      </c>
      <c r="K512" s="250">
        <v>0.5</v>
      </c>
    </row>
    <row r="513" spans="5:11" ht="14.25" customHeight="1" x14ac:dyDescent="0.35">
      <c r="E513" s="248">
        <v>45470</v>
      </c>
      <c r="F513" s="249">
        <v>0.25277777777777777</v>
      </c>
      <c r="G513" s="250" t="s">
        <v>50</v>
      </c>
      <c r="I513" s="248">
        <v>45470</v>
      </c>
      <c r="J513" s="249">
        <v>0.25277777777777777</v>
      </c>
      <c r="K513" s="250">
        <v>0.5</v>
      </c>
    </row>
    <row r="514" spans="5:11" ht="14.25" customHeight="1" x14ac:dyDescent="0.35">
      <c r="E514" s="248">
        <v>45474</v>
      </c>
      <c r="F514" s="249">
        <v>0.23958333333333334</v>
      </c>
      <c r="G514" s="250" t="s">
        <v>50</v>
      </c>
      <c r="I514" s="248">
        <v>45474</v>
      </c>
      <c r="J514" s="249">
        <v>0.23958333333333334</v>
      </c>
      <c r="K514" s="250">
        <v>0.6</v>
      </c>
    </row>
    <row r="515" spans="5:11" ht="14.25" customHeight="1" x14ac:dyDescent="0.35">
      <c r="E515" s="248">
        <v>45477</v>
      </c>
      <c r="F515" s="249">
        <v>0.2638888888888889</v>
      </c>
      <c r="G515" s="250" t="s">
        <v>50</v>
      </c>
      <c r="I515" s="248">
        <v>45477</v>
      </c>
      <c r="J515" s="249">
        <v>0.2638888888888889</v>
      </c>
      <c r="K515" s="250">
        <v>0.7</v>
      </c>
    </row>
    <row r="516" spans="5:11" ht="14.25" customHeight="1" x14ac:dyDescent="0.35">
      <c r="E516" s="248">
        <v>45481</v>
      </c>
      <c r="F516" s="249">
        <v>0.24513888888888888</v>
      </c>
      <c r="G516" s="250">
        <v>0.1</v>
      </c>
      <c r="I516" s="248">
        <v>45481</v>
      </c>
      <c r="J516" s="249">
        <v>0.24513888888888888</v>
      </c>
      <c r="K516" s="250">
        <v>0.8</v>
      </c>
    </row>
    <row r="517" spans="5:11" ht="14.25" customHeight="1" x14ac:dyDescent="0.35">
      <c r="E517" s="248">
        <v>45483</v>
      </c>
      <c r="F517" s="249">
        <v>0.38194444444444442</v>
      </c>
      <c r="G517" s="250" t="s">
        <v>50</v>
      </c>
      <c r="I517" s="248">
        <v>45483</v>
      </c>
      <c r="J517" s="249">
        <v>0.38194444444444442</v>
      </c>
      <c r="K517" s="250">
        <v>0.7</v>
      </c>
    </row>
    <row r="518" spans="5:11" ht="14.25" customHeight="1" x14ac:dyDescent="0.35">
      <c r="E518" s="248">
        <v>45484</v>
      </c>
      <c r="F518" s="249">
        <v>0.26944444444444443</v>
      </c>
      <c r="G518" s="250">
        <v>0.1</v>
      </c>
      <c r="I518" s="248">
        <v>45484</v>
      </c>
      <c r="J518" s="249">
        <v>0.26944444444444443</v>
      </c>
      <c r="K518" s="250">
        <v>0.8</v>
      </c>
    </row>
    <row r="519" spans="5:11" ht="14.25" customHeight="1" x14ac:dyDescent="0.35">
      <c r="E519" s="248">
        <v>45488</v>
      </c>
      <c r="F519" s="249">
        <v>0.2638888888888889</v>
      </c>
      <c r="G519" s="250">
        <v>0.2</v>
      </c>
      <c r="I519" s="248">
        <v>45488</v>
      </c>
      <c r="J519" s="249">
        <v>0.2638888888888889</v>
      </c>
      <c r="K519" s="250">
        <v>0.7</v>
      </c>
    </row>
    <row r="520" spans="5:11" ht="14.25" customHeight="1" x14ac:dyDescent="0.35">
      <c r="E520" s="248">
        <v>45491</v>
      </c>
      <c r="F520" s="249">
        <v>0.25833333333333336</v>
      </c>
      <c r="G520" s="250">
        <v>0.1</v>
      </c>
      <c r="I520" s="248">
        <v>45491</v>
      </c>
      <c r="J520" s="249">
        <v>0.25833333333333336</v>
      </c>
      <c r="K520" s="250">
        <v>0.7</v>
      </c>
    </row>
    <row r="521" spans="5:11" ht="14.25" customHeight="1" x14ac:dyDescent="0.35">
      <c r="E521" s="248">
        <v>45495</v>
      </c>
      <c r="F521" s="249">
        <v>0.24652777777777779</v>
      </c>
      <c r="G521" s="250">
        <v>0.2</v>
      </c>
      <c r="I521" s="248">
        <v>45495</v>
      </c>
      <c r="J521" s="249">
        <v>0.24652777777777779</v>
      </c>
      <c r="K521" s="250">
        <v>0.8</v>
      </c>
    </row>
    <row r="522" spans="5:11" ht="14.25" customHeight="1" x14ac:dyDescent="0.35">
      <c r="E522" s="248">
        <v>45498</v>
      </c>
      <c r="F522" s="249">
        <v>0.25763888888888886</v>
      </c>
      <c r="G522" s="250">
        <v>0.1</v>
      </c>
      <c r="I522" s="248">
        <v>45498</v>
      </c>
      <c r="J522" s="249">
        <v>0.25763888888888886</v>
      </c>
      <c r="K522" s="250">
        <v>0.9</v>
      </c>
    </row>
    <row r="523" spans="5:11" ht="14.25" customHeight="1" x14ac:dyDescent="0.35">
      <c r="E523" s="248">
        <v>45502</v>
      </c>
      <c r="F523" s="249">
        <v>0.24305555555555555</v>
      </c>
      <c r="G523" s="250">
        <v>0.1</v>
      </c>
      <c r="I523" s="248">
        <v>45502</v>
      </c>
      <c r="J523" s="249">
        <v>0.24305555555555555</v>
      </c>
      <c r="K523" s="250">
        <v>0.7</v>
      </c>
    </row>
    <row r="524" spans="5:11" ht="14.25" customHeight="1" x14ac:dyDescent="0.35">
      <c r="E524" s="248">
        <v>45505</v>
      </c>
      <c r="F524" s="249">
        <v>0.26250000000000001</v>
      </c>
      <c r="G524" s="250" t="s">
        <v>50</v>
      </c>
      <c r="I524" s="248">
        <v>45505</v>
      </c>
      <c r="J524" s="249">
        <v>0.26250000000000001</v>
      </c>
      <c r="K524" s="250">
        <v>0.6</v>
      </c>
    </row>
    <row r="525" spans="5:11" ht="14.25" customHeight="1" x14ac:dyDescent="0.35">
      <c r="E525" s="248">
        <v>45509</v>
      </c>
      <c r="F525" s="249">
        <v>0.24305555555555555</v>
      </c>
      <c r="G525" s="250" t="s">
        <v>50</v>
      </c>
      <c r="I525" s="248">
        <v>45509</v>
      </c>
      <c r="J525" s="249">
        <v>0.24305555555555555</v>
      </c>
      <c r="K525" s="250">
        <v>0.7</v>
      </c>
    </row>
    <row r="526" spans="5:11" ht="14.25" customHeight="1" x14ac:dyDescent="0.35">
      <c r="E526" s="248">
        <v>45511</v>
      </c>
      <c r="F526" s="249">
        <v>0.25</v>
      </c>
      <c r="G526" s="250" t="s">
        <v>50</v>
      </c>
      <c r="I526" s="248">
        <v>45511</v>
      </c>
      <c r="J526" s="249">
        <v>0.25</v>
      </c>
      <c r="K526" s="250">
        <v>0.6</v>
      </c>
    </row>
    <row r="527" spans="5:11" ht="14.25" customHeight="1" x14ac:dyDescent="0.35">
      <c r="E527" s="248">
        <v>45512</v>
      </c>
      <c r="F527" s="249">
        <v>0.2673611111111111</v>
      </c>
      <c r="G527" s="250" t="s">
        <v>50</v>
      </c>
      <c r="I527" s="248">
        <v>45512</v>
      </c>
      <c r="J527" s="249">
        <v>0.2673611111111111</v>
      </c>
      <c r="K527" s="250">
        <v>0.7</v>
      </c>
    </row>
    <row r="528" spans="5:11" ht="14.25" customHeight="1" x14ac:dyDescent="0.35">
      <c r="E528" s="248">
        <v>45516</v>
      </c>
      <c r="F528" s="249">
        <v>0.24444444444444444</v>
      </c>
      <c r="G528" s="250">
        <v>0.1</v>
      </c>
      <c r="I528" s="248">
        <v>45516</v>
      </c>
      <c r="J528" s="249">
        <v>0.24444444444444444</v>
      </c>
      <c r="K528" s="250">
        <v>0.8</v>
      </c>
    </row>
    <row r="529" spans="5:11" ht="14.25" customHeight="1" x14ac:dyDescent="0.35">
      <c r="E529" s="248">
        <v>45519</v>
      </c>
      <c r="F529" s="249">
        <v>0.2638888888888889</v>
      </c>
      <c r="G529" s="250">
        <v>0.1</v>
      </c>
      <c r="I529" s="248">
        <v>45519</v>
      </c>
      <c r="J529" s="249">
        <v>0.2638888888888889</v>
      </c>
      <c r="K529" s="250">
        <v>0.8</v>
      </c>
    </row>
    <row r="530" spans="5:11" ht="14.25" customHeight="1" x14ac:dyDescent="0.35">
      <c r="E530" s="248">
        <v>45523</v>
      </c>
      <c r="F530" s="249">
        <v>0.25486111111111109</v>
      </c>
      <c r="G530" s="250">
        <v>0.2</v>
      </c>
      <c r="I530" s="248">
        <v>45523</v>
      </c>
      <c r="J530" s="249">
        <v>0.25486111111111109</v>
      </c>
      <c r="K530" s="250">
        <v>0.8</v>
      </c>
    </row>
    <row r="531" spans="5:11" ht="14.25" customHeight="1" x14ac:dyDescent="0.35">
      <c r="E531" s="248">
        <v>45526</v>
      </c>
      <c r="F531" s="249">
        <v>0.2638888888888889</v>
      </c>
      <c r="G531" s="250">
        <v>0.1</v>
      </c>
      <c r="I531" s="248">
        <v>45526</v>
      </c>
      <c r="J531" s="249">
        <v>0.2638888888888889</v>
      </c>
      <c r="K531" s="250">
        <v>0.8</v>
      </c>
    </row>
    <row r="532" spans="5:11" ht="14.25" customHeight="1" x14ac:dyDescent="0.35">
      <c r="E532" s="248">
        <v>45530</v>
      </c>
      <c r="F532" s="249">
        <v>0.24027777777777778</v>
      </c>
      <c r="G532" s="250">
        <v>0.2</v>
      </c>
      <c r="I532" s="248">
        <v>45530</v>
      </c>
      <c r="J532" s="249">
        <v>0.24027777777777778</v>
      </c>
      <c r="K532" s="250">
        <v>0.8</v>
      </c>
    </row>
    <row r="533" spans="5:11" ht="14.25" customHeight="1" x14ac:dyDescent="0.35">
      <c r="E533" s="248">
        <v>45533</v>
      </c>
      <c r="F533" s="249">
        <v>0.26527777777777778</v>
      </c>
      <c r="G533" s="250">
        <v>0.2</v>
      </c>
      <c r="I533" s="248">
        <v>45533</v>
      </c>
      <c r="J533" s="249">
        <v>0.26527777777777778</v>
      </c>
      <c r="K533" s="250">
        <v>0.8</v>
      </c>
    </row>
    <row r="534" spans="5:11" ht="14.25" customHeight="1" x14ac:dyDescent="0.35">
      <c r="E534" s="248">
        <v>45537</v>
      </c>
      <c r="F534" s="249">
        <v>0.24444444444444444</v>
      </c>
      <c r="G534" s="250" t="s">
        <v>50</v>
      </c>
      <c r="I534" s="248">
        <v>45537</v>
      </c>
      <c r="J534" s="249">
        <v>0.24444444444444444</v>
      </c>
      <c r="K534" s="250">
        <v>0.7</v>
      </c>
    </row>
    <row r="535" spans="5:11" ht="14.25" customHeight="1" x14ac:dyDescent="0.35">
      <c r="E535" s="248">
        <v>45540</v>
      </c>
      <c r="F535" s="249">
        <v>0.26527777777777778</v>
      </c>
      <c r="G535" s="250">
        <v>0.2</v>
      </c>
      <c r="I535" s="248">
        <v>45540</v>
      </c>
      <c r="J535" s="249">
        <v>0.26527777777777778</v>
      </c>
      <c r="K535" s="250">
        <v>0.6</v>
      </c>
    </row>
    <row r="536" spans="5:11" ht="14.25" customHeight="1" x14ac:dyDescent="0.35">
      <c r="E536" s="248">
        <v>45544</v>
      </c>
      <c r="F536" s="249">
        <v>0.24513888888888888</v>
      </c>
      <c r="G536" s="250">
        <v>0.2</v>
      </c>
      <c r="I536" s="248">
        <v>45544</v>
      </c>
      <c r="J536" s="249">
        <v>0.24513888888888888</v>
      </c>
      <c r="K536" s="250">
        <v>0.6</v>
      </c>
    </row>
    <row r="537" spans="5:11" ht="14.25" customHeight="1" x14ac:dyDescent="0.35">
      <c r="E537" s="248">
        <v>45546</v>
      </c>
      <c r="F537" s="249">
        <v>0.25624999999999998</v>
      </c>
      <c r="G537" s="250">
        <v>0.2</v>
      </c>
      <c r="I537" s="248">
        <v>45546</v>
      </c>
      <c r="J537" s="249">
        <v>0.25624999999999998</v>
      </c>
      <c r="K537" s="250">
        <v>0.8</v>
      </c>
    </row>
    <row r="538" spans="5:11" ht="14.25" customHeight="1" x14ac:dyDescent="0.35">
      <c r="E538" s="248">
        <v>45547</v>
      </c>
      <c r="F538" s="249">
        <v>0.27013888888888887</v>
      </c>
      <c r="G538" s="250">
        <v>0.3</v>
      </c>
      <c r="I538" s="248">
        <v>45547</v>
      </c>
      <c r="J538" s="249">
        <v>0.27013888888888887</v>
      </c>
      <c r="K538" s="250">
        <v>0.9</v>
      </c>
    </row>
    <row r="539" spans="5:11" ht="14.25" customHeight="1" x14ac:dyDescent="0.35">
      <c r="E539" s="248">
        <v>45551</v>
      </c>
      <c r="F539" s="249">
        <v>0.24374999999999999</v>
      </c>
      <c r="G539" s="250">
        <v>0.2</v>
      </c>
      <c r="I539" s="248">
        <v>45551</v>
      </c>
      <c r="J539" s="249">
        <v>0.24374999999999999</v>
      </c>
      <c r="K539" s="250">
        <v>0.8</v>
      </c>
    </row>
    <row r="540" spans="5:11" ht="14.25" customHeight="1" x14ac:dyDescent="0.35">
      <c r="E540" s="248">
        <v>45554</v>
      </c>
      <c r="F540" s="249">
        <v>0.2673611111111111</v>
      </c>
      <c r="G540" s="250">
        <v>0.1</v>
      </c>
      <c r="I540" s="248">
        <v>45554</v>
      </c>
      <c r="J540" s="249">
        <v>0.2673611111111111</v>
      </c>
      <c r="K540" s="250">
        <v>0.6</v>
      </c>
    </row>
    <row r="541" spans="5:11" ht="14.25" customHeight="1" x14ac:dyDescent="0.35">
      <c r="E541" s="248">
        <v>45558</v>
      </c>
      <c r="F541" s="249">
        <v>0.24236111111111111</v>
      </c>
      <c r="G541" s="250">
        <v>0.2</v>
      </c>
      <c r="I541" s="248">
        <v>45558</v>
      </c>
      <c r="J541" s="249">
        <v>0.24236111111111111</v>
      </c>
      <c r="K541" s="250">
        <v>0.7</v>
      </c>
    </row>
    <row r="542" spans="5:11" ht="14.25" customHeight="1" x14ac:dyDescent="0.35">
      <c r="E542" s="248">
        <v>45561</v>
      </c>
      <c r="F542" s="249">
        <v>0.25138888888888888</v>
      </c>
      <c r="G542" s="250">
        <v>0.2</v>
      </c>
      <c r="I542" s="248">
        <v>45561</v>
      </c>
      <c r="J542" s="249">
        <v>0.25138888888888888</v>
      </c>
      <c r="K542" s="250">
        <v>0.7</v>
      </c>
    </row>
    <row r="543" spans="5:11" ht="14.25" customHeight="1" x14ac:dyDescent="0.35">
      <c r="E543" s="248">
        <v>45565</v>
      </c>
      <c r="F543" s="249">
        <v>0.2326388888888889</v>
      </c>
      <c r="G543" s="250" t="s">
        <v>50</v>
      </c>
      <c r="I543" s="248">
        <v>45565</v>
      </c>
      <c r="J543" s="249">
        <v>0.2326388888888889</v>
      </c>
      <c r="K543" s="250">
        <v>0.6</v>
      </c>
    </row>
    <row r="544" spans="5:11" ht="14.25" customHeight="1" x14ac:dyDescent="0.35">
      <c r="E544" s="248">
        <v>45567</v>
      </c>
      <c r="F544" s="249">
        <v>0.40277777777777779</v>
      </c>
      <c r="G544" s="250" t="s">
        <v>50</v>
      </c>
      <c r="I544" s="248">
        <v>45567</v>
      </c>
      <c r="J544" s="249">
        <v>0.40277777777777779</v>
      </c>
      <c r="K544" s="250">
        <v>0.5</v>
      </c>
    </row>
    <row r="545" spans="5:11" ht="14.25" customHeight="1" x14ac:dyDescent="0.35">
      <c r="E545" s="248">
        <v>45568</v>
      </c>
      <c r="F545" s="249">
        <v>0.24513888888888888</v>
      </c>
      <c r="G545" s="250" t="s">
        <v>50</v>
      </c>
      <c r="I545" s="248">
        <v>45568</v>
      </c>
      <c r="J545" s="249">
        <v>0.24513888888888888</v>
      </c>
      <c r="K545" s="250">
        <v>0.6</v>
      </c>
    </row>
    <row r="546" spans="5:11" ht="14.25" customHeight="1" x14ac:dyDescent="0.35">
      <c r="E546" s="248">
        <v>45572</v>
      </c>
      <c r="F546" s="249">
        <v>0.25347222222222221</v>
      </c>
      <c r="G546" s="250" t="s">
        <v>50</v>
      </c>
      <c r="I546" s="248">
        <v>45572</v>
      </c>
      <c r="J546" s="249">
        <v>0.25347222222222221</v>
      </c>
      <c r="K546" s="250">
        <v>0.6</v>
      </c>
    </row>
    <row r="547" spans="5:11" ht="14.25" customHeight="1" x14ac:dyDescent="0.35">
      <c r="E547" s="248">
        <v>45575</v>
      </c>
      <c r="F547" s="249">
        <v>0.26458333333333334</v>
      </c>
      <c r="G547" s="250">
        <v>0.2</v>
      </c>
      <c r="I547" s="248">
        <v>45575</v>
      </c>
      <c r="J547" s="249">
        <v>0.26458333333333334</v>
      </c>
      <c r="K547" s="250">
        <v>0.7</v>
      </c>
    </row>
    <row r="548" spans="5:11" ht="14.25" customHeight="1" x14ac:dyDescent="0.35">
      <c r="E548" s="248">
        <v>45579</v>
      </c>
      <c r="F548" s="249">
        <v>0.23819444444444443</v>
      </c>
      <c r="G548" s="250" t="s">
        <v>50</v>
      </c>
      <c r="I548" s="248">
        <v>45579</v>
      </c>
      <c r="J548" s="249">
        <v>0.23819444444444443</v>
      </c>
      <c r="K548" s="250">
        <v>0.6</v>
      </c>
    </row>
    <row r="549" spans="5:11" ht="14.25" customHeight="1" x14ac:dyDescent="0.35">
      <c r="E549" s="248">
        <v>45582</v>
      </c>
      <c r="F549" s="249">
        <v>0.2638888888888889</v>
      </c>
      <c r="G549" s="250">
        <v>0.1</v>
      </c>
      <c r="I549" s="248">
        <v>45582</v>
      </c>
      <c r="J549" s="249">
        <v>0.2638888888888889</v>
      </c>
      <c r="K549" s="250">
        <v>0.8</v>
      </c>
    </row>
    <row r="550" spans="5:11" ht="14.25" customHeight="1" x14ac:dyDescent="0.35">
      <c r="E550" s="248">
        <v>45586</v>
      </c>
      <c r="F550" s="249">
        <v>0.25</v>
      </c>
      <c r="G550" s="250">
        <v>0.1</v>
      </c>
      <c r="I550" s="248">
        <v>45586</v>
      </c>
      <c r="J550" s="249">
        <v>0.25</v>
      </c>
      <c r="K550" s="250">
        <v>0.8</v>
      </c>
    </row>
    <row r="551" spans="5:11" ht="14.25" customHeight="1" x14ac:dyDescent="0.35">
      <c r="E551" s="248">
        <v>45589</v>
      </c>
      <c r="F551" s="249">
        <v>0.2673611111111111</v>
      </c>
      <c r="G551" s="250">
        <v>0.2</v>
      </c>
      <c r="I551" s="248">
        <v>45589</v>
      </c>
      <c r="J551" s="249">
        <v>0.2673611111111111</v>
      </c>
      <c r="K551" s="250">
        <v>0.7</v>
      </c>
    </row>
    <row r="552" spans="5:11" ht="14.25" customHeight="1" x14ac:dyDescent="0.35">
      <c r="E552" s="248">
        <v>45593</v>
      </c>
      <c r="F552" s="249">
        <v>0.24374999999999999</v>
      </c>
      <c r="G552" s="250">
        <v>0.1</v>
      </c>
      <c r="I552" s="248">
        <v>45593</v>
      </c>
      <c r="J552" s="249">
        <v>0.24374999999999999</v>
      </c>
      <c r="K552" s="250">
        <v>0.7</v>
      </c>
    </row>
    <row r="553" spans="5:11" ht="14.25" customHeight="1" x14ac:dyDescent="0.35">
      <c r="E553" s="248">
        <v>45596</v>
      </c>
      <c r="F553" s="249">
        <v>0.2638888888888889</v>
      </c>
      <c r="G553" s="250">
        <v>0.3</v>
      </c>
      <c r="I553" s="248">
        <v>45596</v>
      </c>
      <c r="J553" s="249">
        <v>0.2638888888888889</v>
      </c>
      <c r="K553" s="250">
        <v>1</v>
      </c>
    </row>
    <row r="554" spans="5:11" ht="14.25" customHeight="1" x14ac:dyDescent="0.35">
      <c r="E554" s="248">
        <v>45600</v>
      </c>
      <c r="F554" s="249">
        <v>0.24791666666666667</v>
      </c>
      <c r="G554" s="250">
        <v>0.1</v>
      </c>
      <c r="I554" s="248">
        <v>45600</v>
      </c>
      <c r="J554" s="249">
        <v>0.24791666666666667</v>
      </c>
      <c r="K554" s="250">
        <v>0.7</v>
      </c>
    </row>
    <row r="555" spans="5:11" ht="14.25" customHeight="1" x14ac:dyDescent="0.35">
      <c r="E555" s="248">
        <v>45603</v>
      </c>
      <c r="F555" s="249">
        <v>0.25694444444444442</v>
      </c>
      <c r="G555" s="250" t="s">
        <v>50</v>
      </c>
      <c r="I555" s="248">
        <v>45603</v>
      </c>
      <c r="J555" s="249">
        <v>0.25694444444444442</v>
      </c>
      <c r="K555" s="250">
        <v>1</v>
      </c>
    </row>
    <row r="556" spans="5:11" ht="14.25" customHeight="1" x14ac:dyDescent="0.35">
      <c r="E556" s="248">
        <v>45607</v>
      </c>
      <c r="F556" s="249">
        <v>0.24722222222222223</v>
      </c>
      <c r="G556" s="250">
        <v>0.1</v>
      </c>
      <c r="I556" s="248">
        <v>45607</v>
      </c>
      <c r="J556" s="249">
        <v>0.24722222222222223</v>
      </c>
      <c r="K556" s="250">
        <v>0.8</v>
      </c>
    </row>
    <row r="557" spans="5:11" ht="14.25" customHeight="1" x14ac:dyDescent="0.35">
      <c r="E557" s="248">
        <v>45609</v>
      </c>
      <c r="F557" s="249">
        <v>0.2361111111111111</v>
      </c>
      <c r="G557" s="250">
        <v>0.2</v>
      </c>
      <c r="I557" s="248">
        <v>45609</v>
      </c>
      <c r="J557" s="249">
        <v>0.2361111111111111</v>
      </c>
      <c r="K557" s="250">
        <v>0.8</v>
      </c>
    </row>
    <row r="558" spans="5:11" ht="14.25" customHeight="1" x14ac:dyDescent="0.35">
      <c r="E558" s="248">
        <v>45610</v>
      </c>
      <c r="F558" s="249">
        <v>0.2638888888888889</v>
      </c>
      <c r="G558" s="250">
        <v>0.2</v>
      </c>
      <c r="I558" s="248">
        <v>45610</v>
      </c>
      <c r="J558" s="249">
        <v>0.2638888888888889</v>
      </c>
      <c r="K558" s="250">
        <v>1</v>
      </c>
    </row>
    <row r="559" spans="5:11" ht="14.25" customHeight="1" x14ac:dyDescent="0.35">
      <c r="E559" s="248">
        <v>45614</v>
      </c>
      <c r="F559" s="249">
        <v>0.25138888888888888</v>
      </c>
      <c r="G559" s="250">
        <v>0.3</v>
      </c>
      <c r="I559" s="248">
        <v>45614</v>
      </c>
      <c r="J559" s="249">
        <v>0.25138888888888888</v>
      </c>
      <c r="K559" s="250">
        <v>0.9</v>
      </c>
    </row>
    <row r="560" spans="5:11" ht="14.25" customHeight="1" x14ac:dyDescent="0.35">
      <c r="E560" s="248">
        <v>45618</v>
      </c>
      <c r="F560" s="249">
        <v>0.25833333333333336</v>
      </c>
      <c r="G560" s="250">
        <v>0.3</v>
      </c>
      <c r="I560" s="248">
        <v>45620</v>
      </c>
      <c r="J560" s="249">
        <v>0.2673611111111111</v>
      </c>
      <c r="K560" s="250">
        <v>0.8</v>
      </c>
    </row>
    <row r="561" spans="5:11" ht="14.25" customHeight="1" x14ac:dyDescent="0.35">
      <c r="E561" s="248">
        <v>45620</v>
      </c>
      <c r="F561" s="249">
        <v>0.2673611111111111</v>
      </c>
      <c r="G561" s="250">
        <v>0.3</v>
      </c>
      <c r="I561" s="248">
        <v>45623</v>
      </c>
      <c r="J561" s="249">
        <v>0.25763888888888886</v>
      </c>
      <c r="K561" s="250">
        <v>1</v>
      </c>
    </row>
    <row r="562" spans="5:11" ht="14.25" customHeight="1" x14ac:dyDescent="0.35">
      <c r="E562" s="248">
        <v>45623</v>
      </c>
      <c r="F562" s="249">
        <v>0.25763888888888886</v>
      </c>
      <c r="G562" s="250">
        <v>0.3</v>
      </c>
      <c r="I562" s="248">
        <v>45628</v>
      </c>
      <c r="J562" s="249">
        <v>0.24861111111111112</v>
      </c>
      <c r="K562" s="250">
        <v>1</v>
      </c>
    </row>
    <row r="563" spans="5:11" ht="14.25" customHeight="1" x14ac:dyDescent="0.35">
      <c r="E563" s="248">
        <v>45628</v>
      </c>
      <c r="F563" s="249">
        <v>0.24861111111111112</v>
      </c>
      <c r="G563" s="250">
        <v>0.3</v>
      </c>
      <c r="I563" s="248">
        <v>45631</v>
      </c>
      <c r="J563" s="249">
        <v>0.27083333333333331</v>
      </c>
      <c r="K563" s="250">
        <v>0.9</v>
      </c>
    </row>
    <row r="564" spans="5:11" ht="14.25" customHeight="1" x14ac:dyDescent="0.35">
      <c r="E564" s="248">
        <v>45631</v>
      </c>
      <c r="F564" s="249">
        <v>0.27083333333333331</v>
      </c>
      <c r="G564" s="250">
        <v>0.3</v>
      </c>
      <c r="I564" s="248">
        <v>45635</v>
      </c>
      <c r="J564" s="249">
        <v>0.24652777777777779</v>
      </c>
      <c r="K564" s="250">
        <v>0.9</v>
      </c>
    </row>
    <row r="565" spans="5:11" ht="14.25" customHeight="1" x14ac:dyDescent="0.35">
      <c r="E565" s="248">
        <v>45635</v>
      </c>
      <c r="F565" s="249">
        <v>0.24652777777777779</v>
      </c>
      <c r="G565" s="250">
        <v>0.3</v>
      </c>
      <c r="I565" s="248">
        <v>45637</v>
      </c>
      <c r="J565" s="249">
        <v>0.2361111111111111</v>
      </c>
      <c r="K565" s="250">
        <v>0.9</v>
      </c>
    </row>
    <row r="566" spans="5:11" ht="14.25" customHeight="1" x14ac:dyDescent="0.35">
      <c r="E566" s="248">
        <v>45637</v>
      </c>
      <c r="F566" s="249">
        <v>0.2361111111111111</v>
      </c>
      <c r="G566" s="250">
        <v>0.3</v>
      </c>
      <c r="I566" s="248">
        <v>45638</v>
      </c>
      <c r="J566" s="249">
        <v>0.2673611111111111</v>
      </c>
      <c r="K566" s="250">
        <v>0.8</v>
      </c>
    </row>
    <row r="567" spans="5:11" ht="14.25" customHeight="1" x14ac:dyDescent="0.35">
      <c r="E567" s="248">
        <v>45638</v>
      </c>
      <c r="F567" s="249">
        <v>0.2673611111111111</v>
      </c>
      <c r="G567" s="250">
        <v>0.3</v>
      </c>
      <c r="I567" s="248">
        <v>45642</v>
      </c>
      <c r="J567" s="249">
        <v>0.24305555555555555</v>
      </c>
      <c r="K567" s="250">
        <v>0.9</v>
      </c>
    </row>
    <row r="568" spans="5:11" ht="14.25" customHeight="1" x14ac:dyDescent="0.35">
      <c r="E568" s="248">
        <v>45642</v>
      </c>
      <c r="F568" s="249">
        <v>0.24305555555555555</v>
      </c>
      <c r="G568" s="250">
        <v>0.3</v>
      </c>
      <c r="I568" s="248">
        <v>45645</v>
      </c>
      <c r="J568" s="249">
        <v>0.26319444444444445</v>
      </c>
      <c r="K568" s="250">
        <v>0.9</v>
      </c>
    </row>
    <row r="569" spans="5:11" ht="14.25" customHeight="1" x14ac:dyDescent="0.35">
      <c r="E569" s="248">
        <v>45645</v>
      </c>
      <c r="F569" s="249">
        <v>0.26319444444444445</v>
      </c>
      <c r="G569" s="250">
        <v>0.4</v>
      </c>
      <c r="I569" s="248">
        <v>45649</v>
      </c>
      <c r="J569" s="249">
        <v>0.24374999999999999</v>
      </c>
      <c r="K569" s="250">
        <v>0.9</v>
      </c>
    </row>
    <row r="570" spans="5:11" ht="14.25" customHeight="1" x14ac:dyDescent="0.35">
      <c r="E570" s="248">
        <v>45649</v>
      </c>
      <c r="F570" s="249">
        <v>0.24374999999999999</v>
      </c>
      <c r="G570" s="250">
        <v>0.4</v>
      </c>
      <c r="I570" s="248">
        <v>45652</v>
      </c>
      <c r="J570" s="249">
        <v>0.26041666666666669</v>
      </c>
      <c r="K570" s="250">
        <v>1.2</v>
      </c>
    </row>
    <row r="571" spans="5:11" ht="14.25" customHeight="1" x14ac:dyDescent="0.35">
      <c r="E571" s="248">
        <v>45652</v>
      </c>
      <c r="F571" s="249">
        <v>0.26041666666666669</v>
      </c>
      <c r="G571" s="250">
        <v>0.5</v>
      </c>
      <c r="I571" s="248">
        <v>45657</v>
      </c>
      <c r="J571" s="249">
        <v>0.22500000000000001</v>
      </c>
      <c r="K571" s="250">
        <v>0.9</v>
      </c>
    </row>
    <row r="572" spans="5:11" ht="14.25" customHeight="1" x14ac:dyDescent="0.35">
      <c r="E572" s="248">
        <v>45657</v>
      </c>
      <c r="F572" s="249">
        <v>0.22500000000000001</v>
      </c>
      <c r="G572" s="250">
        <v>0.4</v>
      </c>
      <c r="I572" s="248">
        <v>45664</v>
      </c>
      <c r="J572" s="249">
        <v>0.39583333333333331</v>
      </c>
      <c r="K572" s="250">
        <v>1</v>
      </c>
    </row>
    <row r="573" spans="5:11" ht="14.25" customHeight="1" x14ac:dyDescent="0.35">
      <c r="E573" s="248">
        <v>45664</v>
      </c>
      <c r="F573" s="249">
        <v>0.39583333333333331</v>
      </c>
      <c r="G573" s="250">
        <v>0.3</v>
      </c>
      <c r="I573" s="248">
        <v>45671</v>
      </c>
      <c r="J573" s="249">
        <v>0.20833333333333334</v>
      </c>
      <c r="K573" s="250">
        <v>0.9</v>
      </c>
    </row>
    <row r="574" spans="5:11" ht="14.25" customHeight="1" x14ac:dyDescent="0.35">
      <c r="E574" s="248">
        <v>45671</v>
      </c>
      <c r="F574" s="249">
        <v>0.20833333333333334</v>
      </c>
      <c r="G574" s="250">
        <v>0.5</v>
      </c>
      <c r="I574" s="248">
        <v>45678</v>
      </c>
      <c r="J574" s="249">
        <v>0.22013888888888888</v>
      </c>
      <c r="K574" s="250">
        <v>1</v>
      </c>
    </row>
    <row r="575" spans="5:11" ht="14.25" customHeight="1" x14ac:dyDescent="0.35">
      <c r="E575" s="248">
        <v>45678</v>
      </c>
      <c r="F575" s="249">
        <v>0.22013888888888888</v>
      </c>
      <c r="G575" s="250">
        <v>0.4</v>
      </c>
      <c r="I575" s="248">
        <v>45685</v>
      </c>
      <c r="J575" s="249">
        <v>0.21875</v>
      </c>
      <c r="K575" s="250">
        <v>1.1000000000000001</v>
      </c>
    </row>
    <row r="576" spans="5:11" ht="14.25" customHeight="1" x14ac:dyDescent="0.35">
      <c r="E576" s="248">
        <v>45685</v>
      </c>
      <c r="F576" s="249">
        <v>0.21875</v>
      </c>
      <c r="G576" s="250">
        <v>0.5</v>
      </c>
      <c r="I576" s="248">
        <v>45692</v>
      </c>
      <c r="J576" s="249">
        <v>0.22569444444444445</v>
      </c>
      <c r="K576" s="250">
        <v>0.9</v>
      </c>
    </row>
    <row r="577" spans="5:11" ht="14.25" customHeight="1" x14ac:dyDescent="0.35">
      <c r="E577" s="248">
        <v>45692</v>
      </c>
      <c r="F577" s="249">
        <v>0.22569444444444445</v>
      </c>
      <c r="G577" s="250">
        <v>0.3</v>
      </c>
      <c r="I577" s="248">
        <v>45699</v>
      </c>
      <c r="J577" s="249">
        <v>0.25347222222222221</v>
      </c>
      <c r="K577" s="250">
        <v>0.9</v>
      </c>
    </row>
    <row r="578" spans="5:11" ht="14.25" customHeight="1" x14ac:dyDescent="0.35">
      <c r="E578" s="248">
        <v>45699</v>
      </c>
      <c r="F578" s="249">
        <v>0.25347222222222221</v>
      </c>
      <c r="G578" s="250">
        <v>0.3</v>
      </c>
      <c r="I578" s="248">
        <v>45706</v>
      </c>
      <c r="J578" s="249">
        <v>0.25347222222222221</v>
      </c>
      <c r="K578" s="250">
        <v>0.8</v>
      </c>
    </row>
    <row r="579" spans="5:11" ht="14.25" customHeight="1" x14ac:dyDescent="0.35">
      <c r="E579" s="248">
        <v>45706</v>
      </c>
      <c r="F579" s="249">
        <v>0.25347222222222221</v>
      </c>
      <c r="G579" s="250">
        <v>0.3</v>
      </c>
      <c r="I579" s="248">
        <v>45713</v>
      </c>
      <c r="J579" s="249">
        <v>0.22916666666666666</v>
      </c>
      <c r="K579" s="250">
        <v>0.8</v>
      </c>
    </row>
    <row r="580" spans="5:11" ht="14.25" customHeight="1" x14ac:dyDescent="0.35">
      <c r="E580" s="248">
        <v>45713</v>
      </c>
      <c r="F580" s="249">
        <v>0.22916666666666666</v>
      </c>
      <c r="G580" s="250">
        <v>0.2</v>
      </c>
      <c r="I580" s="248">
        <v>45720</v>
      </c>
      <c r="J580" s="249">
        <v>0.26041666666666669</v>
      </c>
      <c r="K580" s="250">
        <v>1</v>
      </c>
    </row>
    <row r="581" spans="5:11" ht="14.25" customHeight="1" x14ac:dyDescent="0.35">
      <c r="E581" s="248">
        <v>45720</v>
      </c>
      <c r="F581" s="249">
        <v>0.26041666666666669</v>
      </c>
      <c r="G581" s="250">
        <v>0.3</v>
      </c>
      <c r="I581" s="248">
        <v>43838</v>
      </c>
      <c r="J581" s="249">
        <v>0.25</v>
      </c>
      <c r="K581" s="250">
        <v>10.6</v>
      </c>
    </row>
    <row r="582" spans="5:11" ht="14.25" customHeight="1" x14ac:dyDescent="0.35">
      <c r="E582" s="248">
        <v>43838</v>
      </c>
      <c r="F582" s="249">
        <v>0.3611111111111111</v>
      </c>
      <c r="G582" s="250">
        <v>0.6</v>
      </c>
      <c r="I582" s="248">
        <v>43845</v>
      </c>
      <c r="J582" s="249">
        <v>0.25</v>
      </c>
      <c r="K582" s="250">
        <v>11.5</v>
      </c>
    </row>
    <row r="583" spans="5:11" ht="14.25" customHeight="1" x14ac:dyDescent="0.35">
      <c r="E583" s="248">
        <v>44020</v>
      </c>
      <c r="F583" s="249">
        <v>0.375</v>
      </c>
      <c r="G583" s="250">
        <v>0.2</v>
      </c>
      <c r="I583" s="248">
        <v>43852</v>
      </c>
      <c r="J583" s="249">
        <v>0.25</v>
      </c>
      <c r="K583" s="250">
        <v>10.8</v>
      </c>
    </row>
    <row r="584" spans="5:11" ht="14.25" customHeight="1" x14ac:dyDescent="0.35">
      <c r="E584" s="248">
        <v>44202</v>
      </c>
      <c r="F584" s="249">
        <v>0.35416666666666669</v>
      </c>
      <c r="G584" s="250">
        <v>1.1000000000000001</v>
      </c>
      <c r="I584" s="248">
        <v>43859</v>
      </c>
      <c r="J584" s="249">
        <v>0.25</v>
      </c>
      <c r="K584" s="250">
        <v>11.5</v>
      </c>
    </row>
    <row r="585" spans="5:11" ht="14.25" customHeight="1" x14ac:dyDescent="0.35">
      <c r="E585" s="248">
        <v>44384</v>
      </c>
      <c r="F585" s="249">
        <v>0.3125</v>
      </c>
      <c r="G585" s="250">
        <v>1.3</v>
      </c>
      <c r="I585" s="248">
        <v>43866</v>
      </c>
      <c r="J585" s="249">
        <v>0.625</v>
      </c>
      <c r="K585" s="250">
        <v>14.7</v>
      </c>
    </row>
    <row r="586" spans="5:11" ht="14.25" customHeight="1" x14ac:dyDescent="0.35">
      <c r="E586" s="248">
        <v>44566</v>
      </c>
      <c r="F586" s="249">
        <v>0.38194444444444442</v>
      </c>
      <c r="G586" s="250">
        <v>1</v>
      </c>
      <c r="I586" s="248">
        <v>43873</v>
      </c>
      <c r="J586" s="249">
        <v>0.25</v>
      </c>
      <c r="K586" s="250">
        <v>10.9</v>
      </c>
    </row>
    <row r="587" spans="5:11" ht="14.25" customHeight="1" x14ac:dyDescent="0.35">
      <c r="E587" s="248">
        <v>44748</v>
      </c>
      <c r="F587" s="249">
        <v>0.35416666666666669</v>
      </c>
      <c r="G587" s="250">
        <v>3.6</v>
      </c>
      <c r="I587" s="248">
        <v>43880</v>
      </c>
      <c r="J587" s="249">
        <v>0.25</v>
      </c>
      <c r="K587" s="250">
        <v>11</v>
      </c>
    </row>
    <row r="588" spans="5:11" ht="14.25" customHeight="1" x14ac:dyDescent="0.35">
      <c r="E588" s="248">
        <v>44937</v>
      </c>
      <c r="F588" s="249">
        <v>0.34722222222222221</v>
      </c>
      <c r="G588" s="250">
        <v>5.9</v>
      </c>
      <c r="I588" s="248">
        <v>43887</v>
      </c>
      <c r="J588" s="249">
        <v>0.25</v>
      </c>
      <c r="K588" s="250">
        <v>10.7</v>
      </c>
    </row>
    <row r="589" spans="5:11" ht="14.25" customHeight="1" x14ac:dyDescent="0.35">
      <c r="E589" s="248">
        <v>45119</v>
      </c>
      <c r="F589" s="249">
        <v>0.32291666666666669</v>
      </c>
      <c r="G589" s="250">
        <v>6</v>
      </c>
      <c r="I589" s="248">
        <v>43894</v>
      </c>
      <c r="J589" s="249">
        <v>0.25</v>
      </c>
      <c r="K589" s="250">
        <v>11</v>
      </c>
    </row>
    <row r="590" spans="5:11" ht="14.25" customHeight="1" x14ac:dyDescent="0.35">
      <c r="E590" s="248">
        <v>45301</v>
      </c>
      <c r="F590" s="249">
        <v>0.32291666666666669</v>
      </c>
      <c r="G590" s="250">
        <v>11.4</v>
      </c>
      <c r="I590" s="248">
        <v>43901</v>
      </c>
      <c r="J590" s="249">
        <v>0.25</v>
      </c>
      <c r="K590" s="250">
        <v>12.1</v>
      </c>
    </row>
    <row r="591" spans="5:11" ht="14.25" customHeight="1" x14ac:dyDescent="0.35">
      <c r="E591" s="248">
        <v>45483</v>
      </c>
      <c r="F591" s="249">
        <v>0.30902777777777779</v>
      </c>
      <c r="G591" s="250">
        <v>0.4</v>
      </c>
      <c r="I591" s="248">
        <v>43908</v>
      </c>
      <c r="J591" s="249">
        <v>0.25</v>
      </c>
      <c r="K591" s="250">
        <v>12.1</v>
      </c>
    </row>
    <row r="592" spans="5:11" ht="14.25" customHeight="1" x14ac:dyDescent="0.35">
      <c r="E592" s="248">
        <v>45664</v>
      </c>
      <c r="F592" s="249">
        <v>0.38541666666666669</v>
      </c>
      <c r="G592" s="250">
        <v>5.5</v>
      </c>
      <c r="I592" s="248">
        <v>43915</v>
      </c>
      <c r="J592" s="249">
        <v>0.25</v>
      </c>
      <c r="K592" s="250">
        <v>12.1</v>
      </c>
    </row>
    <row r="593" spans="5:11" ht="14.25" customHeight="1" x14ac:dyDescent="0.35">
      <c r="E593" s="248">
        <v>44944</v>
      </c>
      <c r="F593" s="249">
        <v>0.25</v>
      </c>
      <c r="G593" s="250">
        <v>23</v>
      </c>
      <c r="I593" s="248">
        <v>43922</v>
      </c>
      <c r="J593" s="249">
        <v>0.25</v>
      </c>
      <c r="K593" s="250">
        <v>11.7</v>
      </c>
    </row>
    <row r="594" spans="5:11" ht="14.25" customHeight="1" x14ac:dyDescent="0.35">
      <c r="E594" s="248">
        <v>44951</v>
      </c>
      <c r="F594" s="249">
        <v>0.25</v>
      </c>
      <c r="G594" s="250">
        <v>26.2</v>
      </c>
      <c r="I594" s="248">
        <v>43929</v>
      </c>
      <c r="J594" s="249">
        <v>0.25</v>
      </c>
      <c r="K594" s="250">
        <v>11.6</v>
      </c>
    </row>
    <row r="595" spans="5:11" ht="14.25" customHeight="1" x14ac:dyDescent="0.35">
      <c r="E595" s="248">
        <v>44958</v>
      </c>
      <c r="F595" s="249">
        <v>0.25</v>
      </c>
      <c r="G595" s="250">
        <v>26.4</v>
      </c>
      <c r="I595" s="248">
        <v>43936</v>
      </c>
      <c r="J595" s="249">
        <v>0.25</v>
      </c>
      <c r="K595" s="250">
        <v>12.5</v>
      </c>
    </row>
    <row r="596" spans="5:11" ht="14.25" customHeight="1" x14ac:dyDescent="0.35">
      <c r="E596" s="248">
        <v>44965</v>
      </c>
      <c r="F596" s="249">
        <v>0.25</v>
      </c>
      <c r="G596" s="250">
        <v>25</v>
      </c>
      <c r="I596" s="248">
        <v>43943</v>
      </c>
      <c r="J596" s="249">
        <v>0.25</v>
      </c>
      <c r="K596" s="250">
        <v>12.5</v>
      </c>
    </row>
    <row r="597" spans="5:11" ht="14.25" customHeight="1" x14ac:dyDescent="0.35">
      <c r="E597" s="248">
        <v>44972</v>
      </c>
      <c r="F597" s="249">
        <v>0.25</v>
      </c>
      <c r="G597" s="250">
        <v>26.3</v>
      </c>
      <c r="I597" s="248">
        <v>43964</v>
      </c>
      <c r="J597" s="249">
        <v>0.25</v>
      </c>
      <c r="K597" s="250">
        <v>10.8</v>
      </c>
    </row>
    <row r="598" spans="5:11" ht="14.25" customHeight="1" x14ac:dyDescent="0.35">
      <c r="E598" s="248">
        <v>44979</v>
      </c>
      <c r="F598" s="249">
        <v>0.25</v>
      </c>
      <c r="G598" s="250">
        <v>25.2</v>
      </c>
      <c r="I598" s="248">
        <v>43971</v>
      </c>
      <c r="J598" s="249">
        <v>0.25</v>
      </c>
      <c r="K598" s="250">
        <v>9.8000000000000007</v>
      </c>
    </row>
    <row r="599" spans="5:11" ht="14.25" customHeight="1" x14ac:dyDescent="0.35">
      <c r="E599" s="248">
        <v>44986</v>
      </c>
      <c r="F599" s="249">
        <v>0.25</v>
      </c>
      <c r="G599" s="250">
        <v>18.5</v>
      </c>
      <c r="I599" s="248">
        <v>43978</v>
      </c>
      <c r="J599" s="249">
        <v>0.25</v>
      </c>
      <c r="K599" s="250">
        <v>10</v>
      </c>
    </row>
    <row r="600" spans="5:11" ht="14.25" customHeight="1" x14ac:dyDescent="0.35">
      <c r="E600" s="248">
        <v>44993</v>
      </c>
      <c r="F600" s="249">
        <v>0.25</v>
      </c>
      <c r="G600" s="250">
        <v>20.2</v>
      </c>
      <c r="I600" s="248">
        <v>43985</v>
      </c>
      <c r="J600" s="249">
        <v>0.25</v>
      </c>
      <c r="K600" s="250">
        <v>11.4</v>
      </c>
    </row>
    <row r="601" spans="5:11" ht="14.25" customHeight="1" x14ac:dyDescent="0.35">
      <c r="E601" s="248">
        <v>45000</v>
      </c>
      <c r="F601" s="249">
        <v>0.25</v>
      </c>
      <c r="G601" s="250">
        <v>23.2</v>
      </c>
      <c r="I601" s="248">
        <v>43992</v>
      </c>
      <c r="J601" s="249">
        <v>0.25</v>
      </c>
      <c r="K601" s="250">
        <v>10</v>
      </c>
    </row>
    <row r="602" spans="5:11" ht="14.25" customHeight="1" x14ac:dyDescent="0.35">
      <c r="E602" s="248">
        <v>45007</v>
      </c>
      <c r="F602" s="249">
        <v>0.25</v>
      </c>
      <c r="G602" s="250">
        <v>19.600000000000001</v>
      </c>
      <c r="I602" s="248">
        <v>43999</v>
      </c>
      <c r="J602" s="249">
        <v>0.25</v>
      </c>
      <c r="K602" s="250">
        <v>12.9</v>
      </c>
    </row>
    <row r="603" spans="5:11" ht="14.25" customHeight="1" x14ac:dyDescent="0.35">
      <c r="E603" s="248">
        <v>45014</v>
      </c>
      <c r="F603" s="249">
        <v>0.25</v>
      </c>
      <c r="G603" s="250">
        <v>25.8</v>
      </c>
      <c r="I603" s="248">
        <v>44006</v>
      </c>
      <c r="J603" s="249">
        <v>0.25</v>
      </c>
      <c r="K603" s="250">
        <v>10.9</v>
      </c>
    </row>
    <row r="604" spans="5:11" ht="14.25" customHeight="1" x14ac:dyDescent="0.35">
      <c r="E604" s="248">
        <v>45021</v>
      </c>
      <c r="F604" s="249">
        <v>0.25</v>
      </c>
      <c r="G604" s="250">
        <v>26.2</v>
      </c>
      <c r="I604" s="248">
        <v>44013</v>
      </c>
      <c r="J604" s="249">
        <v>0.25</v>
      </c>
      <c r="K604" s="250">
        <v>11</v>
      </c>
    </row>
    <row r="605" spans="5:11" ht="14.25" customHeight="1" x14ac:dyDescent="0.35">
      <c r="E605" s="248">
        <v>45028</v>
      </c>
      <c r="F605" s="249">
        <v>0.25</v>
      </c>
      <c r="G605" s="250">
        <v>26.6</v>
      </c>
      <c r="I605" s="248">
        <v>44020</v>
      </c>
      <c r="J605" s="249">
        <v>0.25</v>
      </c>
      <c r="K605" s="250">
        <v>10.8</v>
      </c>
    </row>
    <row r="606" spans="5:11" ht="14.25" customHeight="1" x14ac:dyDescent="0.35">
      <c r="E606" s="248">
        <v>45035</v>
      </c>
      <c r="F606" s="249">
        <v>0.25</v>
      </c>
      <c r="G606" s="250">
        <v>24.8</v>
      </c>
      <c r="I606" s="248">
        <v>44027</v>
      </c>
      <c r="J606" s="249">
        <v>0.25</v>
      </c>
      <c r="K606" s="250">
        <v>10.5</v>
      </c>
    </row>
    <row r="607" spans="5:11" ht="14.25" customHeight="1" x14ac:dyDescent="0.35">
      <c r="E607" s="248">
        <v>45042</v>
      </c>
      <c r="F607" s="249">
        <v>0.25</v>
      </c>
      <c r="G607" s="250">
        <v>23.9</v>
      </c>
      <c r="I607" s="248">
        <v>44034</v>
      </c>
      <c r="J607" s="249">
        <v>0.25</v>
      </c>
      <c r="K607" s="250">
        <v>10.199999999999999</v>
      </c>
    </row>
    <row r="608" spans="5:11" ht="14.25" customHeight="1" x14ac:dyDescent="0.35">
      <c r="E608" s="248">
        <v>43838</v>
      </c>
      <c r="F608" s="249">
        <v>0.25</v>
      </c>
      <c r="G608" s="250">
        <v>0.7</v>
      </c>
      <c r="I608" s="248">
        <v>44041</v>
      </c>
      <c r="J608" s="249">
        <v>0.25</v>
      </c>
      <c r="K608" s="250">
        <v>10.5</v>
      </c>
    </row>
    <row r="609" spans="5:11" ht="14.25" customHeight="1" x14ac:dyDescent="0.35">
      <c r="E609" s="248">
        <v>43845</v>
      </c>
      <c r="F609" s="249">
        <v>0.25</v>
      </c>
      <c r="G609" s="250">
        <v>2.4</v>
      </c>
      <c r="I609" s="248">
        <v>44048</v>
      </c>
      <c r="J609" s="249">
        <v>0.25</v>
      </c>
      <c r="K609" s="250">
        <v>10.3</v>
      </c>
    </row>
    <row r="610" spans="5:11" ht="14.25" customHeight="1" x14ac:dyDescent="0.35">
      <c r="E610" s="248">
        <v>43852</v>
      </c>
      <c r="F610" s="249">
        <v>0.25</v>
      </c>
      <c r="G610" s="250">
        <v>1.7</v>
      </c>
      <c r="I610" s="248">
        <v>44055</v>
      </c>
      <c r="J610" s="249">
        <v>0.25</v>
      </c>
      <c r="K610" s="250">
        <v>10.6</v>
      </c>
    </row>
    <row r="611" spans="5:11" ht="14.25" customHeight="1" x14ac:dyDescent="0.35">
      <c r="E611" s="248">
        <v>43859</v>
      </c>
      <c r="F611" s="249">
        <v>0.25</v>
      </c>
      <c r="G611" s="250">
        <v>1.5</v>
      </c>
      <c r="I611" s="248">
        <v>44062</v>
      </c>
      <c r="J611" s="249">
        <v>0.25</v>
      </c>
      <c r="K611" s="250">
        <v>11.9</v>
      </c>
    </row>
    <row r="612" spans="5:11" ht="14.25" customHeight="1" x14ac:dyDescent="0.35">
      <c r="E612" s="248">
        <v>43866</v>
      </c>
      <c r="F612" s="249">
        <v>0.625</v>
      </c>
      <c r="G612" s="250">
        <v>2.5</v>
      </c>
      <c r="I612" s="248">
        <v>44069</v>
      </c>
      <c r="J612" s="249">
        <v>0.25</v>
      </c>
      <c r="K612" s="250">
        <v>10.5</v>
      </c>
    </row>
    <row r="613" spans="5:11" ht="14.25" customHeight="1" x14ac:dyDescent="0.35">
      <c r="E613" s="248">
        <v>43873</v>
      </c>
      <c r="F613" s="249">
        <v>0.25</v>
      </c>
      <c r="G613" s="250">
        <v>1.2</v>
      </c>
      <c r="I613" s="248">
        <v>44076</v>
      </c>
      <c r="J613" s="249">
        <v>0.25</v>
      </c>
      <c r="K613" s="250">
        <v>9.6999999999999993</v>
      </c>
    </row>
    <row r="614" spans="5:11" ht="14.25" customHeight="1" x14ac:dyDescent="0.35">
      <c r="E614" s="248">
        <v>43880</v>
      </c>
      <c r="F614" s="249">
        <v>0.25</v>
      </c>
      <c r="G614" s="250">
        <v>1.5</v>
      </c>
      <c r="I614" s="248">
        <v>44083</v>
      </c>
      <c r="J614" s="249">
        <v>0.25</v>
      </c>
      <c r="K614" s="250">
        <v>10.5</v>
      </c>
    </row>
    <row r="615" spans="5:11" ht="14.25" customHeight="1" x14ac:dyDescent="0.35">
      <c r="E615" s="248">
        <v>43887</v>
      </c>
      <c r="F615" s="249">
        <v>0.25</v>
      </c>
      <c r="G615" s="250">
        <v>1.3</v>
      </c>
      <c r="I615" s="248">
        <v>44090</v>
      </c>
      <c r="J615" s="249">
        <v>0.25</v>
      </c>
      <c r="K615" s="250">
        <v>10.9</v>
      </c>
    </row>
    <row r="616" spans="5:11" ht="14.25" customHeight="1" x14ac:dyDescent="0.35">
      <c r="E616" s="248">
        <v>43894</v>
      </c>
      <c r="F616" s="249">
        <v>0.25</v>
      </c>
      <c r="G616" s="250">
        <v>0.7</v>
      </c>
      <c r="I616" s="248">
        <v>44097</v>
      </c>
      <c r="J616" s="249">
        <v>0.25</v>
      </c>
      <c r="K616" s="250">
        <v>10.9</v>
      </c>
    </row>
    <row r="617" spans="5:11" ht="14.25" customHeight="1" x14ac:dyDescent="0.35">
      <c r="E617" s="248">
        <v>43901</v>
      </c>
      <c r="F617" s="249">
        <v>0.25</v>
      </c>
      <c r="G617" s="250">
        <v>1.3</v>
      </c>
      <c r="I617" s="248">
        <v>44104</v>
      </c>
      <c r="J617" s="249">
        <v>0.25</v>
      </c>
      <c r="K617" s="250">
        <v>9.6999999999999993</v>
      </c>
    </row>
    <row r="618" spans="5:11" ht="14.25" customHeight="1" x14ac:dyDescent="0.35">
      <c r="E618" s="248">
        <v>43908</v>
      </c>
      <c r="F618" s="249">
        <v>0.25</v>
      </c>
      <c r="G618" s="250">
        <v>1.5</v>
      </c>
      <c r="I618" s="248">
        <v>44111</v>
      </c>
      <c r="J618" s="249">
        <v>0.25</v>
      </c>
      <c r="K618" s="250">
        <v>10.6</v>
      </c>
    </row>
    <row r="619" spans="5:11" ht="14.25" customHeight="1" x14ac:dyDescent="0.35">
      <c r="E619" s="248">
        <v>43915</v>
      </c>
      <c r="F619" s="249">
        <v>0.25</v>
      </c>
      <c r="G619" s="250">
        <v>2.1</v>
      </c>
      <c r="I619" s="248">
        <v>44118</v>
      </c>
      <c r="J619" s="249">
        <v>0.25</v>
      </c>
      <c r="K619" s="250">
        <v>10.6</v>
      </c>
    </row>
    <row r="620" spans="5:11" ht="14.25" customHeight="1" x14ac:dyDescent="0.35">
      <c r="E620" s="248">
        <v>43922</v>
      </c>
      <c r="F620" s="249">
        <v>0.25</v>
      </c>
      <c r="G620" s="250">
        <v>0.9</v>
      </c>
      <c r="I620" s="248">
        <v>44125</v>
      </c>
      <c r="J620" s="249">
        <v>0.25</v>
      </c>
      <c r="K620" s="250">
        <v>11.2</v>
      </c>
    </row>
    <row r="621" spans="5:11" ht="14.25" customHeight="1" x14ac:dyDescent="0.35">
      <c r="E621" s="248">
        <v>43929</v>
      </c>
      <c r="F621" s="249">
        <v>0.25</v>
      </c>
      <c r="G621" s="250">
        <v>1.1000000000000001</v>
      </c>
      <c r="I621" s="248">
        <v>44132</v>
      </c>
      <c r="J621" s="249">
        <v>0.25</v>
      </c>
      <c r="K621" s="250">
        <v>11.4</v>
      </c>
    </row>
    <row r="622" spans="5:11" ht="14.25" customHeight="1" x14ac:dyDescent="0.35">
      <c r="E622" s="248">
        <v>43936</v>
      </c>
      <c r="F622" s="249">
        <v>0.25</v>
      </c>
      <c r="G622" s="250">
        <v>0.7</v>
      </c>
      <c r="I622" s="248">
        <v>44139</v>
      </c>
      <c r="J622" s="249">
        <v>0.25</v>
      </c>
      <c r="K622" s="250">
        <v>10.8</v>
      </c>
    </row>
    <row r="623" spans="5:11" ht="14.25" customHeight="1" x14ac:dyDescent="0.35">
      <c r="E623" s="248">
        <v>43943</v>
      </c>
      <c r="F623" s="249">
        <v>0.25</v>
      </c>
      <c r="G623" s="250">
        <v>1</v>
      </c>
      <c r="I623" s="248">
        <v>44147</v>
      </c>
      <c r="J623" s="249">
        <v>0.25</v>
      </c>
      <c r="K623" s="250">
        <v>11.8</v>
      </c>
    </row>
    <row r="624" spans="5:11" ht="14.25" customHeight="1" x14ac:dyDescent="0.35">
      <c r="E624" s="248">
        <v>43964</v>
      </c>
      <c r="F624" s="249">
        <v>0.25</v>
      </c>
      <c r="G624" s="250">
        <v>1.1000000000000001</v>
      </c>
      <c r="I624" s="248">
        <v>44153</v>
      </c>
      <c r="J624" s="249">
        <v>0.25</v>
      </c>
      <c r="K624" s="250">
        <v>10.8</v>
      </c>
    </row>
    <row r="625" spans="5:11" ht="14.25" customHeight="1" x14ac:dyDescent="0.35">
      <c r="E625" s="248">
        <v>43971</v>
      </c>
      <c r="F625" s="249">
        <v>0.25</v>
      </c>
      <c r="G625" s="250">
        <v>0.7</v>
      </c>
      <c r="I625" s="248">
        <v>44160</v>
      </c>
      <c r="J625" s="249">
        <v>0.25</v>
      </c>
      <c r="K625" s="250">
        <v>11.6</v>
      </c>
    </row>
    <row r="626" spans="5:11" ht="14.25" customHeight="1" x14ac:dyDescent="0.35">
      <c r="E626" s="248">
        <v>43978</v>
      </c>
      <c r="F626" s="249">
        <v>0.25</v>
      </c>
      <c r="G626" s="250">
        <v>0.7</v>
      </c>
      <c r="I626" s="248">
        <v>44167</v>
      </c>
      <c r="J626" s="249">
        <v>0.25</v>
      </c>
      <c r="K626" s="250">
        <v>11.4</v>
      </c>
    </row>
    <row r="627" spans="5:11" ht="14.25" customHeight="1" x14ac:dyDescent="0.35">
      <c r="E627" s="248">
        <v>43985</v>
      </c>
      <c r="F627" s="249">
        <v>0.25</v>
      </c>
      <c r="G627" s="250">
        <v>0.7</v>
      </c>
      <c r="I627" s="248">
        <v>44174</v>
      </c>
      <c r="J627" s="249">
        <v>0.25</v>
      </c>
      <c r="K627" s="250">
        <v>11.9</v>
      </c>
    </row>
    <row r="628" spans="5:11" ht="14.25" customHeight="1" x14ac:dyDescent="0.35">
      <c r="E628" s="248">
        <v>43992</v>
      </c>
      <c r="F628" s="249">
        <v>0.25</v>
      </c>
      <c r="G628" s="250">
        <v>0.5</v>
      </c>
      <c r="I628" s="248">
        <v>44181</v>
      </c>
      <c r="J628" s="249">
        <v>0.25</v>
      </c>
      <c r="K628" s="250">
        <v>14.1</v>
      </c>
    </row>
    <row r="629" spans="5:11" ht="14.25" customHeight="1" x14ac:dyDescent="0.35">
      <c r="E629" s="248">
        <v>43999</v>
      </c>
      <c r="F629" s="249">
        <v>0.25</v>
      </c>
      <c r="G629" s="250">
        <v>0.5</v>
      </c>
      <c r="I629" s="248">
        <v>44188</v>
      </c>
      <c r="J629" s="249">
        <v>0.25</v>
      </c>
      <c r="K629" s="250">
        <v>11.3</v>
      </c>
    </row>
    <row r="630" spans="5:11" ht="14.25" customHeight="1" x14ac:dyDescent="0.35">
      <c r="E630" s="248">
        <v>44006</v>
      </c>
      <c r="F630" s="249">
        <v>0.25</v>
      </c>
      <c r="G630" s="250">
        <v>0.5</v>
      </c>
      <c r="I630" s="248">
        <v>44195</v>
      </c>
      <c r="J630" s="249">
        <v>0.25</v>
      </c>
      <c r="K630" s="250">
        <v>12.4</v>
      </c>
    </row>
    <row r="631" spans="5:11" ht="14.25" customHeight="1" x14ac:dyDescent="0.35">
      <c r="E631" s="248">
        <v>44013</v>
      </c>
      <c r="F631" s="249">
        <v>0.25</v>
      </c>
      <c r="G631" s="250">
        <v>0.5</v>
      </c>
      <c r="I631" s="248">
        <v>44202</v>
      </c>
      <c r="J631" s="249">
        <v>0.25</v>
      </c>
      <c r="K631" s="250">
        <v>11.5</v>
      </c>
    </row>
    <row r="632" spans="5:11" ht="14.25" customHeight="1" x14ac:dyDescent="0.35">
      <c r="E632" s="248">
        <v>44020</v>
      </c>
      <c r="F632" s="249">
        <v>0.25</v>
      </c>
      <c r="G632" s="250">
        <v>0.4</v>
      </c>
      <c r="I632" s="248">
        <v>44209</v>
      </c>
      <c r="J632" s="249">
        <v>0.625</v>
      </c>
      <c r="K632" s="250">
        <v>14.7</v>
      </c>
    </row>
    <row r="633" spans="5:11" ht="14.25" customHeight="1" x14ac:dyDescent="0.35">
      <c r="E633" s="248">
        <v>44027</v>
      </c>
      <c r="F633" s="249">
        <v>0.25</v>
      </c>
      <c r="G633" s="250">
        <v>0.8</v>
      </c>
      <c r="I633" s="248">
        <v>44216</v>
      </c>
      <c r="J633" s="249">
        <v>0.25</v>
      </c>
      <c r="K633" s="250">
        <v>12.1</v>
      </c>
    </row>
    <row r="634" spans="5:11" ht="14.25" customHeight="1" x14ac:dyDescent="0.35">
      <c r="E634" s="248">
        <v>44034</v>
      </c>
      <c r="F634" s="249">
        <v>0.25</v>
      </c>
      <c r="G634" s="250">
        <v>0.9</v>
      </c>
      <c r="I634" s="248">
        <v>44223</v>
      </c>
      <c r="J634" s="249">
        <v>0.25</v>
      </c>
      <c r="K634" s="250">
        <v>11.8</v>
      </c>
    </row>
    <row r="635" spans="5:11" ht="14.25" customHeight="1" x14ac:dyDescent="0.35">
      <c r="E635" s="248">
        <v>44041</v>
      </c>
      <c r="F635" s="249">
        <v>0.25</v>
      </c>
      <c r="G635" s="250">
        <v>0.6</v>
      </c>
      <c r="I635" s="248">
        <v>44230</v>
      </c>
      <c r="J635" s="249">
        <v>0.25</v>
      </c>
      <c r="K635" s="250">
        <v>11.1</v>
      </c>
    </row>
    <row r="636" spans="5:11" ht="14.25" customHeight="1" x14ac:dyDescent="0.35">
      <c r="E636" s="248">
        <v>44048</v>
      </c>
      <c r="F636" s="249">
        <v>0.25</v>
      </c>
      <c r="G636" s="250">
        <v>0.6</v>
      </c>
      <c r="I636" s="248">
        <v>44237</v>
      </c>
      <c r="J636" s="249">
        <v>0.25</v>
      </c>
      <c r="K636" s="250">
        <v>11.5</v>
      </c>
    </row>
    <row r="637" spans="5:11" ht="14.25" customHeight="1" x14ac:dyDescent="0.35">
      <c r="E637" s="248">
        <v>44055</v>
      </c>
      <c r="F637" s="249">
        <v>0.25</v>
      </c>
      <c r="G637" s="250">
        <v>1.1000000000000001</v>
      </c>
      <c r="I637" s="248">
        <v>44244</v>
      </c>
      <c r="J637" s="249">
        <v>0.25</v>
      </c>
      <c r="K637" s="250">
        <v>11.4</v>
      </c>
    </row>
    <row r="638" spans="5:11" ht="14.25" customHeight="1" x14ac:dyDescent="0.35">
      <c r="E638" s="248">
        <v>44062</v>
      </c>
      <c r="F638" s="249">
        <v>0.25</v>
      </c>
      <c r="G638" s="250">
        <v>1.5</v>
      </c>
      <c r="I638" s="248">
        <v>44251</v>
      </c>
      <c r="J638" s="249">
        <v>0.25</v>
      </c>
      <c r="K638" s="250">
        <v>11.7</v>
      </c>
    </row>
    <row r="639" spans="5:11" ht="14.25" customHeight="1" x14ac:dyDescent="0.35">
      <c r="E639" s="248">
        <v>44069</v>
      </c>
      <c r="F639" s="249">
        <v>0.25</v>
      </c>
      <c r="G639" s="250">
        <v>0.9</v>
      </c>
      <c r="I639" s="248">
        <v>44258</v>
      </c>
      <c r="J639" s="249">
        <v>0.25</v>
      </c>
      <c r="K639" s="250">
        <v>11.5</v>
      </c>
    </row>
    <row r="640" spans="5:11" ht="14.25" customHeight="1" x14ac:dyDescent="0.35">
      <c r="E640" s="248">
        <v>44076</v>
      </c>
      <c r="F640" s="249">
        <v>0.25</v>
      </c>
      <c r="G640" s="250">
        <v>0.2</v>
      </c>
      <c r="I640" s="248">
        <v>44265</v>
      </c>
      <c r="J640" s="249">
        <v>0.25</v>
      </c>
      <c r="K640" s="250">
        <v>10.9</v>
      </c>
    </row>
    <row r="641" spans="5:11" ht="14.25" customHeight="1" x14ac:dyDescent="0.35">
      <c r="E641" s="248">
        <v>44083</v>
      </c>
      <c r="F641" s="249">
        <v>0.25</v>
      </c>
      <c r="G641" s="250">
        <v>0.7</v>
      </c>
      <c r="I641" s="248">
        <v>44272</v>
      </c>
      <c r="J641" s="249">
        <v>0.25</v>
      </c>
      <c r="K641" s="250">
        <v>11.1</v>
      </c>
    </row>
    <row r="642" spans="5:11" ht="14.25" customHeight="1" x14ac:dyDescent="0.35">
      <c r="E642" s="248">
        <v>44090</v>
      </c>
      <c r="F642" s="249">
        <v>0.25</v>
      </c>
      <c r="G642" s="250">
        <v>0.6</v>
      </c>
      <c r="I642" s="248">
        <v>44279</v>
      </c>
      <c r="J642" s="249">
        <v>0.25</v>
      </c>
      <c r="K642" s="250">
        <v>12.3</v>
      </c>
    </row>
    <row r="643" spans="5:11" ht="14.25" customHeight="1" x14ac:dyDescent="0.35">
      <c r="E643" s="248">
        <v>44097</v>
      </c>
      <c r="F643" s="249">
        <v>0.25</v>
      </c>
      <c r="G643" s="250">
        <v>0.5</v>
      </c>
      <c r="I643" s="248">
        <v>44286</v>
      </c>
      <c r="J643" s="249">
        <v>0.25</v>
      </c>
      <c r="K643" s="250">
        <v>10.9</v>
      </c>
    </row>
    <row r="644" spans="5:11" ht="14.25" customHeight="1" x14ac:dyDescent="0.35">
      <c r="E644" s="248">
        <v>44104</v>
      </c>
      <c r="F644" s="249">
        <v>0.25</v>
      </c>
      <c r="G644" s="250">
        <v>0.4</v>
      </c>
      <c r="I644" s="248">
        <v>44293</v>
      </c>
      <c r="J644" s="249">
        <v>0.25</v>
      </c>
      <c r="K644" s="250">
        <v>10.87</v>
      </c>
    </row>
    <row r="645" spans="5:11" ht="14.25" customHeight="1" x14ac:dyDescent="0.35">
      <c r="E645" s="248">
        <v>44111</v>
      </c>
      <c r="F645" s="249">
        <v>0.25</v>
      </c>
      <c r="G645" s="250">
        <v>0.4</v>
      </c>
      <c r="I645" s="248">
        <v>44300</v>
      </c>
      <c r="J645" s="249">
        <v>0.25</v>
      </c>
      <c r="K645" s="250">
        <v>24.7</v>
      </c>
    </row>
    <row r="646" spans="5:11" ht="14.25" customHeight="1" x14ac:dyDescent="0.35">
      <c r="E646" s="248">
        <v>44118</v>
      </c>
      <c r="F646" s="249">
        <v>0.25</v>
      </c>
      <c r="G646" s="250">
        <v>0.9</v>
      </c>
      <c r="I646" s="248">
        <v>44307</v>
      </c>
      <c r="J646" s="249">
        <v>0.25</v>
      </c>
      <c r="K646" s="250">
        <v>11</v>
      </c>
    </row>
    <row r="647" spans="5:11" ht="14.25" customHeight="1" x14ac:dyDescent="0.35">
      <c r="E647" s="248">
        <v>44125</v>
      </c>
      <c r="F647" s="249">
        <v>0.25</v>
      </c>
      <c r="G647" s="250">
        <v>0.5</v>
      </c>
      <c r="I647" s="248">
        <v>44314</v>
      </c>
      <c r="J647" s="249">
        <v>0.25</v>
      </c>
      <c r="K647" s="250">
        <v>12</v>
      </c>
    </row>
    <row r="648" spans="5:11" ht="14.25" customHeight="1" x14ac:dyDescent="0.35">
      <c r="E648" s="248">
        <v>44132</v>
      </c>
      <c r="F648" s="249">
        <v>0.25</v>
      </c>
      <c r="G648" s="250">
        <v>0.5</v>
      </c>
      <c r="I648" s="248">
        <v>44321</v>
      </c>
      <c r="J648" s="249">
        <v>0.25</v>
      </c>
      <c r="K648" s="250">
        <v>11.8</v>
      </c>
    </row>
    <row r="649" spans="5:11" ht="14.25" customHeight="1" x14ac:dyDescent="0.35">
      <c r="E649" s="248">
        <v>44139</v>
      </c>
      <c r="F649" s="249">
        <v>0.25</v>
      </c>
      <c r="G649" s="250">
        <v>0.5</v>
      </c>
      <c r="I649" s="248">
        <v>44328</v>
      </c>
      <c r="J649" s="249">
        <v>0.25</v>
      </c>
      <c r="K649" s="250">
        <v>11.5</v>
      </c>
    </row>
    <row r="650" spans="5:11" ht="14.25" customHeight="1" x14ac:dyDescent="0.35">
      <c r="E650" s="248">
        <v>44147</v>
      </c>
      <c r="F650" s="249">
        <v>0.25</v>
      </c>
      <c r="G650" s="250">
        <v>0.7</v>
      </c>
      <c r="I650" s="248">
        <v>44335</v>
      </c>
      <c r="J650" s="249">
        <v>0.25</v>
      </c>
      <c r="K650" s="250">
        <v>10.7</v>
      </c>
    </row>
    <row r="651" spans="5:11" ht="14.25" customHeight="1" x14ac:dyDescent="0.35">
      <c r="E651" s="248">
        <v>44153</v>
      </c>
      <c r="F651" s="249">
        <v>0.25</v>
      </c>
      <c r="G651" s="250">
        <v>0.4</v>
      </c>
      <c r="I651" s="248">
        <v>44342</v>
      </c>
      <c r="J651" s="249">
        <v>0.25</v>
      </c>
      <c r="K651" s="250">
        <v>9.5</v>
      </c>
    </row>
    <row r="652" spans="5:11" ht="14.25" customHeight="1" x14ac:dyDescent="0.35">
      <c r="E652" s="248">
        <v>44160</v>
      </c>
      <c r="F652" s="249">
        <v>0.25</v>
      </c>
      <c r="G652" s="250">
        <v>2</v>
      </c>
      <c r="I652" s="248">
        <v>44349</v>
      </c>
      <c r="J652" s="249">
        <v>0.25</v>
      </c>
      <c r="K652" s="250">
        <v>9.2200000000000006</v>
      </c>
    </row>
    <row r="653" spans="5:11" ht="14.25" customHeight="1" x14ac:dyDescent="0.35">
      <c r="E653" s="248">
        <v>44167</v>
      </c>
      <c r="F653" s="249">
        <v>0.25</v>
      </c>
      <c r="G653" s="250">
        <v>1.2</v>
      </c>
      <c r="I653" s="248">
        <v>44356</v>
      </c>
      <c r="J653" s="249">
        <v>0.25</v>
      </c>
      <c r="K653" s="250">
        <v>9.06</v>
      </c>
    </row>
    <row r="654" spans="5:11" ht="14.25" customHeight="1" x14ac:dyDescent="0.35">
      <c r="E654" s="248">
        <v>44174</v>
      </c>
      <c r="F654" s="249">
        <v>0.25</v>
      </c>
      <c r="G654" s="250">
        <v>1</v>
      </c>
      <c r="I654" s="248">
        <v>44363</v>
      </c>
      <c r="J654" s="249">
        <v>0.25</v>
      </c>
      <c r="K654" s="250">
        <v>10.5</v>
      </c>
    </row>
    <row r="655" spans="5:11" ht="14.25" customHeight="1" x14ac:dyDescent="0.35">
      <c r="E655" s="248">
        <v>44181</v>
      </c>
      <c r="F655" s="249">
        <v>0.25</v>
      </c>
      <c r="G655" s="250">
        <v>0.6</v>
      </c>
      <c r="I655" s="248">
        <v>44370</v>
      </c>
      <c r="J655" s="249">
        <v>0.25</v>
      </c>
      <c r="K655" s="250">
        <v>7.2</v>
      </c>
    </row>
    <row r="656" spans="5:11" ht="14.25" customHeight="1" x14ac:dyDescent="0.35">
      <c r="E656" s="248">
        <v>44188</v>
      </c>
      <c r="F656" s="249">
        <v>0.25</v>
      </c>
      <c r="G656" s="250">
        <v>0.9</v>
      </c>
      <c r="I656" s="248">
        <v>44377</v>
      </c>
      <c r="J656" s="249">
        <v>0.25</v>
      </c>
      <c r="K656" s="250">
        <v>8.8000000000000007</v>
      </c>
    </row>
    <row r="657" spans="5:11" ht="14.25" customHeight="1" x14ac:dyDescent="0.35">
      <c r="E657" s="248">
        <v>44195</v>
      </c>
      <c r="F657" s="249">
        <v>0.25</v>
      </c>
      <c r="G657" s="250">
        <v>0.7</v>
      </c>
      <c r="I657" s="248">
        <v>44384</v>
      </c>
      <c r="J657" s="249">
        <v>0.25</v>
      </c>
      <c r="K657" s="250">
        <v>9.1999999999999993</v>
      </c>
    </row>
    <row r="658" spans="5:11" ht="14.25" customHeight="1" x14ac:dyDescent="0.35">
      <c r="E658" s="248">
        <v>44202</v>
      </c>
      <c r="F658" s="249">
        <v>0.25</v>
      </c>
      <c r="G658" s="250">
        <v>1</v>
      </c>
      <c r="I658" s="248">
        <v>44391</v>
      </c>
      <c r="J658" s="249">
        <v>0.25</v>
      </c>
      <c r="K658" s="250">
        <v>9.1</v>
      </c>
    </row>
    <row r="659" spans="5:11" ht="14.25" customHeight="1" x14ac:dyDescent="0.35">
      <c r="E659" s="248">
        <v>44209</v>
      </c>
      <c r="F659" s="249">
        <v>0.625</v>
      </c>
      <c r="G659" s="250">
        <v>3.3</v>
      </c>
      <c r="I659" s="248">
        <v>44398</v>
      </c>
      <c r="J659" s="249">
        <v>0.25</v>
      </c>
      <c r="K659" s="250">
        <v>9</v>
      </c>
    </row>
    <row r="660" spans="5:11" ht="14.25" customHeight="1" x14ac:dyDescent="0.35">
      <c r="E660" s="248">
        <v>44216</v>
      </c>
      <c r="F660" s="249">
        <v>0.25</v>
      </c>
      <c r="G660" s="250">
        <v>1.2</v>
      </c>
      <c r="I660" s="248">
        <v>44405</v>
      </c>
      <c r="J660" s="249">
        <v>0.25</v>
      </c>
      <c r="K660" s="250">
        <v>10.9</v>
      </c>
    </row>
    <row r="661" spans="5:11" ht="14.25" customHeight="1" x14ac:dyDescent="0.35">
      <c r="E661" s="248">
        <v>44223</v>
      </c>
      <c r="F661" s="249">
        <v>0.25</v>
      </c>
      <c r="G661" s="250">
        <v>1.3</v>
      </c>
      <c r="I661" s="248">
        <v>44412</v>
      </c>
      <c r="J661" s="249">
        <v>0.25</v>
      </c>
      <c r="K661" s="250">
        <v>10.6</v>
      </c>
    </row>
    <row r="662" spans="5:11" ht="14.25" customHeight="1" x14ac:dyDescent="0.35">
      <c r="E662" s="248">
        <v>44230</v>
      </c>
      <c r="F662" s="249">
        <v>0.25</v>
      </c>
      <c r="G662" s="250">
        <v>0.8</v>
      </c>
      <c r="I662" s="248">
        <v>44419</v>
      </c>
      <c r="J662" s="249">
        <v>0.25</v>
      </c>
      <c r="K662" s="250">
        <v>12.9</v>
      </c>
    </row>
    <row r="663" spans="5:11" ht="14.25" customHeight="1" x14ac:dyDescent="0.35">
      <c r="E663" s="248">
        <v>44237</v>
      </c>
      <c r="F663" s="249">
        <v>0.25</v>
      </c>
      <c r="G663" s="250">
        <v>1.2</v>
      </c>
      <c r="I663" s="248">
        <v>44441</v>
      </c>
      <c r="J663" s="249">
        <v>0.25</v>
      </c>
      <c r="K663" s="250">
        <v>12.8</v>
      </c>
    </row>
    <row r="664" spans="5:11" ht="14.25" customHeight="1" x14ac:dyDescent="0.35">
      <c r="E664" s="248">
        <v>44244</v>
      </c>
      <c r="F664" s="249">
        <v>0.25</v>
      </c>
      <c r="G664" s="250">
        <v>1.4</v>
      </c>
      <c r="I664" s="248">
        <v>44447</v>
      </c>
      <c r="J664" s="249">
        <v>0.25</v>
      </c>
      <c r="K664" s="250">
        <v>9.6999999999999993</v>
      </c>
    </row>
    <row r="665" spans="5:11" ht="14.25" customHeight="1" x14ac:dyDescent="0.35">
      <c r="E665" s="248">
        <v>44251</v>
      </c>
      <c r="F665" s="249">
        <v>0.25</v>
      </c>
      <c r="G665" s="250">
        <v>2</v>
      </c>
      <c r="I665" s="248">
        <v>44454</v>
      </c>
      <c r="J665" s="249">
        <v>0.25</v>
      </c>
      <c r="K665" s="250">
        <v>14.3</v>
      </c>
    </row>
    <row r="666" spans="5:11" ht="14.25" customHeight="1" x14ac:dyDescent="0.35">
      <c r="E666" s="248">
        <v>44258</v>
      </c>
      <c r="F666" s="249">
        <v>0.25</v>
      </c>
      <c r="G666" s="250">
        <v>2.6</v>
      </c>
      <c r="I666" s="248">
        <v>44461</v>
      </c>
      <c r="J666" s="249">
        <v>0.25</v>
      </c>
      <c r="K666" s="250">
        <v>9.8000000000000007</v>
      </c>
    </row>
    <row r="667" spans="5:11" ht="14.25" customHeight="1" x14ac:dyDescent="0.35">
      <c r="E667" s="248">
        <v>44265</v>
      </c>
      <c r="F667" s="249">
        <v>0.25</v>
      </c>
      <c r="G667" s="250">
        <v>1.2</v>
      </c>
      <c r="I667" s="248">
        <v>44468</v>
      </c>
      <c r="J667" s="249">
        <v>0.25</v>
      </c>
      <c r="K667" s="250">
        <v>14</v>
      </c>
    </row>
    <row r="668" spans="5:11" ht="14.25" customHeight="1" x14ac:dyDescent="0.35">
      <c r="E668" s="248">
        <v>44272</v>
      </c>
      <c r="F668" s="249">
        <v>0.25</v>
      </c>
      <c r="G668" s="250">
        <v>1</v>
      </c>
      <c r="I668" s="248">
        <v>44475</v>
      </c>
      <c r="J668" s="249">
        <v>0.25</v>
      </c>
      <c r="K668" s="250">
        <v>10</v>
      </c>
    </row>
    <row r="669" spans="5:11" ht="14.25" customHeight="1" x14ac:dyDescent="0.35">
      <c r="E669" s="248">
        <v>44279</v>
      </c>
      <c r="F669" s="249">
        <v>0.25</v>
      </c>
      <c r="G669" s="250">
        <v>1.6</v>
      </c>
      <c r="I669" s="248">
        <v>44482</v>
      </c>
      <c r="J669" s="249">
        <v>0.25</v>
      </c>
      <c r="K669" s="250">
        <v>10.199999999999999</v>
      </c>
    </row>
    <row r="670" spans="5:11" ht="14.25" customHeight="1" x14ac:dyDescent="0.35">
      <c r="E670" s="248">
        <v>44286</v>
      </c>
      <c r="F670" s="249">
        <v>0.25</v>
      </c>
      <c r="G670" s="250">
        <v>0.9</v>
      </c>
      <c r="I670" s="248">
        <v>44489</v>
      </c>
      <c r="J670" s="249">
        <v>0.25</v>
      </c>
      <c r="K670" s="250">
        <v>11.4</v>
      </c>
    </row>
    <row r="671" spans="5:11" ht="14.25" customHeight="1" x14ac:dyDescent="0.35">
      <c r="E671" s="248">
        <v>44293</v>
      </c>
      <c r="F671" s="249">
        <v>0.25</v>
      </c>
      <c r="G671" s="250">
        <v>0.9</v>
      </c>
      <c r="I671" s="248">
        <v>44496</v>
      </c>
      <c r="J671" s="249">
        <v>0.25</v>
      </c>
      <c r="K671" s="250">
        <v>11.8</v>
      </c>
    </row>
    <row r="672" spans="5:11" ht="14.25" customHeight="1" x14ac:dyDescent="0.35">
      <c r="E672" s="248">
        <v>44300</v>
      </c>
      <c r="F672" s="249">
        <v>0.25</v>
      </c>
      <c r="G672" s="250">
        <v>1.4</v>
      </c>
      <c r="I672" s="248">
        <v>44503</v>
      </c>
      <c r="J672" s="249">
        <v>0.25</v>
      </c>
      <c r="K672" s="250">
        <v>8.6999999999999993</v>
      </c>
    </row>
    <row r="673" spans="5:11" ht="14.25" customHeight="1" x14ac:dyDescent="0.35">
      <c r="E673" s="248">
        <v>44307</v>
      </c>
      <c r="F673" s="249">
        <v>0.25</v>
      </c>
      <c r="G673" s="250">
        <v>2.7</v>
      </c>
      <c r="I673" s="248">
        <v>44510</v>
      </c>
      <c r="J673" s="249">
        <v>0.25</v>
      </c>
      <c r="K673" s="250">
        <v>14.1</v>
      </c>
    </row>
    <row r="674" spans="5:11" ht="14.25" customHeight="1" x14ac:dyDescent="0.35">
      <c r="E674" s="248">
        <v>44314</v>
      </c>
      <c r="F674" s="249">
        <v>0.25</v>
      </c>
      <c r="G674" s="250">
        <v>2.2999999999999998</v>
      </c>
      <c r="I674" s="248">
        <v>44517</v>
      </c>
      <c r="J674" s="249">
        <v>0.25</v>
      </c>
      <c r="K674" s="250">
        <v>10.5</v>
      </c>
    </row>
    <row r="675" spans="5:11" ht="14.25" customHeight="1" x14ac:dyDescent="0.35">
      <c r="E675" s="248">
        <v>44321</v>
      </c>
      <c r="F675" s="249">
        <v>0.25</v>
      </c>
      <c r="G675" s="250">
        <v>2</v>
      </c>
      <c r="I675" s="248">
        <v>44524</v>
      </c>
      <c r="J675" s="249">
        <v>0.25</v>
      </c>
      <c r="K675" s="250">
        <v>9.1999999999999993</v>
      </c>
    </row>
    <row r="676" spans="5:11" ht="14.25" customHeight="1" x14ac:dyDescent="0.35">
      <c r="E676" s="248">
        <v>44328</v>
      </c>
      <c r="F676" s="249">
        <v>0.25</v>
      </c>
      <c r="G676" s="250">
        <v>1.1000000000000001</v>
      </c>
      <c r="I676" s="248">
        <v>44531</v>
      </c>
      <c r="J676" s="249">
        <v>0.25</v>
      </c>
      <c r="K676" s="250">
        <v>16.7</v>
      </c>
    </row>
    <row r="677" spans="5:11" ht="14.25" customHeight="1" x14ac:dyDescent="0.35">
      <c r="E677" s="248">
        <v>44335</v>
      </c>
      <c r="F677" s="249">
        <v>0.25</v>
      </c>
      <c r="G677" s="250">
        <v>1.5</v>
      </c>
      <c r="I677" s="248">
        <v>44538</v>
      </c>
      <c r="J677" s="249">
        <v>0.25</v>
      </c>
      <c r="K677" s="250">
        <v>10.7</v>
      </c>
    </row>
    <row r="678" spans="5:11" ht="14.25" customHeight="1" x14ac:dyDescent="0.35">
      <c r="E678" s="248">
        <v>44342</v>
      </c>
      <c r="F678" s="249">
        <v>0.25</v>
      </c>
      <c r="G678" s="250">
        <v>1.4</v>
      </c>
      <c r="I678" s="248">
        <v>44545</v>
      </c>
      <c r="J678" s="249">
        <v>0.25</v>
      </c>
      <c r="K678" s="250">
        <v>11.2</v>
      </c>
    </row>
    <row r="679" spans="5:11" ht="14.25" customHeight="1" x14ac:dyDescent="0.35">
      <c r="E679" s="248">
        <v>44349</v>
      </c>
      <c r="F679" s="249">
        <v>0.25</v>
      </c>
      <c r="G679" s="250">
        <v>1.4</v>
      </c>
      <c r="I679" s="248">
        <v>44552</v>
      </c>
      <c r="J679" s="249">
        <v>0.25</v>
      </c>
      <c r="K679" s="250">
        <v>12.5</v>
      </c>
    </row>
    <row r="680" spans="5:11" ht="14.25" customHeight="1" x14ac:dyDescent="0.35">
      <c r="E680" s="248">
        <v>44356</v>
      </c>
      <c r="F680" s="249">
        <v>0.25</v>
      </c>
      <c r="G680" s="250">
        <v>1.4</v>
      </c>
      <c r="I680" s="248">
        <v>44559</v>
      </c>
      <c r="J680" s="249">
        <v>0.25</v>
      </c>
      <c r="K680" s="250">
        <v>11.9</v>
      </c>
    </row>
    <row r="681" spans="5:11" ht="14.25" customHeight="1" x14ac:dyDescent="0.35">
      <c r="E681" s="248">
        <v>44363</v>
      </c>
      <c r="F681" s="249">
        <v>0.25</v>
      </c>
      <c r="G681" s="250">
        <v>1.2</v>
      </c>
      <c r="I681" s="248">
        <v>44566</v>
      </c>
      <c r="J681" s="249">
        <v>0.25</v>
      </c>
      <c r="K681" s="250">
        <v>11.4</v>
      </c>
    </row>
    <row r="682" spans="5:11" ht="14.25" customHeight="1" x14ac:dyDescent="0.35">
      <c r="E682" s="248">
        <v>44370</v>
      </c>
      <c r="F682" s="249">
        <v>0.25</v>
      </c>
      <c r="G682" s="250">
        <v>1.4</v>
      </c>
      <c r="I682" s="248">
        <v>44573</v>
      </c>
      <c r="J682" s="249">
        <v>0.25</v>
      </c>
      <c r="K682" s="250">
        <v>11.9</v>
      </c>
    </row>
    <row r="683" spans="5:11" ht="14.25" customHeight="1" x14ac:dyDescent="0.35">
      <c r="E683" s="248">
        <v>44377</v>
      </c>
      <c r="F683" s="249">
        <v>0.25</v>
      </c>
      <c r="G683" s="250">
        <v>1.1000000000000001</v>
      </c>
      <c r="I683" s="248">
        <v>44580</v>
      </c>
      <c r="J683" s="249">
        <v>0.25</v>
      </c>
      <c r="K683" s="250">
        <v>12.3</v>
      </c>
    </row>
    <row r="684" spans="5:11" ht="14.25" customHeight="1" x14ac:dyDescent="0.35">
      <c r="E684" s="248">
        <v>44384</v>
      </c>
      <c r="F684" s="249">
        <v>0.25</v>
      </c>
      <c r="G684" s="250">
        <v>1.1000000000000001</v>
      </c>
      <c r="I684" s="248">
        <v>44587</v>
      </c>
      <c r="J684" s="249">
        <v>0.25</v>
      </c>
      <c r="K684" s="250">
        <v>11.3</v>
      </c>
    </row>
    <row r="685" spans="5:11" ht="14.25" customHeight="1" x14ac:dyDescent="0.35">
      <c r="E685" s="248">
        <v>44391</v>
      </c>
      <c r="F685" s="249">
        <v>0.25</v>
      </c>
      <c r="G685" s="250">
        <v>0.8</v>
      </c>
      <c r="I685" s="248">
        <v>44594</v>
      </c>
      <c r="J685" s="249">
        <v>0.25</v>
      </c>
      <c r="K685" s="250">
        <v>11.7</v>
      </c>
    </row>
    <row r="686" spans="5:11" ht="14.25" customHeight="1" x14ac:dyDescent="0.35">
      <c r="E686" s="248">
        <v>44398</v>
      </c>
      <c r="F686" s="249">
        <v>0.25</v>
      </c>
      <c r="G686" s="250">
        <v>0.8</v>
      </c>
      <c r="I686" s="248">
        <v>44601</v>
      </c>
      <c r="J686" s="249">
        <v>0.25</v>
      </c>
      <c r="K686" s="250">
        <v>11.4</v>
      </c>
    </row>
    <row r="687" spans="5:11" ht="14.25" customHeight="1" x14ac:dyDescent="0.35">
      <c r="E687" s="248">
        <v>44405</v>
      </c>
      <c r="F687" s="249">
        <v>0.25</v>
      </c>
      <c r="G687" s="250">
        <v>3.7</v>
      </c>
      <c r="I687" s="248">
        <v>44608</v>
      </c>
      <c r="J687" s="249">
        <v>0.25</v>
      </c>
      <c r="K687" s="250">
        <v>11.7</v>
      </c>
    </row>
    <row r="688" spans="5:11" ht="14.25" customHeight="1" x14ac:dyDescent="0.35">
      <c r="E688" s="248">
        <v>44412</v>
      </c>
      <c r="F688" s="249">
        <v>0.25</v>
      </c>
      <c r="G688" s="250">
        <v>3.7</v>
      </c>
      <c r="I688" s="248">
        <v>44615</v>
      </c>
      <c r="J688" s="249">
        <v>0.25</v>
      </c>
      <c r="K688" s="250">
        <v>11.8</v>
      </c>
    </row>
    <row r="689" spans="5:11" ht="14.25" customHeight="1" x14ac:dyDescent="0.35">
      <c r="E689" s="248">
        <v>44419</v>
      </c>
      <c r="F689" s="249">
        <v>0.25</v>
      </c>
      <c r="G689" s="250">
        <v>4.5</v>
      </c>
      <c r="I689" s="248">
        <v>44622</v>
      </c>
      <c r="J689" s="249">
        <v>0.25</v>
      </c>
      <c r="K689" s="250">
        <v>11.1</v>
      </c>
    </row>
    <row r="690" spans="5:11" ht="14.25" customHeight="1" x14ac:dyDescent="0.35">
      <c r="E690" s="248">
        <v>44441</v>
      </c>
      <c r="F690" s="249">
        <v>0.25</v>
      </c>
      <c r="G690" s="250">
        <v>6.7</v>
      </c>
      <c r="I690" s="248">
        <v>44629</v>
      </c>
      <c r="J690" s="249">
        <v>0.25</v>
      </c>
      <c r="K690" s="250">
        <v>11.4</v>
      </c>
    </row>
    <row r="691" spans="5:11" ht="14.25" customHeight="1" x14ac:dyDescent="0.35">
      <c r="E691" s="248">
        <v>44447</v>
      </c>
      <c r="F691" s="249">
        <v>0.25</v>
      </c>
      <c r="G691" s="250">
        <v>2.8</v>
      </c>
      <c r="I691" s="248">
        <v>44636</v>
      </c>
      <c r="J691" s="249">
        <v>0.25</v>
      </c>
      <c r="K691" s="250">
        <v>12.3</v>
      </c>
    </row>
    <row r="692" spans="5:11" ht="14.25" customHeight="1" x14ac:dyDescent="0.35">
      <c r="E692" s="248">
        <v>44454</v>
      </c>
      <c r="F692" s="249">
        <v>0.25</v>
      </c>
      <c r="G692" s="250">
        <v>2.4</v>
      </c>
      <c r="I692" s="248">
        <v>44643</v>
      </c>
      <c r="J692" s="249">
        <v>0.25</v>
      </c>
      <c r="K692" s="250">
        <v>14.8</v>
      </c>
    </row>
    <row r="693" spans="5:11" ht="14.25" customHeight="1" x14ac:dyDescent="0.35">
      <c r="E693" s="248">
        <v>44461</v>
      </c>
      <c r="F693" s="249">
        <v>0.25</v>
      </c>
      <c r="G693" s="250">
        <v>0.6</v>
      </c>
      <c r="I693" s="248">
        <v>44650</v>
      </c>
      <c r="J693" s="249">
        <v>0.25</v>
      </c>
      <c r="K693" s="250">
        <v>11.5</v>
      </c>
    </row>
    <row r="694" spans="5:11" ht="14.25" customHeight="1" x14ac:dyDescent="0.35">
      <c r="E694" s="248">
        <v>44468</v>
      </c>
      <c r="F694" s="249">
        <v>0.25</v>
      </c>
      <c r="G694" s="250">
        <v>0.6</v>
      </c>
      <c r="I694" s="248">
        <v>44657</v>
      </c>
      <c r="J694" s="249">
        <v>0.25</v>
      </c>
      <c r="K694" s="250">
        <v>12.9</v>
      </c>
    </row>
    <row r="695" spans="5:11" ht="14.25" customHeight="1" x14ac:dyDescent="0.35">
      <c r="E695" s="248">
        <v>44475</v>
      </c>
      <c r="F695" s="249">
        <v>0.25</v>
      </c>
      <c r="G695" s="250">
        <v>0.6</v>
      </c>
      <c r="I695" s="248">
        <v>44664</v>
      </c>
      <c r="J695" s="249">
        <v>0.25</v>
      </c>
      <c r="K695" s="250">
        <v>14.9</v>
      </c>
    </row>
    <row r="696" spans="5:11" ht="14.25" customHeight="1" x14ac:dyDescent="0.35">
      <c r="E696" s="248">
        <v>44482</v>
      </c>
      <c r="F696" s="249">
        <v>0.25</v>
      </c>
      <c r="G696" s="250">
        <v>0.9</v>
      </c>
      <c r="I696" s="248">
        <v>44678</v>
      </c>
      <c r="J696" s="249">
        <v>0.25</v>
      </c>
      <c r="K696" s="250">
        <v>11.5</v>
      </c>
    </row>
    <row r="697" spans="5:11" ht="14.25" customHeight="1" x14ac:dyDescent="0.35">
      <c r="E697" s="248">
        <v>44489</v>
      </c>
      <c r="F697" s="249">
        <v>0.25</v>
      </c>
      <c r="G697" s="250">
        <v>1.1000000000000001</v>
      </c>
      <c r="I697" s="248">
        <v>44685</v>
      </c>
      <c r="J697" s="249">
        <v>0.25</v>
      </c>
      <c r="K697" s="250">
        <v>11.5</v>
      </c>
    </row>
    <row r="698" spans="5:11" ht="14.25" customHeight="1" x14ac:dyDescent="0.35">
      <c r="E698" s="248">
        <v>44496</v>
      </c>
      <c r="F698" s="249">
        <v>0.25</v>
      </c>
      <c r="G698" s="250">
        <v>3.3</v>
      </c>
      <c r="I698" s="248">
        <v>44692</v>
      </c>
      <c r="J698" s="249">
        <v>0.25</v>
      </c>
      <c r="K698" s="250">
        <v>12.1</v>
      </c>
    </row>
    <row r="699" spans="5:11" ht="14.25" customHeight="1" x14ac:dyDescent="0.35">
      <c r="E699" s="248">
        <v>44503</v>
      </c>
      <c r="F699" s="249">
        <v>0.25</v>
      </c>
      <c r="G699" s="250">
        <v>7.5</v>
      </c>
      <c r="I699" s="248">
        <v>44699</v>
      </c>
      <c r="J699" s="249">
        <v>0.25</v>
      </c>
      <c r="K699" s="250">
        <v>12</v>
      </c>
    </row>
    <row r="700" spans="5:11" ht="14.25" customHeight="1" x14ac:dyDescent="0.35">
      <c r="E700" s="248">
        <v>44510</v>
      </c>
      <c r="F700" s="249">
        <v>0.25</v>
      </c>
      <c r="G700" s="250">
        <v>7.4</v>
      </c>
      <c r="I700" s="248">
        <v>44706</v>
      </c>
      <c r="J700" s="249">
        <v>0.25</v>
      </c>
      <c r="K700" s="250">
        <v>12.1</v>
      </c>
    </row>
    <row r="701" spans="5:11" ht="14.25" customHeight="1" x14ac:dyDescent="0.35">
      <c r="E701" s="248">
        <v>44517</v>
      </c>
      <c r="F701" s="249">
        <v>0.25</v>
      </c>
      <c r="G701" s="250">
        <v>1.9</v>
      </c>
      <c r="I701" s="248">
        <v>44713</v>
      </c>
      <c r="J701" s="249">
        <v>0.25</v>
      </c>
      <c r="K701" s="250">
        <v>12.6</v>
      </c>
    </row>
    <row r="702" spans="5:11" ht="14.25" customHeight="1" x14ac:dyDescent="0.35">
      <c r="E702" s="248">
        <v>44524</v>
      </c>
      <c r="F702" s="249">
        <v>0.25</v>
      </c>
      <c r="G702" s="250">
        <v>1.4</v>
      </c>
      <c r="I702" s="248">
        <v>44721</v>
      </c>
      <c r="J702" s="249">
        <v>0.25</v>
      </c>
      <c r="K702" s="250">
        <v>11.9</v>
      </c>
    </row>
    <row r="703" spans="5:11" ht="14.25" customHeight="1" x14ac:dyDescent="0.35">
      <c r="E703" s="248">
        <v>44531</v>
      </c>
      <c r="F703" s="249">
        <v>0.25</v>
      </c>
      <c r="G703" s="250">
        <v>2</v>
      </c>
      <c r="I703" s="248">
        <v>44727</v>
      </c>
      <c r="J703" s="249">
        <v>0.25</v>
      </c>
      <c r="K703" s="250">
        <v>12.6</v>
      </c>
    </row>
    <row r="704" spans="5:11" ht="14.25" customHeight="1" x14ac:dyDescent="0.35">
      <c r="E704" s="248">
        <v>44538</v>
      </c>
      <c r="F704" s="249">
        <v>0.25</v>
      </c>
      <c r="G704" s="250">
        <v>2.2999999999999998</v>
      </c>
      <c r="I704" s="248">
        <v>44734</v>
      </c>
      <c r="J704" s="249">
        <v>0.25</v>
      </c>
      <c r="K704" s="250">
        <v>12.6</v>
      </c>
    </row>
    <row r="705" spans="5:11" ht="14.25" customHeight="1" x14ac:dyDescent="0.35">
      <c r="E705" s="248">
        <v>44545</v>
      </c>
      <c r="F705" s="249">
        <v>0.25</v>
      </c>
      <c r="G705" s="250">
        <v>2.6</v>
      </c>
      <c r="I705" s="248">
        <v>44741</v>
      </c>
      <c r="J705" s="249">
        <v>0.25</v>
      </c>
      <c r="K705" s="250">
        <v>12.8</v>
      </c>
    </row>
    <row r="706" spans="5:11" ht="14.25" customHeight="1" x14ac:dyDescent="0.35">
      <c r="E706" s="248">
        <v>44552</v>
      </c>
      <c r="F706" s="249">
        <v>0.25</v>
      </c>
      <c r="G706" s="250">
        <v>2.8</v>
      </c>
      <c r="I706" s="248">
        <v>44748</v>
      </c>
      <c r="J706" s="249">
        <v>0.25</v>
      </c>
      <c r="K706" s="250">
        <v>18.3</v>
      </c>
    </row>
    <row r="707" spans="5:11" ht="14.25" customHeight="1" x14ac:dyDescent="0.35">
      <c r="E707" s="248">
        <v>44559</v>
      </c>
      <c r="F707" s="249">
        <v>0.25</v>
      </c>
      <c r="G707" s="250">
        <v>2.2000000000000002</v>
      </c>
      <c r="I707" s="248">
        <v>44755</v>
      </c>
      <c r="J707" s="249">
        <v>0.25</v>
      </c>
      <c r="K707" s="250">
        <v>12.1</v>
      </c>
    </row>
    <row r="708" spans="5:11" ht="14.25" customHeight="1" x14ac:dyDescent="0.35">
      <c r="E708" s="248">
        <v>44566</v>
      </c>
      <c r="F708" s="249">
        <v>0.25</v>
      </c>
      <c r="G708" s="250">
        <v>1.6</v>
      </c>
      <c r="I708" s="248">
        <v>44762</v>
      </c>
      <c r="J708" s="249">
        <v>0.25</v>
      </c>
      <c r="K708" s="250">
        <v>12.2</v>
      </c>
    </row>
    <row r="709" spans="5:11" ht="14.25" customHeight="1" x14ac:dyDescent="0.35">
      <c r="E709" s="248">
        <v>44573</v>
      </c>
      <c r="F709" s="249">
        <v>0.25</v>
      </c>
      <c r="G709" s="250">
        <v>1.5</v>
      </c>
      <c r="I709" s="248">
        <v>44769</v>
      </c>
      <c r="J709" s="249">
        <v>0.25</v>
      </c>
      <c r="K709" s="250">
        <v>12.1</v>
      </c>
    </row>
    <row r="710" spans="5:11" ht="14.25" customHeight="1" x14ac:dyDescent="0.35">
      <c r="E710" s="248">
        <v>44580</v>
      </c>
      <c r="F710" s="249">
        <v>0.25</v>
      </c>
      <c r="G710" s="250">
        <v>5.8</v>
      </c>
      <c r="I710" s="248">
        <v>44776</v>
      </c>
      <c r="J710" s="249">
        <v>0.25</v>
      </c>
      <c r="K710" s="250">
        <v>12.8</v>
      </c>
    </row>
    <row r="711" spans="5:11" ht="14.25" customHeight="1" x14ac:dyDescent="0.35">
      <c r="E711" s="248">
        <v>44587</v>
      </c>
      <c r="F711" s="249">
        <v>0.25</v>
      </c>
      <c r="G711" s="250">
        <v>1.1000000000000001</v>
      </c>
      <c r="I711" s="248">
        <v>44783</v>
      </c>
      <c r="J711" s="249">
        <v>0.25</v>
      </c>
      <c r="K711" s="250">
        <v>10.7</v>
      </c>
    </row>
    <row r="712" spans="5:11" ht="14.25" customHeight="1" x14ac:dyDescent="0.35">
      <c r="E712" s="248">
        <v>44594</v>
      </c>
      <c r="F712" s="249">
        <v>0.25</v>
      </c>
      <c r="G712" s="250">
        <v>1.2</v>
      </c>
      <c r="I712" s="248">
        <v>44790</v>
      </c>
      <c r="J712" s="249">
        <v>0.25</v>
      </c>
      <c r="K712" s="250">
        <v>19.399999999999999</v>
      </c>
    </row>
    <row r="713" spans="5:11" ht="14.25" customHeight="1" x14ac:dyDescent="0.35">
      <c r="E713" s="248">
        <v>44601</v>
      </c>
      <c r="F713" s="249">
        <v>0.25</v>
      </c>
      <c r="G713" s="250">
        <v>0.9</v>
      </c>
      <c r="I713" s="248">
        <v>44797</v>
      </c>
      <c r="J713" s="249">
        <v>0.25</v>
      </c>
      <c r="K713" s="250">
        <v>14.7</v>
      </c>
    </row>
    <row r="714" spans="5:11" ht="14.25" customHeight="1" x14ac:dyDescent="0.35">
      <c r="E714" s="248">
        <v>44608</v>
      </c>
      <c r="F714" s="249">
        <v>0.25</v>
      </c>
      <c r="G714" s="250">
        <v>1</v>
      </c>
      <c r="I714" s="248">
        <v>44804</v>
      </c>
      <c r="J714" s="249">
        <v>0.25</v>
      </c>
      <c r="K714" s="250">
        <v>13</v>
      </c>
    </row>
    <row r="715" spans="5:11" ht="14.25" customHeight="1" x14ac:dyDescent="0.35">
      <c r="E715" s="248">
        <v>44615</v>
      </c>
      <c r="F715" s="249">
        <v>0.25</v>
      </c>
      <c r="G715" s="250">
        <v>0.9</v>
      </c>
      <c r="I715" s="248">
        <v>44811</v>
      </c>
      <c r="J715" s="249">
        <v>0.25</v>
      </c>
      <c r="K715" s="250">
        <v>13.4</v>
      </c>
    </row>
    <row r="716" spans="5:11" ht="14.25" customHeight="1" x14ac:dyDescent="0.35">
      <c r="E716" s="248">
        <v>44622</v>
      </c>
      <c r="F716" s="249">
        <v>0.25</v>
      </c>
      <c r="G716" s="250">
        <v>0.9</v>
      </c>
      <c r="I716" s="248">
        <v>44818</v>
      </c>
      <c r="J716" s="249">
        <v>0.25</v>
      </c>
      <c r="K716" s="250">
        <v>14.4</v>
      </c>
    </row>
    <row r="717" spans="5:11" ht="14.25" customHeight="1" x14ac:dyDescent="0.35">
      <c r="E717" s="248">
        <v>44629</v>
      </c>
      <c r="F717" s="249">
        <v>0.25</v>
      </c>
      <c r="G717" s="250">
        <v>1</v>
      </c>
      <c r="I717" s="248">
        <v>44825</v>
      </c>
      <c r="J717" s="249">
        <v>0.25</v>
      </c>
      <c r="K717" s="250">
        <v>15.1</v>
      </c>
    </row>
    <row r="718" spans="5:11" ht="14.25" customHeight="1" x14ac:dyDescent="0.35">
      <c r="E718" s="248">
        <v>44636</v>
      </c>
      <c r="F718" s="249">
        <v>0.25</v>
      </c>
      <c r="G718" s="250">
        <v>1.7</v>
      </c>
      <c r="I718" s="248">
        <v>44832</v>
      </c>
      <c r="J718" s="249">
        <v>0.25</v>
      </c>
      <c r="K718" s="250">
        <v>13.8</v>
      </c>
    </row>
    <row r="719" spans="5:11" ht="14.25" customHeight="1" x14ac:dyDescent="0.35">
      <c r="E719" s="248">
        <v>44643</v>
      </c>
      <c r="F719" s="249">
        <v>0.25</v>
      </c>
      <c r="G719" s="250">
        <v>5.2</v>
      </c>
      <c r="I719" s="248">
        <v>44839</v>
      </c>
      <c r="J719" s="249">
        <v>0.25</v>
      </c>
      <c r="K719" s="250">
        <v>12</v>
      </c>
    </row>
    <row r="720" spans="5:11" ht="14.25" customHeight="1" x14ac:dyDescent="0.35">
      <c r="E720" s="248">
        <v>44650</v>
      </c>
      <c r="F720" s="249">
        <v>0.25</v>
      </c>
      <c r="G720" s="250">
        <v>1.5</v>
      </c>
      <c r="I720" s="248">
        <v>44846</v>
      </c>
      <c r="J720" s="249">
        <v>0.25</v>
      </c>
      <c r="K720" s="250">
        <v>13.8</v>
      </c>
    </row>
    <row r="721" spans="5:11" ht="14.25" customHeight="1" x14ac:dyDescent="0.35">
      <c r="E721" s="248">
        <v>44657</v>
      </c>
      <c r="F721" s="249">
        <v>0.25</v>
      </c>
      <c r="G721" s="250">
        <v>2.7</v>
      </c>
      <c r="I721" s="248">
        <v>44853</v>
      </c>
      <c r="J721" s="249">
        <v>0.25</v>
      </c>
      <c r="K721" s="250">
        <v>12.7</v>
      </c>
    </row>
    <row r="722" spans="5:11" ht="14.25" customHeight="1" x14ac:dyDescent="0.35">
      <c r="E722" s="248">
        <v>44664</v>
      </c>
      <c r="F722" s="249">
        <v>0.25</v>
      </c>
      <c r="G722" s="250">
        <v>5.6</v>
      </c>
      <c r="I722" s="248">
        <v>44860</v>
      </c>
      <c r="J722" s="249">
        <v>0.25</v>
      </c>
      <c r="K722" s="250">
        <v>13.9</v>
      </c>
    </row>
    <row r="723" spans="5:11" ht="14.25" customHeight="1" x14ac:dyDescent="0.35">
      <c r="E723" s="248">
        <v>44678</v>
      </c>
      <c r="F723" s="249">
        <v>0.25</v>
      </c>
      <c r="G723" s="250">
        <v>1.4</v>
      </c>
      <c r="I723" s="248">
        <v>44867</v>
      </c>
      <c r="J723" s="249">
        <v>0.25</v>
      </c>
      <c r="K723" s="250">
        <v>15.8</v>
      </c>
    </row>
    <row r="724" spans="5:11" ht="14.25" customHeight="1" x14ac:dyDescent="0.35">
      <c r="E724" s="248">
        <v>44685</v>
      </c>
      <c r="F724" s="249">
        <v>0.25</v>
      </c>
      <c r="G724" s="250">
        <v>1</v>
      </c>
      <c r="I724" s="248">
        <v>44874</v>
      </c>
      <c r="J724" s="249">
        <v>0.25</v>
      </c>
      <c r="K724" s="250">
        <v>16.100000000000001</v>
      </c>
    </row>
    <row r="725" spans="5:11" ht="14.25" customHeight="1" x14ac:dyDescent="0.35">
      <c r="E725" s="248">
        <v>44692</v>
      </c>
      <c r="F725" s="249">
        <v>0.25</v>
      </c>
      <c r="G725" s="250">
        <v>1</v>
      </c>
      <c r="I725" s="248">
        <v>44888</v>
      </c>
      <c r="J725" s="249">
        <v>0.25</v>
      </c>
      <c r="K725" s="250">
        <v>11.6</v>
      </c>
    </row>
    <row r="726" spans="5:11" ht="14.25" customHeight="1" x14ac:dyDescent="0.35">
      <c r="E726" s="248">
        <v>44699</v>
      </c>
      <c r="F726" s="249">
        <v>0.25</v>
      </c>
      <c r="G726" s="250">
        <v>1.3</v>
      </c>
      <c r="I726" s="248">
        <v>44902</v>
      </c>
      <c r="J726" s="249">
        <v>0.25</v>
      </c>
      <c r="K726" s="250">
        <v>12.5</v>
      </c>
    </row>
    <row r="727" spans="5:11" ht="14.25" customHeight="1" x14ac:dyDescent="0.35">
      <c r="E727" s="248">
        <v>44706</v>
      </c>
      <c r="F727" s="249">
        <v>0.25</v>
      </c>
      <c r="G727" s="250">
        <v>1.3</v>
      </c>
      <c r="I727" s="248">
        <v>44909</v>
      </c>
      <c r="J727" s="249">
        <v>0.25</v>
      </c>
      <c r="K727" s="250">
        <v>13.8</v>
      </c>
    </row>
    <row r="728" spans="5:11" ht="14.25" customHeight="1" x14ac:dyDescent="0.35">
      <c r="E728" s="248">
        <v>44713</v>
      </c>
      <c r="F728" s="249">
        <v>0.25</v>
      </c>
      <c r="G728" s="250">
        <v>1.9</v>
      </c>
      <c r="I728" s="248">
        <v>44916</v>
      </c>
      <c r="J728" s="249">
        <v>0.25</v>
      </c>
      <c r="K728" s="250">
        <v>18.600000000000001</v>
      </c>
    </row>
    <row r="729" spans="5:11" ht="14.25" customHeight="1" x14ac:dyDescent="0.35">
      <c r="E729" s="248">
        <v>44721</v>
      </c>
      <c r="F729" s="249">
        <v>0.25</v>
      </c>
      <c r="G729" s="250">
        <v>2.1</v>
      </c>
      <c r="I729" s="248">
        <v>44930</v>
      </c>
      <c r="J729" s="249">
        <v>0.25</v>
      </c>
      <c r="K729" s="250">
        <v>14.8</v>
      </c>
    </row>
    <row r="730" spans="5:11" ht="14.25" customHeight="1" x14ac:dyDescent="0.35">
      <c r="E730" s="248">
        <v>44727</v>
      </c>
      <c r="F730" s="249">
        <v>0.25</v>
      </c>
      <c r="G730" s="250">
        <v>2.5</v>
      </c>
      <c r="I730" s="248">
        <v>44937</v>
      </c>
      <c r="J730" s="249">
        <v>0.25</v>
      </c>
      <c r="K730" s="250">
        <v>13</v>
      </c>
    </row>
    <row r="731" spans="5:11" ht="14.25" customHeight="1" x14ac:dyDescent="0.35">
      <c r="E731" s="248">
        <v>44734</v>
      </c>
      <c r="F731" s="249">
        <v>0.25</v>
      </c>
      <c r="G731" s="250">
        <v>2.5</v>
      </c>
      <c r="I731" s="248">
        <v>44944</v>
      </c>
      <c r="J731" s="249">
        <v>0.25</v>
      </c>
      <c r="K731" s="250">
        <v>15.7</v>
      </c>
    </row>
    <row r="732" spans="5:11" ht="14.25" customHeight="1" x14ac:dyDescent="0.35">
      <c r="E732" s="248">
        <v>44741</v>
      </c>
      <c r="F732" s="249">
        <v>0.25</v>
      </c>
      <c r="G732" s="250">
        <v>3.8</v>
      </c>
      <c r="I732" s="248">
        <v>44951</v>
      </c>
      <c r="J732" s="249">
        <v>0.25</v>
      </c>
      <c r="K732" s="250">
        <v>16.5</v>
      </c>
    </row>
    <row r="733" spans="5:11" ht="14.25" customHeight="1" x14ac:dyDescent="0.35">
      <c r="E733" s="248">
        <v>44748</v>
      </c>
      <c r="F733" s="249">
        <v>0.25</v>
      </c>
      <c r="G733" s="250">
        <v>3.5</v>
      </c>
      <c r="I733" s="248">
        <v>44958</v>
      </c>
      <c r="J733" s="249">
        <v>0.25</v>
      </c>
      <c r="K733" s="250">
        <v>19.399999999999999</v>
      </c>
    </row>
    <row r="734" spans="5:11" ht="14.25" customHeight="1" x14ac:dyDescent="0.35">
      <c r="E734" s="248">
        <v>44755</v>
      </c>
      <c r="F734" s="249">
        <v>0.25</v>
      </c>
      <c r="G734" s="250">
        <v>3.5</v>
      </c>
      <c r="I734" s="248">
        <v>44972</v>
      </c>
      <c r="J734" s="249">
        <v>0.25</v>
      </c>
      <c r="K734" s="250">
        <v>17.600000000000001</v>
      </c>
    </row>
    <row r="735" spans="5:11" ht="14.25" customHeight="1" x14ac:dyDescent="0.35">
      <c r="E735" s="248">
        <v>44762</v>
      </c>
      <c r="F735" s="249">
        <v>0.25</v>
      </c>
      <c r="G735" s="250">
        <v>3.5</v>
      </c>
      <c r="I735" s="248">
        <v>44979</v>
      </c>
      <c r="J735" s="249">
        <v>0.25</v>
      </c>
      <c r="K735" s="250">
        <v>15</v>
      </c>
    </row>
    <row r="736" spans="5:11" ht="14.25" customHeight="1" x14ac:dyDescent="0.35">
      <c r="E736" s="248">
        <v>44769</v>
      </c>
      <c r="F736" s="249">
        <v>0.25</v>
      </c>
      <c r="G736" s="250">
        <v>3.6</v>
      </c>
      <c r="I736" s="248">
        <v>44986</v>
      </c>
      <c r="J736" s="249">
        <v>0.25</v>
      </c>
      <c r="K736" s="250">
        <v>13.1</v>
      </c>
    </row>
    <row r="737" spans="5:11" ht="14.25" customHeight="1" x14ac:dyDescent="0.35">
      <c r="E737" s="248">
        <v>44776</v>
      </c>
      <c r="F737" s="249">
        <v>0.25</v>
      </c>
      <c r="G737" s="250">
        <v>3.7</v>
      </c>
      <c r="I737" s="248">
        <v>44993</v>
      </c>
      <c r="J737" s="249">
        <v>0.25</v>
      </c>
      <c r="K737" s="250">
        <v>12.8</v>
      </c>
    </row>
    <row r="738" spans="5:11" ht="14.25" customHeight="1" x14ac:dyDescent="0.35">
      <c r="E738" s="248">
        <v>44783</v>
      </c>
      <c r="F738" s="249">
        <v>0.25</v>
      </c>
      <c r="G738" s="250">
        <v>5.2</v>
      </c>
      <c r="I738" s="248">
        <v>45000</v>
      </c>
      <c r="J738" s="249">
        <v>0.25</v>
      </c>
      <c r="K738" s="250">
        <v>18.399999999999999</v>
      </c>
    </row>
    <row r="739" spans="5:11" ht="14.25" customHeight="1" x14ac:dyDescent="0.35">
      <c r="E739" s="248">
        <v>44790</v>
      </c>
      <c r="F739" s="249">
        <v>0.25</v>
      </c>
      <c r="G739" s="250">
        <v>5.3</v>
      </c>
      <c r="I739" s="248">
        <v>45007</v>
      </c>
      <c r="J739" s="249">
        <v>0.25</v>
      </c>
      <c r="K739" s="250">
        <v>15.6</v>
      </c>
    </row>
    <row r="740" spans="5:11" ht="14.25" customHeight="1" x14ac:dyDescent="0.35">
      <c r="E740" s="248">
        <v>44797</v>
      </c>
      <c r="F740" s="249">
        <v>0.25</v>
      </c>
      <c r="G740" s="250">
        <v>6.2</v>
      </c>
      <c r="I740" s="248">
        <v>45014</v>
      </c>
      <c r="J740" s="249">
        <v>0.25</v>
      </c>
      <c r="K740" s="250">
        <v>13.3</v>
      </c>
    </row>
    <row r="741" spans="5:11" ht="14.25" customHeight="1" x14ac:dyDescent="0.35">
      <c r="E741" s="248">
        <v>44804</v>
      </c>
      <c r="F741" s="249">
        <v>0.25</v>
      </c>
      <c r="G741" s="250">
        <v>19.3</v>
      </c>
      <c r="I741" s="248">
        <v>45021</v>
      </c>
      <c r="J741" s="249">
        <v>0.25</v>
      </c>
      <c r="K741" s="250">
        <v>14.6</v>
      </c>
    </row>
    <row r="742" spans="5:11" ht="14.25" customHeight="1" x14ac:dyDescent="0.35">
      <c r="E742" s="248">
        <v>44811</v>
      </c>
      <c r="F742" s="249">
        <v>0.25</v>
      </c>
      <c r="G742" s="250">
        <v>4.8</v>
      </c>
      <c r="I742" s="248">
        <v>45028</v>
      </c>
      <c r="J742" s="249">
        <v>0.25</v>
      </c>
      <c r="K742" s="250">
        <v>12.6</v>
      </c>
    </row>
    <row r="743" spans="5:11" ht="14.25" customHeight="1" x14ac:dyDescent="0.35">
      <c r="E743" s="248">
        <v>44818</v>
      </c>
      <c r="F743" s="249">
        <v>0.25</v>
      </c>
      <c r="G743" s="250">
        <v>3.9</v>
      </c>
      <c r="I743" s="248">
        <v>45035</v>
      </c>
      <c r="J743" s="249">
        <v>0.25</v>
      </c>
      <c r="K743" s="250">
        <v>10.7</v>
      </c>
    </row>
    <row r="744" spans="5:11" ht="14.25" customHeight="1" x14ac:dyDescent="0.35">
      <c r="E744" s="248">
        <v>44825</v>
      </c>
      <c r="F744" s="249">
        <v>0.25</v>
      </c>
      <c r="G744" s="250">
        <v>6.3</v>
      </c>
      <c r="I744" s="248">
        <v>45042</v>
      </c>
      <c r="J744" s="249">
        <v>0.25</v>
      </c>
      <c r="K744" s="250">
        <v>13.7</v>
      </c>
    </row>
    <row r="745" spans="5:11" ht="14.25" customHeight="1" x14ac:dyDescent="0.35">
      <c r="E745" s="248">
        <v>44832</v>
      </c>
      <c r="F745" s="249">
        <v>0.25</v>
      </c>
      <c r="G745" s="250">
        <v>4.4000000000000004</v>
      </c>
      <c r="I745" s="248">
        <v>45049</v>
      </c>
      <c r="J745" s="249">
        <v>0.25</v>
      </c>
      <c r="K745" s="250">
        <v>16</v>
      </c>
    </row>
    <row r="746" spans="5:11" ht="14.25" customHeight="1" x14ac:dyDescent="0.35">
      <c r="E746" s="248">
        <v>44839</v>
      </c>
      <c r="F746" s="249">
        <v>0.25</v>
      </c>
      <c r="G746" s="250">
        <v>2.2999999999999998</v>
      </c>
      <c r="I746" s="248">
        <v>45056</v>
      </c>
      <c r="J746" s="249">
        <v>0.25</v>
      </c>
      <c r="K746" s="250">
        <v>14.1</v>
      </c>
    </row>
    <row r="747" spans="5:11" ht="14.25" customHeight="1" x14ac:dyDescent="0.35">
      <c r="E747" s="248">
        <v>44846</v>
      </c>
      <c r="F747" s="249">
        <v>0.25</v>
      </c>
      <c r="G747" s="250">
        <v>4</v>
      </c>
      <c r="I747" s="248">
        <v>45063</v>
      </c>
      <c r="J747" s="249">
        <v>0.25</v>
      </c>
      <c r="K747" s="250">
        <v>21.1</v>
      </c>
    </row>
    <row r="748" spans="5:11" ht="14.25" customHeight="1" x14ac:dyDescent="0.35">
      <c r="E748" s="248">
        <v>44853</v>
      </c>
      <c r="F748" s="249">
        <v>0.25</v>
      </c>
      <c r="G748" s="250">
        <v>3.9</v>
      </c>
      <c r="I748" s="248">
        <v>45070</v>
      </c>
      <c r="J748" s="249">
        <v>0.25</v>
      </c>
      <c r="K748" s="250">
        <v>20.399999999999999</v>
      </c>
    </row>
    <row r="749" spans="5:11" ht="14.25" customHeight="1" x14ac:dyDescent="0.35">
      <c r="E749" s="248">
        <v>44860</v>
      </c>
      <c r="F749" s="249">
        <v>0.25</v>
      </c>
      <c r="G749" s="250">
        <v>4.5999999999999996</v>
      </c>
      <c r="I749" s="248">
        <v>45077</v>
      </c>
      <c r="J749" s="249">
        <v>0.25</v>
      </c>
      <c r="K749" s="250">
        <v>22.9</v>
      </c>
    </row>
    <row r="750" spans="5:11" ht="14.25" customHeight="1" x14ac:dyDescent="0.35">
      <c r="E750" s="248">
        <v>44867</v>
      </c>
      <c r="F750" s="249">
        <v>0.25</v>
      </c>
      <c r="G750" s="250">
        <v>7.4</v>
      </c>
      <c r="I750" s="248">
        <v>45084</v>
      </c>
      <c r="J750" s="249">
        <v>0.25</v>
      </c>
      <c r="K750" s="250">
        <v>20.3</v>
      </c>
    </row>
    <row r="751" spans="5:11" ht="14.25" customHeight="1" x14ac:dyDescent="0.35">
      <c r="E751" s="248">
        <v>44874</v>
      </c>
      <c r="F751" s="249">
        <v>0.25</v>
      </c>
      <c r="G751" s="250">
        <v>7.8</v>
      </c>
      <c r="I751" s="248">
        <v>45091</v>
      </c>
      <c r="J751" s="249">
        <v>0.25</v>
      </c>
      <c r="K751" s="250">
        <v>20.8</v>
      </c>
    </row>
    <row r="752" spans="5:11" ht="14.25" customHeight="1" x14ac:dyDescent="0.35">
      <c r="E752" s="248">
        <v>44888</v>
      </c>
      <c r="F752" s="249">
        <v>0.25</v>
      </c>
      <c r="G752" s="250">
        <v>1.6</v>
      </c>
      <c r="I752" s="248">
        <v>45098</v>
      </c>
      <c r="J752" s="249">
        <v>0.25</v>
      </c>
      <c r="K752" s="250">
        <v>20.399999999999999</v>
      </c>
    </row>
    <row r="753" spans="5:11" ht="14.25" customHeight="1" x14ac:dyDescent="0.35">
      <c r="E753" s="248">
        <v>44902</v>
      </c>
      <c r="F753" s="249">
        <v>0.25</v>
      </c>
      <c r="G753" s="250">
        <v>2.4</v>
      </c>
      <c r="I753" s="248">
        <v>45105</v>
      </c>
      <c r="J753" s="249">
        <v>0.25</v>
      </c>
      <c r="K753" s="250">
        <v>14.6</v>
      </c>
    </row>
    <row r="754" spans="5:11" ht="14.25" customHeight="1" x14ac:dyDescent="0.35">
      <c r="E754" s="248">
        <v>44909</v>
      </c>
      <c r="F754" s="249">
        <v>0.25</v>
      </c>
      <c r="G754" s="250">
        <v>5.4</v>
      </c>
      <c r="I754" s="248">
        <v>45112</v>
      </c>
      <c r="J754" s="249">
        <v>0.25</v>
      </c>
      <c r="K754" s="250">
        <v>15.3</v>
      </c>
    </row>
    <row r="755" spans="5:11" ht="14.25" customHeight="1" x14ac:dyDescent="0.35">
      <c r="E755" s="248">
        <v>44916</v>
      </c>
      <c r="F755" s="249">
        <v>0.25</v>
      </c>
      <c r="G755" s="250">
        <v>10.3</v>
      </c>
      <c r="I755" s="248">
        <v>45119</v>
      </c>
      <c r="J755" s="249">
        <v>0.25</v>
      </c>
      <c r="K755" s="250">
        <v>16.399999999999999</v>
      </c>
    </row>
    <row r="756" spans="5:11" ht="14.25" customHeight="1" x14ac:dyDescent="0.35">
      <c r="E756" s="248">
        <v>44930</v>
      </c>
      <c r="F756" s="249">
        <v>0.25</v>
      </c>
      <c r="G756" s="250">
        <v>8.5</v>
      </c>
      <c r="I756" s="248">
        <v>45126</v>
      </c>
      <c r="J756" s="249">
        <v>0.25</v>
      </c>
      <c r="K756" s="250">
        <v>14.8</v>
      </c>
    </row>
    <row r="757" spans="5:11" ht="14.25" customHeight="1" x14ac:dyDescent="0.35">
      <c r="E757" s="248">
        <v>44937</v>
      </c>
      <c r="F757" s="249">
        <v>0.25</v>
      </c>
      <c r="G757" s="250">
        <v>7.3</v>
      </c>
      <c r="I757" s="248">
        <v>45133</v>
      </c>
      <c r="J757" s="249">
        <v>0.25</v>
      </c>
      <c r="K757" s="250">
        <v>15.6</v>
      </c>
    </row>
    <row r="758" spans="5:11" ht="14.25" customHeight="1" x14ac:dyDescent="0.35">
      <c r="E758" s="248">
        <v>44944</v>
      </c>
      <c r="F758" s="249">
        <v>0.25</v>
      </c>
      <c r="G758" s="250">
        <v>10.5</v>
      </c>
      <c r="I758" s="248">
        <v>45140</v>
      </c>
      <c r="J758" s="249">
        <v>0.25</v>
      </c>
      <c r="K758" s="250">
        <v>13.1</v>
      </c>
    </row>
    <row r="759" spans="5:11" ht="14.25" customHeight="1" x14ac:dyDescent="0.35">
      <c r="E759" s="248">
        <v>44951</v>
      </c>
      <c r="F759" s="249">
        <v>0.25</v>
      </c>
      <c r="G759" s="250">
        <v>11.4</v>
      </c>
      <c r="I759" s="248">
        <v>45147</v>
      </c>
      <c r="J759" s="249">
        <v>0.25</v>
      </c>
      <c r="K759" s="250">
        <v>11.7</v>
      </c>
    </row>
    <row r="760" spans="5:11" ht="14.25" customHeight="1" x14ac:dyDescent="0.35">
      <c r="E760" s="248">
        <v>44958</v>
      </c>
      <c r="F760" s="249">
        <v>0.25</v>
      </c>
      <c r="G760" s="250">
        <v>14.4</v>
      </c>
      <c r="I760" s="248">
        <v>45154</v>
      </c>
      <c r="J760" s="249">
        <v>0.25</v>
      </c>
      <c r="K760" s="250">
        <v>11.2</v>
      </c>
    </row>
    <row r="761" spans="5:11" ht="14.25" customHeight="1" x14ac:dyDescent="0.35">
      <c r="E761" s="248">
        <v>44965</v>
      </c>
      <c r="F761" s="249">
        <v>0.25</v>
      </c>
      <c r="G761" s="250">
        <v>11.8</v>
      </c>
      <c r="I761" s="248">
        <v>45161</v>
      </c>
      <c r="J761" s="249">
        <v>0.25</v>
      </c>
      <c r="K761" s="250">
        <v>11.8</v>
      </c>
    </row>
    <row r="762" spans="5:11" ht="14.25" customHeight="1" x14ac:dyDescent="0.35">
      <c r="E762" s="248">
        <v>44972</v>
      </c>
      <c r="F762" s="249">
        <v>0.25</v>
      </c>
      <c r="G762" s="250">
        <v>12.3</v>
      </c>
      <c r="I762" s="248">
        <v>45175</v>
      </c>
      <c r="J762" s="249">
        <v>0.25</v>
      </c>
      <c r="K762" s="250">
        <v>12.3</v>
      </c>
    </row>
    <row r="763" spans="5:11" ht="14.25" customHeight="1" x14ac:dyDescent="0.35">
      <c r="E763" s="248">
        <v>44979</v>
      </c>
      <c r="F763" s="249">
        <v>0.25</v>
      </c>
      <c r="G763" s="250">
        <v>6</v>
      </c>
      <c r="I763" s="248">
        <v>45182</v>
      </c>
      <c r="J763" s="249">
        <v>0.25</v>
      </c>
      <c r="K763" s="250">
        <v>11.9</v>
      </c>
    </row>
    <row r="764" spans="5:11" ht="14.25" customHeight="1" x14ac:dyDescent="0.35">
      <c r="E764" s="248">
        <v>44986</v>
      </c>
      <c r="F764" s="249">
        <v>0.25</v>
      </c>
      <c r="G764" s="250">
        <v>3</v>
      </c>
      <c r="I764" s="248">
        <v>45189</v>
      </c>
      <c r="J764" s="249">
        <v>0.25</v>
      </c>
      <c r="K764" s="250">
        <v>7.5</v>
      </c>
    </row>
    <row r="765" spans="5:11" ht="14.25" customHeight="1" x14ac:dyDescent="0.35">
      <c r="E765" s="248">
        <v>44993</v>
      </c>
      <c r="F765" s="249">
        <v>0.25</v>
      </c>
      <c r="G765" s="250">
        <v>3.2</v>
      </c>
      <c r="I765" s="248">
        <v>45196</v>
      </c>
      <c r="J765" s="249">
        <v>0.25</v>
      </c>
      <c r="K765" s="250">
        <v>9</v>
      </c>
    </row>
    <row r="766" spans="5:11" ht="14.25" customHeight="1" x14ac:dyDescent="0.35">
      <c r="E766" s="248">
        <v>45000</v>
      </c>
      <c r="F766" s="249">
        <v>0.25</v>
      </c>
      <c r="G766" s="250">
        <v>10.1</v>
      </c>
      <c r="I766" s="248">
        <v>45203</v>
      </c>
      <c r="J766" s="249">
        <v>0.25</v>
      </c>
      <c r="K766" s="250">
        <v>10.199999999999999</v>
      </c>
    </row>
    <row r="767" spans="5:11" ht="14.25" customHeight="1" x14ac:dyDescent="0.35">
      <c r="E767" s="248">
        <v>45007</v>
      </c>
      <c r="F767" s="249">
        <v>0.25</v>
      </c>
      <c r="G767" s="250">
        <v>6.7</v>
      </c>
      <c r="I767" s="248">
        <v>45210</v>
      </c>
      <c r="J767" s="249">
        <v>0.25</v>
      </c>
      <c r="K767" s="250">
        <v>14.2</v>
      </c>
    </row>
    <row r="768" spans="5:11" ht="14.25" customHeight="1" x14ac:dyDescent="0.35">
      <c r="E768" s="248">
        <v>45014</v>
      </c>
      <c r="F768" s="249">
        <v>0.25</v>
      </c>
      <c r="G768" s="250">
        <v>3.1</v>
      </c>
      <c r="I768" s="248">
        <v>45217</v>
      </c>
      <c r="J768" s="249">
        <v>0.25</v>
      </c>
      <c r="K768" s="250">
        <v>13.5</v>
      </c>
    </row>
    <row r="769" spans="5:11" ht="14.25" customHeight="1" x14ac:dyDescent="0.35">
      <c r="E769" s="248">
        <v>45021</v>
      </c>
      <c r="F769" s="249">
        <v>0.25</v>
      </c>
      <c r="G769" s="250">
        <v>4.5</v>
      </c>
      <c r="I769" s="248">
        <v>45224</v>
      </c>
      <c r="J769" s="249">
        <v>0.25</v>
      </c>
      <c r="K769" s="250">
        <v>14.9</v>
      </c>
    </row>
    <row r="770" spans="5:11" ht="14.25" customHeight="1" x14ac:dyDescent="0.35">
      <c r="E770" s="248">
        <v>45028</v>
      </c>
      <c r="F770" s="249">
        <v>0.25</v>
      </c>
      <c r="G770" s="250">
        <v>4.0999999999999996</v>
      </c>
      <c r="I770" s="248">
        <v>45231</v>
      </c>
      <c r="J770" s="249">
        <v>0.25</v>
      </c>
      <c r="K770" s="250">
        <v>14.7</v>
      </c>
    </row>
    <row r="771" spans="5:11" ht="14.25" customHeight="1" x14ac:dyDescent="0.35">
      <c r="E771" s="248">
        <v>45035</v>
      </c>
      <c r="F771" s="249">
        <v>0.25</v>
      </c>
      <c r="G771" s="250">
        <v>1.8</v>
      </c>
      <c r="I771" s="248">
        <v>45238</v>
      </c>
      <c r="J771" s="249">
        <v>0.25</v>
      </c>
      <c r="K771" s="250">
        <v>15.8</v>
      </c>
    </row>
    <row r="772" spans="5:11" ht="14.25" customHeight="1" x14ac:dyDescent="0.35">
      <c r="E772" s="248">
        <v>45042</v>
      </c>
      <c r="F772" s="249">
        <v>0.25</v>
      </c>
      <c r="G772" s="250">
        <v>5.6</v>
      </c>
      <c r="I772" s="248">
        <v>45245</v>
      </c>
      <c r="J772" s="249">
        <v>0.25</v>
      </c>
      <c r="K772" s="250">
        <v>14.2</v>
      </c>
    </row>
    <row r="773" spans="5:11" ht="14.25" customHeight="1" x14ac:dyDescent="0.35">
      <c r="E773" s="248">
        <v>45049</v>
      </c>
      <c r="F773" s="249">
        <v>0.25</v>
      </c>
      <c r="G773" s="250">
        <v>7.5</v>
      </c>
      <c r="I773" s="248">
        <v>45252</v>
      </c>
      <c r="J773" s="249">
        <v>0.25</v>
      </c>
      <c r="K773" s="250">
        <v>13.5</v>
      </c>
    </row>
    <row r="774" spans="5:11" ht="14.25" customHeight="1" x14ac:dyDescent="0.35">
      <c r="E774" s="248">
        <v>45056</v>
      </c>
      <c r="F774" s="249">
        <v>0.25</v>
      </c>
      <c r="G774" s="250">
        <v>4.2</v>
      </c>
      <c r="I774" s="248">
        <v>45259</v>
      </c>
      <c r="J774" s="249">
        <v>0.25</v>
      </c>
      <c r="K774" s="250">
        <v>14.9</v>
      </c>
    </row>
    <row r="775" spans="5:11" ht="14.25" customHeight="1" x14ac:dyDescent="0.35">
      <c r="E775" s="248">
        <v>45063</v>
      </c>
      <c r="F775" s="249">
        <v>0.25</v>
      </c>
      <c r="G775" s="250">
        <v>5.6</v>
      </c>
      <c r="I775" s="248">
        <v>45266</v>
      </c>
      <c r="J775" s="249">
        <v>0.25</v>
      </c>
      <c r="K775" s="250">
        <v>16.5</v>
      </c>
    </row>
    <row r="776" spans="5:11" ht="14.25" customHeight="1" x14ac:dyDescent="0.35">
      <c r="E776" s="248">
        <v>45070</v>
      </c>
      <c r="F776" s="249">
        <v>0.25</v>
      </c>
      <c r="G776" s="250">
        <v>4</v>
      </c>
      <c r="I776" s="248">
        <v>45273</v>
      </c>
      <c r="J776" s="249">
        <v>0.25</v>
      </c>
      <c r="K776" s="250">
        <v>16.8</v>
      </c>
    </row>
    <row r="777" spans="5:11" ht="14.25" customHeight="1" x14ac:dyDescent="0.35">
      <c r="E777" s="248">
        <v>45077</v>
      </c>
      <c r="F777" s="249">
        <v>0.25</v>
      </c>
      <c r="G777" s="250">
        <v>4.2</v>
      </c>
      <c r="I777" s="248">
        <v>45280</v>
      </c>
      <c r="J777" s="249">
        <v>0.25</v>
      </c>
      <c r="K777" s="250">
        <v>16.8</v>
      </c>
    </row>
    <row r="778" spans="5:11" ht="14.25" customHeight="1" x14ac:dyDescent="0.35">
      <c r="E778" s="248">
        <v>45084</v>
      </c>
      <c r="F778" s="249">
        <v>0.25</v>
      </c>
      <c r="G778" s="250">
        <v>5.3</v>
      </c>
      <c r="I778" s="248">
        <v>45287</v>
      </c>
      <c r="J778" s="249">
        <v>0.25</v>
      </c>
      <c r="K778" s="250">
        <v>18.8</v>
      </c>
    </row>
    <row r="779" spans="5:11" ht="14.25" customHeight="1" x14ac:dyDescent="0.35">
      <c r="E779" s="248">
        <v>45091</v>
      </c>
      <c r="F779" s="249">
        <v>0.25</v>
      </c>
      <c r="G779" s="250">
        <v>5.2</v>
      </c>
      <c r="I779" s="248">
        <v>45294</v>
      </c>
      <c r="J779" s="249">
        <v>0.25</v>
      </c>
      <c r="K779" s="250">
        <v>23.4</v>
      </c>
    </row>
    <row r="780" spans="5:11" ht="14.25" customHeight="1" x14ac:dyDescent="0.35">
      <c r="E780" s="248">
        <v>45098</v>
      </c>
      <c r="F780" s="249">
        <v>0.25</v>
      </c>
      <c r="G780" s="250">
        <v>6</v>
      </c>
      <c r="I780" s="248">
        <v>45301</v>
      </c>
      <c r="J780" s="249">
        <v>0.25</v>
      </c>
      <c r="K780" s="250">
        <v>20.399999999999999</v>
      </c>
    </row>
    <row r="781" spans="5:11" ht="14.25" customHeight="1" x14ac:dyDescent="0.35">
      <c r="E781" s="248">
        <v>45105</v>
      </c>
      <c r="F781" s="249">
        <v>0.25</v>
      </c>
      <c r="G781" s="250">
        <v>5.8</v>
      </c>
      <c r="I781" s="248">
        <v>45308</v>
      </c>
      <c r="J781" s="249">
        <v>0.25</v>
      </c>
      <c r="K781" s="250">
        <v>22.2</v>
      </c>
    </row>
    <row r="782" spans="5:11" ht="14.25" customHeight="1" x14ac:dyDescent="0.35">
      <c r="E782" s="248">
        <v>45112</v>
      </c>
      <c r="F782" s="249">
        <v>0.25</v>
      </c>
      <c r="G782" s="250">
        <v>6.2</v>
      </c>
      <c r="I782" s="248">
        <v>45315</v>
      </c>
      <c r="J782" s="249">
        <v>0.25</v>
      </c>
      <c r="K782" s="250">
        <v>17</v>
      </c>
    </row>
    <row r="783" spans="5:11" ht="14.25" customHeight="1" x14ac:dyDescent="0.35">
      <c r="E783" s="248">
        <v>45119</v>
      </c>
      <c r="F783" s="249">
        <v>0.25</v>
      </c>
      <c r="G783" s="250">
        <v>8.1</v>
      </c>
      <c r="I783" s="248">
        <v>45322</v>
      </c>
      <c r="J783" s="249">
        <v>0.25</v>
      </c>
      <c r="K783" s="250">
        <v>15.7</v>
      </c>
    </row>
    <row r="784" spans="5:11" ht="14.25" customHeight="1" x14ac:dyDescent="0.35">
      <c r="E784" s="248">
        <v>45126</v>
      </c>
      <c r="F784" s="249">
        <v>0.25</v>
      </c>
      <c r="G784" s="250">
        <v>7</v>
      </c>
      <c r="I784" s="248">
        <v>45329</v>
      </c>
      <c r="J784" s="249">
        <v>0.25</v>
      </c>
      <c r="K784" s="250">
        <v>11.9</v>
      </c>
    </row>
    <row r="785" spans="5:11" ht="14.25" customHeight="1" x14ac:dyDescent="0.35">
      <c r="E785" s="248">
        <v>45133</v>
      </c>
      <c r="F785" s="249">
        <v>0.25</v>
      </c>
      <c r="G785" s="250">
        <v>7</v>
      </c>
      <c r="I785" s="248">
        <v>45336</v>
      </c>
      <c r="J785" s="249">
        <v>0.25</v>
      </c>
      <c r="K785" s="250">
        <v>11.2</v>
      </c>
    </row>
    <row r="786" spans="5:11" ht="14.25" customHeight="1" x14ac:dyDescent="0.35">
      <c r="E786" s="248">
        <v>45140</v>
      </c>
      <c r="F786" s="249">
        <v>0.25</v>
      </c>
      <c r="G786" s="250">
        <v>3.9</v>
      </c>
      <c r="I786" s="248">
        <v>45343</v>
      </c>
      <c r="J786" s="249">
        <v>0.25</v>
      </c>
      <c r="K786" s="250">
        <v>12.5</v>
      </c>
    </row>
    <row r="787" spans="5:11" ht="14.25" customHeight="1" x14ac:dyDescent="0.35">
      <c r="E787" s="248">
        <v>45147</v>
      </c>
      <c r="F787" s="249">
        <v>0.25</v>
      </c>
      <c r="G787" s="250">
        <v>1.4</v>
      </c>
      <c r="I787" s="248">
        <v>45350</v>
      </c>
      <c r="J787" s="249">
        <v>0.25</v>
      </c>
      <c r="K787" s="250">
        <v>13.1</v>
      </c>
    </row>
    <row r="788" spans="5:11" ht="14.25" customHeight="1" x14ac:dyDescent="0.35">
      <c r="E788" s="248">
        <v>45154</v>
      </c>
      <c r="F788" s="249">
        <v>0.25</v>
      </c>
      <c r="G788" s="250">
        <v>0.9</v>
      </c>
      <c r="I788" s="248">
        <v>45357</v>
      </c>
      <c r="J788" s="249">
        <v>0.25</v>
      </c>
      <c r="K788" s="250">
        <v>12</v>
      </c>
    </row>
    <row r="789" spans="5:11" ht="14.25" customHeight="1" x14ac:dyDescent="0.35">
      <c r="E789" s="248">
        <v>45161</v>
      </c>
      <c r="F789" s="249">
        <v>0.25</v>
      </c>
      <c r="G789" s="250">
        <v>1.7</v>
      </c>
      <c r="I789" s="248">
        <v>45364</v>
      </c>
      <c r="J789" s="249">
        <v>0.25</v>
      </c>
      <c r="K789" s="250">
        <v>14.2</v>
      </c>
    </row>
    <row r="790" spans="5:11" ht="14.25" customHeight="1" x14ac:dyDescent="0.35">
      <c r="E790" s="248">
        <v>45175</v>
      </c>
      <c r="F790" s="249">
        <v>0.25</v>
      </c>
      <c r="G790" s="250">
        <v>2.2000000000000002</v>
      </c>
      <c r="I790" s="248">
        <v>45371</v>
      </c>
      <c r="J790" s="249">
        <v>0.25</v>
      </c>
      <c r="K790" s="250">
        <v>12.2</v>
      </c>
    </row>
    <row r="791" spans="5:11" ht="14.25" customHeight="1" x14ac:dyDescent="0.35">
      <c r="E791" s="248">
        <v>45182</v>
      </c>
      <c r="F791" s="249">
        <v>0.25</v>
      </c>
      <c r="G791" s="250">
        <v>1.9</v>
      </c>
      <c r="I791" s="248">
        <v>45385</v>
      </c>
      <c r="J791" s="249">
        <v>0.25</v>
      </c>
      <c r="K791" s="250">
        <v>12.1</v>
      </c>
    </row>
    <row r="792" spans="5:11" ht="14.25" customHeight="1" x14ac:dyDescent="0.35">
      <c r="E792" s="248">
        <v>45189</v>
      </c>
      <c r="F792" s="249">
        <v>0.25</v>
      </c>
      <c r="G792" s="250" t="s">
        <v>51</v>
      </c>
      <c r="I792" s="248">
        <v>45392</v>
      </c>
      <c r="J792" s="249">
        <v>0.25</v>
      </c>
      <c r="K792" s="250">
        <v>12.9</v>
      </c>
    </row>
    <row r="793" spans="5:11" ht="14.25" customHeight="1" x14ac:dyDescent="0.35">
      <c r="E793" s="248">
        <v>45196</v>
      </c>
      <c r="F793" s="249">
        <v>0.25</v>
      </c>
      <c r="G793" s="250" t="s">
        <v>51</v>
      </c>
      <c r="I793" s="248">
        <v>45399</v>
      </c>
      <c r="J793" s="249">
        <v>0.25</v>
      </c>
      <c r="K793" s="250">
        <v>17</v>
      </c>
    </row>
    <row r="794" spans="5:11" ht="14.25" customHeight="1" x14ac:dyDescent="0.35">
      <c r="E794" s="248">
        <v>45203</v>
      </c>
      <c r="F794" s="249">
        <v>0.25</v>
      </c>
      <c r="G794" s="250">
        <v>0.5</v>
      </c>
      <c r="I794" s="248">
        <v>45406</v>
      </c>
      <c r="J794" s="249">
        <v>0.22916666666666666</v>
      </c>
      <c r="K794" s="250">
        <v>15</v>
      </c>
    </row>
    <row r="795" spans="5:11" ht="14.25" customHeight="1" x14ac:dyDescent="0.35">
      <c r="E795" s="248">
        <v>45210</v>
      </c>
      <c r="F795" s="249">
        <v>0.25</v>
      </c>
      <c r="G795" s="250">
        <v>5.4</v>
      </c>
      <c r="I795" s="248">
        <v>45413</v>
      </c>
      <c r="J795" s="249">
        <v>0.25694444444444442</v>
      </c>
      <c r="K795" s="250">
        <v>11.7</v>
      </c>
    </row>
    <row r="796" spans="5:11" ht="14.25" customHeight="1" x14ac:dyDescent="0.35">
      <c r="E796" s="248">
        <v>45217</v>
      </c>
      <c r="F796" s="249">
        <v>0.25</v>
      </c>
      <c r="G796" s="250">
        <v>4</v>
      </c>
      <c r="I796" s="248">
        <v>45420</v>
      </c>
      <c r="J796" s="249">
        <v>0.22916666666666666</v>
      </c>
      <c r="K796" s="250">
        <v>12.5</v>
      </c>
    </row>
    <row r="797" spans="5:11" ht="14.25" customHeight="1" x14ac:dyDescent="0.35">
      <c r="E797" s="248">
        <v>45224</v>
      </c>
      <c r="F797" s="249">
        <v>0.25</v>
      </c>
      <c r="G797" s="250">
        <v>4.5999999999999996</v>
      </c>
      <c r="I797" s="248">
        <v>45427</v>
      </c>
      <c r="J797" s="249">
        <v>0.22916666666666666</v>
      </c>
      <c r="K797" s="250">
        <v>14.6</v>
      </c>
    </row>
    <row r="798" spans="5:11" ht="14.25" customHeight="1" x14ac:dyDescent="0.35">
      <c r="E798" s="248">
        <v>45231</v>
      </c>
      <c r="F798" s="249">
        <v>0.25</v>
      </c>
      <c r="G798" s="250">
        <v>3.6</v>
      </c>
      <c r="I798" s="248">
        <v>45434</v>
      </c>
      <c r="J798" s="249">
        <v>0.23472222222222222</v>
      </c>
      <c r="K798" s="250">
        <v>14.5</v>
      </c>
    </row>
    <row r="799" spans="5:11" ht="14.25" customHeight="1" x14ac:dyDescent="0.35">
      <c r="E799" s="248">
        <v>45238</v>
      </c>
      <c r="F799" s="249">
        <v>0.25</v>
      </c>
      <c r="G799" s="250">
        <v>4.5999999999999996</v>
      </c>
      <c r="I799" s="248">
        <v>45441</v>
      </c>
      <c r="J799" s="249">
        <v>0.1875</v>
      </c>
      <c r="K799" s="250">
        <v>13.1</v>
      </c>
    </row>
    <row r="800" spans="5:11" ht="14.25" customHeight="1" x14ac:dyDescent="0.35">
      <c r="E800" s="248">
        <v>45245</v>
      </c>
      <c r="F800" s="249">
        <v>0.25</v>
      </c>
      <c r="G800" s="250">
        <v>3.3</v>
      </c>
      <c r="I800" s="248">
        <v>45448</v>
      </c>
      <c r="J800" s="249">
        <v>0.22916666666666666</v>
      </c>
      <c r="K800" s="250">
        <v>13.8</v>
      </c>
    </row>
    <row r="801" spans="5:11" ht="14.25" customHeight="1" x14ac:dyDescent="0.35">
      <c r="E801" s="248">
        <v>45252</v>
      </c>
      <c r="F801" s="249">
        <v>0.25</v>
      </c>
      <c r="G801" s="250">
        <v>3.4</v>
      </c>
      <c r="I801" s="248">
        <v>45455</v>
      </c>
      <c r="J801" s="249">
        <v>0.22916666666666666</v>
      </c>
      <c r="K801" s="250">
        <v>14</v>
      </c>
    </row>
    <row r="802" spans="5:11" ht="14.25" customHeight="1" x14ac:dyDescent="0.35">
      <c r="E802" s="248">
        <v>45259</v>
      </c>
      <c r="F802" s="249">
        <v>0.25</v>
      </c>
      <c r="G802" s="250">
        <v>2.6</v>
      </c>
      <c r="I802" s="248">
        <v>45462</v>
      </c>
      <c r="J802" s="249">
        <v>0.22569444444444445</v>
      </c>
      <c r="K802" s="250">
        <v>14.3</v>
      </c>
    </row>
    <row r="803" spans="5:11" ht="14.25" customHeight="1" x14ac:dyDescent="0.35">
      <c r="E803" s="248">
        <v>45266</v>
      </c>
      <c r="F803" s="249">
        <v>0.25</v>
      </c>
      <c r="G803" s="250">
        <v>5.6</v>
      </c>
      <c r="I803" s="248">
        <v>45469</v>
      </c>
      <c r="J803" s="249">
        <v>0.22916666666666666</v>
      </c>
      <c r="K803" s="250">
        <v>12.4</v>
      </c>
    </row>
    <row r="804" spans="5:11" ht="14.25" customHeight="1" x14ac:dyDescent="0.35">
      <c r="E804" s="248">
        <v>45273</v>
      </c>
      <c r="F804" s="249">
        <v>0.25</v>
      </c>
      <c r="G804" s="250">
        <v>4.0999999999999996</v>
      </c>
      <c r="I804" s="248">
        <v>45476</v>
      </c>
      <c r="J804" s="249">
        <v>0.23958333333333334</v>
      </c>
      <c r="K804" s="250">
        <v>10.8</v>
      </c>
    </row>
    <row r="805" spans="5:11" ht="14.25" customHeight="1" x14ac:dyDescent="0.35">
      <c r="E805" s="248">
        <v>45280</v>
      </c>
      <c r="F805" s="249">
        <v>0.25</v>
      </c>
      <c r="G805" s="250">
        <v>6.2</v>
      </c>
      <c r="I805" s="248">
        <v>45483</v>
      </c>
      <c r="J805" s="249">
        <v>0.22569444444444445</v>
      </c>
      <c r="K805" s="250">
        <v>13.2</v>
      </c>
    </row>
    <row r="806" spans="5:11" ht="14.25" customHeight="1" x14ac:dyDescent="0.35">
      <c r="E806" s="248">
        <v>45287</v>
      </c>
      <c r="F806" s="249">
        <v>0.25</v>
      </c>
      <c r="G806" s="250">
        <v>8</v>
      </c>
      <c r="I806" s="248">
        <v>45490</v>
      </c>
      <c r="J806" s="249">
        <v>0.22222222222222221</v>
      </c>
      <c r="K806" s="250">
        <v>11.9</v>
      </c>
    </row>
    <row r="807" spans="5:11" ht="14.25" customHeight="1" x14ac:dyDescent="0.35">
      <c r="E807" s="248">
        <v>45294</v>
      </c>
      <c r="F807" s="249">
        <v>0.25</v>
      </c>
      <c r="G807" s="250">
        <v>13</v>
      </c>
      <c r="I807" s="248">
        <v>45497</v>
      </c>
      <c r="J807" s="249">
        <v>0.22916666666666666</v>
      </c>
      <c r="K807" s="250">
        <v>11.6</v>
      </c>
    </row>
    <row r="808" spans="5:11" ht="14.25" customHeight="1" x14ac:dyDescent="0.35">
      <c r="E808" s="248">
        <v>45301</v>
      </c>
      <c r="F808" s="249">
        <v>0.25</v>
      </c>
      <c r="G808" s="250">
        <v>12.9</v>
      </c>
      <c r="I808" s="248">
        <v>45504</v>
      </c>
      <c r="J808" s="249">
        <v>0.22916666666666666</v>
      </c>
      <c r="K808" s="250">
        <v>11.9</v>
      </c>
    </row>
    <row r="809" spans="5:11" ht="14.25" customHeight="1" x14ac:dyDescent="0.35">
      <c r="E809" s="248">
        <v>45308</v>
      </c>
      <c r="F809" s="249">
        <v>0.25</v>
      </c>
      <c r="G809" s="250">
        <v>14.4</v>
      </c>
      <c r="I809" s="248">
        <v>45511</v>
      </c>
      <c r="J809" s="249">
        <v>0.20833333333333334</v>
      </c>
      <c r="K809" s="250">
        <v>9</v>
      </c>
    </row>
    <row r="810" spans="5:11" ht="14.25" customHeight="1" x14ac:dyDescent="0.35">
      <c r="E810" s="248">
        <v>45315</v>
      </c>
      <c r="F810" s="249">
        <v>0.25</v>
      </c>
      <c r="G810" s="250">
        <v>7.9</v>
      </c>
      <c r="I810" s="248">
        <v>45518</v>
      </c>
      <c r="J810" s="249">
        <v>0.20833333333333334</v>
      </c>
      <c r="K810" s="250">
        <v>12.9</v>
      </c>
    </row>
    <row r="811" spans="5:11" ht="14.25" customHeight="1" x14ac:dyDescent="0.35">
      <c r="E811" s="248">
        <v>45322</v>
      </c>
      <c r="F811" s="249">
        <v>0.25</v>
      </c>
      <c r="G811" s="250">
        <v>5.7</v>
      </c>
      <c r="I811" s="248">
        <v>45525</v>
      </c>
      <c r="J811" s="249">
        <v>0.22916666666666666</v>
      </c>
      <c r="K811" s="250">
        <v>12.2</v>
      </c>
    </row>
    <row r="812" spans="5:11" ht="14.25" customHeight="1" x14ac:dyDescent="0.35">
      <c r="E812" s="248">
        <v>45329</v>
      </c>
      <c r="F812" s="249">
        <v>0.25</v>
      </c>
      <c r="G812" s="250">
        <v>0.3</v>
      </c>
      <c r="I812" s="248">
        <v>45532</v>
      </c>
      <c r="J812" s="249">
        <v>0.22916666666666666</v>
      </c>
      <c r="K812" s="250">
        <v>11.5</v>
      </c>
    </row>
    <row r="813" spans="5:11" ht="14.25" customHeight="1" x14ac:dyDescent="0.35">
      <c r="E813" s="248">
        <v>45336</v>
      </c>
      <c r="F813" s="249">
        <v>0.25</v>
      </c>
      <c r="G813" s="250">
        <v>1</v>
      </c>
      <c r="I813" s="248">
        <v>45539</v>
      </c>
      <c r="J813" s="249">
        <v>0.2326388888888889</v>
      </c>
      <c r="K813" s="250">
        <v>11.4</v>
      </c>
    </row>
    <row r="814" spans="5:11" ht="14.25" customHeight="1" x14ac:dyDescent="0.35">
      <c r="E814" s="248">
        <v>45343</v>
      </c>
      <c r="F814" s="249">
        <v>0.25</v>
      </c>
      <c r="G814" s="250">
        <v>2.1</v>
      </c>
      <c r="I814" s="248">
        <v>45546</v>
      </c>
      <c r="J814" s="249">
        <v>0.22916666666666666</v>
      </c>
      <c r="K814" s="250">
        <v>13.5</v>
      </c>
    </row>
    <row r="815" spans="5:11" ht="14.25" customHeight="1" x14ac:dyDescent="0.35">
      <c r="E815" s="248">
        <v>45350</v>
      </c>
      <c r="F815" s="249">
        <v>0.25</v>
      </c>
      <c r="G815" s="250">
        <v>1.5</v>
      </c>
      <c r="I815" s="248">
        <v>45553</v>
      </c>
      <c r="J815" s="249">
        <v>0.2326388888888889</v>
      </c>
      <c r="K815" s="250">
        <v>15.5</v>
      </c>
    </row>
    <row r="816" spans="5:11" ht="14.25" customHeight="1" x14ac:dyDescent="0.35">
      <c r="E816" s="248">
        <v>45357</v>
      </c>
      <c r="F816" s="249">
        <v>0.25</v>
      </c>
      <c r="G816" s="250">
        <v>1.1000000000000001</v>
      </c>
      <c r="I816" s="248">
        <v>45560</v>
      </c>
      <c r="J816" s="249">
        <v>0.22569444444444445</v>
      </c>
      <c r="K816" s="250">
        <v>11.6</v>
      </c>
    </row>
    <row r="817" spans="5:11" ht="14.25" customHeight="1" x14ac:dyDescent="0.35">
      <c r="E817" s="248">
        <v>45364</v>
      </c>
      <c r="F817" s="249">
        <v>0.25</v>
      </c>
      <c r="G817" s="250">
        <v>1.7</v>
      </c>
      <c r="I817" s="248">
        <v>45567</v>
      </c>
      <c r="J817" s="249">
        <v>0.22916666666666666</v>
      </c>
      <c r="K817" s="250">
        <v>13.5</v>
      </c>
    </row>
    <row r="818" spans="5:11" ht="14.25" customHeight="1" x14ac:dyDescent="0.35">
      <c r="E818" s="248">
        <v>45371</v>
      </c>
      <c r="F818" s="249">
        <v>0.25</v>
      </c>
      <c r="G818" s="250">
        <v>1.1000000000000001</v>
      </c>
      <c r="I818" s="248">
        <v>45574</v>
      </c>
      <c r="J818" s="249">
        <v>0.22222222222222221</v>
      </c>
      <c r="K818" s="250">
        <v>12.1</v>
      </c>
    </row>
    <row r="819" spans="5:11" ht="14.25" customHeight="1" x14ac:dyDescent="0.35">
      <c r="E819" s="248">
        <v>45385</v>
      </c>
      <c r="F819" s="249">
        <v>0.25</v>
      </c>
      <c r="G819" s="250">
        <v>1.6</v>
      </c>
      <c r="I819" s="248">
        <v>45581</v>
      </c>
      <c r="J819" s="249">
        <v>0.22916666666666666</v>
      </c>
      <c r="K819" s="250">
        <v>12.4</v>
      </c>
    </row>
    <row r="820" spans="5:11" ht="14.25" customHeight="1" x14ac:dyDescent="0.35">
      <c r="E820" s="248">
        <v>45392</v>
      </c>
      <c r="F820" s="249">
        <v>0.25</v>
      </c>
      <c r="G820" s="250">
        <v>1.9</v>
      </c>
      <c r="I820" s="248">
        <v>45588</v>
      </c>
      <c r="J820" s="249">
        <v>0.2326388888888889</v>
      </c>
      <c r="K820" s="250">
        <v>14.9</v>
      </c>
    </row>
    <row r="821" spans="5:11" ht="14.25" customHeight="1" x14ac:dyDescent="0.35">
      <c r="E821" s="248">
        <v>45399</v>
      </c>
      <c r="F821" s="249">
        <v>0.25</v>
      </c>
      <c r="G821" s="250">
        <v>8.6</v>
      </c>
      <c r="I821" s="248">
        <v>45595</v>
      </c>
      <c r="J821" s="249">
        <v>0.22916666666666666</v>
      </c>
      <c r="K821" s="250">
        <v>12.2</v>
      </c>
    </row>
    <row r="822" spans="5:11" ht="14.25" customHeight="1" x14ac:dyDescent="0.35">
      <c r="E822" s="248">
        <v>45406</v>
      </c>
      <c r="F822" s="249">
        <v>0.22916666666666666</v>
      </c>
      <c r="G822" s="250">
        <v>6.8</v>
      </c>
      <c r="I822" s="248">
        <v>45603</v>
      </c>
      <c r="J822" s="249">
        <v>0.2638888888888889</v>
      </c>
      <c r="K822" s="250">
        <v>12.4</v>
      </c>
    </row>
    <row r="823" spans="5:11" ht="14.25" customHeight="1" x14ac:dyDescent="0.35">
      <c r="E823" s="248">
        <v>45413</v>
      </c>
      <c r="F823" s="249">
        <v>0.25694444444444442</v>
      </c>
      <c r="G823" s="250">
        <v>0.6</v>
      </c>
      <c r="I823" s="248">
        <v>45609</v>
      </c>
      <c r="J823" s="249">
        <v>0.21875</v>
      </c>
      <c r="K823" s="250">
        <v>14.1</v>
      </c>
    </row>
    <row r="824" spans="5:11" ht="14.25" customHeight="1" x14ac:dyDescent="0.35">
      <c r="E824" s="248">
        <v>45420</v>
      </c>
      <c r="F824" s="249">
        <v>0.22916666666666666</v>
      </c>
      <c r="G824" s="250">
        <v>0.1</v>
      </c>
      <c r="I824" s="248">
        <v>45616</v>
      </c>
      <c r="J824" s="249">
        <v>0.22916666666666666</v>
      </c>
      <c r="K824" s="250">
        <v>15.3</v>
      </c>
    </row>
    <row r="825" spans="5:11" ht="14.25" customHeight="1" x14ac:dyDescent="0.35">
      <c r="E825" s="248">
        <v>45427</v>
      </c>
      <c r="F825" s="249">
        <v>0.22916666666666666</v>
      </c>
      <c r="G825" s="250">
        <v>1.1000000000000001</v>
      </c>
      <c r="I825" s="248">
        <v>45623</v>
      </c>
      <c r="J825" s="249">
        <v>0.22916666666666666</v>
      </c>
      <c r="K825" s="250">
        <v>16.2</v>
      </c>
    </row>
    <row r="826" spans="5:11" ht="14.25" customHeight="1" x14ac:dyDescent="0.35">
      <c r="E826" s="248">
        <v>45434</v>
      </c>
      <c r="F826" s="249">
        <v>0.23472222222222222</v>
      </c>
      <c r="G826" s="250">
        <v>4.3</v>
      </c>
      <c r="I826" s="248">
        <v>45630</v>
      </c>
      <c r="J826" s="249">
        <v>0.22916666666666666</v>
      </c>
      <c r="K826" s="250">
        <v>15.7</v>
      </c>
    </row>
    <row r="827" spans="5:11" ht="14.25" customHeight="1" x14ac:dyDescent="0.35">
      <c r="E827" s="248">
        <v>45441</v>
      </c>
      <c r="F827" s="249">
        <v>0.1875</v>
      </c>
      <c r="G827" s="250">
        <v>2.8</v>
      </c>
      <c r="I827" s="248">
        <v>45637</v>
      </c>
      <c r="J827" s="249">
        <v>0.22569444444444445</v>
      </c>
      <c r="K827" s="250">
        <v>17.5</v>
      </c>
    </row>
    <row r="828" spans="5:11" ht="14.25" customHeight="1" x14ac:dyDescent="0.35">
      <c r="E828" s="248">
        <v>45448</v>
      </c>
      <c r="F828" s="249">
        <v>0.22916666666666666</v>
      </c>
      <c r="G828" s="250">
        <v>2.6</v>
      </c>
      <c r="I828" s="248">
        <v>45644</v>
      </c>
      <c r="J828" s="249">
        <v>0.22222222222222221</v>
      </c>
      <c r="K828" s="250">
        <v>16.899999999999999</v>
      </c>
    </row>
    <row r="829" spans="5:11" ht="14.25" customHeight="1" x14ac:dyDescent="0.35">
      <c r="E829" s="248">
        <v>45455</v>
      </c>
      <c r="F829" s="249">
        <v>0.22916666666666666</v>
      </c>
      <c r="G829" s="250">
        <v>0.5</v>
      </c>
      <c r="I829" s="248">
        <v>45652</v>
      </c>
      <c r="J829" s="249">
        <v>0.2638888888888889</v>
      </c>
      <c r="K829" s="250">
        <v>22.6</v>
      </c>
    </row>
    <row r="830" spans="5:11" ht="14.25" customHeight="1" x14ac:dyDescent="0.35">
      <c r="E830" s="248">
        <v>45462</v>
      </c>
      <c r="F830" s="249">
        <v>0.22569444444444445</v>
      </c>
      <c r="G830" s="250">
        <v>1.5</v>
      </c>
      <c r="I830" s="248">
        <v>45657</v>
      </c>
      <c r="J830" s="249">
        <v>0.2361111111111111</v>
      </c>
      <c r="K830" s="250">
        <v>17.399999999999999</v>
      </c>
    </row>
    <row r="831" spans="5:11" ht="14.25" customHeight="1" x14ac:dyDescent="0.35">
      <c r="E831" s="248">
        <v>45469</v>
      </c>
      <c r="F831" s="249">
        <v>0.22916666666666666</v>
      </c>
      <c r="G831" s="250">
        <v>0.3</v>
      </c>
      <c r="I831" s="248">
        <v>45664</v>
      </c>
      <c r="J831" s="249">
        <v>0.24652777777777779</v>
      </c>
      <c r="K831" s="250">
        <v>18.399999999999999</v>
      </c>
    </row>
    <row r="832" spans="5:11" ht="14.25" customHeight="1" x14ac:dyDescent="0.35">
      <c r="E832" s="248">
        <v>45476</v>
      </c>
      <c r="F832" s="249">
        <v>0.23958333333333334</v>
      </c>
      <c r="G832" s="250">
        <v>0.4</v>
      </c>
      <c r="I832" s="248">
        <v>45671</v>
      </c>
      <c r="J832" s="249">
        <v>0.21875</v>
      </c>
      <c r="K832" s="250">
        <v>18.8</v>
      </c>
    </row>
    <row r="833" spans="5:11" ht="14.25" customHeight="1" x14ac:dyDescent="0.35">
      <c r="E833" s="248">
        <v>45483</v>
      </c>
      <c r="F833" s="249">
        <v>0.22569444444444445</v>
      </c>
      <c r="G833" s="250">
        <v>0.6</v>
      </c>
      <c r="I833" s="248">
        <v>45678</v>
      </c>
      <c r="J833" s="249">
        <v>0.2298611111111111</v>
      </c>
      <c r="K833" s="250">
        <v>18.7</v>
      </c>
    </row>
    <row r="834" spans="5:11" ht="14.25" customHeight="1" x14ac:dyDescent="0.35">
      <c r="E834" s="248">
        <v>45490</v>
      </c>
      <c r="F834" s="249">
        <v>0.22222222222222221</v>
      </c>
      <c r="G834" s="250">
        <v>1</v>
      </c>
      <c r="I834" s="248">
        <v>45685</v>
      </c>
      <c r="J834" s="249">
        <v>0.24305555555555555</v>
      </c>
      <c r="K834" s="250">
        <v>19</v>
      </c>
    </row>
    <row r="835" spans="5:11" ht="14.25" customHeight="1" x14ac:dyDescent="0.35">
      <c r="E835" s="248">
        <v>45497</v>
      </c>
      <c r="F835" s="249">
        <v>0.22916666666666666</v>
      </c>
      <c r="G835" s="250">
        <v>1.2</v>
      </c>
      <c r="I835" s="248">
        <v>45692</v>
      </c>
      <c r="J835" s="249">
        <v>0.26041666666666669</v>
      </c>
      <c r="K835" s="250">
        <v>15.9</v>
      </c>
    </row>
    <row r="836" spans="5:11" ht="14.25" customHeight="1" x14ac:dyDescent="0.35">
      <c r="E836" s="248">
        <v>45504</v>
      </c>
      <c r="F836" s="249">
        <v>0.22916666666666666</v>
      </c>
      <c r="G836" s="250">
        <v>0.3</v>
      </c>
      <c r="I836" s="248">
        <v>45699</v>
      </c>
      <c r="J836" s="249">
        <v>0.24305555555555555</v>
      </c>
      <c r="K836" s="250">
        <v>15.7</v>
      </c>
    </row>
    <row r="837" spans="5:11" ht="14.25" customHeight="1" x14ac:dyDescent="0.35">
      <c r="E837" s="248">
        <v>45511</v>
      </c>
      <c r="F837" s="249">
        <v>0.20833333333333334</v>
      </c>
      <c r="G837" s="250">
        <v>0.4</v>
      </c>
      <c r="I837" s="248">
        <v>45706</v>
      </c>
      <c r="J837" s="249">
        <v>0.22222222222222221</v>
      </c>
      <c r="K837" s="250">
        <v>13.8</v>
      </c>
    </row>
    <row r="838" spans="5:11" ht="14.25" customHeight="1" x14ac:dyDescent="0.35">
      <c r="E838" s="248">
        <v>45518</v>
      </c>
      <c r="F838" s="249">
        <v>0.20833333333333334</v>
      </c>
      <c r="G838" s="250">
        <v>2.5</v>
      </c>
      <c r="I838" s="248">
        <v>45713</v>
      </c>
      <c r="J838" s="249">
        <v>0.23958333333333334</v>
      </c>
      <c r="K838" s="250">
        <v>14.3</v>
      </c>
    </row>
    <row r="839" spans="5:11" ht="14.25" customHeight="1" x14ac:dyDescent="0.35">
      <c r="E839" s="248">
        <v>45525</v>
      </c>
      <c r="F839" s="249">
        <v>0.22916666666666666</v>
      </c>
      <c r="G839" s="250">
        <v>2</v>
      </c>
      <c r="I839" s="248">
        <v>45720</v>
      </c>
      <c r="J839" s="249">
        <v>0.25</v>
      </c>
      <c r="K839" s="250">
        <v>14.5</v>
      </c>
    </row>
    <row r="840" spans="5:11" ht="14.25" customHeight="1" x14ac:dyDescent="0.35">
      <c r="E840" s="248">
        <v>45532</v>
      </c>
      <c r="F840" s="249">
        <v>0.22916666666666666</v>
      </c>
      <c r="G840" s="250">
        <v>2.2999999999999998</v>
      </c>
      <c r="I840" s="248">
        <v>45727</v>
      </c>
      <c r="J840" s="249">
        <v>0.25694444444444442</v>
      </c>
      <c r="K840" s="250">
        <v>14.5</v>
      </c>
    </row>
    <row r="841" spans="5:11" ht="14.25" customHeight="1" x14ac:dyDescent="0.35">
      <c r="E841" s="248">
        <v>45539</v>
      </c>
      <c r="F841" s="249">
        <v>0.2326388888888889</v>
      </c>
      <c r="G841" s="250">
        <v>1</v>
      </c>
      <c r="I841" s="248">
        <v>45685</v>
      </c>
      <c r="J841" s="249">
        <v>0.2326388888888889</v>
      </c>
      <c r="K841" s="250">
        <v>0.5</v>
      </c>
    </row>
    <row r="842" spans="5:11" ht="14.25" customHeight="1" x14ac:dyDescent="0.35">
      <c r="E842" s="248">
        <v>45546</v>
      </c>
      <c r="F842" s="249">
        <v>0.22916666666666666</v>
      </c>
      <c r="G842" s="250">
        <v>2.8</v>
      </c>
      <c r="I842" s="248">
        <v>45692</v>
      </c>
      <c r="J842" s="249">
        <v>0.23958333333333334</v>
      </c>
      <c r="K842" s="250">
        <v>0.5</v>
      </c>
    </row>
    <row r="843" spans="5:11" ht="14.25" customHeight="1" x14ac:dyDescent="0.35">
      <c r="E843" s="248">
        <v>45553</v>
      </c>
      <c r="F843" s="249">
        <v>0.2326388888888889</v>
      </c>
      <c r="G843" s="250">
        <v>2.5</v>
      </c>
      <c r="I843" s="248">
        <v>45699</v>
      </c>
      <c r="J843" s="249">
        <v>0.2638888888888889</v>
      </c>
      <c r="K843" s="250">
        <v>0.6</v>
      </c>
    </row>
    <row r="844" spans="5:11" ht="14.25" customHeight="1" x14ac:dyDescent="0.35">
      <c r="E844" s="248">
        <v>45560</v>
      </c>
      <c r="F844" s="249">
        <v>0.22569444444444445</v>
      </c>
      <c r="G844" s="250">
        <v>0.9</v>
      </c>
      <c r="I844" s="248">
        <v>45706</v>
      </c>
      <c r="J844" s="249">
        <v>0.24652777777777779</v>
      </c>
      <c r="K844" s="250">
        <v>0.6</v>
      </c>
    </row>
    <row r="845" spans="5:11" ht="14.25" customHeight="1" x14ac:dyDescent="0.35">
      <c r="E845" s="248">
        <v>45567</v>
      </c>
      <c r="F845" s="249">
        <v>0.22916666666666666</v>
      </c>
      <c r="G845" s="250">
        <v>2</v>
      </c>
      <c r="I845" s="248">
        <v>45713</v>
      </c>
      <c r="J845" s="249">
        <v>0.25347222222222221</v>
      </c>
      <c r="K845" s="250">
        <v>0.6</v>
      </c>
    </row>
    <row r="846" spans="5:11" ht="14.25" customHeight="1" x14ac:dyDescent="0.35">
      <c r="E846" s="248">
        <v>45574</v>
      </c>
      <c r="F846" s="249">
        <v>0.22222222222222221</v>
      </c>
      <c r="G846" s="250">
        <v>1.2</v>
      </c>
      <c r="I846" s="248">
        <v>45720</v>
      </c>
      <c r="J846" s="249">
        <v>0.23958333333333334</v>
      </c>
      <c r="K846" s="250">
        <v>0.6</v>
      </c>
    </row>
    <row r="847" spans="5:11" ht="14.25" customHeight="1" x14ac:dyDescent="0.35">
      <c r="E847" s="248">
        <v>45581</v>
      </c>
      <c r="F847" s="249">
        <v>0.22916666666666666</v>
      </c>
      <c r="G847" s="250">
        <v>1.3</v>
      </c>
      <c r="I847" s="248">
        <v>45727</v>
      </c>
      <c r="J847" s="249">
        <v>0.2638888888888889</v>
      </c>
      <c r="K847" s="250">
        <v>0.5</v>
      </c>
    </row>
    <row r="848" spans="5:11" ht="14.25" customHeight="1" x14ac:dyDescent="0.35">
      <c r="E848" s="248">
        <v>45588</v>
      </c>
      <c r="F848" s="249">
        <v>0.2326388888888889</v>
      </c>
      <c r="G848" s="250">
        <v>4.3</v>
      </c>
    </row>
    <row r="849" spans="5:7" ht="14.25" customHeight="1" x14ac:dyDescent="0.35">
      <c r="E849" s="248">
        <v>45595</v>
      </c>
      <c r="F849" s="249">
        <v>0.22916666666666666</v>
      </c>
      <c r="G849" s="250">
        <v>1</v>
      </c>
    </row>
    <row r="850" spans="5:7" ht="14.25" customHeight="1" x14ac:dyDescent="0.35">
      <c r="E850" s="248">
        <v>45603</v>
      </c>
      <c r="F850" s="249">
        <v>0.2638888888888889</v>
      </c>
      <c r="G850" s="250" t="s">
        <v>50</v>
      </c>
    </row>
    <row r="851" spans="5:7" ht="14.25" customHeight="1" x14ac:dyDescent="0.35">
      <c r="E851" s="248">
        <v>45609</v>
      </c>
      <c r="F851" s="249">
        <v>0.21875</v>
      </c>
      <c r="G851" s="250">
        <v>1.4</v>
      </c>
    </row>
    <row r="852" spans="5:7" ht="14.25" customHeight="1" x14ac:dyDescent="0.35">
      <c r="E852" s="248">
        <v>45616</v>
      </c>
      <c r="F852" s="249">
        <v>0.22916666666666666</v>
      </c>
      <c r="G852" s="250">
        <v>1.6</v>
      </c>
    </row>
    <row r="853" spans="5:7" ht="14.25" customHeight="1" x14ac:dyDescent="0.35">
      <c r="E853" s="248">
        <v>45623</v>
      </c>
      <c r="F853" s="249">
        <v>0.22916666666666666</v>
      </c>
      <c r="G853" s="250">
        <v>3.5</v>
      </c>
    </row>
    <row r="854" spans="5:7" ht="14.25" customHeight="1" x14ac:dyDescent="0.35">
      <c r="E854" s="248">
        <v>45630</v>
      </c>
      <c r="F854" s="249">
        <v>0.22916666666666666</v>
      </c>
      <c r="G854" s="250">
        <v>2.4</v>
      </c>
    </row>
    <row r="855" spans="5:7" ht="14.25" customHeight="1" x14ac:dyDescent="0.35">
      <c r="E855" s="248">
        <v>45637</v>
      </c>
      <c r="F855" s="249">
        <v>0.22569444444444445</v>
      </c>
      <c r="G855" s="250">
        <v>5.3</v>
      </c>
    </row>
    <row r="856" spans="5:7" ht="14.25" customHeight="1" x14ac:dyDescent="0.35">
      <c r="E856" s="248">
        <v>45644</v>
      </c>
      <c r="F856" s="249">
        <v>0.22222222222222221</v>
      </c>
      <c r="G856" s="250">
        <v>4.5</v>
      </c>
    </row>
    <row r="857" spans="5:7" ht="14.25" customHeight="1" x14ac:dyDescent="0.35">
      <c r="E857" s="248">
        <v>45652</v>
      </c>
      <c r="F857" s="249">
        <v>0.2638888888888889</v>
      </c>
      <c r="G857" s="250">
        <v>8.3000000000000007</v>
      </c>
    </row>
    <row r="858" spans="5:7" ht="14.25" customHeight="1" x14ac:dyDescent="0.35">
      <c r="E858" s="248">
        <v>45657</v>
      </c>
      <c r="F858" s="249">
        <v>0.2361111111111111</v>
      </c>
      <c r="G858" s="250">
        <v>4.3</v>
      </c>
    </row>
    <row r="859" spans="5:7" ht="14.25" customHeight="1" x14ac:dyDescent="0.35">
      <c r="E859" s="248">
        <v>45664</v>
      </c>
      <c r="F859" s="249">
        <v>0.24652777777777779</v>
      </c>
      <c r="G859" s="250">
        <v>6.2</v>
      </c>
    </row>
    <row r="860" spans="5:7" ht="14.25" customHeight="1" x14ac:dyDescent="0.35">
      <c r="E860" s="248">
        <v>45671</v>
      </c>
      <c r="F860" s="249">
        <v>0.21875</v>
      </c>
      <c r="G860" s="250">
        <v>7.6</v>
      </c>
    </row>
    <row r="861" spans="5:7" ht="14.25" customHeight="1" x14ac:dyDescent="0.35">
      <c r="E861" s="248">
        <v>45678</v>
      </c>
      <c r="F861" s="249">
        <v>0.2298611111111111</v>
      </c>
      <c r="G861" s="250">
        <v>8.1999999999999993</v>
      </c>
    </row>
    <row r="862" spans="5:7" ht="14.25" customHeight="1" x14ac:dyDescent="0.35">
      <c r="E862" s="248">
        <v>45685</v>
      </c>
      <c r="F862" s="249">
        <v>0.24305555555555555</v>
      </c>
      <c r="G862" s="250">
        <v>7.2</v>
      </c>
    </row>
    <row r="863" spans="5:7" ht="14.25" customHeight="1" x14ac:dyDescent="0.35">
      <c r="E863" s="248">
        <v>45692</v>
      </c>
      <c r="F863" s="249">
        <v>0.26041666666666669</v>
      </c>
      <c r="G863" s="250">
        <v>4.4000000000000004</v>
      </c>
    </row>
    <row r="864" spans="5:7" ht="14.25" customHeight="1" x14ac:dyDescent="0.35">
      <c r="E864" s="248">
        <v>45699</v>
      </c>
      <c r="F864" s="249">
        <v>0.24305555555555555</v>
      </c>
      <c r="G864" s="250">
        <v>3.6</v>
      </c>
    </row>
    <row r="865" spans="5:7" ht="14.25" customHeight="1" x14ac:dyDescent="0.35">
      <c r="E865" s="248">
        <v>45706</v>
      </c>
      <c r="F865" s="249">
        <v>0.22222222222222221</v>
      </c>
      <c r="G865" s="250">
        <v>2.9</v>
      </c>
    </row>
    <row r="866" spans="5:7" ht="14.25" customHeight="1" x14ac:dyDescent="0.35">
      <c r="E866" s="248">
        <v>45713</v>
      </c>
      <c r="F866" s="249">
        <v>0.23958333333333334</v>
      </c>
      <c r="G866" s="250">
        <v>2.1</v>
      </c>
    </row>
    <row r="867" spans="5:7" ht="14.25" customHeight="1" x14ac:dyDescent="0.35">
      <c r="E867" s="248">
        <v>45720</v>
      </c>
      <c r="F867" s="249">
        <v>0.25</v>
      </c>
      <c r="G867" s="250">
        <v>2.8</v>
      </c>
    </row>
    <row r="868" spans="5:7" ht="14.25" customHeight="1" x14ac:dyDescent="0.35">
      <c r="E868" s="248">
        <v>45727</v>
      </c>
      <c r="F868" s="249">
        <v>0.25694444444444442</v>
      </c>
      <c r="G868" s="250">
        <v>4.3</v>
      </c>
    </row>
    <row r="869" spans="5:7" ht="14.25" customHeight="1" x14ac:dyDescent="0.35">
      <c r="E869" s="248">
        <v>43838</v>
      </c>
      <c r="F869" s="249">
        <v>0.34375</v>
      </c>
      <c r="G869" s="250">
        <v>3.7</v>
      </c>
    </row>
    <row r="870" spans="5:7" ht="14.25" customHeight="1" x14ac:dyDescent="0.35">
      <c r="E870" s="248">
        <v>44020</v>
      </c>
      <c r="F870" s="249">
        <v>0.38194444444444442</v>
      </c>
      <c r="G870" s="250">
        <v>0.5</v>
      </c>
    </row>
    <row r="871" spans="5:7" ht="14.25" customHeight="1" x14ac:dyDescent="0.35">
      <c r="E871" s="248">
        <v>44202</v>
      </c>
      <c r="F871" s="249">
        <v>0.3263888888888889</v>
      </c>
      <c r="G871" s="250">
        <v>4.0999999999999996</v>
      </c>
    </row>
    <row r="872" spans="5:7" ht="14.25" customHeight="1" x14ac:dyDescent="0.35">
      <c r="E872" s="248">
        <v>44384</v>
      </c>
      <c r="F872" s="249">
        <v>0.3</v>
      </c>
      <c r="G872" s="250">
        <v>3.6</v>
      </c>
    </row>
    <row r="873" spans="5:7" ht="14.25" customHeight="1" x14ac:dyDescent="0.35">
      <c r="E873" s="248">
        <v>44566</v>
      </c>
      <c r="F873" s="249">
        <v>0.36805555555555558</v>
      </c>
      <c r="G873" s="250">
        <v>4.2</v>
      </c>
    </row>
    <row r="874" spans="5:7" ht="14.25" customHeight="1" x14ac:dyDescent="0.35">
      <c r="E874" s="248">
        <v>44748</v>
      </c>
      <c r="F874" s="249">
        <v>0.33680555555555558</v>
      </c>
      <c r="G874" s="250">
        <v>16.5</v>
      </c>
    </row>
    <row r="875" spans="5:7" ht="14.25" customHeight="1" x14ac:dyDescent="0.35">
      <c r="E875" s="248">
        <v>44937</v>
      </c>
      <c r="F875" s="249">
        <v>0.33333333333333331</v>
      </c>
      <c r="G875" s="250">
        <v>33.5</v>
      </c>
    </row>
    <row r="876" spans="5:7" ht="14.25" customHeight="1" x14ac:dyDescent="0.35">
      <c r="E876" s="248">
        <v>45119</v>
      </c>
      <c r="F876" s="249">
        <v>0.30902777777777779</v>
      </c>
      <c r="G876" s="250">
        <v>32.6</v>
      </c>
    </row>
    <row r="877" spans="5:7" ht="14.25" customHeight="1" x14ac:dyDescent="0.35">
      <c r="E877" s="248">
        <v>45301</v>
      </c>
      <c r="F877" s="249">
        <v>0.31597222222222221</v>
      </c>
      <c r="G877" s="250">
        <v>65.400000000000006</v>
      </c>
    </row>
    <row r="878" spans="5:7" ht="14.25" customHeight="1" x14ac:dyDescent="0.35">
      <c r="E878" s="248">
        <v>45483</v>
      </c>
      <c r="F878" s="249">
        <v>0.30208333333333331</v>
      </c>
      <c r="G878" s="250">
        <v>0.9</v>
      </c>
    </row>
    <row r="879" spans="5:7" ht="14.25" customHeight="1" x14ac:dyDescent="0.35">
      <c r="E879" s="248">
        <v>45664</v>
      </c>
      <c r="F879" s="249">
        <v>0.35069444444444442</v>
      </c>
      <c r="G879" s="250">
        <v>34.200000000000003</v>
      </c>
    </row>
    <row r="880" spans="5:7" ht="14.25" customHeight="1" x14ac:dyDescent="0.35">
      <c r="E880" s="248">
        <v>43838</v>
      </c>
      <c r="F880" s="249">
        <v>0.25</v>
      </c>
      <c r="G880" s="250">
        <v>0.4</v>
      </c>
    </row>
    <row r="881" spans="5:7" ht="14.25" customHeight="1" x14ac:dyDescent="0.35">
      <c r="E881" s="248">
        <v>43845</v>
      </c>
      <c r="F881" s="249">
        <v>0.25</v>
      </c>
      <c r="G881" s="250">
        <v>0.4</v>
      </c>
    </row>
    <row r="882" spans="5:7" ht="14.25" customHeight="1" x14ac:dyDescent="0.35">
      <c r="E882" s="248">
        <v>43852</v>
      </c>
      <c r="F882" s="249">
        <v>0.25</v>
      </c>
      <c r="G882" s="250">
        <v>0.4</v>
      </c>
    </row>
    <row r="883" spans="5:7" ht="14.25" customHeight="1" x14ac:dyDescent="0.35">
      <c r="E883" s="248">
        <v>43859</v>
      </c>
      <c r="F883" s="249">
        <v>0.25</v>
      </c>
      <c r="G883" s="250">
        <v>0.4</v>
      </c>
    </row>
    <row r="884" spans="5:7" ht="14.25" customHeight="1" x14ac:dyDescent="0.35">
      <c r="E884" s="248">
        <v>43866</v>
      </c>
      <c r="F884" s="249">
        <v>0.625</v>
      </c>
      <c r="G884" s="250">
        <v>0.2</v>
      </c>
    </row>
    <row r="885" spans="5:7" ht="14.25" customHeight="1" x14ac:dyDescent="0.35">
      <c r="E885" s="248">
        <v>43873</v>
      </c>
      <c r="F885" s="249">
        <v>0.25</v>
      </c>
      <c r="G885" s="250">
        <v>0.3</v>
      </c>
    </row>
    <row r="886" spans="5:7" ht="14.25" customHeight="1" x14ac:dyDescent="0.35">
      <c r="E886" s="248">
        <v>43880</v>
      </c>
      <c r="F886" s="249">
        <v>0.25</v>
      </c>
      <c r="G886" s="250">
        <v>0.5</v>
      </c>
    </row>
    <row r="887" spans="5:7" ht="14.25" customHeight="1" x14ac:dyDescent="0.35">
      <c r="E887" s="248">
        <v>43887</v>
      </c>
      <c r="F887" s="249">
        <v>0.25</v>
      </c>
      <c r="G887" s="250">
        <v>0.4</v>
      </c>
    </row>
    <row r="888" spans="5:7" ht="14.25" customHeight="1" x14ac:dyDescent="0.35">
      <c r="E888" s="248">
        <v>43894</v>
      </c>
      <c r="F888" s="249">
        <v>0.25</v>
      </c>
      <c r="G888" s="250">
        <v>0.4</v>
      </c>
    </row>
    <row r="889" spans="5:7" ht="14.25" customHeight="1" x14ac:dyDescent="0.35">
      <c r="E889" s="248">
        <v>43901</v>
      </c>
      <c r="F889" s="249">
        <v>0.25</v>
      </c>
      <c r="G889" s="250">
        <v>0.5</v>
      </c>
    </row>
    <row r="890" spans="5:7" ht="14.25" customHeight="1" x14ac:dyDescent="0.35">
      <c r="E890" s="248">
        <v>43908</v>
      </c>
      <c r="F890" s="249">
        <v>0.25</v>
      </c>
      <c r="G890" s="250">
        <v>0.4</v>
      </c>
    </row>
    <row r="891" spans="5:7" ht="14.25" customHeight="1" x14ac:dyDescent="0.35">
      <c r="E891" s="248">
        <v>43915</v>
      </c>
      <c r="F891" s="249">
        <v>0.25</v>
      </c>
      <c r="G891" s="250">
        <v>0.6</v>
      </c>
    </row>
    <row r="892" spans="5:7" ht="14.25" customHeight="1" x14ac:dyDescent="0.35">
      <c r="E892" s="248">
        <v>43922</v>
      </c>
      <c r="F892" s="249">
        <v>0.25</v>
      </c>
      <c r="G892" s="250">
        <v>0.6</v>
      </c>
    </row>
    <row r="893" spans="5:7" ht="14.25" customHeight="1" x14ac:dyDescent="0.35">
      <c r="E893" s="248">
        <v>43929</v>
      </c>
      <c r="F893" s="249">
        <v>0.25</v>
      </c>
      <c r="G893" s="250">
        <v>0.6</v>
      </c>
    </row>
    <row r="894" spans="5:7" ht="14.25" customHeight="1" x14ac:dyDescent="0.35">
      <c r="E894" s="248">
        <v>43936</v>
      </c>
      <c r="F894" s="249">
        <v>0.25</v>
      </c>
      <c r="G894" s="250">
        <v>0.5</v>
      </c>
    </row>
    <row r="895" spans="5:7" ht="14.25" customHeight="1" x14ac:dyDescent="0.35">
      <c r="E895" s="248">
        <v>43943</v>
      </c>
      <c r="F895" s="249">
        <v>0.25</v>
      </c>
      <c r="G895" s="250">
        <v>0.3</v>
      </c>
    </row>
    <row r="896" spans="5:7" ht="14.25" customHeight="1" x14ac:dyDescent="0.35">
      <c r="E896" s="248">
        <v>43964</v>
      </c>
      <c r="F896" s="249">
        <v>0.25</v>
      </c>
      <c r="G896" s="250">
        <v>0.3</v>
      </c>
    </row>
    <row r="897" spans="5:7" ht="14.25" customHeight="1" x14ac:dyDescent="0.35">
      <c r="E897" s="248">
        <v>43971</v>
      </c>
      <c r="F897" s="249">
        <v>0.25</v>
      </c>
      <c r="G897" s="250">
        <v>0.2</v>
      </c>
    </row>
    <row r="898" spans="5:7" ht="14.25" customHeight="1" x14ac:dyDescent="0.35">
      <c r="E898" s="248">
        <v>43978</v>
      </c>
      <c r="F898" s="249">
        <v>0.25</v>
      </c>
      <c r="G898" s="250">
        <v>0.2</v>
      </c>
    </row>
    <row r="899" spans="5:7" ht="14.25" customHeight="1" x14ac:dyDescent="0.35">
      <c r="E899" s="248">
        <v>43985</v>
      </c>
      <c r="F899" s="249">
        <v>0.25</v>
      </c>
      <c r="G899" s="250">
        <v>0.2</v>
      </c>
    </row>
    <row r="900" spans="5:7" ht="14.25" customHeight="1" x14ac:dyDescent="0.35">
      <c r="E900" s="248">
        <v>43992</v>
      </c>
      <c r="F900" s="249">
        <v>0.25</v>
      </c>
      <c r="G900" s="250">
        <v>0.2</v>
      </c>
    </row>
    <row r="901" spans="5:7" ht="14.25" customHeight="1" x14ac:dyDescent="0.35">
      <c r="E901" s="248">
        <v>43999</v>
      </c>
      <c r="F901" s="249">
        <v>0.25</v>
      </c>
      <c r="G901" s="250">
        <v>0.1</v>
      </c>
    </row>
    <row r="902" spans="5:7" ht="14.25" customHeight="1" x14ac:dyDescent="0.35">
      <c r="E902" s="248">
        <v>44006</v>
      </c>
      <c r="F902" s="249">
        <v>0.25</v>
      </c>
      <c r="G902" s="250">
        <v>0.3</v>
      </c>
    </row>
    <row r="903" spans="5:7" ht="14.25" customHeight="1" x14ac:dyDescent="0.35">
      <c r="E903" s="248">
        <v>44013</v>
      </c>
      <c r="F903" s="249">
        <v>0.25</v>
      </c>
      <c r="G903" s="250">
        <v>0.2</v>
      </c>
    </row>
    <row r="904" spans="5:7" ht="14.25" customHeight="1" x14ac:dyDescent="0.35">
      <c r="E904" s="248">
        <v>44020</v>
      </c>
      <c r="F904" s="249">
        <v>0.25</v>
      </c>
      <c r="G904" s="250" t="s">
        <v>50</v>
      </c>
    </row>
    <row r="905" spans="5:7" ht="14.25" customHeight="1" x14ac:dyDescent="0.35">
      <c r="E905" s="248">
        <v>44027</v>
      </c>
      <c r="F905" s="249">
        <v>0.25</v>
      </c>
      <c r="G905" s="250">
        <v>0.2</v>
      </c>
    </row>
    <row r="906" spans="5:7" ht="14.25" customHeight="1" x14ac:dyDescent="0.35">
      <c r="E906" s="248">
        <v>44034</v>
      </c>
      <c r="F906" s="249">
        <v>0.25</v>
      </c>
      <c r="G906" s="250">
        <v>0.2</v>
      </c>
    </row>
    <row r="907" spans="5:7" ht="14.25" customHeight="1" x14ac:dyDescent="0.35">
      <c r="E907" s="248">
        <v>44041</v>
      </c>
      <c r="F907" s="249">
        <v>0.25</v>
      </c>
      <c r="G907" s="250">
        <v>0.2</v>
      </c>
    </row>
    <row r="908" spans="5:7" ht="14.25" customHeight="1" x14ac:dyDescent="0.35">
      <c r="E908" s="248">
        <v>44048</v>
      </c>
      <c r="F908" s="249">
        <v>0.25</v>
      </c>
      <c r="G908" s="250">
        <v>0.3</v>
      </c>
    </row>
    <row r="909" spans="5:7" ht="14.25" customHeight="1" x14ac:dyDescent="0.35">
      <c r="E909" s="248">
        <v>44055</v>
      </c>
      <c r="F909" s="249">
        <v>0.25</v>
      </c>
      <c r="G909" s="250">
        <v>0.4</v>
      </c>
    </row>
    <row r="910" spans="5:7" ht="14.25" customHeight="1" x14ac:dyDescent="0.35">
      <c r="E910" s="248">
        <v>44062</v>
      </c>
      <c r="F910" s="249">
        <v>0.25</v>
      </c>
      <c r="G910" s="250">
        <v>0.6</v>
      </c>
    </row>
    <row r="911" spans="5:7" ht="14.25" customHeight="1" x14ac:dyDescent="0.35">
      <c r="E911" s="248">
        <v>44069</v>
      </c>
      <c r="F911" s="249">
        <v>0.25</v>
      </c>
      <c r="G911" s="250">
        <v>0.2</v>
      </c>
    </row>
    <row r="912" spans="5:7" ht="14.25" customHeight="1" x14ac:dyDescent="0.35">
      <c r="E912" s="248">
        <v>44076</v>
      </c>
      <c r="F912" s="249">
        <v>0.25</v>
      </c>
      <c r="G912" s="250" t="s">
        <v>50</v>
      </c>
    </row>
    <row r="913" spans="5:7" ht="14.25" customHeight="1" x14ac:dyDescent="0.35">
      <c r="E913" s="248">
        <v>44083</v>
      </c>
      <c r="F913" s="249">
        <v>0.25</v>
      </c>
      <c r="G913" s="250">
        <v>0.2</v>
      </c>
    </row>
    <row r="914" spans="5:7" ht="14.25" customHeight="1" x14ac:dyDescent="0.35">
      <c r="E914" s="248">
        <v>44090</v>
      </c>
      <c r="F914" s="249">
        <v>0.25</v>
      </c>
      <c r="G914" s="250">
        <v>0.2</v>
      </c>
    </row>
    <row r="915" spans="5:7" ht="14.25" customHeight="1" x14ac:dyDescent="0.35">
      <c r="E915" s="248">
        <v>44097</v>
      </c>
      <c r="F915" s="249">
        <v>0.25</v>
      </c>
      <c r="G915" s="250">
        <v>0.2</v>
      </c>
    </row>
    <row r="916" spans="5:7" ht="14.25" customHeight="1" x14ac:dyDescent="0.35">
      <c r="E916" s="248">
        <v>44104</v>
      </c>
      <c r="F916" s="249">
        <v>0.25</v>
      </c>
      <c r="G916" s="250">
        <v>0.2</v>
      </c>
    </row>
    <row r="917" spans="5:7" ht="14.25" customHeight="1" x14ac:dyDescent="0.35">
      <c r="E917" s="248">
        <v>44111</v>
      </c>
      <c r="F917" s="249">
        <v>0.25</v>
      </c>
      <c r="G917" s="250">
        <v>0.1</v>
      </c>
    </row>
    <row r="918" spans="5:7" ht="14.25" customHeight="1" x14ac:dyDescent="0.35">
      <c r="E918" s="248">
        <v>44118</v>
      </c>
      <c r="F918" s="249">
        <v>0.25</v>
      </c>
      <c r="G918" s="250">
        <v>0.3</v>
      </c>
    </row>
    <row r="919" spans="5:7" ht="14.25" customHeight="1" x14ac:dyDescent="0.35">
      <c r="E919" s="248">
        <v>44125</v>
      </c>
      <c r="F919" s="249">
        <v>0.25</v>
      </c>
      <c r="G919" s="250">
        <v>0.2</v>
      </c>
    </row>
    <row r="920" spans="5:7" ht="14.25" customHeight="1" x14ac:dyDescent="0.35">
      <c r="E920" s="248">
        <v>44132</v>
      </c>
      <c r="F920" s="249">
        <v>0.25</v>
      </c>
      <c r="G920" s="250">
        <v>0.1</v>
      </c>
    </row>
    <row r="921" spans="5:7" ht="14.25" customHeight="1" x14ac:dyDescent="0.35">
      <c r="E921" s="248">
        <v>44139</v>
      </c>
      <c r="F921" s="249">
        <v>0.25</v>
      </c>
      <c r="G921" s="250">
        <v>0.2</v>
      </c>
    </row>
    <row r="922" spans="5:7" ht="14.25" customHeight="1" x14ac:dyDescent="0.35">
      <c r="E922" s="248">
        <v>44147</v>
      </c>
      <c r="F922" s="249">
        <v>0.25</v>
      </c>
      <c r="G922" s="250">
        <v>0.2</v>
      </c>
    </row>
    <row r="923" spans="5:7" ht="14.25" customHeight="1" x14ac:dyDescent="0.35">
      <c r="E923" s="248">
        <v>44153</v>
      </c>
      <c r="F923" s="249">
        <v>0.25</v>
      </c>
      <c r="G923" s="250">
        <v>0.2</v>
      </c>
    </row>
    <row r="924" spans="5:7" ht="14.25" customHeight="1" x14ac:dyDescent="0.35">
      <c r="E924" s="248">
        <v>44160</v>
      </c>
      <c r="F924" s="249">
        <v>0.25</v>
      </c>
      <c r="G924" s="250">
        <v>0.2</v>
      </c>
    </row>
    <row r="925" spans="5:7" ht="14.25" customHeight="1" x14ac:dyDescent="0.35">
      <c r="E925" s="248">
        <v>44167</v>
      </c>
      <c r="F925" s="249">
        <v>0.25</v>
      </c>
      <c r="G925" s="250">
        <v>0.3</v>
      </c>
    </row>
    <row r="926" spans="5:7" ht="14.25" customHeight="1" x14ac:dyDescent="0.35">
      <c r="E926" s="248">
        <v>44174</v>
      </c>
      <c r="F926" s="249">
        <v>0.25</v>
      </c>
      <c r="G926" s="250">
        <v>0.2</v>
      </c>
    </row>
    <row r="927" spans="5:7" ht="14.25" customHeight="1" x14ac:dyDescent="0.35">
      <c r="E927" s="248">
        <v>44181</v>
      </c>
      <c r="F927" s="249">
        <v>0.25</v>
      </c>
      <c r="G927" s="250">
        <v>0.2</v>
      </c>
    </row>
    <row r="928" spans="5:7" ht="14.25" customHeight="1" x14ac:dyDescent="0.35">
      <c r="E928" s="248">
        <v>44188</v>
      </c>
      <c r="F928" s="249">
        <v>0.25</v>
      </c>
      <c r="G928" s="250">
        <v>0.2</v>
      </c>
    </row>
    <row r="929" spans="5:7" ht="14.25" customHeight="1" x14ac:dyDescent="0.35">
      <c r="E929" s="248">
        <v>44195</v>
      </c>
      <c r="F929" s="249">
        <v>0.25</v>
      </c>
      <c r="G929" s="250">
        <v>0.1</v>
      </c>
    </row>
    <row r="930" spans="5:7" ht="14.25" customHeight="1" x14ac:dyDescent="0.35">
      <c r="E930" s="248">
        <v>44202</v>
      </c>
      <c r="F930" s="249">
        <v>0.25</v>
      </c>
      <c r="G930" s="250">
        <v>0.2</v>
      </c>
    </row>
    <row r="931" spans="5:7" ht="14.25" customHeight="1" x14ac:dyDescent="0.35">
      <c r="E931" s="248">
        <v>44209</v>
      </c>
      <c r="F931" s="249">
        <v>0.625</v>
      </c>
      <c r="G931" s="250">
        <v>0.3</v>
      </c>
    </row>
    <row r="932" spans="5:7" ht="14.25" customHeight="1" x14ac:dyDescent="0.35">
      <c r="E932" s="248">
        <v>44216</v>
      </c>
      <c r="F932" s="249">
        <v>0.25</v>
      </c>
      <c r="G932" s="250">
        <v>0.2</v>
      </c>
    </row>
    <row r="933" spans="5:7" ht="14.25" customHeight="1" x14ac:dyDescent="0.35">
      <c r="E933" s="248">
        <v>44223</v>
      </c>
      <c r="F933" s="249">
        <v>0.25</v>
      </c>
      <c r="G933" s="250">
        <v>0.2</v>
      </c>
    </row>
    <row r="934" spans="5:7" ht="14.25" customHeight="1" x14ac:dyDescent="0.35">
      <c r="E934" s="248">
        <v>44230</v>
      </c>
      <c r="F934" s="249">
        <v>0.25</v>
      </c>
      <c r="G934" s="250">
        <v>0.2</v>
      </c>
    </row>
    <row r="935" spans="5:7" ht="14.25" customHeight="1" x14ac:dyDescent="0.35">
      <c r="E935" s="248">
        <v>44237</v>
      </c>
      <c r="F935" s="249">
        <v>0.25</v>
      </c>
      <c r="G935" s="250">
        <v>0.1</v>
      </c>
    </row>
    <row r="936" spans="5:7" ht="14.25" customHeight="1" x14ac:dyDescent="0.35">
      <c r="E936" s="248">
        <v>44244</v>
      </c>
      <c r="F936" s="249">
        <v>0.25</v>
      </c>
      <c r="G936" s="250">
        <v>0.1</v>
      </c>
    </row>
    <row r="937" spans="5:7" ht="14.25" customHeight="1" x14ac:dyDescent="0.35">
      <c r="E937" s="248">
        <v>44251</v>
      </c>
      <c r="F937" s="249">
        <v>0.25</v>
      </c>
      <c r="G937" s="250" t="s">
        <v>50</v>
      </c>
    </row>
    <row r="938" spans="5:7" ht="14.25" customHeight="1" x14ac:dyDescent="0.35">
      <c r="E938" s="248">
        <v>44258</v>
      </c>
      <c r="F938" s="249">
        <v>0.25</v>
      </c>
      <c r="G938" s="250">
        <v>0.5</v>
      </c>
    </row>
    <row r="939" spans="5:7" ht="14.25" customHeight="1" x14ac:dyDescent="0.35">
      <c r="E939" s="248">
        <v>44265</v>
      </c>
      <c r="F939" s="249">
        <v>0.25</v>
      </c>
      <c r="G939" s="250">
        <v>0.2</v>
      </c>
    </row>
    <row r="940" spans="5:7" ht="14.25" customHeight="1" x14ac:dyDescent="0.35">
      <c r="E940" s="248">
        <v>44272</v>
      </c>
      <c r="F940" s="249">
        <v>0.25</v>
      </c>
      <c r="G940" s="250">
        <v>0.2</v>
      </c>
    </row>
    <row r="941" spans="5:7" ht="14.25" customHeight="1" x14ac:dyDescent="0.35">
      <c r="E941" s="248">
        <v>44279</v>
      </c>
      <c r="F941" s="249">
        <v>0.25</v>
      </c>
      <c r="G941" s="250" t="s">
        <v>50</v>
      </c>
    </row>
    <row r="942" spans="5:7" ht="14.25" customHeight="1" x14ac:dyDescent="0.35">
      <c r="E942" s="248">
        <v>44286</v>
      </c>
      <c r="F942" s="249">
        <v>0.25</v>
      </c>
      <c r="G942" s="250">
        <v>0.1</v>
      </c>
    </row>
    <row r="943" spans="5:7" ht="14.25" customHeight="1" x14ac:dyDescent="0.35">
      <c r="E943" s="248">
        <v>44293</v>
      </c>
      <c r="F943" s="249">
        <v>0.25</v>
      </c>
      <c r="G943" s="250">
        <v>0.1</v>
      </c>
    </row>
    <row r="944" spans="5:7" ht="14.25" customHeight="1" x14ac:dyDescent="0.35">
      <c r="E944" s="248">
        <v>44300</v>
      </c>
      <c r="F944" s="249">
        <v>0.25</v>
      </c>
      <c r="G944" s="250">
        <v>0.2</v>
      </c>
    </row>
    <row r="945" spans="5:7" ht="14.25" customHeight="1" x14ac:dyDescent="0.35">
      <c r="E945" s="248">
        <v>44307</v>
      </c>
      <c r="F945" s="249">
        <v>0.25</v>
      </c>
      <c r="G945" s="250">
        <v>0.4</v>
      </c>
    </row>
    <row r="946" spans="5:7" ht="14.25" customHeight="1" x14ac:dyDescent="0.35">
      <c r="E946" s="248">
        <v>44314</v>
      </c>
      <c r="F946" s="249">
        <v>0.25</v>
      </c>
      <c r="G946" s="250">
        <v>0.2</v>
      </c>
    </row>
    <row r="947" spans="5:7" ht="14.25" customHeight="1" x14ac:dyDescent="0.35">
      <c r="E947" s="248">
        <v>44321</v>
      </c>
      <c r="F947" s="249">
        <v>0.25</v>
      </c>
      <c r="G947" s="250">
        <v>0.2</v>
      </c>
    </row>
    <row r="948" spans="5:7" ht="14.25" customHeight="1" x14ac:dyDescent="0.35">
      <c r="E948" s="248">
        <v>44328</v>
      </c>
      <c r="F948" s="249">
        <v>0.25</v>
      </c>
      <c r="G948" s="250">
        <v>0.2</v>
      </c>
    </row>
    <row r="949" spans="5:7" ht="14.25" customHeight="1" x14ac:dyDescent="0.35">
      <c r="E949" s="248">
        <v>44335</v>
      </c>
      <c r="F949" s="249">
        <v>0.25</v>
      </c>
      <c r="G949" s="250">
        <v>0.3</v>
      </c>
    </row>
    <row r="950" spans="5:7" ht="14.25" customHeight="1" x14ac:dyDescent="0.35">
      <c r="E950" s="248">
        <v>44342</v>
      </c>
      <c r="F950" s="249">
        <v>0.25</v>
      </c>
      <c r="G950" s="250">
        <v>0.3</v>
      </c>
    </row>
    <row r="951" spans="5:7" ht="14.25" customHeight="1" x14ac:dyDescent="0.35">
      <c r="E951" s="248">
        <v>44349</v>
      </c>
      <c r="F951" s="249">
        <v>0.25</v>
      </c>
      <c r="G951" s="250">
        <v>0.2</v>
      </c>
    </row>
    <row r="952" spans="5:7" ht="14.25" customHeight="1" x14ac:dyDescent="0.35">
      <c r="E952" s="248">
        <v>44356</v>
      </c>
      <c r="F952" s="249">
        <v>0.25</v>
      </c>
      <c r="G952" s="250">
        <v>0.2</v>
      </c>
    </row>
    <row r="953" spans="5:7" ht="14.25" customHeight="1" x14ac:dyDescent="0.35">
      <c r="E953" s="248">
        <v>44363</v>
      </c>
      <c r="F953" s="249">
        <v>0.25</v>
      </c>
      <c r="G953" s="250">
        <v>0.2</v>
      </c>
    </row>
    <row r="954" spans="5:7" ht="14.25" customHeight="1" x14ac:dyDescent="0.35">
      <c r="E954" s="248">
        <v>44370</v>
      </c>
      <c r="F954" s="249">
        <v>0.25</v>
      </c>
      <c r="G954" s="250">
        <v>0.2</v>
      </c>
    </row>
    <row r="955" spans="5:7" ht="14.25" customHeight="1" x14ac:dyDescent="0.35">
      <c r="E955" s="248">
        <v>44377</v>
      </c>
      <c r="F955" s="249">
        <v>0.25</v>
      </c>
      <c r="G955" s="250">
        <v>0.2</v>
      </c>
    </row>
    <row r="956" spans="5:7" ht="14.25" customHeight="1" x14ac:dyDescent="0.35">
      <c r="E956" s="248">
        <v>44384</v>
      </c>
      <c r="F956" s="249">
        <v>0.25</v>
      </c>
      <c r="G956" s="250">
        <v>0.2</v>
      </c>
    </row>
    <row r="957" spans="5:7" ht="14.25" customHeight="1" x14ac:dyDescent="0.35">
      <c r="E957" s="248">
        <v>44391</v>
      </c>
      <c r="F957" s="249">
        <v>0.25</v>
      </c>
      <c r="G957" s="250">
        <v>0.2</v>
      </c>
    </row>
    <row r="958" spans="5:7" ht="14.25" customHeight="1" x14ac:dyDescent="0.35">
      <c r="E958" s="248">
        <v>44398</v>
      </c>
      <c r="F958" s="249">
        <v>0.25</v>
      </c>
      <c r="G958" s="250">
        <v>0.3</v>
      </c>
    </row>
    <row r="959" spans="5:7" ht="14.25" customHeight="1" x14ac:dyDescent="0.35">
      <c r="E959" s="248">
        <v>44405</v>
      </c>
      <c r="F959" s="249">
        <v>0.25</v>
      </c>
      <c r="G959" s="250">
        <v>0.5</v>
      </c>
    </row>
    <row r="960" spans="5:7" ht="14.25" customHeight="1" x14ac:dyDescent="0.35">
      <c r="E960" s="248">
        <v>44412</v>
      </c>
      <c r="F960" s="249">
        <v>0.25</v>
      </c>
      <c r="G960" s="250">
        <v>0.4</v>
      </c>
    </row>
    <row r="961" spans="5:7" ht="14.25" customHeight="1" x14ac:dyDescent="0.35">
      <c r="E961" s="248">
        <v>44419</v>
      </c>
      <c r="F961" s="249">
        <v>0.25</v>
      </c>
      <c r="G961" s="250">
        <v>0.5</v>
      </c>
    </row>
    <row r="962" spans="5:7" ht="14.25" customHeight="1" x14ac:dyDescent="0.35">
      <c r="E962" s="248">
        <v>44441</v>
      </c>
      <c r="F962" s="249">
        <v>0.25</v>
      </c>
      <c r="G962" s="250">
        <v>0.8</v>
      </c>
    </row>
    <row r="963" spans="5:7" ht="14.25" customHeight="1" x14ac:dyDescent="0.35">
      <c r="E963" s="248">
        <v>44447</v>
      </c>
      <c r="F963" s="249">
        <v>0.25</v>
      </c>
      <c r="G963" s="250">
        <v>0.4</v>
      </c>
    </row>
    <row r="964" spans="5:7" ht="14.25" customHeight="1" x14ac:dyDescent="0.35">
      <c r="E964" s="248">
        <v>44454</v>
      </c>
      <c r="F964" s="249">
        <v>0.25</v>
      </c>
      <c r="G964" s="250">
        <v>0.3</v>
      </c>
    </row>
    <row r="965" spans="5:7" ht="14.25" customHeight="1" x14ac:dyDescent="0.35">
      <c r="E965" s="248">
        <v>44461</v>
      </c>
      <c r="F965" s="249">
        <v>0.25</v>
      </c>
      <c r="G965" s="250">
        <v>0.2</v>
      </c>
    </row>
    <row r="966" spans="5:7" ht="14.25" customHeight="1" x14ac:dyDescent="0.35">
      <c r="E966" s="248">
        <v>44468</v>
      </c>
      <c r="F966" s="249">
        <v>0.25</v>
      </c>
      <c r="G966" s="250">
        <v>0.2</v>
      </c>
    </row>
    <row r="967" spans="5:7" ht="14.25" customHeight="1" x14ac:dyDescent="0.35">
      <c r="E967" s="248">
        <v>44475</v>
      </c>
      <c r="F967" s="249">
        <v>0.25</v>
      </c>
      <c r="G967" s="250">
        <v>0.3</v>
      </c>
    </row>
    <row r="968" spans="5:7" ht="14.25" customHeight="1" x14ac:dyDescent="0.35">
      <c r="E968" s="248">
        <v>44482</v>
      </c>
      <c r="F968" s="249">
        <v>0.25</v>
      </c>
      <c r="G968" s="250">
        <v>0.2</v>
      </c>
    </row>
    <row r="969" spans="5:7" ht="14.25" customHeight="1" x14ac:dyDescent="0.35">
      <c r="E969" s="248">
        <v>44489</v>
      </c>
      <c r="F969" s="249">
        <v>0.25</v>
      </c>
      <c r="G969" s="250">
        <v>0.3</v>
      </c>
    </row>
    <row r="970" spans="5:7" ht="14.25" customHeight="1" x14ac:dyDescent="0.35">
      <c r="E970" s="248">
        <v>44496</v>
      </c>
      <c r="F970" s="249">
        <v>0.25</v>
      </c>
      <c r="G970" s="250">
        <v>0.5</v>
      </c>
    </row>
    <row r="971" spans="5:7" ht="14.25" customHeight="1" x14ac:dyDescent="0.35">
      <c r="E971" s="248">
        <v>44503</v>
      </c>
      <c r="F971" s="249">
        <v>0.25</v>
      </c>
      <c r="G971" s="250">
        <v>0.7</v>
      </c>
    </row>
    <row r="972" spans="5:7" ht="14.25" customHeight="1" x14ac:dyDescent="0.35">
      <c r="E972" s="248">
        <v>44510</v>
      </c>
      <c r="F972" s="249">
        <v>0.25</v>
      </c>
      <c r="G972" s="250">
        <v>0.5</v>
      </c>
    </row>
    <row r="973" spans="5:7" ht="14.25" customHeight="1" x14ac:dyDescent="0.35">
      <c r="E973" s="248">
        <v>44517</v>
      </c>
      <c r="F973" s="249">
        <v>0.25</v>
      </c>
      <c r="G973" s="250">
        <v>0.2</v>
      </c>
    </row>
    <row r="974" spans="5:7" ht="14.25" customHeight="1" x14ac:dyDescent="0.35">
      <c r="E974" s="248">
        <v>44524</v>
      </c>
      <c r="F974" s="249">
        <v>0.25</v>
      </c>
      <c r="G974" s="250">
        <v>0.2</v>
      </c>
    </row>
    <row r="975" spans="5:7" ht="14.25" customHeight="1" x14ac:dyDescent="0.35">
      <c r="E975" s="248">
        <v>44531</v>
      </c>
      <c r="F975" s="249">
        <v>0.25</v>
      </c>
      <c r="G975" s="250">
        <v>0.3</v>
      </c>
    </row>
    <row r="976" spans="5:7" ht="14.25" customHeight="1" x14ac:dyDescent="0.35">
      <c r="E976" s="248">
        <v>44538</v>
      </c>
      <c r="F976" s="249">
        <v>0.25</v>
      </c>
      <c r="G976" s="250">
        <v>0.3</v>
      </c>
    </row>
    <row r="977" spans="5:7" ht="14.25" customHeight="1" x14ac:dyDescent="0.35">
      <c r="E977" s="248">
        <v>44545</v>
      </c>
      <c r="F977" s="249">
        <v>0.25</v>
      </c>
      <c r="G977" s="250">
        <v>0.3</v>
      </c>
    </row>
    <row r="978" spans="5:7" ht="14.25" customHeight="1" x14ac:dyDescent="0.35">
      <c r="E978" s="248">
        <v>44552</v>
      </c>
      <c r="F978" s="249">
        <v>0.25</v>
      </c>
      <c r="G978" s="250">
        <v>0.3</v>
      </c>
    </row>
    <row r="979" spans="5:7" ht="14.25" customHeight="1" x14ac:dyDescent="0.35">
      <c r="E979" s="248">
        <v>44559</v>
      </c>
      <c r="F979" s="249">
        <v>0.25</v>
      </c>
      <c r="G979" s="250">
        <v>0.3</v>
      </c>
    </row>
    <row r="980" spans="5:7" ht="14.25" customHeight="1" x14ac:dyDescent="0.35">
      <c r="E980" s="248">
        <v>44566</v>
      </c>
      <c r="F980" s="249">
        <v>0.25</v>
      </c>
      <c r="G980" s="250">
        <v>0.2</v>
      </c>
    </row>
    <row r="981" spans="5:7" ht="14.25" customHeight="1" x14ac:dyDescent="0.35">
      <c r="E981" s="248">
        <v>44573</v>
      </c>
      <c r="F981" s="249">
        <v>0.25</v>
      </c>
      <c r="G981" s="250">
        <v>0.3</v>
      </c>
    </row>
    <row r="982" spans="5:7" ht="14.25" customHeight="1" x14ac:dyDescent="0.35">
      <c r="E982" s="248">
        <v>44580</v>
      </c>
      <c r="F982" s="249">
        <v>0.25</v>
      </c>
      <c r="G982" s="250">
        <v>0.2</v>
      </c>
    </row>
    <row r="983" spans="5:7" ht="14.25" customHeight="1" x14ac:dyDescent="0.35">
      <c r="E983" s="248">
        <v>44587</v>
      </c>
      <c r="F983" s="249">
        <v>0.25</v>
      </c>
      <c r="G983" s="250">
        <v>0.2</v>
      </c>
    </row>
    <row r="984" spans="5:7" ht="14.25" customHeight="1" x14ac:dyDescent="0.35">
      <c r="E984" s="248">
        <v>44594</v>
      </c>
      <c r="F984" s="249">
        <v>0.25</v>
      </c>
      <c r="G984" s="250">
        <v>0.2</v>
      </c>
    </row>
    <row r="985" spans="5:7" ht="14.25" customHeight="1" x14ac:dyDescent="0.35">
      <c r="E985" s="248">
        <v>44601</v>
      </c>
      <c r="F985" s="249">
        <v>0.25</v>
      </c>
      <c r="G985" s="250">
        <v>0.2</v>
      </c>
    </row>
    <row r="986" spans="5:7" ht="14.25" customHeight="1" x14ac:dyDescent="0.35">
      <c r="E986" s="248">
        <v>44608</v>
      </c>
      <c r="F986" s="249">
        <v>0.25</v>
      </c>
      <c r="G986" s="250">
        <v>0.2</v>
      </c>
    </row>
    <row r="987" spans="5:7" ht="14.25" customHeight="1" x14ac:dyDescent="0.35">
      <c r="E987" s="248">
        <v>44615</v>
      </c>
      <c r="F987" s="249">
        <v>0.25</v>
      </c>
      <c r="G987" s="250">
        <v>0.2</v>
      </c>
    </row>
    <row r="988" spans="5:7" ht="14.25" customHeight="1" x14ac:dyDescent="0.35">
      <c r="E988" s="248">
        <v>44622</v>
      </c>
      <c r="F988" s="249">
        <v>0.25</v>
      </c>
      <c r="G988" s="250">
        <v>0.2</v>
      </c>
    </row>
    <row r="989" spans="5:7" ht="14.25" customHeight="1" x14ac:dyDescent="0.35">
      <c r="E989" s="248">
        <v>44629</v>
      </c>
      <c r="F989" s="249">
        <v>0.25</v>
      </c>
      <c r="G989" s="250">
        <v>0.2</v>
      </c>
    </row>
    <row r="990" spans="5:7" ht="14.25" customHeight="1" x14ac:dyDescent="0.35">
      <c r="E990" s="248">
        <v>44636</v>
      </c>
      <c r="F990" s="249">
        <v>0.25</v>
      </c>
      <c r="G990" s="250">
        <v>0.3</v>
      </c>
    </row>
    <row r="991" spans="5:7" ht="14.25" customHeight="1" x14ac:dyDescent="0.35">
      <c r="E991" s="248">
        <v>44643</v>
      </c>
      <c r="F991" s="249">
        <v>0.25</v>
      </c>
      <c r="G991" s="250">
        <v>0.2</v>
      </c>
    </row>
    <row r="992" spans="5:7" ht="14.25" customHeight="1" x14ac:dyDescent="0.35">
      <c r="E992" s="248">
        <v>44650</v>
      </c>
      <c r="F992" s="249">
        <v>0.25</v>
      </c>
      <c r="G992" s="250">
        <v>0.2</v>
      </c>
    </row>
    <row r="993" spans="5:7" ht="14.25" customHeight="1" x14ac:dyDescent="0.35">
      <c r="E993" s="248">
        <v>44657</v>
      </c>
      <c r="F993" s="249">
        <v>0.25</v>
      </c>
      <c r="G993" s="250">
        <v>0.4</v>
      </c>
    </row>
    <row r="994" spans="5:7" ht="14.25" customHeight="1" x14ac:dyDescent="0.35">
      <c r="E994" s="248">
        <v>44664</v>
      </c>
      <c r="F994" s="249">
        <v>0.25</v>
      </c>
      <c r="G994" s="250">
        <v>0.5</v>
      </c>
    </row>
    <row r="995" spans="5:7" ht="14.25" customHeight="1" x14ac:dyDescent="0.35">
      <c r="E995" s="248">
        <v>44678</v>
      </c>
      <c r="F995" s="249">
        <v>0.25</v>
      </c>
      <c r="G995" s="250">
        <v>0.2</v>
      </c>
    </row>
    <row r="996" spans="5:7" ht="14.25" customHeight="1" x14ac:dyDescent="0.35">
      <c r="E996" s="248">
        <v>44685</v>
      </c>
      <c r="F996" s="249">
        <v>0.25</v>
      </c>
      <c r="G996" s="250">
        <v>0.2</v>
      </c>
    </row>
    <row r="997" spans="5:7" ht="14.25" customHeight="1" x14ac:dyDescent="0.35">
      <c r="E997" s="248">
        <v>44692</v>
      </c>
      <c r="F997" s="249">
        <v>0.25</v>
      </c>
      <c r="G997" s="250">
        <v>0.3</v>
      </c>
    </row>
    <row r="998" spans="5:7" ht="14.25" customHeight="1" x14ac:dyDescent="0.35">
      <c r="E998" s="248">
        <v>44699</v>
      </c>
      <c r="F998" s="249">
        <v>0.25</v>
      </c>
      <c r="G998" s="250">
        <v>0.3</v>
      </c>
    </row>
    <row r="999" spans="5:7" ht="14.25" customHeight="1" x14ac:dyDescent="0.35">
      <c r="E999" s="248">
        <v>44706</v>
      </c>
      <c r="F999" s="249">
        <v>0.25</v>
      </c>
      <c r="G999" s="250">
        <v>0.5</v>
      </c>
    </row>
    <row r="1000" spans="5:7" ht="14.25" customHeight="1" x14ac:dyDescent="0.35">
      <c r="E1000" s="248">
        <v>44713</v>
      </c>
      <c r="F1000" s="249">
        <v>0.25</v>
      </c>
      <c r="G1000" s="250">
        <v>0.4</v>
      </c>
    </row>
    <row r="1001" spans="5:7" ht="14.25" customHeight="1" x14ac:dyDescent="0.35">
      <c r="E1001" s="248">
        <v>44721</v>
      </c>
      <c r="F1001" s="249">
        <v>0.25</v>
      </c>
      <c r="G1001" s="250">
        <v>0.3</v>
      </c>
    </row>
    <row r="1002" spans="5:7" ht="14.25" customHeight="1" x14ac:dyDescent="0.35">
      <c r="E1002" s="248">
        <v>44727</v>
      </c>
      <c r="F1002" s="249">
        <v>0.25</v>
      </c>
      <c r="G1002" s="250">
        <v>0.4</v>
      </c>
    </row>
    <row r="1003" spans="5:7" ht="14.25" customHeight="1" x14ac:dyDescent="0.35">
      <c r="E1003" s="248">
        <v>44734</v>
      </c>
      <c r="F1003" s="249">
        <v>0.25</v>
      </c>
      <c r="G1003" s="250">
        <v>0.5</v>
      </c>
    </row>
    <row r="1004" spans="5:7" ht="14.25" customHeight="1" x14ac:dyDescent="0.35">
      <c r="E1004" s="248">
        <v>44741</v>
      </c>
      <c r="F1004" s="249">
        <v>0.25</v>
      </c>
      <c r="G1004" s="250">
        <v>0.5</v>
      </c>
    </row>
    <row r="1005" spans="5:7" ht="14.25" customHeight="1" x14ac:dyDescent="0.35">
      <c r="E1005" s="248">
        <v>44748</v>
      </c>
      <c r="F1005" s="249">
        <v>0.25</v>
      </c>
      <c r="G1005" s="250">
        <v>0.4</v>
      </c>
    </row>
    <row r="1006" spans="5:7" ht="14.25" customHeight="1" x14ac:dyDescent="0.35">
      <c r="E1006" s="248">
        <v>44755</v>
      </c>
      <c r="F1006" s="249">
        <v>0.25</v>
      </c>
      <c r="G1006" s="250">
        <v>0.8</v>
      </c>
    </row>
    <row r="1007" spans="5:7" ht="14.25" customHeight="1" x14ac:dyDescent="0.35">
      <c r="E1007" s="248">
        <v>44762</v>
      </c>
      <c r="F1007" s="249">
        <v>0.25</v>
      </c>
      <c r="G1007" s="250">
        <v>0.5</v>
      </c>
    </row>
    <row r="1008" spans="5:7" ht="14.25" customHeight="1" x14ac:dyDescent="0.35">
      <c r="E1008" s="248">
        <v>44769</v>
      </c>
      <c r="F1008" s="249">
        <v>0.25</v>
      </c>
      <c r="G1008" s="250">
        <v>0.5</v>
      </c>
    </row>
    <row r="1009" spans="5:7" ht="14.25" customHeight="1" x14ac:dyDescent="0.35">
      <c r="E1009" s="248">
        <v>44776</v>
      </c>
      <c r="F1009" s="249">
        <v>0.25</v>
      </c>
      <c r="G1009" s="250">
        <v>0.6</v>
      </c>
    </row>
    <row r="1010" spans="5:7" ht="14.25" customHeight="1" x14ac:dyDescent="0.35">
      <c r="E1010" s="248">
        <v>44783</v>
      </c>
      <c r="F1010" s="249">
        <v>0.25</v>
      </c>
      <c r="G1010" s="250">
        <v>0.4</v>
      </c>
    </row>
    <row r="1011" spans="5:7" ht="14.25" customHeight="1" x14ac:dyDescent="0.35">
      <c r="E1011" s="248">
        <v>44790</v>
      </c>
      <c r="F1011" s="249">
        <v>0.25</v>
      </c>
      <c r="G1011" s="250">
        <v>0.8</v>
      </c>
    </row>
    <row r="1012" spans="5:7" ht="14.25" customHeight="1" x14ac:dyDescent="0.35">
      <c r="E1012" s="248">
        <v>44797</v>
      </c>
      <c r="F1012" s="249">
        <v>0.25</v>
      </c>
      <c r="G1012" s="250">
        <v>0.8</v>
      </c>
    </row>
    <row r="1013" spans="5:7" ht="14.25" customHeight="1" x14ac:dyDescent="0.35">
      <c r="E1013" s="248">
        <v>44804</v>
      </c>
      <c r="F1013" s="249">
        <v>0.25</v>
      </c>
      <c r="G1013" s="250">
        <v>0.7</v>
      </c>
    </row>
    <row r="1014" spans="5:7" ht="14.25" customHeight="1" x14ac:dyDescent="0.35">
      <c r="E1014" s="248">
        <v>44811</v>
      </c>
      <c r="F1014" s="249">
        <v>0.25</v>
      </c>
      <c r="G1014" s="250">
        <v>1.1000000000000001</v>
      </c>
    </row>
    <row r="1015" spans="5:7" ht="14.25" customHeight="1" x14ac:dyDescent="0.35">
      <c r="E1015" s="248">
        <v>44818</v>
      </c>
      <c r="F1015" s="249">
        <v>0.25</v>
      </c>
      <c r="G1015" s="250">
        <v>1</v>
      </c>
    </row>
    <row r="1016" spans="5:7" ht="14.25" customHeight="1" x14ac:dyDescent="0.35">
      <c r="E1016" s="248">
        <v>44825</v>
      </c>
      <c r="F1016" s="249">
        <v>0.25</v>
      </c>
      <c r="G1016" s="250">
        <v>0.9</v>
      </c>
    </row>
    <row r="1017" spans="5:7" ht="14.25" customHeight="1" x14ac:dyDescent="0.35">
      <c r="E1017" s="248">
        <v>44832</v>
      </c>
      <c r="F1017" s="249">
        <v>0.25</v>
      </c>
      <c r="G1017" s="250">
        <v>0.7</v>
      </c>
    </row>
    <row r="1018" spans="5:7" ht="14.25" customHeight="1" x14ac:dyDescent="0.35">
      <c r="E1018" s="248">
        <v>44839</v>
      </c>
      <c r="F1018" s="249">
        <v>0.25</v>
      </c>
      <c r="G1018" s="250">
        <v>0.3</v>
      </c>
    </row>
    <row r="1019" spans="5:7" ht="14.25" customHeight="1" x14ac:dyDescent="0.35">
      <c r="E1019" s="248">
        <v>44846</v>
      </c>
      <c r="F1019" s="249">
        <v>0.25</v>
      </c>
      <c r="G1019" s="250">
        <v>0.6</v>
      </c>
    </row>
    <row r="1020" spans="5:7" ht="14.25" customHeight="1" x14ac:dyDescent="0.35">
      <c r="E1020" s="248">
        <v>44853</v>
      </c>
      <c r="F1020" s="249">
        <v>0.25</v>
      </c>
      <c r="G1020" s="250">
        <v>0.7</v>
      </c>
    </row>
    <row r="1021" spans="5:7" ht="14.25" customHeight="1" x14ac:dyDescent="0.35">
      <c r="E1021" s="248">
        <v>44860</v>
      </c>
      <c r="F1021" s="249">
        <v>0.25</v>
      </c>
      <c r="G1021" s="250">
        <v>0.6</v>
      </c>
    </row>
    <row r="1022" spans="5:7" ht="14.25" customHeight="1" x14ac:dyDescent="0.35">
      <c r="E1022" s="248">
        <v>44867</v>
      </c>
      <c r="F1022" s="249">
        <v>0.25</v>
      </c>
      <c r="G1022" s="250">
        <v>0.7</v>
      </c>
    </row>
    <row r="1023" spans="5:7" ht="14.25" customHeight="1" x14ac:dyDescent="0.35">
      <c r="E1023" s="248">
        <v>44874</v>
      </c>
      <c r="F1023" s="249">
        <v>0.25</v>
      </c>
      <c r="G1023" s="250">
        <v>0.7</v>
      </c>
    </row>
    <row r="1024" spans="5:7" ht="14.25" customHeight="1" x14ac:dyDescent="0.35">
      <c r="E1024" s="248">
        <v>44888</v>
      </c>
      <c r="F1024" s="249">
        <v>0.25</v>
      </c>
      <c r="G1024" s="250">
        <v>0.2</v>
      </c>
    </row>
    <row r="1025" spans="5:7" ht="14.25" customHeight="1" x14ac:dyDescent="0.35">
      <c r="E1025" s="248">
        <v>44895</v>
      </c>
      <c r="F1025" s="249">
        <v>0.25</v>
      </c>
      <c r="G1025" s="250">
        <v>0.3</v>
      </c>
    </row>
    <row r="1026" spans="5:7" ht="14.25" customHeight="1" x14ac:dyDescent="0.35">
      <c r="E1026" s="248">
        <v>44902</v>
      </c>
      <c r="F1026" s="249">
        <v>0.25</v>
      </c>
      <c r="G1026" s="250">
        <v>0.4</v>
      </c>
    </row>
    <row r="1027" spans="5:7" ht="14.25" customHeight="1" x14ac:dyDescent="0.35">
      <c r="E1027" s="248">
        <v>44909</v>
      </c>
      <c r="F1027" s="249">
        <v>0.25</v>
      </c>
      <c r="G1027" s="250">
        <v>0.6</v>
      </c>
    </row>
    <row r="1028" spans="5:7" ht="14.25" customHeight="1" x14ac:dyDescent="0.35">
      <c r="E1028" s="248">
        <v>44916</v>
      </c>
      <c r="F1028" s="249">
        <v>0.25</v>
      </c>
      <c r="G1028" s="250">
        <v>0.8</v>
      </c>
    </row>
    <row r="1029" spans="5:7" ht="14.25" customHeight="1" x14ac:dyDescent="0.35">
      <c r="E1029" s="248">
        <v>44930</v>
      </c>
      <c r="F1029" s="249">
        <v>0.25</v>
      </c>
      <c r="G1029" s="250">
        <v>0.6</v>
      </c>
    </row>
    <row r="1030" spans="5:7" ht="14.25" customHeight="1" x14ac:dyDescent="0.35">
      <c r="E1030" s="248">
        <v>44937</v>
      </c>
      <c r="F1030" s="249">
        <v>0.25</v>
      </c>
      <c r="G1030" s="250">
        <v>0.5</v>
      </c>
    </row>
    <row r="1031" spans="5:7" ht="14.25" customHeight="1" x14ac:dyDescent="0.35">
      <c r="E1031" s="248">
        <v>44944</v>
      </c>
      <c r="F1031" s="249">
        <v>0.25</v>
      </c>
      <c r="G1031" s="250">
        <v>0.8</v>
      </c>
    </row>
    <row r="1032" spans="5:7" ht="14.25" customHeight="1" x14ac:dyDescent="0.35">
      <c r="E1032" s="248">
        <v>44951</v>
      </c>
      <c r="F1032" s="249">
        <v>0.25</v>
      </c>
      <c r="G1032" s="250">
        <v>0.8</v>
      </c>
    </row>
    <row r="1033" spans="5:7" ht="14.25" customHeight="1" x14ac:dyDescent="0.35">
      <c r="E1033" s="248">
        <v>44958</v>
      </c>
      <c r="F1033" s="249">
        <v>0.25</v>
      </c>
      <c r="G1033" s="250">
        <v>0.8</v>
      </c>
    </row>
    <row r="1034" spans="5:7" ht="14.25" customHeight="1" x14ac:dyDescent="0.35">
      <c r="E1034" s="248">
        <v>44965</v>
      </c>
      <c r="F1034" s="249">
        <v>0.25</v>
      </c>
      <c r="G1034" s="250">
        <v>0.7</v>
      </c>
    </row>
    <row r="1035" spans="5:7" ht="14.25" customHeight="1" x14ac:dyDescent="0.35">
      <c r="E1035" s="248">
        <v>44972</v>
      </c>
      <c r="F1035" s="249">
        <v>0.25</v>
      </c>
      <c r="G1035" s="250">
        <v>0.8</v>
      </c>
    </row>
    <row r="1036" spans="5:7" ht="14.25" customHeight="1" x14ac:dyDescent="0.35">
      <c r="E1036" s="248">
        <v>44979</v>
      </c>
      <c r="F1036" s="249">
        <v>0.25</v>
      </c>
      <c r="G1036" s="250">
        <v>0.6</v>
      </c>
    </row>
    <row r="1037" spans="5:7" ht="14.25" customHeight="1" x14ac:dyDescent="0.35">
      <c r="E1037" s="248">
        <v>44986</v>
      </c>
      <c r="F1037" s="249">
        <v>0.25</v>
      </c>
      <c r="G1037" s="250">
        <v>0.4</v>
      </c>
    </row>
    <row r="1038" spans="5:7" ht="14.25" customHeight="1" x14ac:dyDescent="0.35">
      <c r="E1038" s="248">
        <v>44993</v>
      </c>
      <c r="F1038" s="249">
        <v>0.25</v>
      </c>
      <c r="G1038" s="250">
        <v>0.5</v>
      </c>
    </row>
    <row r="1039" spans="5:7" ht="14.25" customHeight="1" x14ac:dyDescent="0.35">
      <c r="E1039" s="248">
        <v>45000</v>
      </c>
      <c r="F1039" s="249">
        <v>0.25</v>
      </c>
      <c r="G1039" s="250">
        <v>0.6</v>
      </c>
    </row>
    <row r="1040" spans="5:7" ht="14.25" customHeight="1" x14ac:dyDescent="0.35">
      <c r="E1040" s="248">
        <v>45007</v>
      </c>
      <c r="F1040" s="249">
        <v>0.25</v>
      </c>
      <c r="G1040" s="250">
        <v>0.6</v>
      </c>
    </row>
    <row r="1041" spans="5:7" ht="14.25" customHeight="1" x14ac:dyDescent="0.35">
      <c r="E1041" s="248">
        <v>45014</v>
      </c>
      <c r="F1041" s="249">
        <v>0.25</v>
      </c>
      <c r="G1041" s="250">
        <v>0.5</v>
      </c>
    </row>
    <row r="1042" spans="5:7" ht="14.25" customHeight="1" x14ac:dyDescent="0.35">
      <c r="E1042" s="248">
        <v>45021</v>
      </c>
      <c r="F1042" s="249">
        <v>0.25</v>
      </c>
      <c r="G1042" s="250">
        <v>0.3</v>
      </c>
    </row>
    <row r="1043" spans="5:7" ht="14.25" customHeight="1" x14ac:dyDescent="0.35">
      <c r="E1043" s="248">
        <v>45028</v>
      </c>
      <c r="F1043" s="249">
        <v>0.25</v>
      </c>
      <c r="G1043" s="250">
        <v>0.4</v>
      </c>
    </row>
    <row r="1044" spans="5:7" ht="14.25" customHeight="1" x14ac:dyDescent="0.35">
      <c r="E1044" s="248">
        <v>45035</v>
      </c>
      <c r="F1044" s="249">
        <v>0.25</v>
      </c>
      <c r="G1044" s="250">
        <v>0.3</v>
      </c>
    </row>
    <row r="1045" spans="5:7" ht="14.25" customHeight="1" x14ac:dyDescent="0.35">
      <c r="E1045" s="248">
        <v>45042</v>
      </c>
      <c r="F1045" s="249">
        <v>0.25</v>
      </c>
      <c r="G1045" s="250">
        <v>0.6</v>
      </c>
    </row>
    <row r="1046" spans="5:7" ht="14.25" customHeight="1" x14ac:dyDescent="0.35">
      <c r="E1046" s="248">
        <v>45049</v>
      </c>
      <c r="F1046" s="249">
        <v>0.25</v>
      </c>
      <c r="G1046" s="250">
        <v>0.7</v>
      </c>
    </row>
    <row r="1047" spans="5:7" ht="14.25" customHeight="1" x14ac:dyDescent="0.35">
      <c r="E1047" s="248">
        <v>45056</v>
      </c>
      <c r="F1047" s="249">
        <v>0.25</v>
      </c>
      <c r="G1047" s="250">
        <v>0.5</v>
      </c>
    </row>
    <row r="1048" spans="5:7" ht="14.25" customHeight="1" x14ac:dyDescent="0.35">
      <c r="E1048" s="248">
        <v>45063</v>
      </c>
      <c r="F1048" s="249">
        <v>0.25</v>
      </c>
      <c r="G1048" s="250">
        <v>0.6</v>
      </c>
    </row>
    <row r="1049" spans="5:7" ht="14.25" customHeight="1" x14ac:dyDescent="0.35">
      <c r="E1049" s="248">
        <v>45070</v>
      </c>
      <c r="F1049" s="249">
        <v>0.25</v>
      </c>
      <c r="G1049" s="250">
        <v>0.5</v>
      </c>
    </row>
    <row r="1050" spans="5:7" ht="14.25" customHeight="1" x14ac:dyDescent="0.35">
      <c r="E1050" s="248">
        <v>45077</v>
      </c>
      <c r="F1050" s="249">
        <v>0.25</v>
      </c>
      <c r="G1050" s="250">
        <v>0.5</v>
      </c>
    </row>
    <row r="1051" spans="5:7" ht="14.25" customHeight="1" x14ac:dyDescent="0.35">
      <c r="E1051" s="248">
        <v>45084</v>
      </c>
      <c r="F1051" s="249">
        <v>0.25</v>
      </c>
      <c r="G1051" s="250">
        <v>0.6</v>
      </c>
    </row>
    <row r="1052" spans="5:7" ht="14.25" customHeight="1" x14ac:dyDescent="0.35">
      <c r="E1052" s="248">
        <v>45091</v>
      </c>
      <c r="F1052" s="249">
        <v>0.25</v>
      </c>
      <c r="G1052" s="250">
        <v>0.6</v>
      </c>
    </row>
    <row r="1053" spans="5:7" ht="14.25" customHeight="1" x14ac:dyDescent="0.35">
      <c r="E1053" s="248">
        <v>45098</v>
      </c>
      <c r="F1053" s="249">
        <v>0.25</v>
      </c>
      <c r="G1053" s="250">
        <v>0.6</v>
      </c>
    </row>
    <row r="1054" spans="5:7" ht="14.25" customHeight="1" x14ac:dyDescent="0.35">
      <c r="E1054" s="248">
        <v>45105</v>
      </c>
      <c r="F1054" s="249">
        <v>0.25</v>
      </c>
      <c r="G1054" s="250">
        <v>0.6</v>
      </c>
    </row>
    <row r="1055" spans="5:7" ht="14.25" customHeight="1" x14ac:dyDescent="0.35">
      <c r="E1055" s="248">
        <v>45112</v>
      </c>
      <c r="F1055" s="249">
        <v>0.25</v>
      </c>
      <c r="G1055" s="250">
        <v>0.6</v>
      </c>
    </row>
    <row r="1056" spans="5:7" ht="14.25" customHeight="1" x14ac:dyDescent="0.35">
      <c r="E1056" s="248">
        <v>45119</v>
      </c>
      <c r="F1056" s="249">
        <v>0.25</v>
      </c>
      <c r="G1056" s="250">
        <v>0.7</v>
      </c>
    </row>
    <row r="1057" spans="5:7" ht="14.25" customHeight="1" x14ac:dyDescent="0.35">
      <c r="E1057" s="248">
        <v>45126</v>
      </c>
      <c r="F1057" s="249">
        <v>0.25</v>
      </c>
      <c r="G1057" s="250">
        <v>0.6</v>
      </c>
    </row>
    <row r="1058" spans="5:7" ht="14.25" customHeight="1" x14ac:dyDescent="0.35">
      <c r="E1058" s="248">
        <v>45133</v>
      </c>
      <c r="F1058" s="249">
        <v>0.25</v>
      </c>
      <c r="G1058" s="250">
        <v>0.7</v>
      </c>
    </row>
    <row r="1059" spans="5:7" ht="14.25" customHeight="1" x14ac:dyDescent="0.35">
      <c r="E1059" s="248">
        <v>45140</v>
      </c>
      <c r="F1059" s="249">
        <v>0.25</v>
      </c>
      <c r="G1059" s="250">
        <v>0.5</v>
      </c>
    </row>
    <row r="1060" spans="5:7" ht="14.25" customHeight="1" x14ac:dyDescent="0.35">
      <c r="E1060" s="248">
        <v>45147</v>
      </c>
      <c r="F1060" s="249">
        <v>0.25</v>
      </c>
      <c r="G1060" s="250">
        <v>0.3</v>
      </c>
    </row>
    <row r="1061" spans="5:7" ht="14.25" customHeight="1" x14ac:dyDescent="0.35">
      <c r="E1061" s="248">
        <v>45154</v>
      </c>
      <c r="F1061" s="249">
        <v>0.25</v>
      </c>
      <c r="G1061" s="250">
        <v>0.2</v>
      </c>
    </row>
    <row r="1062" spans="5:7" ht="14.25" customHeight="1" x14ac:dyDescent="0.35">
      <c r="E1062" s="248">
        <v>45161</v>
      </c>
      <c r="F1062" s="249">
        <v>0.25</v>
      </c>
      <c r="G1062" s="250" t="s">
        <v>50</v>
      </c>
    </row>
    <row r="1063" spans="5:7" ht="14.25" customHeight="1" x14ac:dyDescent="0.35">
      <c r="E1063" s="248">
        <v>45175</v>
      </c>
      <c r="F1063" s="249">
        <v>0.25</v>
      </c>
      <c r="G1063" s="250">
        <v>0.3</v>
      </c>
    </row>
    <row r="1064" spans="5:7" ht="14.25" customHeight="1" x14ac:dyDescent="0.35">
      <c r="E1064" s="248">
        <v>45182</v>
      </c>
      <c r="F1064" s="249">
        <v>0.25</v>
      </c>
      <c r="G1064" s="250">
        <v>0.2</v>
      </c>
    </row>
    <row r="1065" spans="5:7" ht="14.25" customHeight="1" x14ac:dyDescent="0.35">
      <c r="E1065" s="248">
        <v>45189</v>
      </c>
      <c r="F1065" s="249">
        <v>0.25</v>
      </c>
      <c r="G1065" s="250" t="s">
        <v>50</v>
      </c>
    </row>
    <row r="1066" spans="5:7" ht="14.25" customHeight="1" x14ac:dyDescent="0.35">
      <c r="E1066" s="248">
        <v>45196</v>
      </c>
      <c r="F1066" s="249">
        <v>0.25</v>
      </c>
      <c r="G1066" s="250">
        <v>0.1</v>
      </c>
    </row>
    <row r="1067" spans="5:7" ht="14.25" customHeight="1" x14ac:dyDescent="0.35">
      <c r="E1067" s="248">
        <v>45203</v>
      </c>
      <c r="F1067" s="249">
        <v>0.25</v>
      </c>
      <c r="G1067" s="250">
        <v>0.2</v>
      </c>
    </row>
    <row r="1068" spans="5:7" ht="14.25" customHeight="1" x14ac:dyDescent="0.35">
      <c r="E1068" s="248">
        <v>45210</v>
      </c>
      <c r="F1068" s="249">
        <v>0.25</v>
      </c>
      <c r="G1068" s="250">
        <v>0.6</v>
      </c>
    </row>
    <row r="1069" spans="5:7" ht="14.25" customHeight="1" x14ac:dyDescent="0.35">
      <c r="E1069" s="248">
        <v>45217</v>
      </c>
      <c r="F1069" s="249">
        <v>0.25</v>
      </c>
      <c r="G1069" s="250">
        <v>0.5</v>
      </c>
    </row>
    <row r="1070" spans="5:7" ht="14.25" customHeight="1" x14ac:dyDescent="0.35">
      <c r="E1070" s="248">
        <v>45224</v>
      </c>
      <c r="F1070" s="249">
        <v>0.25</v>
      </c>
      <c r="G1070" s="250">
        <v>0.6</v>
      </c>
    </row>
    <row r="1071" spans="5:7" ht="14.25" customHeight="1" x14ac:dyDescent="0.35">
      <c r="E1071" s="248">
        <v>45231</v>
      </c>
      <c r="F1071" s="249">
        <v>0.25</v>
      </c>
      <c r="G1071" s="250">
        <v>0.5</v>
      </c>
    </row>
    <row r="1072" spans="5:7" ht="14.25" customHeight="1" x14ac:dyDescent="0.35">
      <c r="E1072" s="248">
        <v>45238</v>
      </c>
      <c r="F1072" s="249">
        <v>0.25</v>
      </c>
      <c r="G1072" s="250">
        <v>0.4</v>
      </c>
    </row>
    <row r="1073" spans="5:7" ht="14.25" customHeight="1" x14ac:dyDescent="0.35">
      <c r="E1073" s="248">
        <v>45245</v>
      </c>
      <c r="F1073" s="249">
        <v>0.25</v>
      </c>
      <c r="G1073" s="250">
        <v>0.5</v>
      </c>
    </row>
    <row r="1074" spans="5:7" ht="14.25" customHeight="1" x14ac:dyDescent="0.35">
      <c r="E1074" s="248">
        <v>45252</v>
      </c>
      <c r="F1074" s="249">
        <v>0.25</v>
      </c>
      <c r="G1074" s="250">
        <v>0.4</v>
      </c>
    </row>
    <row r="1075" spans="5:7" ht="14.25" customHeight="1" x14ac:dyDescent="0.35">
      <c r="E1075" s="248">
        <v>45259</v>
      </c>
      <c r="F1075" s="249">
        <v>0.25</v>
      </c>
      <c r="G1075" s="250">
        <v>0.4</v>
      </c>
    </row>
    <row r="1076" spans="5:7" ht="14.25" customHeight="1" x14ac:dyDescent="0.35">
      <c r="E1076" s="248">
        <v>45266</v>
      </c>
      <c r="F1076" s="249">
        <v>0.25</v>
      </c>
      <c r="G1076" s="250">
        <v>0.5</v>
      </c>
    </row>
    <row r="1077" spans="5:7" ht="14.25" customHeight="1" x14ac:dyDescent="0.35">
      <c r="E1077" s="248">
        <v>45273</v>
      </c>
      <c r="F1077" s="249">
        <v>0.25</v>
      </c>
      <c r="G1077" s="250">
        <v>0.5</v>
      </c>
    </row>
    <row r="1078" spans="5:7" ht="14.25" customHeight="1" x14ac:dyDescent="0.35">
      <c r="E1078" s="248">
        <v>45280</v>
      </c>
      <c r="F1078" s="249">
        <v>0.25</v>
      </c>
      <c r="G1078" s="250">
        <v>0.6</v>
      </c>
    </row>
    <row r="1079" spans="5:7" ht="14.25" customHeight="1" x14ac:dyDescent="0.35">
      <c r="E1079" s="248">
        <v>45287</v>
      </c>
      <c r="F1079" s="249">
        <v>0.25</v>
      </c>
      <c r="G1079" s="250">
        <v>0.5</v>
      </c>
    </row>
    <row r="1080" spans="5:7" ht="14.25" customHeight="1" x14ac:dyDescent="0.35">
      <c r="E1080" s="248">
        <v>45294</v>
      </c>
      <c r="F1080" s="249">
        <v>0.25</v>
      </c>
      <c r="G1080" s="250">
        <v>0.8</v>
      </c>
    </row>
    <row r="1081" spans="5:7" ht="14.25" customHeight="1" x14ac:dyDescent="0.35">
      <c r="E1081" s="248">
        <v>45301</v>
      </c>
      <c r="F1081" s="249">
        <v>0.25</v>
      </c>
      <c r="G1081" s="250">
        <v>1</v>
      </c>
    </row>
    <row r="1082" spans="5:7" ht="14.25" customHeight="1" x14ac:dyDescent="0.35">
      <c r="E1082" s="248">
        <v>45308</v>
      </c>
      <c r="F1082" s="249">
        <v>0.25</v>
      </c>
      <c r="G1082" s="250">
        <v>0.7</v>
      </c>
    </row>
    <row r="1083" spans="5:7" ht="14.25" customHeight="1" x14ac:dyDescent="0.35">
      <c r="E1083" s="248">
        <v>45315</v>
      </c>
      <c r="F1083" s="249">
        <v>0.25</v>
      </c>
      <c r="G1083" s="250">
        <v>0.5</v>
      </c>
    </row>
    <row r="1084" spans="5:7" ht="14.25" customHeight="1" x14ac:dyDescent="0.35">
      <c r="E1084" s="248">
        <v>45322</v>
      </c>
      <c r="F1084" s="249">
        <v>0.25</v>
      </c>
      <c r="G1084" s="250">
        <v>0.4</v>
      </c>
    </row>
    <row r="1085" spans="5:7" ht="14.25" customHeight="1" x14ac:dyDescent="0.35">
      <c r="E1085" s="248">
        <v>45329</v>
      </c>
      <c r="F1085" s="249">
        <v>0.25</v>
      </c>
      <c r="G1085" s="250">
        <v>0.4</v>
      </c>
    </row>
    <row r="1086" spans="5:7" ht="14.25" customHeight="1" x14ac:dyDescent="0.35">
      <c r="E1086" s="248">
        <v>45336</v>
      </c>
      <c r="F1086" s="249">
        <v>0.25</v>
      </c>
      <c r="G1086" s="250">
        <v>0.4</v>
      </c>
    </row>
    <row r="1087" spans="5:7" ht="14.25" customHeight="1" x14ac:dyDescent="0.35">
      <c r="E1087" s="248">
        <v>45343</v>
      </c>
      <c r="F1087" s="249">
        <v>0.25</v>
      </c>
      <c r="G1087" s="250">
        <v>0.4</v>
      </c>
    </row>
    <row r="1088" spans="5:7" ht="14.25" customHeight="1" x14ac:dyDescent="0.35">
      <c r="E1088" s="248">
        <v>45350</v>
      </c>
      <c r="F1088" s="249">
        <v>0.25</v>
      </c>
      <c r="G1088" s="250" t="s">
        <v>50</v>
      </c>
    </row>
    <row r="1089" spans="5:7" ht="14.25" customHeight="1" x14ac:dyDescent="0.35">
      <c r="E1089" s="248">
        <v>45357</v>
      </c>
      <c r="F1089" s="249">
        <v>0.25</v>
      </c>
      <c r="G1089" s="250">
        <v>0.3</v>
      </c>
    </row>
    <row r="1090" spans="5:7" ht="14.25" customHeight="1" x14ac:dyDescent="0.35">
      <c r="E1090" s="248">
        <v>45364</v>
      </c>
      <c r="F1090" s="249">
        <v>0.25</v>
      </c>
      <c r="G1090" s="250" t="s">
        <v>50</v>
      </c>
    </row>
    <row r="1091" spans="5:7" ht="14.25" customHeight="1" x14ac:dyDescent="0.35">
      <c r="E1091" s="248">
        <v>45371</v>
      </c>
      <c r="F1091" s="249">
        <v>0.25</v>
      </c>
      <c r="G1091" s="250">
        <v>0.3</v>
      </c>
    </row>
    <row r="1092" spans="5:7" ht="14.25" customHeight="1" x14ac:dyDescent="0.35">
      <c r="E1092" s="248">
        <v>45385</v>
      </c>
      <c r="F1092" s="249">
        <v>0.25</v>
      </c>
      <c r="G1092" s="250">
        <v>0.3</v>
      </c>
    </row>
    <row r="1093" spans="5:7" ht="14.25" customHeight="1" x14ac:dyDescent="0.35">
      <c r="E1093" s="248">
        <v>45392</v>
      </c>
      <c r="F1093" s="249">
        <v>0.25</v>
      </c>
      <c r="G1093" s="250">
        <v>0.3</v>
      </c>
    </row>
    <row r="1094" spans="5:7" ht="14.25" customHeight="1" x14ac:dyDescent="0.35">
      <c r="E1094" s="248">
        <v>45399</v>
      </c>
      <c r="F1094" s="249">
        <v>0.25</v>
      </c>
      <c r="G1094" s="250">
        <v>0.6</v>
      </c>
    </row>
    <row r="1095" spans="5:7" ht="14.25" customHeight="1" x14ac:dyDescent="0.35">
      <c r="E1095" s="248">
        <v>45406</v>
      </c>
      <c r="F1095" s="249">
        <v>0.21180555555555555</v>
      </c>
      <c r="G1095" s="250">
        <v>0.7</v>
      </c>
    </row>
    <row r="1096" spans="5:7" ht="14.25" customHeight="1" x14ac:dyDescent="0.35">
      <c r="E1096" s="248">
        <v>45413</v>
      </c>
      <c r="F1096" s="249">
        <v>0.23819444444444443</v>
      </c>
      <c r="G1096" s="250">
        <v>0.3</v>
      </c>
    </row>
    <row r="1097" spans="5:7" ht="14.25" customHeight="1" x14ac:dyDescent="0.35">
      <c r="E1097" s="248">
        <v>45420</v>
      </c>
      <c r="F1097" s="249">
        <v>0.23194444444444445</v>
      </c>
      <c r="G1097" s="250" t="s">
        <v>50</v>
      </c>
    </row>
    <row r="1098" spans="5:7" ht="14.25" customHeight="1" x14ac:dyDescent="0.35">
      <c r="E1098" s="248">
        <v>45427</v>
      </c>
      <c r="F1098" s="249">
        <v>0.25694444444444442</v>
      </c>
      <c r="G1098" s="250">
        <v>0.1</v>
      </c>
    </row>
    <row r="1099" spans="5:7" ht="14.25" customHeight="1" x14ac:dyDescent="0.35">
      <c r="E1099" s="248">
        <v>45434</v>
      </c>
      <c r="F1099" s="249">
        <v>0.25</v>
      </c>
      <c r="G1099" s="250">
        <v>0.4</v>
      </c>
    </row>
    <row r="1100" spans="5:7" ht="14.25" customHeight="1" x14ac:dyDescent="0.35">
      <c r="E1100" s="248">
        <v>45441</v>
      </c>
      <c r="F1100" s="249">
        <v>0.2013888888888889</v>
      </c>
      <c r="G1100" s="250">
        <v>0.4</v>
      </c>
    </row>
    <row r="1101" spans="5:7" ht="14.25" customHeight="1" x14ac:dyDescent="0.35">
      <c r="E1101" s="248">
        <v>45448</v>
      </c>
      <c r="F1101" s="249">
        <v>0.25</v>
      </c>
      <c r="G1101" s="250">
        <v>0.2</v>
      </c>
    </row>
    <row r="1102" spans="5:7" ht="14.25" customHeight="1" x14ac:dyDescent="0.35">
      <c r="E1102" s="248">
        <v>45455</v>
      </c>
      <c r="F1102" s="249">
        <v>0.23958333333333334</v>
      </c>
      <c r="G1102" s="250" t="s">
        <v>50</v>
      </c>
    </row>
    <row r="1103" spans="5:7" ht="14.25" customHeight="1" x14ac:dyDescent="0.35">
      <c r="E1103" s="248">
        <v>45462</v>
      </c>
      <c r="F1103" s="249">
        <v>0.25</v>
      </c>
      <c r="G1103" s="250">
        <v>0.1</v>
      </c>
    </row>
    <row r="1104" spans="5:7" ht="14.25" customHeight="1" x14ac:dyDescent="0.35">
      <c r="E1104" s="248">
        <v>45469</v>
      </c>
      <c r="F1104" s="249">
        <v>0.25</v>
      </c>
      <c r="G1104" s="250" t="s">
        <v>50</v>
      </c>
    </row>
    <row r="1105" spans="5:7" ht="14.25" customHeight="1" x14ac:dyDescent="0.35">
      <c r="E1105" s="248">
        <v>45476</v>
      </c>
      <c r="F1105" s="249">
        <v>0.22916666666666666</v>
      </c>
      <c r="G1105" s="250" t="s">
        <v>50</v>
      </c>
    </row>
    <row r="1106" spans="5:7" ht="14.25" customHeight="1" x14ac:dyDescent="0.35">
      <c r="E1106" s="248">
        <v>45483</v>
      </c>
      <c r="F1106" s="249">
        <v>0.26041666666666669</v>
      </c>
      <c r="G1106" s="250">
        <v>0.1</v>
      </c>
    </row>
    <row r="1107" spans="5:7" ht="14.25" customHeight="1" x14ac:dyDescent="0.35">
      <c r="E1107" s="248">
        <v>45490</v>
      </c>
      <c r="F1107" s="249">
        <v>0.25694444444444442</v>
      </c>
      <c r="G1107" s="250">
        <v>0.2</v>
      </c>
    </row>
    <row r="1108" spans="5:7" ht="14.25" customHeight="1" x14ac:dyDescent="0.35">
      <c r="E1108" s="248">
        <v>45497</v>
      </c>
      <c r="F1108" s="249">
        <v>0.23749999999999999</v>
      </c>
      <c r="G1108" s="250">
        <v>0.2</v>
      </c>
    </row>
    <row r="1109" spans="5:7" ht="14.25" customHeight="1" x14ac:dyDescent="0.35">
      <c r="E1109" s="248">
        <v>45504</v>
      </c>
      <c r="F1109" s="249">
        <v>0.24305555555555555</v>
      </c>
      <c r="G1109" s="250" t="s">
        <v>50</v>
      </c>
    </row>
    <row r="1110" spans="5:7" ht="14.25" customHeight="1" x14ac:dyDescent="0.35">
      <c r="E1110" s="248">
        <v>45511</v>
      </c>
      <c r="F1110" s="249">
        <v>0.24305555555555555</v>
      </c>
      <c r="G1110" s="250" t="s">
        <v>50</v>
      </c>
    </row>
    <row r="1111" spans="5:7" ht="14.25" customHeight="1" x14ac:dyDescent="0.35">
      <c r="E1111" s="248">
        <v>45518</v>
      </c>
      <c r="F1111" s="249">
        <v>0.22708333333333333</v>
      </c>
      <c r="G1111" s="250">
        <v>0.3</v>
      </c>
    </row>
    <row r="1112" spans="5:7" ht="14.25" customHeight="1" x14ac:dyDescent="0.35">
      <c r="E1112" s="248">
        <v>45525</v>
      </c>
      <c r="F1112" s="249">
        <v>0.25138888888888888</v>
      </c>
      <c r="G1112" s="250">
        <v>0.2</v>
      </c>
    </row>
    <row r="1113" spans="5:7" ht="14.25" customHeight="1" x14ac:dyDescent="0.35">
      <c r="E1113" s="248">
        <v>45532</v>
      </c>
      <c r="F1113" s="249">
        <v>0.24444444444444444</v>
      </c>
      <c r="G1113" s="250">
        <v>0.3</v>
      </c>
    </row>
    <row r="1114" spans="5:7" ht="14.25" customHeight="1" x14ac:dyDescent="0.35">
      <c r="E1114" s="248">
        <v>45539</v>
      </c>
      <c r="F1114" s="249">
        <v>0.25486111111111109</v>
      </c>
      <c r="G1114" s="250">
        <v>0.3</v>
      </c>
    </row>
    <row r="1115" spans="5:7" ht="14.25" customHeight="1" x14ac:dyDescent="0.35">
      <c r="E1115" s="248">
        <v>45546</v>
      </c>
      <c r="F1115" s="249">
        <v>0.25</v>
      </c>
      <c r="G1115" s="250">
        <v>0.3</v>
      </c>
    </row>
    <row r="1116" spans="5:7" ht="14.25" customHeight="1" x14ac:dyDescent="0.35">
      <c r="E1116" s="248">
        <v>45553</v>
      </c>
      <c r="F1116" s="249">
        <v>0.25694444444444442</v>
      </c>
      <c r="G1116" s="250">
        <v>0.2</v>
      </c>
    </row>
    <row r="1117" spans="5:7" ht="14.25" customHeight="1" x14ac:dyDescent="0.35">
      <c r="E1117" s="248">
        <v>45560</v>
      </c>
      <c r="F1117" s="249">
        <v>0.26041666666666669</v>
      </c>
      <c r="G1117" s="250" t="s">
        <v>50</v>
      </c>
    </row>
    <row r="1118" spans="5:7" ht="14.25" customHeight="1" x14ac:dyDescent="0.35">
      <c r="E1118" s="248">
        <v>45567</v>
      </c>
      <c r="F1118" s="249">
        <v>0.25347222222222221</v>
      </c>
      <c r="G1118" s="250">
        <v>0.2</v>
      </c>
    </row>
    <row r="1119" spans="5:7" ht="14.25" customHeight="1" x14ac:dyDescent="0.35">
      <c r="E1119" s="248">
        <v>45574</v>
      </c>
      <c r="F1119" s="249">
        <v>0.2361111111111111</v>
      </c>
      <c r="G1119" s="250" t="s">
        <v>50</v>
      </c>
    </row>
    <row r="1120" spans="5:7" ht="14.25" customHeight="1" x14ac:dyDescent="0.35">
      <c r="E1120" s="248">
        <v>45581</v>
      </c>
      <c r="F1120" s="249">
        <v>0.25</v>
      </c>
      <c r="G1120" s="250">
        <v>0.3</v>
      </c>
    </row>
    <row r="1121" spans="5:7" ht="14.25" customHeight="1" x14ac:dyDescent="0.35">
      <c r="E1121" s="248">
        <v>45588</v>
      </c>
      <c r="F1121" s="249">
        <v>0.26041666666666669</v>
      </c>
      <c r="G1121" s="250">
        <v>0.3</v>
      </c>
    </row>
    <row r="1122" spans="5:7" ht="14.25" customHeight="1" x14ac:dyDescent="0.35">
      <c r="E1122" s="248">
        <v>45595</v>
      </c>
      <c r="F1122" s="249">
        <v>0.23472222222222222</v>
      </c>
      <c r="G1122" s="250">
        <v>0.2</v>
      </c>
    </row>
    <row r="1123" spans="5:7" ht="14.25" customHeight="1" x14ac:dyDescent="0.35">
      <c r="E1123" s="248">
        <v>45603</v>
      </c>
      <c r="F1123" s="249">
        <v>0.27083333333333331</v>
      </c>
      <c r="G1123" s="250" t="s">
        <v>50</v>
      </c>
    </row>
    <row r="1124" spans="5:7" ht="14.25" customHeight="1" x14ac:dyDescent="0.35">
      <c r="E1124" s="248">
        <v>45609</v>
      </c>
      <c r="F1124" s="249">
        <v>0.23958333333333334</v>
      </c>
      <c r="G1124" s="250">
        <v>0.2</v>
      </c>
    </row>
    <row r="1125" spans="5:7" ht="14.25" customHeight="1" x14ac:dyDescent="0.35">
      <c r="E1125" s="248">
        <v>45616</v>
      </c>
      <c r="F1125" s="249">
        <v>0.25347222222222221</v>
      </c>
      <c r="G1125" s="250">
        <v>0.3</v>
      </c>
    </row>
    <row r="1126" spans="5:7" ht="14.25" customHeight="1" x14ac:dyDescent="0.35">
      <c r="E1126" s="248">
        <v>45623</v>
      </c>
      <c r="F1126" s="249">
        <v>0.25555555555555554</v>
      </c>
      <c r="G1126" s="250">
        <v>0.4</v>
      </c>
    </row>
    <row r="1127" spans="5:7" ht="14.25" customHeight="1" x14ac:dyDescent="0.35">
      <c r="E1127" s="248">
        <v>45630</v>
      </c>
      <c r="F1127" s="249">
        <v>0.25555555555555554</v>
      </c>
      <c r="G1127" s="250">
        <v>0.4</v>
      </c>
    </row>
    <row r="1128" spans="5:7" ht="14.25" customHeight="1" x14ac:dyDescent="0.35">
      <c r="E1128" s="248">
        <v>45637</v>
      </c>
      <c r="F1128" s="249">
        <v>0.26041666666666669</v>
      </c>
      <c r="G1128" s="250">
        <v>0.4</v>
      </c>
    </row>
    <row r="1129" spans="5:7" ht="14.25" customHeight="1" x14ac:dyDescent="0.35">
      <c r="E1129" s="248">
        <v>45644</v>
      </c>
      <c r="F1129" s="249">
        <v>0.25694444444444442</v>
      </c>
      <c r="G1129" s="250">
        <v>0.4</v>
      </c>
    </row>
    <row r="1130" spans="5:7" ht="14.25" customHeight="1" x14ac:dyDescent="0.35">
      <c r="E1130" s="248">
        <v>45652</v>
      </c>
      <c r="F1130" s="249">
        <v>0.25555555555555554</v>
      </c>
      <c r="G1130" s="250">
        <v>0.6</v>
      </c>
    </row>
    <row r="1131" spans="5:7" ht="14.25" customHeight="1" x14ac:dyDescent="0.35">
      <c r="E1131" s="248">
        <v>45657</v>
      </c>
      <c r="F1131" s="249">
        <v>0.24305555555555555</v>
      </c>
      <c r="G1131" s="250">
        <v>0.4</v>
      </c>
    </row>
    <row r="1132" spans="5:7" ht="14.25" customHeight="1" x14ac:dyDescent="0.35">
      <c r="E1132" s="248">
        <v>45664</v>
      </c>
      <c r="F1132" s="249">
        <v>0.2326388888888889</v>
      </c>
      <c r="G1132" s="250">
        <v>0.5</v>
      </c>
    </row>
    <row r="1133" spans="5:7" ht="14.25" customHeight="1" x14ac:dyDescent="0.35">
      <c r="E1133" s="248">
        <v>45671</v>
      </c>
      <c r="F1133" s="249">
        <v>0.23819444444444443</v>
      </c>
      <c r="G1133" s="250">
        <v>0.5</v>
      </c>
    </row>
    <row r="1134" spans="5:7" ht="14.25" customHeight="1" x14ac:dyDescent="0.35">
      <c r="E1134" s="248">
        <v>45678</v>
      </c>
      <c r="F1134" s="249">
        <v>0.23819444444444443</v>
      </c>
      <c r="G1134" s="250">
        <v>0.5</v>
      </c>
    </row>
    <row r="1135" spans="5:7" ht="14.25" customHeight="1" x14ac:dyDescent="0.35">
      <c r="E1135" s="248">
        <v>45685</v>
      </c>
      <c r="F1135" s="249">
        <v>0.2326388888888889</v>
      </c>
      <c r="G1135" s="250">
        <v>0.5</v>
      </c>
    </row>
    <row r="1136" spans="5:7" ht="14.25" customHeight="1" x14ac:dyDescent="0.35">
      <c r="E1136" s="248">
        <v>45692</v>
      </c>
      <c r="F1136" s="249">
        <v>0.23958333333333334</v>
      </c>
      <c r="G1136" s="250">
        <v>0.4</v>
      </c>
    </row>
    <row r="1137" spans="5:7" ht="14.25" customHeight="1" x14ac:dyDescent="0.35">
      <c r="E1137" s="248">
        <v>45699</v>
      </c>
      <c r="F1137" s="249">
        <v>0.2638888888888889</v>
      </c>
      <c r="G1137" s="250">
        <v>0.3</v>
      </c>
    </row>
    <row r="1138" spans="5:7" ht="14.25" customHeight="1" x14ac:dyDescent="0.35">
      <c r="E1138" s="248">
        <v>45706</v>
      </c>
      <c r="F1138" s="249">
        <v>0.24652777777777779</v>
      </c>
      <c r="G1138" s="250">
        <v>0.3</v>
      </c>
    </row>
    <row r="1139" spans="5:7" ht="14.25" customHeight="1" x14ac:dyDescent="0.35">
      <c r="E1139" s="248">
        <v>45713</v>
      </c>
      <c r="F1139" s="249">
        <v>0.25347222222222221</v>
      </c>
      <c r="G1139" s="250">
        <v>0.3</v>
      </c>
    </row>
    <row r="1140" spans="5:7" ht="14.25" customHeight="1" x14ac:dyDescent="0.35">
      <c r="E1140" s="248">
        <v>45720</v>
      </c>
      <c r="F1140" s="249">
        <v>0.23958333333333334</v>
      </c>
      <c r="G1140" s="250">
        <v>0.4</v>
      </c>
    </row>
    <row r="1141" spans="5:7" ht="14.25" customHeight="1" x14ac:dyDescent="0.35">
      <c r="E1141" s="248">
        <v>45727</v>
      </c>
      <c r="F1141" s="249">
        <v>0.2638888888888889</v>
      </c>
      <c r="G1141" s="250">
        <v>0.4</v>
      </c>
    </row>
    <row r="1142" spans="5:7" ht="14.25" customHeight="1" x14ac:dyDescent="0.35">
      <c r="E1142" s="248"/>
      <c r="F1142" s="249"/>
      <c r="G1142" s="250"/>
    </row>
    <row r="1143" spans="5:7" ht="14.25" customHeight="1" x14ac:dyDescent="0.35">
      <c r="E1143" s="248"/>
      <c r="F1143" s="249"/>
      <c r="G1143" s="250"/>
    </row>
    <row r="1144" spans="5:7" ht="14.25" customHeight="1" x14ac:dyDescent="0.35">
      <c r="E1144" s="248"/>
      <c r="F1144" s="249"/>
      <c r="G1144" s="250"/>
    </row>
    <row r="1145" spans="5:7" ht="14.25" customHeight="1" x14ac:dyDescent="0.35">
      <c r="E1145" s="248"/>
      <c r="F1145" s="249"/>
      <c r="G1145" s="250"/>
    </row>
    <row r="1146" spans="5:7" ht="14.25" customHeight="1" x14ac:dyDescent="0.35">
      <c r="E1146" s="248"/>
      <c r="F1146" s="249"/>
      <c r="G1146" s="250"/>
    </row>
    <row r="1147" spans="5:7" ht="14.25" customHeight="1" x14ac:dyDescent="0.35">
      <c r="E1147" s="248"/>
      <c r="F1147" s="249"/>
      <c r="G1147" s="250"/>
    </row>
    <row r="1148" spans="5:7" ht="14.25" customHeight="1" x14ac:dyDescent="0.35">
      <c r="E1148" s="248"/>
      <c r="F1148" s="249"/>
      <c r="G1148" s="250"/>
    </row>
    <row r="1149" spans="5:7" ht="14.25" customHeight="1" x14ac:dyDescent="0.35">
      <c r="E1149" s="248"/>
      <c r="F1149" s="249"/>
      <c r="G1149" s="250"/>
    </row>
    <row r="1150" spans="5:7" ht="14.25" customHeight="1" x14ac:dyDescent="0.35">
      <c r="E1150" s="248"/>
      <c r="F1150" s="249"/>
      <c r="G1150" s="250"/>
    </row>
    <row r="1151" spans="5:7" ht="14.25" customHeight="1" x14ac:dyDescent="0.35">
      <c r="E1151" s="248"/>
      <c r="F1151" s="249"/>
      <c r="G1151" s="250"/>
    </row>
    <row r="1152" spans="5:7" ht="14.25" customHeight="1" x14ac:dyDescent="0.35">
      <c r="E1152" s="248"/>
      <c r="F1152" s="249"/>
      <c r="G1152" s="250"/>
    </row>
    <row r="1153" spans="5:7" ht="14.25" customHeight="1" x14ac:dyDescent="0.35">
      <c r="E1153" s="248"/>
      <c r="F1153" s="249"/>
      <c r="G1153" s="250"/>
    </row>
    <row r="1154" spans="5:7" ht="14.25" customHeight="1" x14ac:dyDescent="0.35">
      <c r="E1154" s="248"/>
      <c r="F1154" s="249"/>
      <c r="G1154" s="250"/>
    </row>
    <row r="1155" spans="5:7" ht="14.25" customHeight="1" x14ac:dyDescent="0.35">
      <c r="E1155" s="248"/>
      <c r="F1155" s="249"/>
      <c r="G1155" s="250"/>
    </row>
    <row r="1156" spans="5:7" ht="14.25" customHeight="1" x14ac:dyDescent="0.35">
      <c r="E1156" s="248"/>
      <c r="F1156" s="249"/>
      <c r="G1156" s="250"/>
    </row>
    <row r="1157" spans="5:7" ht="14.25" customHeight="1" x14ac:dyDescent="0.35">
      <c r="E1157" s="248"/>
      <c r="F1157" s="249"/>
      <c r="G1157" s="250"/>
    </row>
    <row r="1158" spans="5:7" ht="14.25" customHeight="1" x14ac:dyDescent="0.35">
      <c r="E1158" s="248"/>
      <c r="F1158" s="249"/>
      <c r="G1158" s="250"/>
    </row>
    <row r="1159" spans="5:7" ht="14.25" customHeight="1" x14ac:dyDescent="0.35">
      <c r="E1159" s="248"/>
      <c r="F1159" s="249"/>
      <c r="G1159" s="250"/>
    </row>
    <row r="1160" spans="5:7" ht="14.25" customHeight="1" x14ac:dyDescent="0.35">
      <c r="E1160" s="248"/>
      <c r="F1160" s="249"/>
      <c r="G1160" s="250"/>
    </row>
    <row r="1161" spans="5:7" ht="14.25" customHeight="1" x14ac:dyDescent="0.35">
      <c r="E1161" s="248"/>
      <c r="F1161" s="249"/>
      <c r="G1161" s="250"/>
    </row>
    <row r="1162" spans="5:7" ht="14.25" customHeight="1" x14ac:dyDescent="0.35">
      <c r="E1162" s="248"/>
      <c r="F1162" s="249"/>
      <c r="G1162" s="250"/>
    </row>
    <row r="1163" spans="5:7" ht="14.25" customHeight="1" x14ac:dyDescent="0.35">
      <c r="E1163" s="248"/>
      <c r="F1163" s="249"/>
      <c r="G1163" s="250"/>
    </row>
    <row r="1164" spans="5:7" ht="14.25" customHeight="1" x14ac:dyDescent="0.35">
      <c r="E1164" s="248"/>
      <c r="F1164" s="249"/>
      <c r="G1164" s="250"/>
    </row>
    <row r="1165" spans="5:7" ht="14.25" customHeight="1" x14ac:dyDescent="0.35">
      <c r="E1165" s="248"/>
      <c r="F1165" s="249"/>
      <c r="G1165" s="250"/>
    </row>
    <row r="1166" spans="5:7" ht="14.25" customHeight="1" x14ac:dyDescent="0.35">
      <c r="E1166" s="248"/>
      <c r="F1166" s="249"/>
      <c r="G1166" s="250"/>
    </row>
    <row r="1167" spans="5:7" ht="14.25" customHeight="1" x14ac:dyDescent="0.35">
      <c r="E1167" s="248"/>
      <c r="F1167" s="249"/>
      <c r="G1167" s="250"/>
    </row>
    <row r="1168" spans="5:7" ht="14.25" customHeight="1" x14ac:dyDescent="0.35">
      <c r="E1168" s="248"/>
      <c r="F1168" s="249"/>
      <c r="G1168" s="250"/>
    </row>
    <row r="1169" spans="5:7" ht="14.25" customHeight="1" x14ac:dyDescent="0.35">
      <c r="E1169" s="248"/>
      <c r="F1169" s="249"/>
      <c r="G1169" s="250"/>
    </row>
    <row r="1170" spans="5:7" ht="14.25" customHeight="1" x14ac:dyDescent="0.35">
      <c r="E1170" s="248"/>
      <c r="F1170" s="249"/>
      <c r="G1170" s="250"/>
    </row>
    <row r="1171" spans="5:7" ht="14.25" customHeight="1" x14ac:dyDescent="0.35">
      <c r="E1171" s="248"/>
      <c r="F1171" s="249"/>
      <c r="G1171" s="250"/>
    </row>
    <row r="1172" spans="5:7" ht="14.25" customHeight="1" x14ac:dyDescent="0.35">
      <c r="E1172" s="248"/>
      <c r="F1172" s="249"/>
      <c r="G1172" s="250"/>
    </row>
    <row r="1173" spans="5:7" ht="14.25" customHeight="1" x14ac:dyDescent="0.35">
      <c r="E1173" s="248"/>
      <c r="F1173" s="249"/>
      <c r="G1173" s="250"/>
    </row>
    <row r="1174" spans="5:7" ht="14.25" customHeight="1" x14ac:dyDescent="0.35">
      <c r="E1174" s="248"/>
      <c r="F1174" s="249"/>
      <c r="G1174" s="250"/>
    </row>
    <row r="1175" spans="5:7" ht="14.25" customHeight="1" x14ac:dyDescent="0.35">
      <c r="E1175" s="248"/>
      <c r="F1175" s="249"/>
      <c r="G1175" s="250"/>
    </row>
    <row r="1176" spans="5:7" ht="14.25" customHeight="1" x14ac:dyDescent="0.35">
      <c r="E1176" s="248"/>
      <c r="F1176" s="249"/>
      <c r="G1176" s="250"/>
    </row>
    <row r="1177" spans="5:7" ht="14.25" customHeight="1" x14ac:dyDescent="0.35">
      <c r="E1177" s="248"/>
      <c r="F1177" s="249"/>
      <c r="G1177" s="250"/>
    </row>
    <row r="1178" spans="5:7" ht="14.25" customHeight="1" x14ac:dyDescent="0.35">
      <c r="E1178" s="248"/>
      <c r="F1178" s="249"/>
      <c r="G1178" s="250"/>
    </row>
    <row r="1179" spans="5:7" ht="14.25" customHeight="1" x14ac:dyDescent="0.35">
      <c r="E1179" s="248"/>
      <c r="F1179" s="249"/>
      <c r="G1179" s="250"/>
    </row>
    <row r="1180" spans="5:7" ht="14.25" customHeight="1" x14ac:dyDescent="0.35">
      <c r="E1180" s="248"/>
      <c r="F1180" s="249"/>
      <c r="G1180" s="250"/>
    </row>
    <row r="1181" spans="5:7" ht="14.25" customHeight="1" x14ac:dyDescent="0.35">
      <c r="E1181" s="248"/>
      <c r="F1181" s="249"/>
      <c r="G1181" s="250"/>
    </row>
    <row r="1182" spans="5:7" ht="14.25" customHeight="1" x14ac:dyDescent="0.35">
      <c r="E1182" s="248"/>
      <c r="F1182" s="249"/>
      <c r="G1182" s="250"/>
    </row>
    <row r="1183" spans="5:7" ht="14.25" customHeight="1" x14ac:dyDescent="0.35">
      <c r="E1183" s="248"/>
      <c r="F1183" s="249"/>
      <c r="G1183" s="250"/>
    </row>
    <row r="1184" spans="5:7" ht="14.25" customHeight="1" x14ac:dyDescent="0.35">
      <c r="E1184" s="248"/>
      <c r="F1184" s="249"/>
      <c r="G1184" s="250"/>
    </row>
    <row r="1185" spans="5:7" ht="14.25" customHeight="1" x14ac:dyDescent="0.35">
      <c r="E1185" s="248"/>
      <c r="F1185" s="249"/>
      <c r="G1185" s="250"/>
    </row>
    <row r="1186" spans="5:7" ht="14.25" customHeight="1" x14ac:dyDescent="0.35">
      <c r="E1186" s="248"/>
      <c r="F1186" s="249"/>
      <c r="G1186" s="250"/>
    </row>
    <row r="1187" spans="5:7" ht="14.25" customHeight="1" x14ac:dyDescent="0.35">
      <c r="E1187" s="248"/>
      <c r="F1187" s="249"/>
      <c r="G1187" s="250"/>
    </row>
    <row r="1188" spans="5:7" ht="14.25" customHeight="1" x14ac:dyDescent="0.35">
      <c r="E1188" s="248"/>
      <c r="F1188" s="249"/>
      <c r="G1188" s="250"/>
    </row>
    <row r="1189" spans="5:7" ht="14.25" customHeight="1" x14ac:dyDescent="0.35">
      <c r="E1189" s="248"/>
      <c r="F1189" s="249"/>
      <c r="G1189" s="250"/>
    </row>
    <row r="1190" spans="5:7" ht="14.25" customHeight="1" x14ac:dyDescent="0.35">
      <c r="E1190" s="248"/>
      <c r="F1190" s="249"/>
      <c r="G1190" s="250"/>
    </row>
    <row r="1191" spans="5:7" ht="14.25" customHeight="1" x14ac:dyDescent="0.35">
      <c r="E1191" s="248"/>
      <c r="F1191" s="249"/>
      <c r="G1191" s="250"/>
    </row>
    <row r="1192" spans="5:7" ht="14.25" customHeight="1" x14ac:dyDescent="0.35">
      <c r="E1192" s="248"/>
      <c r="F1192" s="249"/>
      <c r="G1192" s="250"/>
    </row>
    <row r="1193" spans="5:7" ht="14.25" customHeight="1" x14ac:dyDescent="0.35">
      <c r="E1193" s="248"/>
      <c r="F1193" s="249"/>
      <c r="G1193" s="250"/>
    </row>
    <row r="1194" spans="5:7" ht="14.25" customHeight="1" x14ac:dyDescent="0.35">
      <c r="E1194" s="248"/>
      <c r="F1194" s="249"/>
      <c r="G1194" s="250"/>
    </row>
    <row r="1195" spans="5:7" ht="14.25" customHeight="1" x14ac:dyDescent="0.35">
      <c r="E1195" s="248"/>
      <c r="F1195" s="249"/>
      <c r="G1195" s="250"/>
    </row>
    <row r="1196" spans="5:7" ht="14.25" customHeight="1" x14ac:dyDescent="0.35">
      <c r="E1196" s="248"/>
      <c r="F1196" s="249"/>
      <c r="G1196" s="250"/>
    </row>
    <row r="1197" spans="5:7" ht="14.25" customHeight="1" x14ac:dyDescent="0.35">
      <c r="E1197" s="248"/>
      <c r="F1197" s="249"/>
      <c r="G1197" s="250"/>
    </row>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328125" defaultRowHeight="15" customHeight="1" x14ac:dyDescent="0.35"/>
  <cols>
    <col min="1" max="1" width="8.7265625" customWidth="1"/>
    <col min="2" max="2" width="15.6328125" customWidth="1"/>
    <col min="3" max="3" width="11.6328125" customWidth="1"/>
    <col min="4" max="4" width="13.26953125" customWidth="1"/>
    <col min="5" max="6" width="8.7265625" customWidth="1"/>
    <col min="7" max="26" width="8.6328125" customWidth="1"/>
  </cols>
  <sheetData>
    <row r="1" spans="1:26" ht="14.25" customHeight="1" x14ac:dyDescent="0.35">
      <c r="A1" s="251"/>
      <c r="B1" s="251"/>
      <c r="C1" s="251"/>
      <c r="D1" s="251"/>
      <c r="E1" s="251"/>
      <c r="F1" s="251"/>
      <c r="G1" s="251"/>
      <c r="H1" s="251"/>
      <c r="I1" s="251"/>
      <c r="J1" s="251"/>
      <c r="K1" s="251"/>
      <c r="L1" s="251"/>
      <c r="M1" s="251"/>
      <c r="N1" s="251"/>
      <c r="O1" s="251"/>
      <c r="P1" s="251"/>
      <c r="Q1" s="251"/>
      <c r="R1" s="251"/>
      <c r="S1" s="251"/>
      <c r="T1" s="251"/>
      <c r="U1" s="251"/>
      <c r="V1" s="251"/>
      <c r="W1" s="251"/>
      <c r="X1" s="251"/>
      <c r="Y1" s="251"/>
      <c r="Z1" s="251"/>
    </row>
    <row r="2" spans="1:26" ht="14.25" customHeight="1" x14ac:dyDescent="0.35">
      <c r="A2" s="251"/>
      <c r="B2" s="251"/>
      <c r="C2" s="252" t="s">
        <v>52</v>
      </c>
      <c r="D2" s="253" t="s">
        <v>53</v>
      </c>
      <c r="E2" s="251"/>
      <c r="F2" s="251"/>
      <c r="G2" s="251"/>
      <c r="H2" s="251"/>
      <c r="I2" s="251"/>
      <c r="J2" s="251"/>
      <c r="K2" s="251"/>
      <c r="L2" s="251"/>
      <c r="M2" s="251"/>
      <c r="N2" s="251"/>
      <c r="O2" s="251"/>
      <c r="P2" s="251"/>
      <c r="Q2" s="251"/>
      <c r="R2" s="251"/>
      <c r="S2" s="251"/>
      <c r="T2" s="251"/>
      <c r="U2" s="251"/>
      <c r="V2" s="251"/>
      <c r="W2" s="251"/>
      <c r="X2" s="251"/>
      <c r="Y2" s="251"/>
      <c r="Z2" s="251"/>
    </row>
    <row r="3" spans="1:26" ht="14.25" customHeight="1" x14ac:dyDescent="0.35">
      <c r="A3" s="251">
        <v>2024</v>
      </c>
      <c r="B3" s="254" t="s">
        <v>54</v>
      </c>
      <c r="C3" s="255">
        <v>6794155</v>
      </c>
      <c r="D3" s="256">
        <v>977840.42121421394</v>
      </c>
      <c r="E3" s="251"/>
      <c r="F3" s="251"/>
      <c r="G3" s="251"/>
      <c r="H3" s="251"/>
      <c r="I3" s="251"/>
      <c r="J3" s="251"/>
      <c r="K3" s="251"/>
      <c r="L3" s="251"/>
      <c r="M3" s="251"/>
      <c r="N3" s="251"/>
      <c r="O3" s="251"/>
      <c r="P3" s="251"/>
      <c r="Q3" s="251"/>
      <c r="R3" s="251"/>
      <c r="S3" s="251"/>
      <c r="T3" s="251"/>
      <c r="U3" s="251"/>
      <c r="V3" s="251"/>
      <c r="W3" s="251"/>
      <c r="X3" s="251"/>
      <c r="Y3" s="251"/>
      <c r="Z3" s="251"/>
    </row>
    <row r="4" spans="1:26" ht="14.25" customHeight="1" x14ac:dyDescent="0.35">
      <c r="A4" s="251">
        <v>2024</v>
      </c>
      <c r="B4" s="254" t="s">
        <v>55</v>
      </c>
      <c r="C4" s="257">
        <v>6486032</v>
      </c>
      <c r="D4" s="258">
        <v>832775.40137232945</v>
      </c>
      <c r="E4" s="251"/>
      <c r="F4" s="251"/>
      <c r="G4" s="251"/>
      <c r="H4" s="251"/>
      <c r="I4" s="251"/>
      <c r="J4" s="251"/>
      <c r="K4" s="251"/>
      <c r="L4" s="251"/>
      <c r="M4" s="251"/>
      <c r="N4" s="251"/>
      <c r="O4" s="251"/>
      <c r="P4" s="251"/>
      <c r="Q4" s="251"/>
      <c r="R4" s="251"/>
      <c r="S4" s="251"/>
      <c r="T4" s="251"/>
      <c r="U4" s="251"/>
      <c r="V4" s="251"/>
      <c r="W4" s="251"/>
      <c r="X4" s="251"/>
      <c r="Y4" s="251"/>
      <c r="Z4" s="251"/>
    </row>
    <row r="5" spans="1:26" ht="14.25" customHeight="1" x14ac:dyDescent="0.35">
      <c r="A5" s="251">
        <v>2024</v>
      </c>
      <c r="B5" s="254" t="s">
        <v>25</v>
      </c>
      <c r="C5" s="257">
        <v>2672592</v>
      </c>
      <c r="D5" s="258">
        <v>330430.26325874735</v>
      </c>
      <c r="E5" s="251"/>
      <c r="F5" s="251"/>
      <c r="G5" s="251"/>
      <c r="H5" s="251"/>
      <c r="I5" s="251"/>
      <c r="J5" s="251"/>
      <c r="K5" s="251"/>
      <c r="L5" s="251"/>
      <c r="M5" s="251"/>
      <c r="N5" s="251"/>
      <c r="O5" s="251"/>
      <c r="P5" s="251"/>
      <c r="Q5" s="251"/>
      <c r="R5" s="251"/>
      <c r="S5" s="251"/>
      <c r="T5" s="251"/>
      <c r="U5" s="251"/>
      <c r="V5" s="251"/>
      <c r="W5" s="251"/>
      <c r="X5" s="251"/>
      <c r="Y5" s="251"/>
      <c r="Z5" s="251"/>
    </row>
    <row r="6" spans="1:26" ht="14.25" customHeight="1" x14ac:dyDescent="0.35">
      <c r="A6" s="251">
        <v>2024</v>
      </c>
      <c r="B6" s="254" t="s">
        <v>26</v>
      </c>
      <c r="C6" s="257">
        <v>4941744</v>
      </c>
      <c r="D6" s="258">
        <v>543145.92351039988</v>
      </c>
      <c r="E6" s="251"/>
      <c r="F6" s="251"/>
      <c r="G6" s="251"/>
      <c r="H6" s="251"/>
      <c r="I6" s="251"/>
      <c r="J6" s="251"/>
      <c r="K6" s="251"/>
      <c r="L6" s="251"/>
      <c r="M6" s="251"/>
      <c r="N6" s="251"/>
      <c r="O6" s="251"/>
      <c r="P6" s="251"/>
      <c r="Q6" s="251"/>
      <c r="R6" s="251"/>
      <c r="S6" s="251"/>
      <c r="T6" s="251"/>
      <c r="U6" s="251"/>
      <c r="V6" s="251"/>
      <c r="W6" s="251"/>
      <c r="X6" s="251"/>
      <c r="Y6" s="251"/>
      <c r="Z6" s="251"/>
    </row>
    <row r="7" spans="1:26" ht="14.25" customHeight="1" x14ac:dyDescent="0.35">
      <c r="A7" s="251">
        <v>2024</v>
      </c>
      <c r="B7" s="254" t="s">
        <v>27</v>
      </c>
      <c r="C7" s="257">
        <v>3584624</v>
      </c>
      <c r="D7" s="258">
        <v>435496.35822073114</v>
      </c>
      <c r="E7" s="251"/>
      <c r="F7" s="251"/>
      <c r="G7" s="251"/>
      <c r="H7" s="251"/>
      <c r="I7" s="251"/>
      <c r="J7" s="251"/>
      <c r="K7" s="251"/>
      <c r="L7" s="251"/>
      <c r="M7" s="251"/>
      <c r="N7" s="251"/>
      <c r="O7" s="251"/>
      <c r="P7" s="251"/>
      <c r="Q7" s="251"/>
      <c r="R7" s="251"/>
      <c r="S7" s="251"/>
      <c r="T7" s="251"/>
      <c r="U7" s="251"/>
      <c r="V7" s="251"/>
      <c r="W7" s="251"/>
      <c r="X7" s="251"/>
      <c r="Y7" s="251"/>
      <c r="Z7" s="251"/>
    </row>
    <row r="8" spans="1:26" ht="14.25" customHeight="1" x14ac:dyDescent="0.35">
      <c r="A8" s="251">
        <v>2024</v>
      </c>
      <c r="B8" s="254" t="s">
        <v>28</v>
      </c>
      <c r="C8" s="257">
        <v>4550560</v>
      </c>
      <c r="D8" s="258">
        <v>786715.74081030639</v>
      </c>
      <c r="E8" s="251"/>
      <c r="F8" s="251"/>
      <c r="G8" s="251"/>
      <c r="H8" s="251"/>
      <c r="I8" s="251"/>
      <c r="J8" s="251"/>
      <c r="K8" s="251"/>
      <c r="L8" s="251"/>
      <c r="M8" s="251"/>
      <c r="N8" s="251"/>
      <c r="O8" s="251"/>
      <c r="P8" s="251"/>
      <c r="Q8" s="251"/>
      <c r="R8" s="251"/>
      <c r="S8" s="251"/>
      <c r="T8" s="251"/>
      <c r="U8" s="251"/>
      <c r="V8" s="251"/>
      <c r="W8" s="251"/>
      <c r="X8" s="251"/>
      <c r="Y8" s="251"/>
      <c r="Z8" s="251"/>
    </row>
    <row r="9" spans="1:26" ht="14.25" customHeight="1" x14ac:dyDescent="0.35">
      <c r="A9" s="251">
        <v>2024</v>
      </c>
      <c r="B9" s="254" t="s">
        <v>29</v>
      </c>
      <c r="C9" s="257">
        <v>5123120</v>
      </c>
      <c r="D9" s="258">
        <v>1053979.8336828644</v>
      </c>
      <c r="E9" s="251"/>
      <c r="F9" s="251"/>
      <c r="G9" s="251"/>
      <c r="H9" s="251"/>
      <c r="I9" s="251"/>
      <c r="J9" s="251"/>
      <c r="K9" s="251"/>
      <c r="L9" s="251"/>
      <c r="M9" s="251"/>
      <c r="N9" s="251"/>
      <c r="O9" s="251"/>
      <c r="P9" s="251"/>
      <c r="Q9" s="251"/>
      <c r="R9" s="251"/>
      <c r="S9" s="251"/>
      <c r="T9" s="251"/>
      <c r="U9" s="251"/>
      <c r="V9" s="251"/>
      <c r="W9" s="251"/>
      <c r="X9" s="251"/>
      <c r="Y9" s="251"/>
      <c r="Z9" s="251"/>
    </row>
    <row r="10" spans="1:26" ht="14.25" customHeight="1" x14ac:dyDescent="0.35">
      <c r="A10" s="251">
        <v>2024</v>
      </c>
      <c r="B10" s="254" t="s">
        <v>30</v>
      </c>
      <c r="C10" s="257">
        <v>5067280</v>
      </c>
      <c r="D10" s="258">
        <v>1115197.5820911857</v>
      </c>
      <c r="E10" s="251"/>
      <c r="F10" s="251"/>
      <c r="G10" s="251"/>
      <c r="H10" s="251"/>
      <c r="I10" s="251"/>
      <c r="J10" s="251"/>
      <c r="K10" s="251"/>
      <c r="L10" s="251"/>
      <c r="M10" s="251"/>
      <c r="N10" s="251"/>
      <c r="O10" s="251"/>
      <c r="P10" s="251"/>
      <c r="Q10" s="251"/>
      <c r="R10" s="251"/>
      <c r="S10" s="251"/>
      <c r="T10" s="251"/>
      <c r="U10" s="251"/>
      <c r="V10" s="251"/>
      <c r="W10" s="251"/>
      <c r="X10" s="251"/>
      <c r="Y10" s="251"/>
      <c r="Z10" s="251"/>
    </row>
    <row r="11" spans="1:26" ht="14.25" customHeight="1" x14ac:dyDescent="0.35">
      <c r="A11" s="251">
        <v>2024</v>
      </c>
      <c r="B11" s="254" t="s">
        <v>31</v>
      </c>
      <c r="C11" s="257">
        <v>5047761</v>
      </c>
      <c r="D11" s="258">
        <v>1109801.4471634738</v>
      </c>
      <c r="E11" s="251"/>
      <c r="F11" s="251"/>
      <c r="G11" s="251"/>
      <c r="H11" s="251"/>
      <c r="I11" s="251"/>
      <c r="J11" s="251"/>
      <c r="K11" s="251"/>
      <c r="L11" s="251"/>
      <c r="M11" s="251"/>
      <c r="N11" s="251"/>
      <c r="O11" s="251"/>
      <c r="P11" s="251"/>
      <c r="Q11" s="251"/>
      <c r="R11" s="251"/>
      <c r="S11" s="251"/>
      <c r="T11" s="251"/>
      <c r="U11" s="251"/>
      <c r="V11" s="251"/>
      <c r="W11" s="251"/>
      <c r="X11" s="251"/>
      <c r="Y11" s="251"/>
      <c r="Z11" s="251"/>
    </row>
    <row r="12" spans="1:26" ht="14.25" customHeight="1" x14ac:dyDescent="0.35">
      <c r="A12" s="251">
        <v>2024</v>
      </c>
      <c r="B12" s="254" t="s">
        <v>32</v>
      </c>
      <c r="C12" s="257">
        <v>5113583.3125</v>
      </c>
      <c r="D12" s="258">
        <v>824864.22782869136</v>
      </c>
      <c r="E12" s="251"/>
      <c r="F12" s="251"/>
      <c r="G12" s="251"/>
      <c r="H12" s="251"/>
      <c r="I12" s="251"/>
      <c r="J12" s="251"/>
      <c r="K12" s="251"/>
      <c r="L12" s="251"/>
      <c r="M12" s="251"/>
      <c r="N12" s="251"/>
      <c r="O12" s="251"/>
      <c r="P12" s="251"/>
      <c r="Q12" s="251"/>
      <c r="R12" s="251"/>
      <c r="S12" s="251"/>
      <c r="T12" s="251"/>
      <c r="U12" s="251"/>
      <c r="V12" s="251"/>
      <c r="W12" s="251"/>
      <c r="X12" s="251"/>
      <c r="Y12" s="251"/>
      <c r="Z12" s="251"/>
    </row>
    <row r="13" spans="1:26" ht="14.25" customHeight="1" x14ac:dyDescent="0.35">
      <c r="A13" s="251">
        <v>2024</v>
      </c>
      <c r="B13" s="254" t="s">
        <v>33</v>
      </c>
      <c r="C13" s="257">
        <v>6615888</v>
      </c>
      <c r="D13" s="258">
        <v>800622.21691773448</v>
      </c>
      <c r="E13" s="251"/>
      <c r="F13" s="251"/>
      <c r="G13" s="251"/>
      <c r="H13" s="251"/>
      <c r="I13" s="251"/>
      <c r="J13" s="251"/>
      <c r="K13" s="251"/>
      <c r="L13" s="251"/>
      <c r="M13" s="251"/>
      <c r="N13" s="251"/>
      <c r="O13" s="251"/>
      <c r="P13" s="251"/>
      <c r="Q13" s="251"/>
      <c r="R13" s="251"/>
      <c r="S13" s="251"/>
      <c r="T13" s="251"/>
      <c r="U13" s="251"/>
      <c r="V13" s="251"/>
      <c r="W13" s="251"/>
      <c r="X13" s="251"/>
      <c r="Y13" s="251"/>
      <c r="Z13" s="251"/>
    </row>
    <row r="14" spans="1:26" ht="14.25" customHeight="1" x14ac:dyDescent="0.35">
      <c r="A14" s="251">
        <v>2024</v>
      </c>
      <c r="B14" s="254" t="s">
        <v>34</v>
      </c>
      <c r="C14" s="257">
        <v>7468672</v>
      </c>
      <c r="D14" s="258">
        <v>898570.87013349112</v>
      </c>
      <c r="E14" s="251"/>
      <c r="F14" s="251"/>
      <c r="G14" s="251"/>
      <c r="H14" s="251"/>
      <c r="I14" s="251"/>
      <c r="J14" s="251"/>
      <c r="K14" s="251"/>
      <c r="L14" s="251"/>
      <c r="M14" s="251"/>
      <c r="N14" s="251"/>
      <c r="O14" s="251"/>
      <c r="P14" s="251"/>
      <c r="Q14" s="251"/>
      <c r="R14" s="251"/>
      <c r="S14" s="251"/>
      <c r="T14" s="251"/>
      <c r="U14" s="251"/>
      <c r="V14" s="251"/>
      <c r="W14" s="251"/>
      <c r="X14" s="251"/>
      <c r="Y14" s="251"/>
      <c r="Z14" s="251"/>
    </row>
    <row r="15" spans="1:26" ht="14.25" customHeight="1" x14ac:dyDescent="0.35">
      <c r="A15" s="251">
        <v>2023</v>
      </c>
      <c r="B15" s="254" t="s">
        <v>54</v>
      </c>
      <c r="C15" s="251">
        <v>6583584</v>
      </c>
      <c r="D15" s="258">
        <v>1020642.130355514</v>
      </c>
      <c r="E15" s="251"/>
      <c r="F15" s="251"/>
      <c r="G15" s="251"/>
      <c r="H15" s="251"/>
      <c r="I15" s="251"/>
      <c r="J15" s="251"/>
      <c r="K15" s="251"/>
      <c r="L15" s="251"/>
      <c r="M15" s="251"/>
      <c r="N15" s="251"/>
      <c r="O15" s="251"/>
      <c r="P15" s="251"/>
      <c r="Q15" s="251"/>
      <c r="R15" s="251"/>
      <c r="S15" s="251"/>
      <c r="T15" s="251"/>
      <c r="U15" s="251"/>
      <c r="V15" s="251"/>
      <c r="W15" s="251"/>
      <c r="X15" s="251"/>
      <c r="Y15" s="251"/>
      <c r="Z15" s="251"/>
    </row>
    <row r="16" spans="1:26" ht="14.25" customHeight="1" x14ac:dyDescent="0.35">
      <c r="A16" s="251">
        <v>2023</v>
      </c>
      <c r="B16" s="254" t="s">
        <v>55</v>
      </c>
      <c r="C16" s="251">
        <v>6321708</v>
      </c>
      <c r="D16" s="258">
        <v>713896.2264827115</v>
      </c>
      <c r="E16" s="251"/>
      <c r="F16" s="251"/>
      <c r="G16" s="251"/>
      <c r="H16" s="251"/>
      <c r="I16" s="251"/>
      <c r="J16" s="251"/>
      <c r="K16" s="251"/>
      <c r="L16" s="251"/>
      <c r="M16" s="251"/>
      <c r="N16" s="251"/>
      <c r="O16" s="251"/>
      <c r="P16" s="251"/>
      <c r="Q16" s="251"/>
      <c r="R16" s="251"/>
      <c r="S16" s="251"/>
      <c r="T16" s="251"/>
      <c r="U16" s="251"/>
      <c r="V16" s="251"/>
      <c r="W16" s="251"/>
      <c r="X16" s="251"/>
      <c r="Y16" s="251"/>
      <c r="Z16" s="251"/>
    </row>
    <row r="17" spans="1:26" ht="14.25" customHeight="1" x14ac:dyDescent="0.35">
      <c r="A17" s="251">
        <v>2023</v>
      </c>
      <c r="B17" s="254" t="s">
        <v>25</v>
      </c>
      <c r="C17" s="251">
        <v>3539256</v>
      </c>
      <c r="D17" s="258">
        <v>440758.73232478637</v>
      </c>
      <c r="E17" s="251"/>
      <c r="F17" s="251"/>
      <c r="G17" s="251"/>
      <c r="H17" s="251"/>
      <c r="I17" s="251"/>
      <c r="J17" s="251"/>
      <c r="K17" s="251"/>
      <c r="L17" s="251"/>
      <c r="M17" s="251"/>
      <c r="N17" s="251"/>
      <c r="O17" s="251"/>
      <c r="P17" s="251"/>
      <c r="Q17" s="251"/>
      <c r="R17" s="251"/>
      <c r="S17" s="251"/>
      <c r="T17" s="251"/>
      <c r="U17" s="251"/>
      <c r="V17" s="251"/>
      <c r="W17" s="251"/>
      <c r="X17" s="251"/>
      <c r="Y17" s="251"/>
      <c r="Z17" s="251"/>
    </row>
    <row r="18" spans="1:26" ht="14.25" customHeight="1" x14ac:dyDescent="0.35">
      <c r="A18" s="251">
        <v>2023</v>
      </c>
      <c r="B18" s="254" t="s">
        <v>26</v>
      </c>
      <c r="C18" s="251">
        <v>4191532</v>
      </c>
      <c r="D18" s="258">
        <v>543937.95934537146</v>
      </c>
      <c r="E18" s="251"/>
      <c r="F18" s="251"/>
      <c r="G18" s="251"/>
      <c r="H18" s="251"/>
      <c r="I18" s="251"/>
      <c r="J18" s="251"/>
      <c r="K18" s="251"/>
      <c r="L18" s="251"/>
      <c r="M18" s="251"/>
      <c r="N18" s="251"/>
      <c r="O18" s="251"/>
      <c r="P18" s="251"/>
      <c r="Q18" s="251"/>
      <c r="R18" s="251"/>
      <c r="S18" s="251"/>
      <c r="T18" s="251"/>
      <c r="U18" s="251"/>
      <c r="V18" s="251"/>
      <c r="W18" s="251"/>
      <c r="X18" s="251"/>
      <c r="Y18" s="251"/>
      <c r="Z18" s="251"/>
    </row>
    <row r="19" spans="1:26" ht="14.25" customHeight="1" x14ac:dyDescent="0.35">
      <c r="A19" s="251">
        <v>2023</v>
      </c>
      <c r="B19" s="254" t="s">
        <v>27</v>
      </c>
      <c r="C19" s="251">
        <v>6111088</v>
      </c>
      <c r="D19" s="258">
        <v>586218.78053797339</v>
      </c>
      <c r="E19" s="251"/>
      <c r="F19" s="251"/>
      <c r="G19" s="251"/>
      <c r="H19" s="251"/>
      <c r="I19" s="251"/>
      <c r="J19" s="251"/>
      <c r="K19" s="251"/>
      <c r="L19" s="251"/>
      <c r="M19" s="251"/>
      <c r="N19" s="251"/>
      <c r="O19" s="251"/>
      <c r="P19" s="251"/>
      <c r="Q19" s="251"/>
      <c r="R19" s="251"/>
      <c r="S19" s="251"/>
      <c r="T19" s="251"/>
      <c r="U19" s="251"/>
      <c r="V19" s="251"/>
      <c r="W19" s="251"/>
      <c r="X19" s="251"/>
      <c r="Y19" s="251"/>
      <c r="Z19" s="251"/>
    </row>
    <row r="20" spans="1:26" ht="14.25" customHeight="1" x14ac:dyDescent="0.35">
      <c r="A20" s="251">
        <v>2023</v>
      </c>
      <c r="B20" s="254" t="s">
        <v>28</v>
      </c>
      <c r="C20" s="251">
        <v>6684928</v>
      </c>
      <c r="D20" s="258">
        <v>793584.69068855455</v>
      </c>
      <c r="E20" s="251"/>
      <c r="F20" s="251"/>
      <c r="G20" s="251"/>
      <c r="H20" s="251"/>
      <c r="I20" s="251"/>
      <c r="J20" s="251"/>
      <c r="K20" s="251"/>
      <c r="L20" s="251"/>
      <c r="M20" s="251"/>
      <c r="N20" s="251"/>
      <c r="O20" s="251"/>
      <c r="P20" s="251"/>
      <c r="Q20" s="251"/>
      <c r="R20" s="251"/>
      <c r="S20" s="251"/>
      <c r="T20" s="251"/>
      <c r="U20" s="251"/>
      <c r="V20" s="251"/>
      <c r="W20" s="251"/>
      <c r="X20" s="251"/>
      <c r="Y20" s="251"/>
      <c r="Z20" s="251"/>
    </row>
    <row r="21" spans="1:26" ht="14.25" customHeight="1" x14ac:dyDescent="0.35">
      <c r="A21" s="251">
        <v>2023</v>
      </c>
      <c r="B21" s="254" t="s">
        <v>29</v>
      </c>
      <c r="C21" s="251">
        <v>6534736</v>
      </c>
      <c r="D21" s="258">
        <v>987607.35158737784</v>
      </c>
      <c r="E21" s="251"/>
      <c r="F21" s="251"/>
      <c r="G21" s="251"/>
      <c r="H21" s="251"/>
      <c r="I21" s="251"/>
      <c r="J21" s="251"/>
      <c r="K21" s="251"/>
      <c r="L21" s="251"/>
      <c r="M21" s="251"/>
      <c r="N21" s="251"/>
      <c r="O21" s="251"/>
      <c r="P21" s="251"/>
      <c r="Q21" s="251"/>
      <c r="R21" s="251"/>
      <c r="S21" s="251"/>
      <c r="T21" s="251"/>
      <c r="U21" s="251"/>
      <c r="V21" s="251"/>
      <c r="W21" s="251"/>
      <c r="X21" s="251"/>
      <c r="Y21" s="251"/>
      <c r="Z21" s="251"/>
    </row>
    <row r="22" spans="1:26" ht="14.25" customHeight="1" x14ac:dyDescent="0.35">
      <c r="A22" s="251">
        <v>2023</v>
      </c>
      <c r="B22" s="254" t="s">
        <v>30</v>
      </c>
      <c r="C22" s="251">
        <v>4852512</v>
      </c>
      <c r="D22" s="258">
        <v>834148.129014901</v>
      </c>
      <c r="E22" s="251"/>
      <c r="F22" s="251"/>
      <c r="G22" s="251"/>
      <c r="H22" s="251"/>
      <c r="I22" s="251"/>
      <c r="J22" s="251"/>
      <c r="K22" s="251"/>
      <c r="L22" s="251"/>
      <c r="M22" s="251"/>
      <c r="N22" s="251"/>
      <c r="O22" s="251"/>
      <c r="P22" s="251"/>
      <c r="Q22" s="251"/>
      <c r="R22" s="251"/>
      <c r="S22" s="251"/>
      <c r="T22" s="251"/>
      <c r="U22" s="251"/>
      <c r="V22" s="251"/>
      <c r="W22" s="251"/>
      <c r="X22" s="251"/>
      <c r="Y22" s="251"/>
      <c r="Z22" s="251"/>
    </row>
    <row r="23" spans="1:26" ht="14.25" customHeight="1" x14ac:dyDescent="0.35">
      <c r="A23" s="251">
        <v>2023</v>
      </c>
      <c r="B23" s="254" t="s">
        <v>31</v>
      </c>
      <c r="C23" s="251">
        <v>5106856</v>
      </c>
      <c r="D23" s="258">
        <v>795703.436066341</v>
      </c>
      <c r="E23" s="251"/>
      <c r="F23" s="251"/>
      <c r="G23" s="251"/>
      <c r="H23" s="251"/>
      <c r="I23" s="251"/>
      <c r="J23" s="251"/>
      <c r="K23" s="251"/>
      <c r="L23" s="251"/>
      <c r="M23" s="251"/>
      <c r="N23" s="251"/>
      <c r="O23" s="251"/>
      <c r="P23" s="251"/>
      <c r="Q23" s="251"/>
      <c r="R23" s="251"/>
      <c r="S23" s="251"/>
      <c r="T23" s="251"/>
      <c r="U23" s="251"/>
      <c r="V23" s="251"/>
      <c r="W23" s="251"/>
      <c r="X23" s="251"/>
      <c r="Y23" s="251"/>
      <c r="Z23" s="251"/>
    </row>
    <row r="24" spans="1:26" ht="14.25" customHeight="1" x14ac:dyDescent="0.35">
      <c r="A24" s="251">
        <v>2023</v>
      </c>
      <c r="B24" s="254" t="s">
        <v>32</v>
      </c>
      <c r="C24" s="251">
        <v>6038519</v>
      </c>
      <c r="D24" s="258">
        <v>831629.27767769177</v>
      </c>
      <c r="E24" s="251"/>
      <c r="F24" s="251"/>
      <c r="G24" s="251"/>
      <c r="H24" s="251"/>
      <c r="I24" s="251"/>
      <c r="J24" s="251"/>
      <c r="K24" s="251"/>
      <c r="L24" s="251"/>
      <c r="M24" s="251"/>
      <c r="N24" s="251"/>
      <c r="O24" s="251"/>
      <c r="P24" s="251"/>
      <c r="Q24" s="251"/>
      <c r="R24" s="251"/>
      <c r="S24" s="251"/>
      <c r="T24" s="251"/>
      <c r="U24" s="251"/>
      <c r="V24" s="251"/>
      <c r="W24" s="251"/>
      <c r="X24" s="251"/>
      <c r="Y24" s="251"/>
      <c r="Z24" s="251"/>
    </row>
    <row r="25" spans="1:26" ht="14.25" customHeight="1" x14ac:dyDescent="0.35">
      <c r="A25" s="251">
        <v>2023</v>
      </c>
      <c r="B25" s="254" t="s">
        <v>33</v>
      </c>
      <c r="C25" s="251">
        <v>7407313</v>
      </c>
      <c r="D25" s="258">
        <v>964088.79543710593</v>
      </c>
      <c r="E25" s="251"/>
      <c r="F25" s="251"/>
      <c r="G25" s="251"/>
      <c r="H25" s="251"/>
      <c r="I25" s="251"/>
      <c r="J25" s="251"/>
      <c r="K25" s="251"/>
      <c r="L25" s="251"/>
      <c r="M25" s="251"/>
      <c r="N25" s="251"/>
      <c r="O25" s="251"/>
      <c r="P25" s="251"/>
      <c r="Q25" s="251"/>
      <c r="R25" s="251"/>
      <c r="S25" s="251"/>
      <c r="T25" s="251"/>
      <c r="U25" s="251"/>
      <c r="V25" s="251"/>
      <c r="W25" s="251"/>
      <c r="X25" s="251"/>
      <c r="Y25" s="251"/>
      <c r="Z25" s="251"/>
    </row>
    <row r="26" spans="1:26" ht="14.25" customHeight="1" x14ac:dyDescent="0.35">
      <c r="A26" s="251">
        <v>2023</v>
      </c>
      <c r="B26" s="254" t="s">
        <v>34</v>
      </c>
      <c r="C26" s="251">
        <v>0</v>
      </c>
      <c r="D26" s="251">
        <v>0</v>
      </c>
      <c r="E26" s="251"/>
      <c r="F26" s="251"/>
      <c r="G26" s="251"/>
      <c r="H26" s="251"/>
      <c r="I26" s="251"/>
      <c r="J26" s="251"/>
      <c r="K26" s="251"/>
      <c r="L26" s="251"/>
      <c r="M26" s="251"/>
      <c r="N26" s="251"/>
      <c r="O26" s="251"/>
      <c r="P26" s="251"/>
      <c r="Q26" s="251"/>
      <c r="R26" s="251"/>
      <c r="S26" s="251"/>
      <c r="T26" s="251"/>
      <c r="U26" s="251"/>
      <c r="V26" s="251"/>
      <c r="W26" s="251"/>
      <c r="X26" s="251"/>
      <c r="Y26" s="251"/>
      <c r="Z26" s="251"/>
    </row>
    <row r="27" spans="1:26" ht="14.25" customHeight="1" x14ac:dyDescent="0.35">
      <c r="A27" s="251">
        <v>2022</v>
      </c>
      <c r="B27" s="254" t="s">
        <v>54</v>
      </c>
      <c r="C27" s="259">
        <v>5022596</v>
      </c>
      <c r="D27" s="260">
        <v>638158</v>
      </c>
      <c r="E27" s="251"/>
      <c r="F27" s="251"/>
      <c r="G27" s="251"/>
      <c r="H27" s="251"/>
      <c r="I27" s="251"/>
      <c r="J27" s="251"/>
      <c r="K27" s="251"/>
      <c r="L27" s="251"/>
      <c r="M27" s="251"/>
      <c r="N27" s="251"/>
      <c r="O27" s="251"/>
      <c r="P27" s="251"/>
      <c r="Q27" s="251"/>
      <c r="R27" s="251"/>
      <c r="S27" s="251"/>
      <c r="T27" s="251"/>
      <c r="U27" s="251"/>
      <c r="V27" s="251"/>
      <c r="W27" s="251"/>
      <c r="X27" s="251"/>
      <c r="Y27" s="251"/>
      <c r="Z27" s="251"/>
    </row>
    <row r="28" spans="1:26" ht="14.25" customHeight="1" x14ac:dyDescent="0.35">
      <c r="A28" s="251">
        <v>2022</v>
      </c>
      <c r="B28" s="254" t="s">
        <v>55</v>
      </c>
      <c r="C28" s="259">
        <v>5643428</v>
      </c>
      <c r="D28" s="260">
        <v>663563</v>
      </c>
      <c r="E28" s="251"/>
      <c r="F28" s="251"/>
      <c r="G28" s="251"/>
      <c r="H28" s="251"/>
      <c r="I28" s="251"/>
      <c r="J28" s="251"/>
      <c r="K28" s="251"/>
      <c r="L28" s="251"/>
      <c r="M28" s="251"/>
      <c r="N28" s="251"/>
      <c r="O28" s="251"/>
      <c r="P28" s="251"/>
      <c r="Q28" s="251"/>
      <c r="R28" s="251"/>
      <c r="S28" s="251"/>
      <c r="T28" s="251"/>
      <c r="U28" s="251"/>
      <c r="V28" s="251"/>
      <c r="W28" s="251"/>
      <c r="X28" s="251"/>
      <c r="Y28" s="251"/>
      <c r="Z28" s="251"/>
    </row>
    <row r="29" spans="1:26" ht="14.25" customHeight="1" x14ac:dyDescent="0.35">
      <c r="A29" s="251">
        <v>2022</v>
      </c>
      <c r="B29" s="254" t="s">
        <v>25</v>
      </c>
      <c r="C29" s="259">
        <v>5060668</v>
      </c>
      <c r="D29" s="260">
        <v>600431</v>
      </c>
      <c r="E29" s="251"/>
      <c r="F29" s="251"/>
      <c r="G29" s="251"/>
      <c r="H29" s="251"/>
      <c r="I29" s="251"/>
      <c r="J29" s="251"/>
      <c r="K29" s="251"/>
      <c r="L29" s="251"/>
      <c r="M29" s="251"/>
      <c r="N29" s="251"/>
      <c r="O29" s="251"/>
      <c r="P29" s="251"/>
      <c r="Q29" s="251"/>
      <c r="R29" s="251"/>
      <c r="S29" s="251"/>
      <c r="T29" s="251"/>
      <c r="U29" s="251"/>
      <c r="V29" s="251"/>
      <c r="W29" s="251"/>
      <c r="X29" s="251"/>
      <c r="Y29" s="251"/>
      <c r="Z29" s="251"/>
    </row>
    <row r="30" spans="1:26" ht="14.25" customHeight="1" x14ac:dyDescent="0.35">
      <c r="A30" s="251">
        <v>2022</v>
      </c>
      <c r="B30" s="254" t="s">
        <v>26</v>
      </c>
      <c r="C30" s="259">
        <v>3997576</v>
      </c>
      <c r="D30" s="260">
        <v>514648</v>
      </c>
      <c r="E30" s="251"/>
      <c r="F30" s="251"/>
      <c r="G30" s="251"/>
      <c r="H30" s="251"/>
      <c r="I30" s="251"/>
      <c r="J30" s="251"/>
      <c r="K30" s="251"/>
      <c r="L30" s="251"/>
      <c r="M30" s="251"/>
      <c r="N30" s="251"/>
      <c r="O30" s="251"/>
      <c r="P30" s="251"/>
      <c r="Q30" s="251"/>
      <c r="R30" s="251"/>
      <c r="S30" s="251"/>
      <c r="T30" s="251"/>
      <c r="U30" s="251"/>
      <c r="V30" s="251"/>
      <c r="W30" s="251"/>
      <c r="X30" s="251"/>
      <c r="Y30" s="251"/>
      <c r="Z30" s="251"/>
    </row>
    <row r="31" spans="1:26" ht="14.25" customHeight="1" x14ac:dyDescent="0.35">
      <c r="A31" s="251">
        <v>2022</v>
      </c>
      <c r="B31" s="254" t="s">
        <v>27</v>
      </c>
      <c r="C31" s="259">
        <v>5353196</v>
      </c>
      <c r="D31" s="260">
        <v>690986</v>
      </c>
      <c r="E31" s="251"/>
      <c r="F31" s="251"/>
      <c r="G31" s="251"/>
      <c r="H31" s="251"/>
      <c r="I31" s="251"/>
      <c r="J31" s="251"/>
      <c r="K31" s="251"/>
      <c r="L31" s="251"/>
      <c r="M31" s="251"/>
      <c r="N31" s="251"/>
      <c r="O31" s="251"/>
      <c r="P31" s="251"/>
      <c r="Q31" s="251"/>
      <c r="R31" s="251"/>
      <c r="S31" s="251"/>
      <c r="T31" s="251"/>
      <c r="U31" s="251"/>
      <c r="V31" s="251"/>
      <c r="W31" s="251"/>
      <c r="X31" s="251"/>
      <c r="Y31" s="251"/>
      <c r="Z31" s="251"/>
    </row>
    <row r="32" spans="1:26" ht="14.25" customHeight="1" x14ac:dyDescent="0.35">
      <c r="A32" s="251">
        <v>2022</v>
      </c>
      <c r="B32" s="254" t="s">
        <v>28</v>
      </c>
      <c r="C32" s="259">
        <v>4703699</v>
      </c>
      <c r="D32" s="260">
        <v>653174</v>
      </c>
      <c r="E32" s="251"/>
      <c r="F32" s="251"/>
      <c r="G32" s="251"/>
      <c r="H32" s="251"/>
      <c r="I32" s="251"/>
      <c r="J32" s="251"/>
      <c r="K32" s="251"/>
      <c r="L32" s="251"/>
      <c r="M32" s="251"/>
      <c r="N32" s="251"/>
      <c r="O32" s="251"/>
      <c r="P32" s="251"/>
      <c r="Q32" s="251"/>
      <c r="R32" s="251"/>
      <c r="S32" s="251"/>
      <c r="T32" s="251"/>
      <c r="U32" s="251"/>
      <c r="V32" s="251"/>
      <c r="W32" s="251"/>
      <c r="X32" s="251"/>
      <c r="Y32" s="251"/>
      <c r="Z32" s="251"/>
    </row>
    <row r="33" spans="1:26" ht="14.25" customHeight="1" x14ac:dyDescent="0.35">
      <c r="A33" s="251">
        <v>2022</v>
      </c>
      <c r="B33" s="254" t="s">
        <v>29</v>
      </c>
      <c r="C33" s="259">
        <v>4433661</v>
      </c>
      <c r="D33" s="260">
        <v>680198</v>
      </c>
      <c r="E33" s="251"/>
      <c r="F33" s="251"/>
      <c r="G33" s="251"/>
      <c r="H33" s="251"/>
      <c r="I33" s="251"/>
      <c r="J33" s="251"/>
      <c r="K33" s="251"/>
      <c r="L33" s="251"/>
      <c r="M33" s="251"/>
      <c r="N33" s="251"/>
      <c r="O33" s="251"/>
      <c r="P33" s="251"/>
      <c r="Q33" s="251"/>
      <c r="R33" s="251"/>
      <c r="S33" s="251"/>
      <c r="T33" s="251"/>
      <c r="U33" s="251"/>
      <c r="V33" s="251"/>
      <c r="W33" s="251"/>
      <c r="X33" s="251"/>
      <c r="Y33" s="251"/>
      <c r="Z33" s="251"/>
    </row>
    <row r="34" spans="1:26" ht="14.25" customHeight="1" x14ac:dyDescent="0.35">
      <c r="A34" s="251">
        <v>2022</v>
      </c>
      <c r="B34" s="254" t="s">
        <v>30</v>
      </c>
      <c r="C34" s="259">
        <v>4474568</v>
      </c>
      <c r="D34" s="260">
        <v>741208</v>
      </c>
      <c r="E34" s="251"/>
      <c r="F34" s="251"/>
      <c r="G34" s="251"/>
      <c r="H34" s="251"/>
      <c r="I34" s="251"/>
      <c r="J34" s="251"/>
      <c r="K34" s="251"/>
      <c r="L34" s="251"/>
      <c r="M34" s="251"/>
      <c r="N34" s="251"/>
      <c r="O34" s="251"/>
      <c r="P34" s="251"/>
      <c r="Q34" s="251"/>
      <c r="R34" s="251"/>
      <c r="S34" s="251"/>
      <c r="T34" s="251"/>
      <c r="U34" s="251"/>
      <c r="V34" s="251"/>
      <c r="W34" s="251"/>
      <c r="X34" s="251"/>
      <c r="Y34" s="251"/>
      <c r="Z34" s="251"/>
    </row>
    <row r="35" spans="1:26" ht="14.25" customHeight="1" x14ac:dyDescent="0.35">
      <c r="A35" s="251">
        <v>2022</v>
      </c>
      <c r="B35" s="254" t="s">
        <v>31</v>
      </c>
      <c r="C35" s="259">
        <v>4513548</v>
      </c>
      <c r="D35" s="260">
        <v>806681</v>
      </c>
      <c r="E35" s="251"/>
      <c r="F35" s="251"/>
      <c r="G35" s="251"/>
      <c r="H35" s="251"/>
      <c r="I35" s="251"/>
      <c r="J35" s="251"/>
      <c r="K35" s="251"/>
      <c r="L35" s="251"/>
      <c r="M35" s="251"/>
      <c r="N35" s="251"/>
      <c r="O35" s="251"/>
      <c r="P35" s="251"/>
      <c r="Q35" s="251"/>
      <c r="R35" s="251"/>
      <c r="S35" s="251"/>
      <c r="T35" s="251"/>
      <c r="U35" s="251"/>
      <c r="V35" s="251"/>
      <c r="W35" s="251"/>
      <c r="X35" s="251"/>
      <c r="Y35" s="251"/>
      <c r="Z35" s="251"/>
    </row>
    <row r="36" spans="1:26" ht="14.25" customHeight="1" x14ac:dyDescent="0.35">
      <c r="A36" s="251">
        <v>2022</v>
      </c>
      <c r="B36" s="254" t="s">
        <v>32</v>
      </c>
      <c r="C36" s="259">
        <v>4777168</v>
      </c>
      <c r="D36" s="260">
        <v>630297</v>
      </c>
      <c r="E36" s="251"/>
      <c r="F36" s="251"/>
      <c r="G36" s="251"/>
      <c r="H36" s="251"/>
      <c r="I36" s="251"/>
      <c r="J36" s="251"/>
      <c r="K36" s="251"/>
      <c r="L36" s="251"/>
      <c r="M36" s="251"/>
      <c r="N36" s="251"/>
      <c r="O36" s="251"/>
      <c r="P36" s="251"/>
      <c r="Q36" s="251"/>
      <c r="R36" s="251"/>
      <c r="S36" s="251"/>
      <c r="T36" s="251"/>
      <c r="U36" s="251"/>
      <c r="V36" s="251"/>
      <c r="W36" s="251"/>
      <c r="X36" s="251"/>
      <c r="Y36" s="251"/>
      <c r="Z36" s="251"/>
    </row>
    <row r="37" spans="1:26" ht="14.25" customHeight="1" x14ac:dyDescent="0.35">
      <c r="A37" s="251">
        <v>2022</v>
      </c>
      <c r="B37" s="254" t="s">
        <v>33</v>
      </c>
      <c r="C37" s="259">
        <v>5483061</v>
      </c>
      <c r="D37" s="260">
        <v>778973</v>
      </c>
      <c r="E37" s="251"/>
      <c r="F37" s="251"/>
      <c r="G37" s="251"/>
      <c r="H37" s="251"/>
      <c r="I37" s="251"/>
      <c r="J37" s="251"/>
      <c r="K37" s="251"/>
      <c r="L37" s="251"/>
      <c r="M37" s="251"/>
      <c r="N37" s="251"/>
      <c r="O37" s="251"/>
      <c r="P37" s="251"/>
      <c r="Q37" s="251"/>
      <c r="R37" s="251"/>
      <c r="S37" s="251"/>
      <c r="T37" s="251"/>
      <c r="U37" s="251"/>
      <c r="V37" s="251"/>
      <c r="W37" s="251"/>
      <c r="X37" s="251"/>
      <c r="Y37" s="251"/>
      <c r="Z37" s="251"/>
    </row>
    <row r="38" spans="1:26" ht="14.25" customHeight="1" x14ac:dyDescent="0.35">
      <c r="A38" s="251">
        <v>2022</v>
      </c>
      <c r="B38" s="254" t="s">
        <v>34</v>
      </c>
      <c r="C38" s="259">
        <v>5834663</v>
      </c>
      <c r="D38" s="260">
        <v>1434955</v>
      </c>
      <c r="E38" s="251"/>
      <c r="F38" s="251"/>
      <c r="G38" s="251"/>
      <c r="H38" s="251"/>
      <c r="I38" s="251"/>
      <c r="J38" s="251"/>
      <c r="K38" s="251"/>
      <c r="L38" s="251"/>
      <c r="M38" s="251"/>
      <c r="N38" s="251"/>
      <c r="O38" s="251"/>
      <c r="P38" s="251"/>
      <c r="Q38" s="251"/>
      <c r="R38" s="251"/>
      <c r="S38" s="251"/>
      <c r="T38" s="251"/>
      <c r="U38" s="251"/>
      <c r="V38" s="251"/>
      <c r="W38" s="251"/>
      <c r="X38" s="251"/>
      <c r="Y38" s="251"/>
      <c r="Z38" s="251"/>
    </row>
    <row r="39" spans="1:26" ht="14.25" customHeight="1" x14ac:dyDescent="0.35">
      <c r="A39" s="251">
        <v>2021</v>
      </c>
      <c r="B39" s="254" t="s">
        <v>54</v>
      </c>
      <c r="C39" s="259">
        <v>5433832</v>
      </c>
      <c r="D39" s="260">
        <v>560240</v>
      </c>
      <c r="E39" s="251"/>
      <c r="F39" s="251"/>
      <c r="G39" s="251"/>
      <c r="H39" s="251"/>
      <c r="I39" s="251"/>
      <c r="J39" s="251"/>
      <c r="K39" s="251"/>
      <c r="L39" s="251"/>
      <c r="M39" s="251"/>
      <c r="N39" s="251"/>
      <c r="O39" s="251"/>
      <c r="P39" s="251"/>
      <c r="Q39" s="251"/>
      <c r="R39" s="251"/>
      <c r="S39" s="251"/>
      <c r="T39" s="251"/>
      <c r="U39" s="251"/>
      <c r="V39" s="251"/>
      <c r="W39" s="251"/>
      <c r="X39" s="251"/>
      <c r="Y39" s="251"/>
      <c r="Z39" s="251"/>
    </row>
    <row r="40" spans="1:26" ht="14.25" customHeight="1" x14ac:dyDescent="0.35">
      <c r="A40" s="251">
        <v>2021</v>
      </c>
      <c r="B40" s="254" t="s">
        <v>55</v>
      </c>
      <c r="C40" s="259">
        <v>6043748</v>
      </c>
      <c r="D40" s="260">
        <v>662864</v>
      </c>
      <c r="E40" s="251"/>
      <c r="F40" s="251"/>
      <c r="G40" s="251"/>
      <c r="H40" s="251"/>
      <c r="I40" s="251"/>
      <c r="J40" s="251"/>
      <c r="K40" s="251"/>
      <c r="L40" s="251"/>
      <c r="M40" s="251"/>
      <c r="N40" s="251"/>
      <c r="O40" s="251"/>
      <c r="P40" s="251"/>
      <c r="Q40" s="251"/>
      <c r="R40" s="251"/>
      <c r="S40" s="251"/>
      <c r="T40" s="251"/>
      <c r="U40" s="251"/>
      <c r="V40" s="251"/>
      <c r="W40" s="251"/>
      <c r="X40" s="251"/>
      <c r="Y40" s="251"/>
      <c r="Z40" s="251"/>
    </row>
    <row r="41" spans="1:26" ht="14.25" customHeight="1" x14ac:dyDescent="0.35">
      <c r="A41" s="251">
        <v>2021</v>
      </c>
      <c r="B41" s="254" t="s">
        <v>25</v>
      </c>
      <c r="C41" s="259">
        <v>5374864</v>
      </c>
      <c r="D41" s="260">
        <v>575839</v>
      </c>
      <c r="E41" s="251"/>
      <c r="F41" s="251"/>
      <c r="G41" s="251"/>
      <c r="H41" s="251"/>
      <c r="I41" s="251"/>
      <c r="J41" s="251"/>
      <c r="K41" s="251"/>
      <c r="L41" s="251"/>
      <c r="M41" s="251"/>
      <c r="N41" s="251"/>
      <c r="O41" s="251"/>
      <c r="P41" s="251"/>
      <c r="Q41" s="251"/>
      <c r="R41" s="251"/>
      <c r="S41" s="251"/>
      <c r="T41" s="251"/>
      <c r="U41" s="251"/>
      <c r="V41" s="251"/>
      <c r="W41" s="251"/>
      <c r="X41" s="251"/>
      <c r="Y41" s="251"/>
      <c r="Z41" s="251"/>
    </row>
    <row r="42" spans="1:26" ht="14.25" customHeight="1" x14ac:dyDescent="0.35">
      <c r="A42" s="251">
        <v>2021</v>
      </c>
      <c r="B42" s="254" t="s">
        <v>26</v>
      </c>
      <c r="C42" s="259">
        <v>5343808</v>
      </c>
      <c r="D42" s="260">
        <v>572539</v>
      </c>
      <c r="E42" s="251"/>
      <c r="F42" s="251"/>
      <c r="G42" s="251"/>
      <c r="H42" s="251"/>
      <c r="I42" s="251"/>
      <c r="J42" s="251"/>
      <c r="K42" s="251"/>
      <c r="L42" s="251"/>
      <c r="M42" s="251"/>
      <c r="N42" s="251"/>
      <c r="O42" s="251"/>
      <c r="P42" s="251"/>
      <c r="Q42" s="251"/>
      <c r="R42" s="251"/>
      <c r="S42" s="251"/>
      <c r="T42" s="251"/>
      <c r="U42" s="251"/>
      <c r="V42" s="251"/>
      <c r="W42" s="251"/>
      <c r="X42" s="251"/>
      <c r="Y42" s="251"/>
      <c r="Z42" s="251"/>
    </row>
    <row r="43" spans="1:26" ht="14.25" customHeight="1" x14ac:dyDescent="0.35">
      <c r="A43" s="251">
        <v>2021</v>
      </c>
      <c r="B43" s="254" t="s">
        <v>27</v>
      </c>
      <c r="C43" s="259">
        <v>5151275</v>
      </c>
      <c r="D43" s="260">
        <v>573088</v>
      </c>
      <c r="E43" s="251"/>
      <c r="F43" s="251"/>
      <c r="G43" s="251"/>
      <c r="H43" s="251"/>
      <c r="I43" s="251"/>
      <c r="J43" s="251"/>
      <c r="K43" s="251"/>
      <c r="L43" s="251"/>
      <c r="M43" s="251"/>
      <c r="N43" s="251"/>
      <c r="O43" s="251"/>
      <c r="P43" s="251"/>
      <c r="Q43" s="251"/>
      <c r="R43" s="251"/>
      <c r="S43" s="251"/>
      <c r="T43" s="251"/>
      <c r="U43" s="251"/>
      <c r="V43" s="251"/>
      <c r="W43" s="251"/>
      <c r="X43" s="251"/>
      <c r="Y43" s="251"/>
      <c r="Z43" s="251"/>
    </row>
    <row r="44" spans="1:26" ht="14.25" customHeight="1" x14ac:dyDescent="0.35">
      <c r="A44" s="251">
        <v>2021</v>
      </c>
      <c r="B44" s="254" t="s">
        <v>28</v>
      </c>
      <c r="C44" s="259">
        <v>5462469</v>
      </c>
      <c r="D44" s="260">
        <v>651064</v>
      </c>
      <c r="E44" s="251"/>
      <c r="F44" s="251"/>
      <c r="G44" s="251"/>
      <c r="H44" s="251"/>
      <c r="I44" s="251"/>
      <c r="J44" s="251"/>
      <c r="K44" s="251"/>
      <c r="L44" s="251"/>
      <c r="M44" s="251"/>
      <c r="N44" s="251"/>
      <c r="O44" s="251"/>
      <c r="P44" s="251"/>
      <c r="Q44" s="251"/>
      <c r="R44" s="251"/>
      <c r="S44" s="251"/>
      <c r="T44" s="251"/>
      <c r="U44" s="251"/>
      <c r="V44" s="251"/>
      <c r="W44" s="251"/>
      <c r="X44" s="251"/>
      <c r="Y44" s="251"/>
      <c r="Z44" s="251"/>
    </row>
    <row r="45" spans="1:26" ht="14.25" customHeight="1" x14ac:dyDescent="0.35">
      <c r="A45" s="251">
        <v>2021</v>
      </c>
      <c r="B45" s="254" t="s">
        <v>29</v>
      </c>
      <c r="C45" s="259">
        <v>4958084</v>
      </c>
      <c r="D45" s="260">
        <v>717379</v>
      </c>
      <c r="E45" s="251"/>
      <c r="F45" s="251"/>
      <c r="G45" s="251"/>
      <c r="H45" s="251"/>
      <c r="I45" s="251"/>
      <c r="J45" s="251"/>
      <c r="K45" s="251"/>
      <c r="L45" s="251"/>
      <c r="M45" s="251"/>
      <c r="N45" s="251"/>
      <c r="O45" s="251"/>
      <c r="P45" s="251"/>
      <c r="Q45" s="251"/>
      <c r="R45" s="251"/>
      <c r="S45" s="251"/>
      <c r="T45" s="251"/>
      <c r="U45" s="251"/>
      <c r="V45" s="251"/>
      <c r="W45" s="251"/>
      <c r="X45" s="251"/>
      <c r="Y45" s="251"/>
      <c r="Z45" s="251"/>
    </row>
    <row r="46" spans="1:26" ht="14.25" customHeight="1" x14ac:dyDescent="0.35">
      <c r="A46" s="251">
        <v>2021</v>
      </c>
      <c r="B46" s="254" t="s">
        <v>30</v>
      </c>
      <c r="C46" s="259">
        <v>1765336</v>
      </c>
      <c r="D46" s="260">
        <v>259006</v>
      </c>
      <c r="E46" s="251"/>
      <c r="F46" s="251"/>
      <c r="G46" s="251"/>
      <c r="H46" s="251"/>
      <c r="I46" s="251"/>
      <c r="J46" s="251"/>
      <c r="K46" s="251"/>
      <c r="L46" s="251"/>
      <c r="M46" s="251"/>
      <c r="N46" s="251"/>
      <c r="O46" s="251"/>
      <c r="P46" s="251"/>
      <c r="Q46" s="251"/>
      <c r="R46" s="251"/>
      <c r="S46" s="251"/>
      <c r="T46" s="251"/>
      <c r="U46" s="251"/>
      <c r="V46" s="251"/>
      <c r="W46" s="251"/>
      <c r="X46" s="251"/>
      <c r="Y46" s="251"/>
      <c r="Z46" s="251"/>
    </row>
    <row r="47" spans="1:26" ht="14.25" customHeight="1" x14ac:dyDescent="0.35">
      <c r="A47" s="251">
        <v>2021</v>
      </c>
      <c r="B47" s="254" t="s">
        <v>31</v>
      </c>
      <c r="C47" s="259">
        <v>5326164</v>
      </c>
      <c r="D47" s="260">
        <v>784777</v>
      </c>
      <c r="E47" s="251"/>
      <c r="F47" s="251"/>
      <c r="G47" s="251"/>
      <c r="H47" s="251"/>
      <c r="I47" s="251"/>
      <c r="J47" s="251"/>
      <c r="K47" s="251"/>
      <c r="L47" s="251"/>
      <c r="M47" s="251"/>
      <c r="N47" s="251"/>
      <c r="O47" s="251"/>
      <c r="P47" s="251"/>
      <c r="Q47" s="251"/>
      <c r="R47" s="251"/>
      <c r="S47" s="251"/>
      <c r="T47" s="251"/>
      <c r="U47" s="251"/>
      <c r="V47" s="251"/>
      <c r="W47" s="251"/>
      <c r="X47" s="251"/>
      <c r="Y47" s="251"/>
      <c r="Z47" s="251"/>
    </row>
    <row r="48" spans="1:26" ht="14.25" customHeight="1" x14ac:dyDescent="0.35">
      <c r="A48" s="251">
        <v>2021</v>
      </c>
      <c r="B48" s="254" t="s">
        <v>32</v>
      </c>
      <c r="C48" s="259">
        <v>5017979</v>
      </c>
      <c r="D48" s="260">
        <v>663750</v>
      </c>
      <c r="E48" s="251"/>
      <c r="F48" s="251"/>
      <c r="G48" s="251"/>
      <c r="H48" s="251"/>
      <c r="I48" s="251"/>
      <c r="J48" s="251"/>
      <c r="K48" s="251"/>
      <c r="L48" s="251"/>
      <c r="M48" s="251"/>
      <c r="N48" s="251"/>
      <c r="O48" s="251"/>
      <c r="P48" s="251"/>
      <c r="Q48" s="251"/>
      <c r="R48" s="251"/>
      <c r="S48" s="251"/>
      <c r="T48" s="251"/>
      <c r="U48" s="251"/>
      <c r="V48" s="251"/>
      <c r="W48" s="251"/>
      <c r="X48" s="251"/>
      <c r="Y48" s="251"/>
      <c r="Z48" s="251"/>
    </row>
    <row r="49" spans="1:26" ht="14.25" customHeight="1" x14ac:dyDescent="0.35">
      <c r="A49" s="251">
        <v>2021</v>
      </c>
      <c r="B49" s="254" t="s">
        <v>33</v>
      </c>
      <c r="C49" s="259">
        <v>5798534</v>
      </c>
      <c r="D49" s="260">
        <v>719367</v>
      </c>
      <c r="E49" s="251"/>
      <c r="F49" s="251"/>
      <c r="G49" s="251"/>
      <c r="H49" s="251"/>
      <c r="I49" s="251"/>
      <c r="J49" s="251"/>
      <c r="K49" s="251"/>
      <c r="L49" s="251"/>
      <c r="M49" s="251"/>
      <c r="N49" s="251"/>
      <c r="O49" s="251"/>
      <c r="P49" s="251"/>
      <c r="Q49" s="251"/>
      <c r="R49" s="251"/>
      <c r="S49" s="251"/>
      <c r="T49" s="251"/>
      <c r="U49" s="251"/>
      <c r="V49" s="251"/>
      <c r="W49" s="251"/>
      <c r="X49" s="251"/>
      <c r="Y49" s="251"/>
      <c r="Z49" s="251"/>
    </row>
    <row r="50" spans="1:26" ht="14.25" customHeight="1" x14ac:dyDescent="0.35">
      <c r="A50" s="251">
        <v>2021</v>
      </c>
      <c r="B50" s="254" t="s">
        <v>34</v>
      </c>
      <c r="C50" s="259">
        <v>5045000</v>
      </c>
      <c r="D50" s="260">
        <v>651583</v>
      </c>
      <c r="E50" s="251"/>
      <c r="F50" s="251"/>
      <c r="G50" s="251"/>
      <c r="H50" s="251"/>
      <c r="I50" s="251"/>
      <c r="J50" s="251"/>
      <c r="K50" s="251"/>
      <c r="L50" s="251"/>
      <c r="M50" s="251"/>
      <c r="N50" s="251"/>
      <c r="O50" s="251"/>
      <c r="P50" s="251"/>
      <c r="Q50" s="251"/>
      <c r="R50" s="251"/>
      <c r="S50" s="251"/>
      <c r="T50" s="251"/>
      <c r="U50" s="251"/>
      <c r="V50" s="251"/>
      <c r="W50" s="251"/>
      <c r="X50" s="251"/>
      <c r="Y50" s="251"/>
      <c r="Z50" s="251"/>
    </row>
    <row r="51" spans="1:26" ht="14.25" customHeight="1" x14ac:dyDescent="0.35">
      <c r="A51" s="251">
        <v>2020</v>
      </c>
      <c r="B51" s="254" t="s">
        <v>54</v>
      </c>
      <c r="C51" s="259">
        <v>5877645</v>
      </c>
      <c r="D51" s="260">
        <v>503175</v>
      </c>
      <c r="E51" s="251"/>
      <c r="F51" s="251"/>
      <c r="G51" s="251"/>
      <c r="H51" s="251"/>
      <c r="I51" s="251"/>
      <c r="J51" s="251"/>
      <c r="K51" s="251"/>
      <c r="L51" s="251"/>
      <c r="M51" s="251"/>
      <c r="N51" s="251"/>
      <c r="O51" s="251"/>
      <c r="P51" s="251"/>
      <c r="Q51" s="251"/>
      <c r="R51" s="251"/>
      <c r="S51" s="251"/>
      <c r="T51" s="251"/>
      <c r="U51" s="251"/>
      <c r="V51" s="251"/>
      <c r="W51" s="251"/>
      <c r="X51" s="251"/>
      <c r="Y51" s="251"/>
      <c r="Z51" s="251"/>
    </row>
    <row r="52" spans="1:26" ht="14.25" customHeight="1" x14ac:dyDescent="0.35">
      <c r="A52" s="251">
        <v>2020</v>
      </c>
      <c r="B52" s="254" t="s">
        <v>55</v>
      </c>
      <c r="C52" s="259">
        <v>5938748</v>
      </c>
      <c r="D52" s="260">
        <v>508377</v>
      </c>
      <c r="E52" s="251"/>
      <c r="F52" s="251"/>
      <c r="G52" s="251"/>
      <c r="H52" s="251"/>
      <c r="I52" s="251"/>
      <c r="J52" s="251"/>
      <c r="K52" s="251"/>
      <c r="L52" s="251"/>
      <c r="M52" s="251"/>
      <c r="N52" s="251"/>
      <c r="O52" s="251"/>
      <c r="P52" s="251"/>
      <c r="Q52" s="251"/>
      <c r="R52" s="251"/>
      <c r="S52" s="251"/>
      <c r="T52" s="251"/>
      <c r="U52" s="251"/>
      <c r="V52" s="251"/>
      <c r="W52" s="251"/>
      <c r="X52" s="251"/>
      <c r="Y52" s="251"/>
      <c r="Z52" s="251"/>
    </row>
    <row r="53" spans="1:26" ht="14.25" customHeight="1" x14ac:dyDescent="0.35">
      <c r="A53" s="251">
        <v>2020</v>
      </c>
      <c r="B53" s="254" t="s">
        <v>25</v>
      </c>
      <c r="C53" s="259">
        <v>5604121</v>
      </c>
      <c r="D53" s="260">
        <v>485857</v>
      </c>
      <c r="E53" s="251"/>
      <c r="F53" s="251"/>
      <c r="G53" s="251"/>
      <c r="H53" s="251"/>
      <c r="I53" s="251"/>
      <c r="J53" s="251"/>
      <c r="K53" s="251"/>
      <c r="L53" s="251"/>
      <c r="M53" s="251"/>
      <c r="N53" s="251"/>
      <c r="O53" s="251"/>
      <c r="P53" s="251"/>
      <c r="Q53" s="251"/>
      <c r="R53" s="251"/>
      <c r="S53" s="251"/>
      <c r="T53" s="251"/>
      <c r="U53" s="251"/>
      <c r="V53" s="251"/>
      <c r="W53" s="251"/>
      <c r="X53" s="251"/>
      <c r="Y53" s="251"/>
      <c r="Z53" s="251"/>
    </row>
    <row r="54" spans="1:26" ht="14.25" customHeight="1" x14ac:dyDescent="0.35">
      <c r="A54" s="251">
        <v>2020</v>
      </c>
      <c r="B54" s="254" t="s">
        <v>26</v>
      </c>
      <c r="C54" s="259">
        <v>4220470</v>
      </c>
      <c r="D54" s="260">
        <v>446226</v>
      </c>
      <c r="E54" s="251"/>
      <c r="F54" s="251"/>
      <c r="G54" s="251"/>
      <c r="H54" s="251"/>
      <c r="I54" s="251"/>
      <c r="J54" s="251"/>
      <c r="K54" s="251"/>
      <c r="L54" s="251"/>
      <c r="M54" s="251"/>
      <c r="N54" s="251"/>
      <c r="O54" s="251"/>
      <c r="P54" s="251"/>
      <c r="Q54" s="251"/>
      <c r="R54" s="251"/>
      <c r="S54" s="251"/>
      <c r="T54" s="251"/>
      <c r="U54" s="251"/>
      <c r="V54" s="251"/>
      <c r="W54" s="251"/>
      <c r="X54" s="251"/>
      <c r="Y54" s="251"/>
      <c r="Z54" s="251"/>
    </row>
    <row r="55" spans="1:26" ht="14.25" customHeight="1" x14ac:dyDescent="0.35">
      <c r="A55" s="251">
        <v>2020</v>
      </c>
      <c r="B55" s="254" t="s">
        <v>27</v>
      </c>
      <c r="C55" s="259">
        <v>4433396</v>
      </c>
      <c r="D55" s="260">
        <v>491536</v>
      </c>
      <c r="E55" s="251"/>
      <c r="F55" s="251"/>
      <c r="G55" s="251"/>
      <c r="H55" s="251"/>
      <c r="I55" s="251"/>
      <c r="J55" s="251"/>
      <c r="K55" s="251"/>
      <c r="L55" s="251"/>
      <c r="M55" s="251"/>
      <c r="N55" s="251"/>
      <c r="O55" s="251"/>
      <c r="P55" s="251"/>
      <c r="Q55" s="251"/>
      <c r="R55" s="251"/>
      <c r="S55" s="251"/>
      <c r="T55" s="251"/>
      <c r="U55" s="251"/>
      <c r="V55" s="251"/>
      <c r="W55" s="251"/>
      <c r="X55" s="251"/>
      <c r="Y55" s="251"/>
      <c r="Z55" s="251"/>
    </row>
    <row r="56" spans="1:26" ht="14.25" customHeight="1" x14ac:dyDescent="0.35">
      <c r="A56" s="251">
        <v>2020</v>
      </c>
      <c r="B56" s="254" t="s">
        <v>28</v>
      </c>
      <c r="C56" s="259">
        <v>5903832</v>
      </c>
      <c r="D56" s="260">
        <v>649968</v>
      </c>
      <c r="E56" s="251"/>
      <c r="F56" s="251"/>
      <c r="G56" s="251"/>
      <c r="H56" s="251"/>
      <c r="I56" s="251"/>
      <c r="J56" s="251"/>
      <c r="K56" s="251"/>
      <c r="L56" s="251"/>
      <c r="M56" s="251"/>
      <c r="N56" s="251"/>
      <c r="O56" s="251"/>
      <c r="P56" s="251"/>
      <c r="Q56" s="251"/>
      <c r="R56" s="251"/>
      <c r="S56" s="251"/>
      <c r="T56" s="251"/>
      <c r="U56" s="251"/>
      <c r="V56" s="251"/>
      <c r="W56" s="251"/>
      <c r="X56" s="251"/>
      <c r="Y56" s="251"/>
      <c r="Z56" s="251"/>
    </row>
    <row r="57" spans="1:26" ht="14.25" customHeight="1" x14ac:dyDescent="0.35">
      <c r="A57" s="251">
        <v>2020</v>
      </c>
      <c r="B57" s="254" t="s">
        <v>29</v>
      </c>
      <c r="C57" s="259">
        <v>5193968</v>
      </c>
      <c r="D57" s="260">
        <v>610422</v>
      </c>
      <c r="E57" s="251"/>
      <c r="F57" s="251"/>
      <c r="G57" s="251"/>
      <c r="H57" s="251"/>
      <c r="I57" s="251"/>
      <c r="J57" s="251"/>
      <c r="K57" s="251"/>
      <c r="L57" s="251"/>
      <c r="M57" s="251"/>
      <c r="N57" s="251"/>
      <c r="O57" s="251"/>
      <c r="P57" s="251"/>
      <c r="Q57" s="251"/>
      <c r="R57" s="251"/>
      <c r="S57" s="251"/>
      <c r="T57" s="251"/>
      <c r="U57" s="251"/>
      <c r="V57" s="251"/>
      <c r="W57" s="251"/>
      <c r="X57" s="251"/>
      <c r="Y57" s="251"/>
      <c r="Z57" s="251"/>
    </row>
    <row r="58" spans="1:26" ht="14.25" customHeight="1" x14ac:dyDescent="0.35">
      <c r="A58" s="251">
        <v>2020</v>
      </c>
      <c r="B58" s="254" t="s">
        <v>30</v>
      </c>
      <c r="C58" s="259">
        <v>4368936</v>
      </c>
      <c r="D58" s="260">
        <v>510057</v>
      </c>
      <c r="E58" s="251"/>
      <c r="F58" s="251"/>
      <c r="G58" s="251"/>
      <c r="H58" s="251"/>
      <c r="I58" s="251"/>
      <c r="J58" s="251"/>
      <c r="K58" s="251"/>
      <c r="L58" s="251"/>
      <c r="M58" s="251"/>
      <c r="N58" s="251"/>
      <c r="O58" s="251"/>
      <c r="P58" s="251"/>
      <c r="Q58" s="251"/>
      <c r="R58" s="251"/>
      <c r="S58" s="251"/>
      <c r="T58" s="251"/>
      <c r="U58" s="251"/>
      <c r="V58" s="251"/>
      <c r="W58" s="251"/>
      <c r="X58" s="251"/>
      <c r="Y58" s="251"/>
      <c r="Z58" s="251"/>
    </row>
    <row r="59" spans="1:26" ht="14.25" customHeight="1" x14ac:dyDescent="0.35">
      <c r="A59" s="251">
        <v>2020</v>
      </c>
      <c r="B59" s="254" t="s">
        <v>31</v>
      </c>
      <c r="C59" s="259">
        <v>5578092</v>
      </c>
      <c r="D59" s="260">
        <v>640755</v>
      </c>
      <c r="E59" s="251"/>
      <c r="F59" s="251"/>
      <c r="G59" s="251"/>
      <c r="H59" s="251"/>
      <c r="I59" s="251"/>
      <c r="J59" s="251"/>
      <c r="K59" s="251"/>
      <c r="L59" s="251"/>
      <c r="M59" s="251"/>
      <c r="N59" s="251"/>
      <c r="O59" s="251"/>
      <c r="P59" s="251"/>
      <c r="Q59" s="251"/>
      <c r="R59" s="251"/>
      <c r="S59" s="251"/>
      <c r="T59" s="251"/>
      <c r="U59" s="251"/>
      <c r="V59" s="251"/>
      <c r="W59" s="251"/>
      <c r="X59" s="251"/>
      <c r="Y59" s="251"/>
      <c r="Z59" s="251"/>
    </row>
    <row r="60" spans="1:26" ht="14.25" customHeight="1" x14ac:dyDescent="0.35">
      <c r="A60" s="251">
        <v>2020</v>
      </c>
      <c r="B60" s="254" t="s">
        <v>32</v>
      </c>
      <c r="C60" s="259">
        <v>4945568</v>
      </c>
      <c r="D60" s="260">
        <v>546296</v>
      </c>
      <c r="E60" s="251"/>
      <c r="F60" s="251"/>
      <c r="G60" s="251"/>
      <c r="H60" s="251"/>
      <c r="I60" s="251"/>
      <c r="J60" s="251"/>
      <c r="K60" s="251"/>
      <c r="L60" s="251"/>
      <c r="M60" s="251"/>
      <c r="N60" s="251"/>
      <c r="O60" s="251"/>
      <c r="P60" s="251"/>
      <c r="Q60" s="251"/>
      <c r="R60" s="251"/>
      <c r="S60" s="251"/>
      <c r="T60" s="251"/>
      <c r="U60" s="251"/>
      <c r="V60" s="251"/>
      <c r="W60" s="251"/>
      <c r="X60" s="251"/>
      <c r="Y60" s="251"/>
      <c r="Z60" s="251"/>
    </row>
    <row r="61" spans="1:26" ht="14.25" customHeight="1" x14ac:dyDescent="0.35">
      <c r="A61" s="251">
        <v>2020</v>
      </c>
      <c r="B61" s="254" t="s">
        <v>33</v>
      </c>
      <c r="C61" s="259">
        <v>5858732</v>
      </c>
      <c r="D61" s="260">
        <v>620836</v>
      </c>
      <c r="E61" s="251"/>
      <c r="F61" s="251"/>
      <c r="G61" s="251"/>
      <c r="H61" s="251"/>
      <c r="I61" s="251"/>
      <c r="J61" s="251"/>
      <c r="K61" s="251"/>
      <c r="L61" s="251"/>
      <c r="M61" s="251"/>
      <c r="N61" s="251"/>
      <c r="O61" s="251"/>
      <c r="P61" s="251"/>
      <c r="Q61" s="251"/>
      <c r="R61" s="251"/>
      <c r="S61" s="251"/>
      <c r="T61" s="251"/>
      <c r="U61" s="251"/>
      <c r="V61" s="251"/>
      <c r="W61" s="251"/>
      <c r="X61" s="251"/>
      <c r="Y61" s="251"/>
      <c r="Z61" s="251"/>
    </row>
    <row r="62" spans="1:26" ht="14.25" customHeight="1" x14ac:dyDescent="0.35">
      <c r="A62" s="251">
        <v>2020</v>
      </c>
      <c r="B62" s="254" t="s">
        <v>34</v>
      </c>
      <c r="C62" s="259">
        <v>5369336</v>
      </c>
      <c r="D62" s="260">
        <v>563746</v>
      </c>
      <c r="E62" s="251"/>
      <c r="F62" s="251"/>
      <c r="G62" s="251"/>
      <c r="H62" s="251"/>
      <c r="I62" s="251"/>
      <c r="J62" s="251"/>
      <c r="K62" s="251"/>
      <c r="L62" s="251"/>
      <c r="M62" s="251"/>
      <c r="N62" s="251"/>
      <c r="O62" s="251"/>
      <c r="P62" s="251"/>
      <c r="Q62" s="251"/>
      <c r="R62" s="251"/>
      <c r="S62" s="251"/>
      <c r="T62" s="251"/>
      <c r="U62" s="251"/>
      <c r="V62" s="251"/>
      <c r="W62" s="251"/>
      <c r="X62" s="251"/>
      <c r="Y62" s="251"/>
      <c r="Z62" s="251"/>
    </row>
    <row r="63" spans="1:26" ht="14.25" customHeight="1" x14ac:dyDescent="0.35">
      <c r="A63" s="251"/>
      <c r="B63" s="251"/>
      <c r="C63" s="251"/>
      <c r="D63" s="251"/>
      <c r="E63" s="251"/>
      <c r="F63" s="251"/>
      <c r="G63" s="251"/>
      <c r="H63" s="251"/>
      <c r="I63" s="251"/>
      <c r="J63" s="251"/>
      <c r="K63" s="251"/>
      <c r="L63" s="251"/>
      <c r="M63" s="251"/>
      <c r="N63" s="251"/>
      <c r="O63" s="251"/>
      <c r="P63" s="251"/>
      <c r="Q63" s="251"/>
      <c r="R63" s="251"/>
      <c r="S63" s="251"/>
      <c r="T63" s="251"/>
      <c r="U63" s="251"/>
      <c r="V63" s="251"/>
      <c r="W63" s="251"/>
      <c r="X63" s="251"/>
      <c r="Y63" s="251"/>
      <c r="Z63" s="251"/>
    </row>
    <row r="64" spans="1:26" ht="14.25" customHeight="1" x14ac:dyDescent="0.35">
      <c r="A64" s="251"/>
      <c r="B64" s="251"/>
      <c r="C64" s="251"/>
      <c r="D64" s="251"/>
      <c r="E64" s="251"/>
      <c r="F64" s="251"/>
      <c r="G64" s="251"/>
      <c r="H64" s="251"/>
      <c r="I64" s="251"/>
      <c r="J64" s="251"/>
      <c r="K64" s="251"/>
      <c r="L64" s="251"/>
      <c r="M64" s="251"/>
      <c r="N64" s="251"/>
      <c r="O64" s="251"/>
      <c r="P64" s="251"/>
      <c r="Q64" s="251"/>
      <c r="R64" s="251"/>
      <c r="S64" s="251"/>
      <c r="T64" s="251"/>
      <c r="U64" s="251"/>
      <c r="V64" s="251"/>
      <c r="W64" s="251"/>
      <c r="X64" s="251"/>
      <c r="Y64" s="251"/>
      <c r="Z64" s="251"/>
    </row>
    <row r="65" spans="1:26" ht="14.25" customHeight="1" x14ac:dyDescent="0.35">
      <c r="A65" s="251"/>
      <c r="B65" s="251"/>
      <c r="C65" s="251"/>
      <c r="D65" s="251"/>
      <c r="E65" s="251"/>
      <c r="F65" s="251"/>
      <c r="G65" s="251"/>
      <c r="H65" s="251"/>
      <c r="I65" s="251"/>
      <c r="J65" s="251"/>
      <c r="K65" s="251"/>
      <c r="L65" s="251"/>
      <c r="M65" s="251"/>
      <c r="N65" s="251"/>
      <c r="O65" s="251"/>
      <c r="P65" s="251"/>
      <c r="Q65" s="251"/>
      <c r="R65" s="251"/>
      <c r="S65" s="251"/>
      <c r="T65" s="251"/>
      <c r="U65" s="251"/>
      <c r="V65" s="251"/>
      <c r="W65" s="251"/>
      <c r="X65" s="251"/>
      <c r="Y65" s="251"/>
      <c r="Z65" s="251"/>
    </row>
    <row r="66" spans="1:26" ht="14.25" customHeight="1" x14ac:dyDescent="0.35">
      <c r="A66" s="251"/>
      <c r="B66" s="251"/>
      <c r="C66" s="251"/>
      <c r="D66" s="251"/>
      <c r="E66" s="251"/>
      <c r="F66" s="251"/>
      <c r="G66" s="251"/>
      <c r="H66" s="251"/>
      <c r="I66" s="251"/>
      <c r="J66" s="251"/>
      <c r="K66" s="251"/>
      <c r="L66" s="251"/>
      <c r="M66" s="251"/>
      <c r="N66" s="251"/>
      <c r="O66" s="251"/>
      <c r="P66" s="251"/>
      <c r="Q66" s="251"/>
      <c r="R66" s="251"/>
      <c r="S66" s="251"/>
      <c r="T66" s="251"/>
      <c r="U66" s="251"/>
      <c r="V66" s="251"/>
      <c r="W66" s="251"/>
      <c r="X66" s="251"/>
      <c r="Y66" s="251"/>
      <c r="Z66" s="251"/>
    </row>
    <row r="67" spans="1:26" ht="14.25" customHeight="1" x14ac:dyDescent="0.35">
      <c r="A67" s="251"/>
      <c r="B67" s="251"/>
      <c r="C67" s="251"/>
      <c r="D67" s="251"/>
      <c r="E67" s="251"/>
      <c r="F67" s="251"/>
      <c r="G67" s="251"/>
      <c r="H67" s="251"/>
      <c r="I67" s="251"/>
      <c r="J67" s="251"/>
      <c r="K67" s="251"/>
      <c r="L67" s="251"/>
      <c r="M67" s="251"/>
      <c r="N67" s="251"/>
      <c r="O67" s="251"/>
      <c r="P67" s="251"/>
      <c r="Q67" s="251"/>
      <c r="R67" s="251"/>
      <c r="S67" s="251"/>
      <c r="T67" s="251"/>
      <c r="U67" s="251"/>
      <c r="V67" s="251"/>
      <c r="W67" s="251"/>
      <c r="X67" s="251"/>
      <c r="Y67" s="251"/>
      <c r="Z67" s="251"/>
    </row>
    <row r="68" spans="1:26" ht="14.25" customHeight="1" x14ac:dyDescent="0.35">
      <c r="A68" s="251"/>
      <c r="B68" s="251"/>
      <c r="C68" s="251"/>
      <c r="D68" s="251"/>
      <c r="E68" s="251"/>
      <c r="F68" s="251"/>
      <c r="G68" s="251"/>
      <c r="H68" s="251"/>
      <c r="I68" s="251"/>
      <c r="J68" s="251"/>
      <c r="K68" s="251"/>
      <c r="L68" s="251"/>
      <c r="M68" s="251"/>
      <c r="N68" s="251"/>
      <c r="O68" s="251"/>
      <c r="P68" s="251"/>
      <c r="Q68" s="251"/>
      <c r="R68" s="251"/>
      <c r="S68" s="251"/>
      <c r="T68" s="251"/>
      <c r="U68" s="251"/>
      <c r="V68" s="251"/>
      <c r="W68" s="251"/>
      <c r="X68" s="251"/>
      <c r="Y68" s="251"/>
      <c r="Z68" s="251"/>
    </row>
    <row r="69" spans="1:26" ht="14.25" customHeight="1" x14ac:dyDescent="0.35">
      <c r="A69" s="251"/>
      <c r="B69" s="251"/>
      <c r="C69" s="251"/>
      <c r="D69" s="251"/>
      <c r="E69" s="251"/>
      <c r="F69" s="251"/>
      <c r="G69" s="251"/>
      <c r="H69" s="251"/>
      <c r="I69" s="251"/>
      <c r="J69" s="251"/>
      <c r="K69" s="251"/>
      <c r="L69" s="251"/>
      <c r="M69" s="251"/>
      <c r="N69" s="251"/>
      <c r="O69" s="251"/>
      <c r="P69" s="251"/>
      <c r="Q69" s="251"/>
      <c r="R69" s="251"/>
      <c r="S69" s="251"/>
      <c r="T69" s="251"/>
      <c r="U69" s="251"/>
      <c r="V69" s="251"/>
      <c r="W69" s="251"/>
      <c r="X69" s="251"/>
      <c r="Y69" s="251"/>
      <c r="Z69" s="251"/>
    </row>
    <row r="70" spans="1:26" ht="14.25" customHeight="1" x14ac:dyDescent="0.35">
      <c r="A70" s="251"/>
      <c r="B70" s="251"/>
      <c r="C70" s="251"/>
      <c r="D70" s="251"/>
      <c r="E70" s="251"/>
      <c r="F70" s="251"/>
      <c r="G70" s="251"/>
      <c r="H70" s="251"/>
      <c r="I70" s="251"/>
      <c r="J70" s="251"/>
      <c r="K70" s="251"/>
      <c r="L70" s="251"/>
      <c r="M70" s="251"/>
      <c r="N70" s="251"/>
      <c r="O70" s="251"/>
      <c r="P70" s="251"/>
      <c r="Q70" s="251"/>
      <c r="R70" s="251"/>
      <c r="S70" s="251"/>
      <c r="T70" s="251"/>
      <c r="U70" s="251"/>
      <c r="V70" s="251"/>
      <c r="W70" s="251"/>
      <c r="X70" s="251"/>
      <c r="Y70" s="251"/>
      <c r="Z70" s="251"/>
    </row>
    <row r="71" spans="1:26" ht="14.25" customHeight="1" x14ac:dyDescent="0.35">
      <c r="A71" s="251"/>
      <c r="B71" s="251"/>
      <c r="C71" s="251"/>
      <c r="D71" s="251"/>
      <c r="E71" s="251"/>
      <c r="F71" s="251"/>
      <c r="G71" s="251"/>
      <c r="H71" s="251"/>
      <c r="I71" s="251"/>
      <c r="J71" s="251"/>
      <c r="K71" s="251"/>
      <c r="L71" s="251"/>
      <c r="M71" s="251"/>
      <c r="N71" s="251"/>
      <c r="O71" s="251"/>
      <c r="P71" s="251"/>
      <c r="Q71" s="251"/>
      <c r="R71" s="251"/>
      <c r="S71" s="251"/>
      <c r="T71" s="251"/>
      <c r="U71" s="251"/>
      <c r="V71" s="251"/>
      <c r="W71" s="251"/>
      <c r="X71" s="251"/>
      <c r="Y71" s="251"/>
      <c r="Z71" s="251"/>
    </row>
    <row r="72" spans="1:26" ht="14.25" customHeight="1" x14ac:dyDescent="0.35">
      <c r="A72" s="251"/>
      <c r="B72" s="251"/>
      <c r="C72" s="251"/>
      <c r="D72" s="251"/>
      <c r="E72" s="251"/>
      <c r="F72" s="251"/>
      <c r="G72" s="251"/>
      <c r="H72" s="251"/>
      <c r="I72" s="251"/>
      <c r="J72" s="251"/>
      <c r="K72" s="251"/>
      <c r="L72" s="251"/>
      <c r="M72" s="251"/>
      <c r="N72" s="251"/>
      <c r="O72" s="251"/>
      <c r="P72" s="251"/>
      <c r="Q72" s="251"/>
      <c r="R72" s="251"/>
      <c r="S72" s="251"/>
      <c r="T72" s="251"/>
      <c r="U72" s="251"/>
      <c r="V72" s="251"/>
      <c r="W72" s="251"/>
      <c r="X72" s="251"/>
      <c r="Y72" s="251"/>
      <c r="Z72" s="251"/>
    </row>
    <row r="73" spans="1:26" ht="14.25" customHeight="1" x14ac:dyDescent="0.35">
      <c r="A73" s="251"/>
      <c r="B73" s="251"/>
      <c r="C73" s="251"/>
      <c r="D73" s="251"/>
      <c r="E73" s="251"/>
      <c r="F73" s="251"/>
      <c r="G73" s="251"/>
      <c r="H73" s="251"/>
      <c r="I73" s="251"/>
      <c r="J73" s="251"/>
      <c r="K73" s="251"/>
      <c r="L73" s="251"/>
      <c r="M73" s="251"/>
      <c r="N73" s="251"/>
      <c r="O73" s="251"/>
      <c r="P73" s="251"/>
      <c r="Q73" s="251"/>
      <c r="R73" s="251"/>
      <c r="S73" s="251"/>
      <c r="T73" s="251"/>
      <c r="U73" s="251"/>
      <c r="V73" s="251"/>
      <c r="W73" s="251"/>
      <c r="X73" s="251"/>
      <c r="Y73" s="251"/>
      <c r="Z73" s="251"/>
    </row>
    <row r="74" spans="1:26" ht="14.25" customHeight="1" x14ac:dyDescent="0.35">
      <c r="A74" s="251"/>
      <c r="B74" s="251"/>
      <c r="C74" s="251"/>
      <c r="D74" s="251"/>
      <c r="E74" s="251"/>
      <c r="F74" s="251"/>
      <c r="G74" s="251"/>
      <c r="H74" s="251"/>
      <c r="I74" s="251"/>
      <c r="J74" s="251"/>
      <c r="K74" s="251"/>
      <c r="L74" s="251"/>
      <c r="M74" s="251"/>
      <c r="N74" s="251"/>
      <c r="O74" s="251"/>
      <c r="P74" s="251"/>
      <c r="Q74" s="251"/>
      <c r="R74" s="251"/>
      <c r="S74" s="251"/>
      <c r="T74" s="251"/>
      <c r="U74" s="251"/>
      <c r="V74" s="251"/>
      <c r="W74" s="251"/>
      <c r="X74" s="251"/>
      <c r="Y74" s="251"/>
      <c r="Z74" s="251"/>
    </row>
    <row r="75" spans="1:26" ht="14.25" customHeight="1" x14ac:dyDescent="0.35">
      <c r="A75" s="251"/>
      <c r="B75" s="251"/>
      <c r="C75" s="251"/>
      <c r="D75" s="251"/>
      <c r="E75" s="251"/>
      <c r="F75" s="251"/>
      <c r="G75" s="251"/>
      <c r="H75" s="251"/>
      <c r="I75" s="251"/>
      <c r="J75" s="251"/>
      <c r="K75" s="251"/>
      <c r="L75" s="251"/>
      <c r="M75" s="251"/>
      <c r="N75" s="251"/>
      <c r="O75" s="251"/>
      <c r="P75" s="251"/>
      <c r="Q75" s="251"/>
      <c r="R75" s="251"/>
      <c r="S75" s="251"/>
      <c r="T75" s="251"/>
      <c r="U75" s="251"/>
      <c r="V75" s="251"/>
      <c r="W75" s="251"/>
      <c r="X75" s="251"/>
      <c r="Y75" s="251"/>
      <c r="Z75" s="251"/>
    </row>
    <row r="76" spans="1:26" ht="14.25" customHeight="1" x14ac:dyDescent="0.35">
      <c r="A76" s="251"/>
      <c r="B76" s="251"/>
      <c r="C76" s="251"/>
      <c r="D76" s="251"/>
      <c r="E76" s="251"/>
      <c r="F76" s="251"/>
      <c r="G76" s="251"/>
      <c r="H76" s="251"/>
      <c r="I76" s="251"/>
      <c r="J76" s="251"/>
      <c r="K76" s="251"/>
      <c r="L76" s="251"/>
      <c r="M76" s="251"/>
      <c r="N76" s="251"/>
      <c r="O76" s="251"/>
      <c r="P76" s="251"/>
      <c r="Q76" s="251"/>
      <c r="R76" s="251"/>
      <c r="S76" s="251"/>
      <c r="T76" s="251"/>
      <c r="U76" s="251"/>
      <c r="V76" s="251"/>
      <c r="W76" s="251"/>
      <c r="X76" s="251"/>
      <c r="Y76" s="251"/>
      <c r="Z76" s="251"/>
    </row>
    <row r="77" spans="1:26" ht="14.25" customHeight="1" x14ac:dyDescent="0.35">
      <c r="A77" s="251"/>
      <c r="B77" s="251"/>
      <c r="C77" s="251"/>
      <c r="D77" s="251"/>
      <c r="E77" s="251"/>
      <c r="F77" s="251"/>
      <c r="G77" s="251"/>
      <c r="H77" s="251"/>
      <c r="I77" s="251"/>
      <c r="J77" s="251"/>
      <c r="K77" s="251"/>
      <c r="L77" s="251"/>
      <c r="M77" s="251"/>
      <c r="N77" s="251"/>
      <c r="O77" s="251"/>
      <c r="P77" s="251"/>
      <c r="Q77" s="251"/>
      <c r="R77" s="251"/>
      <c r="S77" s="251"/>
      <c r="T77" s="251"/>
      <c r="U77" s="251"/>
      <c r="V77" s="251"/>
      <c r="W77" s="251"/>
      <c r="X77" s="251"/>
      <c r="Y77" s="251"/>
      <c r="Z77" s="251"/>
    </row>
    <row r="78" spans="1:26" ht="14.25" customHeight="1" x14ac:dyDescent="0.35">
      <c r="A78" s="251"/>
      <c r="B78" s="251"/>
      <c r="C78" s="251"/>
      <c r="D78" s="251"/>
      <c r="E78" s="251"/>
      <c r="F78" s="251"/>
      <c r="G78" s="251"/>
      <c r="H78" s="251"/>
      <c r="I78" s="251"/>
      <c r="J78" s="251"/>
      <c r="K78" s="251"/>
      <c r="L78" s="251"/>
      <c r="M78" s="251"/>
      <c r="N78" s="251"/>
      <c r="O78" s="251"/>
      <c r="P78" s="251"/>
      <c r="Q78" s="251"/>
      <c r="R78" s="251"/>
      <c r="S78" s="251"/>
      <c r="T78" s="251"/>
      <c r="U78" s="251"/>
      <c r="V78" s="251"/>
      <c r="W78" s="251"/>
      <c r="X78" s="251"/>
      <c r="Y78" s="251"/>
      <c r="Z78" s="251"/>
    </row>
    <row r="79" spans="1:26" ht="14.25" customHeight="1" x14ac:dyDescent="0.35">
      <c r="A79" s="251"/>
      <c r="B79" s="251"/>
      <c r="C79" s="251"/>
      <c r="D79" s="251"/>
      <c r="E79" s="251"/>
      <c r="F79" s="251"/>
      <c r="G79" s="251"/>
      <c r="H79" s="251"/>
      <c r="I79" s="251"/>
      <c r="J79" s="251"/>
      <c r="K79" s="251"/>
      <c r="L79" s="251"/>
      <c r="M79" s="251"/>
      <c r="N79" s="251"/>
      <c r="O79" s="251"/>
      <c r="P79" s="251"/>
      <c r="Q79" s="251"/>
      <c r="R79" s="251"/>
      <c r="S79" s="251"/>
      <c r="T79" s="251"/>
      <c r="U79" s="251"/>
      <c r="V79" s="251"/>
      <c r="W79" s="251"/>
      <c r="X79" s="251"/>
      <c r="Y79" s="251"/>
      <c r="Z79" s="251"/>
    </row>
    <row r="80" spans="1:26" ht="14.25" customHeight="1" x14ac:dyDescent="0.35">
      <c r="A80" s="251"/>
      <c r="B80" s="251"/>
      <c r="C80" s="251"/>
      <c r="D80" s="251"/>
      <c r="E80" s="251"/>
      <c r="F80" s="251"/>
      <c r="G80" s="251"/>
      <c r="H80" s="251"/>
      <c r="I80" s="251"/>
      <c r="J80" s="251"/>
      <c r="K80" s="251"/>
      <c r="L80" s="251"/>
      <c r="M80" s="251"/>
      <c r="N80" s="251"/>
      <c r="O80" s="251"/>
      <c r="P80" s="251"/>
      <c r="Q80" s="251"/>
      <c r="R80" s="251"/>
      <c r="S80" s="251"/>
      <c r="T80" s="251"/>
      <c r="U80" s="251"/>
      <c r="V80" s="251"/>
      <c r="W80" s="251"/>
      <c r="X80" s="251"/>
      <c r="Y80" s="251"/>
      <c r="Z80" s="251"/>
    </row>
    <row r="81" spans="1:26" ht="14.25" customHeight="1" x14ac:dyDescent="0.35">
      <c r="A81" s="251"/>
      <c r="B81" s="251"/>
      <c r="C81" s="251"/>
      <c r="D81" s="251"/>
      <c r="E81" s="251"/>
      <c r="F81" s="251"/>
      <c r="G81" s="251"/>
      <c r="H81" s="251"/>
      <c r="I81" s="251"/>
      <c r="J81" s="251"/>
      <c r="K81" s="251"/>
      <c r="L81" s="251"/>
      <c r="M81" s="251"/>
      <c r="N81" s="251"/>
      <c r="O81" s="251"/>
      <c r="P81" s="251"/>
      <c r="Q81" s="251"/>
      <c r="R81" s="251"/>
      <c r="S81" s="251"/>
      <c r="T81" s="251"/>
      <c r="U81" s="251"/>
      <c r="V81" s="251"/>
      <c r="W81" s="251"/>
      <c r="X81" s="251"/>
      <c r="Y81" s="251"/>
      <c r="Z81" s="251"/>
    </row>
    <row r="82" spans="1:26" ht="14.25" customHeight="1" x14ac:dyDescent="0.35">
      <c r="A82" s="251"/>
      <c r="B82" s="251"/>
      <c r="C82" s="251"/>
      <c r="D82" s="251"/>
      <c r="E82" s="251"/>
      <c r="F82" s="251"/>
      <c r="G82" s="251"/>
      <c r="H82" s="251"/>
      <c r="I82" s="251"/>
      <c r="J82" s="251"/>
      <c r="K82" s="251"/>
      <c r="L82" s="251"/>
      <c r="M82" s="251"/>
      <c r="N82" s="251"/>
      <c r="O82" s="251"/>
      <c r="P82" s="251"/>
      <c r="Q82" s="251"/>
      <c r="R82" s="251"/>
      <c r="S82" s="251"/>
      <c r="T82" s="251"/>
      <c r="U82" s="251"/>
      <c r="V82" s="251"/>
      <c r="W82" s="251"/>
      <c r="X82" s="251"/>
      <c r="Y82" s="251"/>
      <c r="Z82" s="251"/>
    </row>
    <row r="83" spans="1:26" ht="14.25" customHeight="1" x14ac:dyDescent="0.35">
      <c r="A83" s="251"/>
      <c r="B83" s="251"/>
      <c r="C83" s="251"/>
      <c r="D83" s="251"/>
      <c r="E83" s="251"/>
      <c r="F83" s="251"/>
      <c r="G83" s="251"/>
      <c r="H83" s="251"/>
      <c r="I83" s="251"/>
      <c r="J83" s="251"/>
      <c r="K83" s="251"/>
      <c r="L83" s="251"/>
      <c r="M83" s="251"/>
      <c r="N83" s="251"/>
      <c r="O83" s="251"/>
      <c r="P83" s="251"/>
      <c r="Q83" s="251"/>
      <c r="R83" s="251"/>
      <c r="S83" s="251"/>
      <c r="T83" s="251"/>
      <c r="U83" s="251"/>
      <c r="V83" s="251"/>
      <c r="W83" s="251"/>
      <c r="X83" s="251"/>
      <c r="Y83" s="251"/>
      <c r="Z83" s="251"/>
    </row>
    <row r="84" spans="1:26" ht="14.25" customHeight="1" x14ac:dyDescent="0.35">
      <c r="A84" s="251"/>
      <c r="B84" s="251"/>
      <c r="C84" s="251"/>
      <c r="D84" s="251"/>
      <c r="E84" s="251"/>
      <c r="F84" s="251"/>
      <c r="G84" s="251"/>
      <c r="H84" s="251"/>
      <c r="I84" s="251"/>
      <c r="J84" s="251"/>
      <c r="K84" s="251"/>
      <c r="L84" s="251"/>
      <c r="M84" s="251"/>
      <c r="N84" s="251"/>
      <c r="O84" s="251"/>
      <c r="P84" s="251"/>
      <c r="Q84" s="251"/>
      <c r="R84" s="251"/>
      <c r="S84" s="251"/>
      <c r="T84" s="251"/>
      <c r="U84" s="251"/>
      <c r="V84" s="251"/>
      <c r="W84" s="251"/>
      <c r="X84" s="251"/>
      <c r="Y84" s="251"/>
      <c r="Z84" s="251"/>
    </row>
    <row r="85" spans="1:26" ht="14.25" customHeight="1" x14ac:dyDescent="0.35">
      <c r="A85" s="251"/>
      <c r="B85" s="251"/>
      <c r="C85" s="251"/>
      <c r="D85" s="251"/>
      <c r="E85" s="251"/>
      <c r="F85" s="251"/>
      <c r="G85" s="251"/>
      <c r="H85" s="251"/>
      <c r="I85" s="251"/>
      <c r="J85" s="251"/>
      <c r="K85" s="251"/>
      <c r="L85" s="251"/>
      <c r="M85" s="251"/>
      <c r="N85" s="251"/>
      <c r="O85" s="251"/>
      <c r="P85" s="251"/>
      <c r="Q85" s="251"/>
      <c r="R85" s="251"/>
      <c r="S85" s="251"/>
      <c r="T85" s="251"/>
      <c r="U85" s="251"/>
      <c r="V85" s="251"/>
      <c r="W85" s="251"/>
      <c r="X85" s="251"/>
      <c r="Y85" s="251"/>
      <c r="Z85" s="251"/>
    </row>
    <row r="86" spans="1:26" ht="14.25" customHeight="1" x14ac:dyDescent="0.35">
      <c r="A86" s="251"/>
      <c r="B86" s="251"/>
      <c r="C86" s="251"/>
      <c r="D86" s="251"/>
      <c r="E86" s="251"/>
      <c r="F86" s="251"/>
      <c r="G86" s="251"/>
      <c r="H86" s="251"/>
      <c r="I86" s="251"/>
      <c r="J86" s="251"/>
      <c r="K86" s="251"/>
      <c r="L86" s="251"/>
      <c r="M86" s="251"/>
      <c r="N86" s="251"/>
      <c r="O86" s="251"/>
      <c r="P86" s="251"/>
      <c r="Q86" s="251"/>
      <c r="R86" s="251"/>
      <c r="S86" s="251"/>
      <c r="T86" s="251"/>
      <c r="U86" s="251"/>
      <c r="V86" s="251"/>
      <c r="W86" s="251"/>
      <c r="X86" s="251"/>
      <c r="Y86" s="251"/>
      <c r="Z86" s="251"/>
    </row>
    <row r="87" spans="1:26" ht="14.25" customHeight="1" x14ac:dyDescent="0.35">
      <c r="A87" s="251"/>
      <c r="B87" s="251"/>
      <c r="C87" s="251"/>
      <c r="D87" s="251"/>
      <c r="E87" s="251"/>
      <c r="F87" s="251"/>
      <c r="G87" s="251"/>
      <c r="H87" s="251"/>
      <c r="I87" s="251"/>
      <c r="J87" s="251"/>
      <c r="K87" s="251"/>
      <c r="L87" s="251"/>
      <c r="M87" s="251"/>
      <c r="N87" s="251"/>
      <c r="O87" s="251"/>
      <c r="P87" s="251"/>
      <c r="Q87" s="251"/>
      <c r="R87" s="251"/>
      <c r="S87" s="251"/>
      <c r="T87" s="251"/>
      <c r="U87" s="251"/>
      <c r="V87" s="251"/>
      <c r="W87" s="251"/>
      <c r="X87" s="251"/>
      <c r="Y87" s="251"/>
      <c r="Z87" s="251"/>
    </row>
    <row r="88" spans="1:26" ht="14.25" customHeight="1" x14ac:dyDescent="0.35">
      <c r="A88" s="251"/>
      <c r="B88" s="251"/>
      <c r="C88" s="251"/>
      <c r="D88" s="251"/>
      <c r="E88" s="251"/>
      <c r="F88" s="251"/>
      <c r="G88" s="251"/>
      <c r="H88" s="251"/>
      <c r="I88" s="251"/>
      <c r="J88" s="251"/>
      <c r="K88" s="251"/>
      <c r="L88" s="251"/>
      <c r="M88" s="251"/>
      <c r="N88" s="251"/>
      <c r="O88" s="251"/>
      <c r="P88" s="251"/>
      <c r="Q88" s="251"/>
      <c r="R88" s="251"/>
      <c r="S88" s="251"/>
      <c r="T88" s="251"/>
      <c r="U88" s="251"/>
      <c r="V88" s="251"/>
      <c r="W88" s="251"/>
      <c r="X88" s="251"/>
      <c r="Y88" s="251"/>
      <c r="Z88" s="251"/>
    </row>
    <row r="89" spans="1:26" ht="14.25" customHeight="1" x14ac:dyDescent="0.35">
      <c r="A89" s="251"/>
      <c r="B89" s="251"/>
      <c r="C89" s="251"/>
      <c r="D89" s="251"/>
      <c r="E89" s="251"/>
      <c r="F89" s="251"/>
      <c r="G89" s="251"/>
      <c r="H89" s="251"/>
      <c r="I89" s="251"/>
      <c r="J89" s="251"/>
      <c r="K89" s="251"/>
      <c r="L89" s="251"/>
      <c r="M89" s="251"/>
      <c r="N89" s="251"/>
      <c r="O89" s="251"/>
      <c r="P89" s="251"/>
      <c r="Q89" s="251"/>
      <c r="R89" s="251"/>
      <c r="S89" s="251"/>
      <c r="T89" s="251"/>
      <c r="U89" s="251"/>
      <c r="V89" s="251"/>
      <c r="W89" s="251"/>
      <c r="X89" s="251"/>
      <c r="Y89" s="251"/>
      <c r="Z89" s="251"/>
    </row>
    <row r="90" spans="1:26" ht="14.25" customHeight="1" x14ac:dyDescent="0.35">
      <c r="A90" s="251"/>
      <c r="B90" s="251"/>
      <c r="C90" s="251"/>
      <c r="D90" s="251"/>
      <c r="E90" s="251"/>
      <c r="F90" s="251"/>
      <c r="G90" s="251"/>
      <c r="H90" s="251"/>
      <c r="I90" s="251"/>
      <c r="J90" s="251"/>
      <c r="K90" s="251"/>
      <c r="L90" s="251"/>
      <c r="M90" s="251"/>
      <c r="N90" s="251"/>
      <c r="O90" s="251"/>
      <c r="P90" s="251"/>
      <c r="Q90" s="251"/>
      <c r="R90" s="251"/>
      <c r="S90" s="251"/>
      <c r="T90" s="251"/>
      <c r="U90" s="251"/>
      <c r="V90" s="251"/>
      <c r="W90" s="251"/>
      <c r="X90" s="251"/>
      <c r="Y90" s="251"/>
      <c r="Z90" s="251"/>
    </row>
    <row r="91" spans="1:26" ht="14.25" customHeight="1" x14ac:dyDescent="0.35">
      <c r="A91" s="251"/>
      <c r="B91" s="251"/>
      <c r="C91" s="251"/>
      <c r="D91" s="251"/>
      <c r="E91" s="251"/>
      <c r="F91" s="251"/>
      <c r="G91" s="251"/>
      <c r="H91" s="251"/>
      <c r="I91" s="251"/>
      <c r="J91" s="251"/>
      <c r="K91" s="251"/>
      <c r="L91" s="251"/>
      <c r="M91" s="251"/>
      <c r="N91" s="251"/>
      <c r="O91" s="251"/>
      <c r="P91" s="251"/>
      <c r="Q91" s="251"/>
      <c r="R91" s="251"/>
      <c r="S91" s="251"/>
      <c r="T91" s="251"/>
      <c r="U91" s="251"/>
      <c r="V91" s="251"/>
      <c r="W91" s="251"/>
      <c r="X91" s="251"/>
      <c r="Y91" s="251"/>
      <c r="Z91" s="251"/>
    </row>
    <row r="92" spans="1:26" ht="14.25" customHeight="1" x14ac:dyDescent="0.35">
      <c r="A92" s="251"/>
      <c r="B92" s="251"/>
      <c r="C92" s="251"/>
      <c r="D92" s="251"/>
      <c r="E92" s="251"/>
      <c r="F92" s="251"/>
      <c r="G92" s="251"/>
      <c r="H92" s="251"/>
      <c r="I92" s="251"/>
      <c r="J92" s="251"/>
      <c r="K92" s="251"/>
      <c r="L92" s="251"/>
      <c r="M92" s="251"/>
      <c r="N92" s="251"/>
      <c r="O92" s="251"/>
      <c r="P92" s="251"/>
      <c r="Q92" s="251"/>
      <c r="R92" s="251"/>
      <c r="S92" s="251"/>
      <c r="T92" s="251"/>
      <c r="U92" s="251"/>
      <c r="V92" s="251"/>
      <c r="W92" s="251"/>
      <c r="X92" s="251"/>
      <c r="Y92" s="251"/>
      <c r="Z92" s="251"/>
    </row>
    <row r="93" spans="1:26" ht="14.25" customHeight="1" x14ac:dyDescent="0.35">
      <c r="A93" s="251"/>
      <c r="B93" s="251"/>
      <c r="C93" s="251"/>
      <c r="D93" s="251"/>
      <c r="E93" s="251"/>
      <c r="F93" s="251"/>
      <c r="G93" s="251"/>
      <c r="H93" s="251"/>
      <c r="I93" s="251"/>
      <c r="J93" s="251"/>
      <c r="K93" s="251"/>
      <c r="L93" s="251"/>
      <c r="M93" s="251"/>
      <c r="N93" s="251"/>
      <c r="O93" s="251"/>
      <c r="P93" s="251"/>
      <c r="Q93" s="251"/>
      <c r="R93" s="251"/>
      <c r="S93" s="251"/>
      <c r="T93" s="251"/>
      <c r="U93" s="251"/>
      <c r="V93" s="251"/>
      <c r="W93" s="251"/>
      <c r="X93" s="251"/>
      <c r="Y93" s="251"/>
      <c r="Z93" s="251"/>
    </row>
    <row r="94" spans="1:26" ht="14.25" customHeight="1" x14ac:dyDescent="0.35">
      <c r="A94" s="251"/>
      <c r="B94" s="251"/>
      <c r="C94" s="251"/>
      <c r="D94" s="251"/>
      <c r="E94" s="251"/>
      <c r="F94" s="251"/>
      <c r="G94" s="251"/>
      <c r="H94" s="251"/>
      <c r="I94" s="251"/>
      <c r="J94" s="251"/>
      <c r="K94" s="251"/>
      <c r="L94" s="251"/>
      <c r="M94" s="251"/>
      <c r="N94" s="251"/>
      <c r="O94" s="251"/>
      <c r="P94" s="251"/>
      <c r="Q94" s="251"/>
      <c r="R94" s="251"/>
      <c r="S94" s="251"/>
      <c r="T94" s="251"/>
      <c r="U94" s="251"/>
      <c r="V94" s="251"/>
      <c r="W94" s="251"/>
      <c r="X94" s="251"/>
      <c r="Y94" s="251"/>
      <c r="Z94" s="251"/>
    </row>
    <row r="95" spans="1:26" ht="14.25" customHeight="1" x14ac:dyDescent="0.35">
      <c r="A95" s="251"/>
      <c r="B95" s="251"/>
      <c r="C95" s="251"/>
      <c r="D95" s="251"/>
      <c r="E95" s="251"/>
      <c r="F95" s="251"/>
      <c r="G95" s="251"/>
      <c r="H95" s="251"/>
      <c r="I95" s="251"/>
      <c r="J95" s="251"/>
      <c r="K95" s="251"/>
      <c r="L95" s="251"/>
      <c r="M95" s="251"/>
      <c r="N95" s="251"/>
      <c r="O95" s="251"/>
      <c r="P95" s="251"/>
      <c r="Q95" s="251"/>
      <c r="R95" s="251"/>
      <c r="S95" s="251"/>
      <c r="T95" s="251"/>
      <c r="U95" s="251"/>
      <c r="V95" s="251"/>
      <c r="W95" s="251"/>
      <c r="X95" s="251"/>
      <c r="Y95" s="251"/>
      <c r="Z95" s="251"/>
    </row>
    <row r="96" spans="1:26" ht="14.25" customHeight="1" x14ac:dyDescent="0.35">
      <c r="A96" s="251"/>
      <c r="B96" s="251"/>
      <c r="C96" s="251"/>
      <c r="D96" s="251"/>
      <c r="E96" s="251"/>
      <c r="F96" s="251"/>
      <c r="G96" s="251"/>
      <c r="H96" s="251"/>
      <c r="I96" s="251"/>
      <c r="J96" s="251"/>
      <c r="K96" s="251"/>
      <c r="L96" s="251"/>
      <c r="M96" s="251"/>
      <c r="N96" s="251"/>
      <c r="O96" s="251"/>
      <c r="P96" s="251"/>
      <c r="Q96" s="251"/>
      <c r="R96" s="251"/>
      <c r="S96" s="251"/>
      <c r="T96" s="251"/>
      <c r="U96" s="251"/>
      <c r="V96" s="251"/>
      <c r="W96" s="251"/>
      <c r="X96" s="251"/>
      <c r="Y96" s="251"/>
      <c r="Z96" s="251"/>
    </row>
    <row r="97" spans="1:26" ht="14.25" customHeight="1" x14ac:dyDescent="0.35">
      <c r="A97" s="251"/>
      <c r="B97" s="251"/>
      <c r="C97" s="251"/>
      <c r="D97" s="251"/>
      <c r="E97" s="251"/>
      <c r="F97" s="251"/>
      <c r="G97" s="251"/>
      <c r="H97" s="251"/>
      <c r="I97" s="251"/>
      <c r="J97" s="251"/>
      <c r="K97" s="251"/>
      <c r="L97" s="251"/>
      <c r="M97" s="251"/>
      <c r="N97" s="251"/>
      <c r="O97" s="251"/>
      <c r="P97" s="251"/>
      <c r="Q97" s="251"/>
      <c r="R97" s="251"/>
      <c r="S97" s="251"/>
      <c r="T97" s="251"/>
      <c r="U97" s="251"/>
      <c r="V97" s="251"/>
      <c r="W97" s="251"/>
      <c r="X97" s="251"/>
      <c r="Y97" s="251"/>
      <c r="Z97" s="251"/>
    </row>
    <row r="98" spans="1:26" ht="14.25" customHeight="1" x14ac:dyDescent="0.35">
      <c r="A98" s="251"/>
      <c r="B98" s="251"/>
      <c r="C98" s="251"/>
      <c r="D98" s="251"/>
      <c r="E98" s="251"/>
      <c r="F98" s="251"/>
      <c r="G98" s="251"/>
      <c r="H98" s="251"/>
      <c r="I98" s="251"/>
      <c r="J98" s="251"/>
      <c r="K98" s="251"/>
      <c r="L98" s="251"/>
      <c r="M98" s="251"/>
      <c r="N98" s="251"/>
      <c r="O98" s="251"/>
      <c r="P98" s="251"/>
      <c r="Q98" s="251"/>
      <c r="R98" s="251"/>
      <c r="S98" s="251"/>
      <c r="T98" s="251"/>
      <c r="U98" s="251"/>
      <c r="V98" s="251"/>
      <c r="W98" s="251"/>
      <c r="X98" s="251"/>
      <c r="Y98" s="251"/>
      <c r="Z98" s="251"/>
    </row>
    <row r="99" spans="1:26" ht="14.25" customHeight="1" x14ac:dyDescent="0.35">
      <c r="A99" s="251"/>
      <c r="B99" s="251"/>
      <c r="C99" s="251"/>
      <c r="D99" s="251"/>
      <c r="E99" s="251"/>
      <c r="F99" s="251"/>
      <c r="G99" s="251"/>
      <c r="H99" s="251"/>
      <c r="I99" s="251"/>
      <c r="J99" s="251"/>
      <c r="K99" s="251"/>
      <c r="L99" s="251"/>
      <c r="M99" s="251"/>
      <c r="N99" s="251"/>
      <c r="O99" s="251"/>
      <c r="P99" s="251"/>
      <c r="Q99" s="251"/>
      <c r="R99" s="251"/>
      <c r="S99" s="251"/>
      <c r="T99" s="251"/>
      <c r="U99" s="251"/>
      <c r="V99" s="251"/>
      <c r="W99" s="251"/>
      <c r="X99" s="251"/>
      <c r="Y99" s="251"/>
      <c r="Z99" s="251"/>
    </row>
    <row r="100" spans="1:26" ht="14.25" customHeight="1" x14ac:dyDescent="0.35">
      <c r="A100" s="251"/>
      <c r="B100" s="251"/>
      <c r="C100" s="251"/>
      <c r="D100" s="251"/>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1"/>
    </row>
    <row r="101" spans="1:26" ht="14.25" customHeight="1" x14ac:dyDescent="0.35">
      <c r="A101" s="251"/>
      <c r="B101" s="251"/>
      <c r="C101" s="251"/>
      <c r="D101" s="251"/>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1"/>
    </row>
    <row r="102" spans="1:26" ht="14.25" customHeight="1" x14ac:dyDescent="0.35">
      <c r="A102" s="251"/>
      <c r="B102" s="251"/>
      <c r="C102" s="251"/>
      <c r="D102" s="251"/>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1"/>
    </row>
    <row r="103" spans="1:26" ht="14.25" customHeight="1" x14ac:dyDescent="0.35">
      <c r="A103" s="251"/>
      <c r="B103" s="251"/>
      <c r="C103" s="251"/>
      <c r="D103" s="251"/>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1"/>
    </row>
    <row r="104" spans="1:26" ht="14.25" customHeight="1" x14ac:dyDescent="0.35">
      <c r="A104" s="251"/>
      <c r="B104" s="251"/>
      <c r="C104" s="251"/>
      <c r="D104" s="251"/>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1"/>
    </row>
    <row r="105" spans="1:26" ht="14.25" customHeight="1" x14ac:dyDescent="0.35">
      <c r="A105" s="251"/>
      <c r="B105" s="251"/>
      <c r="C105" s="251"/>
      <c r="D105" s="251"/>
      <c r="E105" s="251"/>
      <c r="F105" s="251"/>
      <c r="G105" s="251"/>
      <c r="H105" s="251"/>
      <c r="I105" s="251"/>
      <c r="J105" s="251"/>
      <c r="K105" s="251"/>
      <c r="L105" s="251"/>
      <c r="M105" s="251"/>
      <c r="N105" s="251"/>
      <c r="O105" s="251"/>
      <c r="P105" s="251"/>
      <c r="Q105" s="251"/>
      <c r="R105" s="251"/>
      <c r="S105" s="251"/>
      <c r="T105" s="251"/>
      <c r="U105" s="251"/>
      <c r="V105" s="251"/>
      <c r="W105" s="251"/>
      <c r="X105" s="251"/>
      <c r="Y105" s="251"/>
      <c r="Z105" s="251"/>
    </row>
    <row r="106" spans="1:26" ht="14.25" customHeight="1" x14ac:dyDescent="0.35">
      <c r="A106" s="251"/>
      <c r="B106" s="251"/>
      <c r="C106" s="251"/>
      <c r="D106" s="251"/>
      <c r="E106" s="251"/>
      <c r="F106" s="251"/>
      <c r="G106" s="251"/>
      <c r="H106" s="251"/>
      <c r="I106" s="251"/>
      <c r="J106" s="251"/>
      <c r="K106" s="251"/>
      <c r="L106" s="251"/>
      <c r="M106" s="251"/>
      <c r="N106" s="251"/>
      <c r="O106" s="251"/>
      <c r="P106" s="251"/>
      <c r="Q106" s="251"/>
      <c r="R106" s="251"/>
      <c r="S106" s="251"/>
      <c r="T106" s="251"/>
      <c r="U106" s="251"/>
      <c r="V106" s="251"/>
      <c r="W106" s="251"/>
      <c r="X106" s="251"/>
      <c r="Y106" s="251"/>
      <c r="Z106" s="251"/>
    </row>
    <row r="107" spans="1:26" ht="14.25" customHeight="1" x14ac:dyDescent="0.35">
      <c r="A107" s="251"/>
      <c r="B107" s="251"/>
      <c r="C107" s="251"/>
      <c r="D107" s="251"/>
      <c r="E107" s="251"/>
      <c r="F107" s="251"/>
      <c r="G107" s="251"/>
      <c r="H107" s="251"/>
      <c r="I107" s="251"/>
      <c r="J107" s="251"/>
      <c r="K107" s="251"/>
      <c r="L107" s="251"/>
      <c r="M107" s="251"/>
      <c r="N107" s="251"/>
      <c r="O107" s="251"/>
      <c r="P107" s="251"/>
      <c r="Q107" s="251"/>
      <c r="R107" s="251"/>
      <c r="S107" s="251"/>
      <c r="T107" s="251"/>
      <c r="U107" s="251"/>
      <c r="V107" s="251"/>
      <c r="W107" s="251"/>
      <c r="X107" s="251"/>
      <c r="Y107" s="251"/>
      <c r="Z107" s="251"/>
    </row>
    <row r="108" spans="1:26" ht="14.25" customHeight="1" x14ac:dyDescent="0.35">
      <c r="A108" s="251"/>
      <c r="B108" s="251"/>
      <c r="C108" s="251"/>
      <c r="D108" s="251"/>
      <c r="E108" s="251"/>
      <c r="F108" s="251"/>
      <c r="G108" s="251"/>
      <c r="H108" s="251"/>
      <c r="I108" s="251"/>
      <c r="J108" s="251"/>
      <c r="K108" s="251"/>
      <c r="L108" s="251"/>
      <c r="M108" s="251"/>
      <c r="N108" s="251"/>
      <c r="O108" s="251"/>
      <c r="P108" s="251"/>
      <c r="Q108" s="251"/>
      <c r="R108" s="251"/>
      <c r="S108" s="251"/>
      <c r="T108" s="251"/>
      <c r="U108" s="251"/>
      <c r="V108" s="251"/>
      <c r="W108" s="251"/>
      <c r="X108" s="251"/>
      <c r="Y108" s="251"/>
      <c r="Z108" s="251"/>
    </row>
    <row r="109" spans="1:26" ht="14.25" customHeight="1" x14ac:dyDescent="0.35">
      <c r="A109" s="251"/>
      <c r="B109" s="251"/>
      <c r="C109" s="251"/>
      <c r="D109" s="251"/>
      <c r="E109" s="251"/>
      <c r="F109" s="251"/>
      <c r="G109" s="251"/>
      <c r="H109" s="251"/>
      <c r="I109" s="251"/>
      <c r="J109" s="251"/>
      <c r="K109" s="251"/>
      <c r="L109" s="251"/>
      <c r="M109" s="251"/>
      <c r="N109" s="251"/>
      <c r="O109" s="251"/>
      <c r="P109" s="251"/>
      <c r="Q109" s="251"/>
      <c r="R109" s="251"/>
      <c r="S109" s="251"/>
      <c r="T109" s="251"/>
      <c r="U109" s="251"/>
      <c r="V109" s="251"/>
      <c r="W109" s="251"/>
      <c r="X109" s="251"/>
      <c r="Y109" s="251"/>
      <c r="Z109" s="251"/>
    </row>
    <row r="110" spans="1:26" ht="14.25" customHeight="1" x14ac:dyDescent="0.35">
      <c r="A110" s="251"/>
      <c r="B110" s="251"/>
      <c r="C110" s="251"/>
      <c r="D110" s="251"/>
      <c r="E110" s="251"/>
      <c r="F110" s="251"/>
      <c r="G110" s="251"/>
      <c r="H110" s="251"/>
      <c r="I110" s="251"/>
      <c r="J110" s="251"/>
      <c r="K110" s="251"/>
      <c r="L110" s="251"/>
      <c r="M110" s="251"/>
      <c r="N110" s="251"/>
      <c r="O110" s="251"/>
      <c r="P110" s="251"/>
      <c r="Q110" s="251"/>
      <c r="R110" s="251"/>
      <c r="S110" s="251"/>
      <c r="T110" s="251"/>
      <c r="U110" s="251"/>
      <c r="V110" s="251"/>
      <c r="W110" s="251"/>
      <c r="X110" s="251"/>
      <c r="Y110" s="251"/>
      <c r="Z110" s="251"/>
    </row>
    <row r="111" spans="1:26" ht="14.25" customHeight="1" x14ac:dyDescent="0.35">
      <c r="A111" s="251"/>
      <c r="B111" s="251"/>
      <c r="C111" s="251"/>
      <c r="D111" s="251"/>
      <c r="E111" s="251"/>
      <c r="F111" s="251"/>
      <c r="G111" s="251"/>
      <c r="H111" s="251"/>
      <c r="I111" s="251"/>
      <c r="J111" s="251"/>
      <c r="K111" s="251"/>
      <c r="L111" s="251"/>
      <c r="M111" s="251"/>
      <c r="N111" s="251"/>
      <c r="O111" s="251"/>
      <c r="P111" s="251"/>
      <c r="Q111" s="251"/>
      <c r="R111" s="251"/>
      <c r="S111" s="251"/>
      <c r="T111" s="251"/>
      <c r="U111" s="251"/>
      <c r="V111" s="251"/>
      <c r="W111" s="251"/>
      <c r="X111" s="251"/>
      <c r="Y111" s="251"/>
      <c r="Z111" s="251"/>
    </row>
    <row r="112" spans="1:26" ht="14.25" customHeight="1" x14ac:dyDescent="0.35">
      <c r="A112" s="251"/>
      <c r="B112" s="251"/>
      <c r="C112" s="251"/>
      <c r="D112" s="251"/>
      <c r="E112" s="251"/>
      <c r="F112" s="251"/>
      <c r="G112" s="251"/>
      <c r="H112" s="251"/>
      <c r="I112" s="251"/>
      <c r="J112" s="251"/>
      <c r="K112" s="251"/>
      <c r="L112" s="251"/>
      <c r="M112" s="251"/>
      <c r="N112" s="251"/>
      <c r="O112" s="251"/>
      <c r="P112" s="251"/>
      <c r="Q112" s="251"/>
      <c r="R112" s="251"/>
      <c r="S112" s="251"/>
      <c r="T112" s="251"/>
      <c r="U112" s="251"/>
      <c r="V112" s="251"/>
      <c r="W112" s="251"/>
      <c r="X112" s="251"/>
      <c r="Y112" s="251"/>
      <c r="Z112" s="251"/>
    </row>
    <row r="113" spans="1:26" ht="14.25" customHeight="1" x14ac:dyDescent="0.35">
      <c r="A113" s="251"/>
      <c r="B113" s="251"/>
      <c r="C113" s="251"/>
      <c r="D113" s="251"/>
      <c r="E113" s="251"/>
      <c r="F113" s="251"/>
      <c r="G113" s="251"/>
      <c r="H113" s="251"/>
      <c r="I113" s="251"/>
      <c r="J113" s="251"/>
      <c r="K113" s="251"/>
      <c r="L113" s="251"/>
      <c r="M113" s="251"/>
      <c r="N113" s="251"/>
      <c r="O113" s="251"/>
      <c r="P113" s="251"/>
      <c r="Q113" s="251"/>
      <c r="R113" s="251"/>
      <c r="S113" s="251"/>
      <c r="T113" s="251"/>
      <c r="U113" s="251"/>
      <c r="V113" s="251"/>
      <c r="W113" s="251"/>
      <c r="X113" s="251"/>
      <c r="Y113" s="251"/>
      <c r="Z113" s="251"/>
    </row>
    <row r="114" spans="1:26" ht="14.25" customHeight="1" x14ac:dyDescent="0.35">
      <c r="A114" s="251"/>
      <c r="B114" s="251"/>
      <c r="C114" s="251"/>
      <c r="D114" s="251"/>
      <c r="E114" s="251"/>
      <c r="F114" s="251"/>
      <c r="G114" s="251"/>
      <c r="H114" s="251"/>
      <c r="I114" s="251"/>
      <c r="J114" s="251"/>
      <c r="K114" s="251"/>
      <c r="L114" s="251"/>
      <c r="M114" s="251"/>
      <c r="N114" s="251"/>
      <c r="O114" s="251"/>
      <c r="P114" s="251"/>
      <c r="Q114" s="251"/>
      <c r="R114" s="251"/>
      <c r="S114" s="251"/>
      <c r="T114" s="251"/>
      <c r="U114" s="251"/>
      <c r="V114" s="251"/>
      <c r="W114" s="251"/>
      <c r="X114" s="251"/>
      <c r="Y114" s="251"/>
      <c r="Z114" s="251"/>
    </row>
    <row r="115" spans="1:26" ht="14.25" customHeight="1" x14ac:dyDescent="0.35">
      <c r="A115" s="251"/>
      <c r="B115" s="251"/>
      <c r="C115" s="251"/>
      <c r="D115" s="251"/>
      <c r="E115" s="251"/>
      <c r="F115" s="251"/>
      <c r="G115" s="251"/>
      <c r="H115" s="251"/>
      <c r="I115" s="251"/>
      <c r="J115" s="251"/>
      <c r="K115" s="251"/>
      <c r="L115" s="251"/>
      <c r="M115" s="251"/>
      <c r="N115" s="251"/>
      <c r="O115" s="251"/>
      <c r="P115" s="251"/>
      <c r="Q115" s="251"/>
      <c r="R115" s="251"/>
      <c r="S115" s="251"/>
      <c r="T115" s="251"/>
      <c r="U115" s="251"/>
      <c r="V115" s="251"/>
      <c r="W115" s="251"/>
      <c r="X115" s="251"/>
      <c r="Y115" s="251"/>
      <c r="Z115" s="251"/>
    </row>
    <row r="116" spans="1:26" ht="14.25" customHeight="1" x14ac:dyDescent="0.35">
      <c r="A116" s="251"/>
      <c r="B116" s="251"/>
      <c r="C116" s="251"/>
      <c r="D116" s="251"/>
      <c r="E116" s="251"/>
      <c r="F116" s="251"/>
      <c r="G116" s="251"/>
      <c r="H116" s="251"/>
      <c r="I116" s="251"/>
      <c r="J116" s="251"/>
      <c r="K116" s="251"/>
      <c r="L116" s="251"/>
      <c r="M116" s="251"/>
      <c r="N116" s="251"/>
      <c r="O116" s="251"/>
      <c r="P116" s="251"/>
      <c r="Q116" s="251"/>
      <c r="R116" s="251"/>
      <c r="S116" s="251"/>
      <c r="T116" s="251"/>
      <c r="U116" s="251"/>
      <c r="V116" s="251"/>
      <c r="W116" s="251"/>
      <c r="X116" s="251"/>
      <c r="Y116" s="251"/>
      <c r="Z116" s="251"/>
    </row>
    <row r="117" spans="1:26" ht="14.25" customHeight="1" x14ac:dyDescent="0.35">
      <c r="A117" s="251"/>
      <c r="B117" s="251"/>
      <c r="C117" s="251"/>
      <c r="D117" s="251"/>
      <c r="E117" s="251"/>
      <c r="F117" s="251"/>
      <c r="G117" s="251"/>
      <c r="H117" s="251"/>
      <c r="I117" s="251"/>
      <c r="J117" s="251"/>
      <c r="K117" s="251"/>
      <c r="L117" s="251"/>
      <c r="M117" s="251"/>
      <c r="N117" s="251"/>
      <c r="O117" s="251"/>
      <c r="P117" s="251"/>
      <c r="Q117" s="251"/>
      <c r="R117" s="251"/>
      <c r="S117" s="251"/>
      <c r="T117" s="251"/>
      <c r="U117" s="251"/>
      <c r="V117" s="251"/>
      <c r="W117" s="251"/>
      <c r="X117" s="251"/>
      <c r="Y117" s="251"/>
      <c r="Z117" s="251"/>
    </row>
    <row r="118" spans="1:26" ht="14.25" customHeight="1" x14ac:dyDescent="0.35">
      <c r="A118" s="251"/>
      <c r="B118" s="251"/>
      <c r="C118" s="251"/>
      <c r="D118" s="251"/>
      <c r="E118" s="251"/>
      <c r="F118" s="251"/>
      <c r="G118" s="251"/>
      <c r="H118" s="251"/>
      <c r="I118" s="251"/>
      <c r="J118" s="251"/>
      <c r="K118" s="251"/>
      <c r="L118" s="251"/>
      <c r="M118" s="251"/>
      <c r="N118" s="251"/>
      <c r="O118" s="251"/>
      <c r="P118" s="251"/>
      <c r="Q118" s="251"/>
      <c r="R118" s="251"/>
      <c r="S118" s="251"/>
      <c r="T118" s="251"/>
      <c r="U118" s="251"/>
      <c r="V118" s="251"/>
      <c r="W118" s="251"/>
      <c r="X118" s="251"/>
      <c r="Y118" s="251"/>
      <c r="Z118" s="251"/>
    </row>
    <row r="119" spans="1:26" ht="14.25" customHeight="1" x14ac:dyDescent="0.35">
      <c r="A119" s="251"/>
      <c r="B119" s="251"/>
      <c r="C119" s="251"/>
      <c r="D119" s="251"/>
      <c r="E119" s="251"/>
      <c r="F119" s="251"/>
      <c r="G119" s="251"/>
      <c r="H119" s="251"/>
      <c r="I119" s="251"/>
      <c r="J119" s="251"/>
      <c r="K119" s="251"/>
      <c r="L119" s="251"/>
      <c r="M119" s="251"/>
      <c r="N119" s="251"/>
      <c r="O119" s="251"/>
      <c r="P119" s="251"/>
      <c r="Q119" s="251"/>
      <c r="R119" s="251"/>
      <c r="S119" s="251"/>
      <c r="T119" s="251"/>
      <c r="U119" s="251"/>
      <c r="V119" s="251"/>
      <c r="W119" s="251"/>
      <c r="X119" s="251"/>
      <c r="Y119" s="251"/>
      <c r="Z119" s="251"/>
    </row>
    <row r="120" spans="1:26" ht="14.25" customHeight="1" x14ac:dyDescent="0.35">
      <c r="A120" s="251"/>
      <c r="B120" s="251"/>
      <c r="C120" s="251"/>
      <c r="D120" s="251"/>
      <c r="E120" s="251"/>
      <c r="F120" s="251"/>
      <c r="G120" s="251"/>
      <c r="H120" s="251"/>
      <c r="I120" s="251"/>
      <c r="J120" s="251"/>
      <c r="K120" s="251"/>
      <c r="L120" s="251"/>
      <c r="M120" s="251"/>
      <c r="N120" s="251"/>
      <c r="O120" s="251"/>
      <c r="P120" s="251"/>
      <c r="Q120" s="251"/>
      <c r="R120" s="251"/>
      <c r="S120" s="251"/>
      <c r="T120" s="251"/>
      <c r="U120" s="251"/>
      <c r="V120" s="251"/>
      <c r="W120" s="251"/>
      <c r="X120" s="251"/>
      <c r="Y120" s="251"/>
      <c r="Z120" s="251"/>
    </row>
    <row r="121" spans="1:26" ht="14.25" customHeight="1" x14ac:dyDescent="0.35">
      <c r="A121" s="251"/>
      <c r="B121" s="251"/>
      <c r="C121" s="251"/>
      <c r="D121" s="251"/>
      <c r="E121" s="251"/>
      <c r="F121" s="251"/>
      <c r="G121" s="251"/>
      <c r="H121" s="251"/>
      <c r="I121" s="251"/>
      <c r="J121" s="251"/>
      <c r="K121" s="251"/>
      <c r="L121" s="251"/>
      <c r="M121" s="251"/>
      <c r="N121" s="251"/>
      <c r="O121" s="251"/>
      <c r="P121" s="251"/>
      <c r="Q121" s="251"/>
      <c r="R121" s="251"/>
      <c r="S121" s="251"/>
      <c r="T121" s="251"/>
      <c r="U121" s="251"/>
      <c r="V121" s="251"/>
      <c r="W121" s="251"/>
      <c r="X121" s="251"/>
      <c r="Y121" s="251"/>
      <c r="Z121" s="251"/>
    </row>
    <row r="122" spans="1:26" ht="14.25" customHeight="1" x14ac:dyDescent="0.35">
      <c r="A122" s="251"/>
      <c r="B122" s="251"/>
      <c r="C122" s="251"/>
      <c r="D122" s="251"/>
      <c r="E122" s="251"/>
      <c r="F122" s="251"/>
      <c r="G122" s="251"/>
      <c r="H122" s="251"/>
      <c r="I122" s="251"/>
      <c r="J122" s="251"/>
      <c r="K122" s="251"/>
      <c r="L122" s="251"/>
      <c r="M122" s="251"/>
      <c r="N122" s="251"/>
      <c r="O122" s="251"/>
      <c r="P122" s="251"/>
      <c r="Q122" s="251"/>
      <c r="R122" s="251"/>
      <c r="S122" s="251"/>
      <c r="T122" s="251"/>
      <c r="U122" s="251"/>
      <c r="V122" s="251"/>
      <c r="W122" s="251"/>
      <c r="X122" s="251"/>
      <c r="Y122" s="251"/>
      <c r="Z122" s="251"/>
    </row>
    <row r="123" spans="1:26" ht="14.25" customHeight="1" x14ac:dyDescent="0.35">
      <c r="A123" s="251"/>
      <c r="B123" s="251"/>
      <c r="C123" s="251"/>
      <c r="D123" s="251"/>
      <c r="E123" s="251"/>
      <c r="F123" s="251"/>
      <c r="G123" s="251"/>
      <c r="H123" s="251"/>
      <c r="I123" s="251"/>
      <c r="J123" s="251"/>
      <c r="K123" s="251"/>
      <c r="L123" s="251"/>
      <c r="M123" s="251"/>
      <c r="N123" s="251"/>
      <c r="O123" s="251"/>
      <c r="P123" s="251"/>
      <c r="Q123" s="251"/>
      <c r="R123" s="251"/>
      <c r="S123" s="251"/>
      <c r="T123" s="251"/>
      <c r="U123" s="251"/>
      <c r="V123" s="251"/>
      <c r="W123" s="251"/>
      <c r="X123" s="251"/>
      <c r="Y123" s="251"/>
      <c r="Z123" s="251"/>
    </row>
    <row r="124" spans="1:26" ht="14.25" customHeight="1" x14ac:dyDescent="0.35">
      <c r="A124" s="251"/>
      <c r="B124" s="251"/>
      <c r="C124" s="251"/>
      <c r="D124" s="251"/>
      <c r="E124" s="251"/>
      <c r="F124" s="251"/>
      <c r="G124" s="251"/>
      <c r="H124" s="251"/>
      <c r="I124" s="251"/>
      <c r="J124" s="251"/>
      <c r="K124" s="251"/>
      <c r="L124" s="251"/>
      <c r="M124" s="251"/>
      <c r="N124" s="251"/>
      <c r="O124" s="251"/>
      <c r="P124" s="251"/>
      <c r="Q124" s="251"/>
      <c r="R124" s="251"/>
      <c r="S124" s="251"/>
      <c r="T124" s="251"/>
      <c r="U124" s="251"/>
      <c r="V124" s="251"/>
      <c r="W124" s="251"/>
      <c r="X124" s="251"/>
      <c r="Y124" s="251"/>
      <c r="Z124" s="251"/>
    </row>
    <row r="125" spans="1:26" ht="14.25" customHeight="1" x14ac:dyDescent="0.35">
      <c r="A125" s="251"/>
      <c r="B125" s="251"/>
      <c r="C125" s="251"/>
      <c r="D125" s="251"/>
      <c r="E125" s="251"/>
      <c r="F125" s="251"/>
      <c r="G125" s="251"/>
      <c r="H125" s="251"/>
      <c r="I125" s="251"/>
      <c r="J125" s="251"/>
      <c r="K125" s="251"/>
      <c r="L125" s="251"/>
      <c r="M125" s="251"/>
      <c r="N125" s="251"/>
      <c r="O125" s="251"/>
      <c r="P125" s="251"/>
      <c r="Q125" s="251"/>
      <c r="R125" s="251"/>
      <c r="S125" s="251"/>
      <c r="T125" s="251"/>
      <c r="U125" s="251"/>
      <c r="V125" s="251"/>
      <c r="W125" s="251"/>
      <c r="X125" s="251"/>
      <c r="Y125" s="251"/>
      <c r="Z125" s="251"/>
    </row>
    <row r="126" spans="1:26" ht="14.25" customHeight="1" x14ac:dyDescent="0.35">
      <c r="A126" s="251"/>
      <c r="B126" s="251"/>
      <c r="C126" s="251"/>
      <c r="D126" s="251"/>
      <c r="E126" s="251"/>
      <c r="F126" s="251"/>
      <c r="G126" s="251"/>
      <c r="H126" s="251"/>
      <c r="I126" s="251"/>
      <c r="J126" s="251"/>
      <c r="K126" s="251"/>
      <c r="L126" s="251"/>
      <c r="M126" s="251"/>
      <c r="N126" s="251"/>
      <c r="O126" s="251"/>
      <c r="P126" s="251"/>
      <c r="Q126" s="251"/>
      <c r="R126" s="251"/>
      <c r="S126" s="251"/>
      <c r="T126" s="251"/>
      <c r="U126" s="251"/>
      <c r="V126" s="251"/>
      <c r="W126" s="251"/>
      <c r="X126" s="251"/>
      <c r="Y126" s="251"/>
      <c r="Z126" s="251"/>
    </row>
    <row r="127" spans="1:26" ht="14.25" customHeight="1" x14ac:dyDescent="0.35">
      <c r="A127" s="251"/>
      <c r="B127" s="251"/>
      <c r="C127" s="251"/>
      <c r="D127" s="251"/>
      <c r="E127" s="251"/>
      <c r="F127" s="251"/>
      <c r="G127" s="251"/>
      <c r="H127" s="251"/>
      <c r="I127" s="251"/>
      <c r="J127" s="251"/>
      <c r="K127" s="251"/>
      <c r="L127" s="251"/>
      <c r="M127" s="251"/>
      <c r="N127" s="251"/>
      <c r="O127" s="251"/>
      <c r="P127" s="251"/>
      <c r="Q127" s="251"/>
      <c r="R127" s="251"/>
      <c r="S127" s="251"/>
      <c r="T127" s="251"/>
      <c r="U127" s="251"/>
      <c r="V127" s="251"/>
      <c r="W127" s="251"/>
      <c r="X127" s="251"/>
      <c r="Y127" s="251"/>
      <c r="Z127" s="251"/>
    </row>
    <row r="128" spans="1:26" ht="14.25" customHeight="1" x14ac:dyDescent="0.35">
      <c r="A128" s="251"/>
      <c r="B128" s="251"/>
      <c r="C128" s="251"/>
      <c r="D128" s="251"/>
      <c r="E128" s="251"/>
      <c r="F128" s="251"/>
      <c r="G128" s="251"/>
      <c r="H128" s="251"/>
      <c r="I128" s="251"/>
      <c r="J128" s="251"/>
      <c r="K128" s="251"/>
      <c r="L128" s="251"/>
      <c r="M128" s="251"/>
      <c r="N128" s="251"/>
      <c r="O128" s="251"/>
      <c r="P128" s="251"/>
      <c r="Q128" s="251"/>
      <c r="R128" s="251"/>
      <c r="S128" s="251"/>
      <c r="T128" s="251"/>
      <c r="U128" s="251"/>
      <c r="V128" s="251"/>
      <c r="W128" s="251"/>
      <c r="X128" s="251"/>
      <c r="Y128" s="251"/>
      <c r="Z128" s="251"/>
    </row>
    <row r="129" spans="1:26" ht="14.25" customHeight="1" x14ac:dyDescent="0.35">
      <c r="A129" s="251"/>
      <c r="B129" s="251"/>
      <c r="C129" s="251"/>
      <c r="D129" s="251"/>
      <c r="E129" s="251"/>
      <c r="F129" s="251"/>
      <c r="G129" s="251"/>
      <c r="H129" s="251"/>
      <c r="I129" s="251"/>
      <c r="J129" s="251"/>
      <c r="K129" s="251"/>
      <c r="L129" s="251"/>
      <c r="M129" s="251"/>
      <c r="N129" s="251"/>
      <c r="O129" s="251"/>
      <c r="P129" s="251"/>
      <c r="Q129" s="251"/>
      <c r="R129" s="251"/>
      <c r="S129" s="251"/>
      <c r="T129" s="251"/>
      <c r="U129" s="251"/>
      <c r="V129" s="251"/>
      <c r="W129" s="251"/>
      <c r="X129" s="251"/>
      <c r="Y129" s="251"/>
      <c r="Z129" s="251"/>
    </row>
    <row r="130" spans="1:26" ht="14.25" customHeight="1" x14ac:dyDescent="0.35">
      <c r="A130" s="251"/>
      <c r="B130" s="251"/>
      <c r="C130" s="251"/>
      <c r="D130" s="251"/>
      <c r="E130" s="251"/>
      <c r="F130" s="251"/>
      <c r="G130" s="251"/>
      <c r="H130" s="251"/>
      <c r="I130" s="251"/>
      <c r="J130" s="251"/>
      <c r="K130" s="251"/>
      <c r="L130" s="251"/>
      <c r="M130" s="251"/>
      <c r="N130" s="251"/>
      <c r="O130" s="251"/>
      <c r="P130" s="251"/>
      <c r="Q130" s="251"/>
      <c r="R130" s="251"/>
      <c r="S130" s="251"/>
      <c r="T130" s="251"/>
      <c r="U130" s="251"/>
      <c r="V130" s="251"/>
      <c r="W130" s="251"/>
      <c r="X130" s="251"/>
      <c r="Y130" s="251"/>
      <c r="Z130" s="251"/>
    </row>
    <row r="131" spans="1:26" ht="14.25" customHeight="1" x14ac:dyDescent="0.35">
      <c r="A131" s="251"/>
      <c r="B131" s="251"/>
      <c r="C131" s="251"/>
      <c r="D131" s="251"/>
      <c r="E131" s="251"/>
      <c r="F131" s="251"/>
      <c r="G131" s="251"/>
      <c r="H131" s="251"/>
      <c r="I131" s="251"/>
      <c r="J131" s="251"/>
      <c r="K131" s="251"/>
      <c r="L131" s="251"/>
      <c r="M131" s="251"/>
      <c r="N131" s="251"/>
      <c r="O131" s="251"/>
      <c r="P131" s="251"/>
      <c r="Q131" s="251"/>
      <c r="R131" s="251"/>
      <c r="S131" s="251"/>
      <c r="T131" s="251"/>
      <c r="U131" s="251"/>
      <c r="V131" s="251"/>
      <c r="W131" s="251"/>
      <c r="X131" s="251"/>
      <c r="Y131" s="251"/>
      <c r="Z131" s="251"/>
    </row>
    <row r="132" spans="1:26" ht="14.25" customHeight="1" x14ac:dyDescent="0.35">
      <c r="A132" s="251"/>
      <c r="B132" s="251"/>
      <c r="C132" s="251"/>
      <c r="D132" s="251"/>
      <c r="E132" s="251"/>
      <c r="F132" s="251"/>
      <c r="G132" s="251"/>
      <c r="H132" s="251"/>
      <c r="I132" s="251"/>
      <c r="J132" s="251"/>
      <c r="K132" s="251"/>
      <c r="L132" s="251"/>
      <c r="M132" s="251"/>
      <c r="N132" s="251"/>
      <c r="O132" s="251"/>
      <c r="P132" s="251"/>
      <c r="Q132" s="251"/>
      <c r="R132" s="251"/>
      <c r="S132" s="251"/>
      <c r="T132" s="251"/>
      <c r="U132" s="251"/>
      <c r="V132" s="251"/>
      <c r="W132" s="251"/>
      <c r="X132" s="251"/>
      <c r="Y132" s="251"/>
      <c r="Z132" s="251"/>
    </row>
    <row r="133" spans="1:26" ht="14.25" customHeight="1" x14ac:dyDescent="0.35">
      <c r="A133" s="251"/>
      <c r="B133" s="251"/>
      <c r="C133" s="251"/>
      <c r="D133" s="251"/>
      <c r="E133" s="251"/>
      <c r="F133" s="251"/>
      <c r="G133" s="251"/>
      <c r="H133" s="251"/>
      <c r="I133" s="251"/>
      <c r="J133" s="251"/>
      <c r="K133" s="251"/>
      <c r="L133" s="251"/>
      <c r="M133" s="251"/>
      <c r="N133" s="251"/>
      <c r="O133" s="251"/>
      <c r="P133" s="251"/>
      <c r="Q133" s="251"/>
      <c r="R133" s="251"/>
      <c r="S133" s="251"/>
      <c r="T133" s="251"/>
      <c r="U133" s="251"/>
      <c r="V133" s="251"/>
      <c r="W133" s="251"/>
      <c r="X133" s="251"/>
      <c r="Y133" s="251"/>
      <c r="Z133" s="251"/>
    </row>
    <row r="134" spans="1:26" ht="14.25" customHeight="1" x14ac:dyDescent="0.35">
      <c r="A134" s="251"/>
      <c r="B134" s="251"/>
      <c r="C134" s="251"/>
      <c r="D134" s="251"/>
      <c r="E134" s="251"/>
      <c r="F134" s="251"/>
      <c r="G134" s="251"/>
      <c r="H134" s="251"/>
      <c r="I134" s="251"/>
      <c r="J134" s="251"/>
      <c r="K134" s="251"/>
      <c r="L134" s="251"/>
      <c r="M134" s="251"/>
      <c r="N134" s="251"/>
      <c r="O134" s="251"/>
      <c r="P134" s="251"/>
      <c r="Q134" s="251"/>
      <c r="R134" s="251"/>
      <c r="S134" s="251"/>
      <c r="T134" s="251"/>
      <c r="U134" s="251"/>
      <c r="V134" s="251"/>
      <c r="W134" s="251"/>
      <c r="X134" s="251"/>
      <c r="Y134" s="251"/>
      <c r="Z134" s="251"/>
    </row>
    <row r="135" spans="1:26" ht="14.25" customHeight="1" x14ac:dyDescent="0.35">
      <c r="A135" s="251"/>
      <c r="B135" s="251"/>
      <c r="C135" s="251"/>
      <c r="D135" s="251"/>
      <c r="E135" s="251"/>
      <c r="F135" s="251"/>
      <c r="G135" s="251"/>
      <c r="H135" s="251"/>
      <c r="I135" s="251"/>
      <c r="J135" s="251"/>
      <c r="K135" s="251"/>
      <c r="L135" s="251"/>
      <c r="M135" s="251"/>
      <c r="N135" s="251"/>
      <c r="O135" s="251"/>
      <c r="P135" s="251"/>
      <c r="Q135" s="251"/>
      <c r="R135" s="251"/>
      <c r="S135" s="251"/>
      <c r="T135" s="251"/>
      <c r="U135" s="251"/>
      <c r="V135" s="251"/>
      <c r="W135" s="251"/>
      <c r="X135" s="251"/>
      <c r="Y135" s="251"/>
      <c r="Z135" s="251"/>
    </row>
    <row r="136" spans="1:26" ht="14.25" customHeight="1" x14ac:dyDescent="0.35">
      <c r="A136" s="251"/>
      <c r="B136" s="251"/>
      <c r="C136" s="251"/>
      <c r="D136" s="251"/>
      <c r="E136" s="251"/>
      <c r="F136" s="251"/>
      <c r="G136" s="251"/>
      <c r="H136" s="251"/>
      <c r="I136" s="251"/>
      <c r="J136" s="251"/>
      <c r="K136" s="251"/>
      <c r="L136" s="251"/>
      <c r="M136" s="251"/>
      <c r="N136" s="251"/>
      <c r="O136" s="251"/>
      <c r="P136" s="251"/>
      <c r="Q136" s="251"/>
      <c r="R136" s="251"/>
      <c r="S136" s="251"/>
      <c r="T136" s="251"/>
      <c r="U136" s="251"/>
      <c r="V136" s="251"/>
      <c r="W136" s="251"/>
      <c r="X136" s="251"/>
      <c r="Y136" s="251"/>
      <c r="Z136" s="251"/>
    </row>
    <row r="137" spans="1:26" ht="14.25" customHeight="1" x14ac:dyDescent="0.35">
      <c r="A137" s="251"/>
      <c r="B137" s="251"/>
      <c r="C137" s="251"/>
      <c r="D137" s="251"/>
      <c r="E137" s="251"/>
      <c r="F137" s="251"/>
      <c r="G137" s="251"/>
      <c r="H137" s="251"/>
      <c r="I137" s="251"/>
      <c r="J137" s="251"/>
      <c r="K137" s="251"/>
      <c r="L137" s="251"/>
      <c r="M137" s="251"/>
      <c r="N137" s="251"/>
      <c r="O137" s="251"/>
      <c r="P137" s="251"/>
      <c r="Q137" s="251"/>
      <c r="R137" s="251"/>
      <c r="S137" s="251"/>
      <c r="T137" s="251"/>
      <c r="U137" s="251"/>
      <c r="V137" s="251"/>
      <c r="W137" s="251"/>
      <c r="X137" s="251"/>
      <c r="Y137" s="251"/>
      <c r="Z137" s="251"/>
    </row>
    <row r="138" spans="1:26" ht="14.25" customHeight="1" x14ac:dyDescent="0.35">
      <c r="A138" s="251"/>
      <c r="B138" s="251"/>
      <c r="C138" s="251"/>
      <c r="D138" s="251"/>
      <c r="E138" s="251"/>
      <c r="F138" s="251"/>
      <c r="G138" s="251"/>
      <c r="H138" s="251"/>
      <c r="I138" s="251"/>
      <c r="J138" s="251"/>
      <c r="K138" s="251"/>
      <c r="L138" s="251"/>
      <c r="M138" s="251"/>
      <c r="N138" s="251"/>
      <c r="O138" s="251"/>
      <c r="P138" s="251"/>
      <c r="Q138" s="251"/>
      <c r="R138" s="251"/>
      <c r="S138" s="251"/>
      <c r="T138" s="251"/>
      <c r="U138" s="251"/>
      <c r="V138" s="251"/>
      <c r="W138" s="251"/>
      <c r="X138" s="251"/>
      <c r="Y138" s="251"/>
      <c r="Z138" s="251"/>
    </row>
    <row r="139" spans="1:26" ht="14.25" customHeight="1" x14ac:dyDescent="0.35">
      <c r="A139" s="251"/>
      <c r="B139" s="251"/>
      <c r="C139" s="251"/>
      <c r="D139" s="251"/>
      <c r="E139" s="251"/>
      <c r="F139" s="251"/>
      <c r="G139" s="251"/>
      <c r="H139" s="251"/>
      <c r="I139" s="251"/>
      <c r="J139" s="251"/>
      <c r="K139" s="251"/>
      <c r="L139" s="251"/>
      <c r="M139" s="251"/>
      <c r="N139" s="251"/>
      <c r="O139" s="251"/>
      <c r="P139" s="251"/>
      <c r="Q139" s="251"/>
      <c r="R139" s="251"/>
      <c r="S139" s="251"/>
      <c r="T139" s="251"/>
      <c r="U139" s="251"/>
      <c r="V139" s="251"/>
      <c r="W139" s="251"/>
      <c r="X139" s="251"/>
      <c r="Y139" s="251"/>
      <c r="Z139" s="251"/>
    </row>
    <row r="140" spans="1:26" ht="14.25" customHeight="1" x14ac:dyDescent="0.35">
      <c r="A140" s="251"/>
      <c r="B140" s="251"/>
      <c r="C140" s="251"/>
      <c r="D140" s="251"/>
      <c r="E140" s="251"/>
      <c r="F140" s="251"/>
      <c r="G140" s="251"/>
      <c r="H140" s="251"/>
      <c r="I140" s="251"/>
      <c r="J140" s="251"/>
      <c r="K140" s="251"/>
      <c r="L140" s="251"/>
      <c r="M140" s="251"/>
      <c r="N140" s="251"/>
      <c r="O140" s="251"/>
      <c r="P140" s="251"/>
      <c r="Q140" s="251"/>
      <c r="R140" s="251"/>
      <c r="S140" s="251"/>
      <c r="T140" s="251"/>
      <c r="U140" s="251"/>
      <c r="V140" s="251"/>
      <c r="W140" s="251"/>
      <c r="X140" s="251"/>
      <c r="Y140" s="251"/>
      <c r="Z140" s="251"/>
    </row>
    <row r="141" spans="1:26" ht="14.25" customHeight="1" x14ac:dyDescent="0.35">
      <c r="A141" s="251"/>
      <c r="B141" s="251"/>
      <c r="C141" s="251"/>
      <c r="D141" s="251"/>
      <c r="E141" s="251"/>
      <c r="F141" s="251"/>
      <c r="G141" s="251"/>
      <c r="H141" s="251"/>
      <c r="I141" s="251"/>
      <c r="J141" s="251"/>
      <c r="K141" s="251"/>
      <c r="L141" s="251"/>
      <c r="M141" s="251"/>
      <c r="N141" s="251"/>
      <c r="O141" s="251"/>
      <c r="P141" s="251"/>
      <c r="Q141" s="251"/>
      <c r="R141" s="251"/>
      <c r="S141" s="251"/>
      <c r="T141" s="251"/>
      <c r="U141" s="251"/>
      <c r="V141" s="251"/>
      <c r="W141" s="251"/>
      <c r="X141" s="251"/>
      <c r="Y141" s="251"/>
      <c r="Z141" s="251"/>
    </row>
    <row r="142" spans="1:26" ht="14.25" customHeight="1" x14ac:dyDescent="0.35">
      <c r="A142" s="251"/>
      <c r="B142" s="251"/>
      <c r="C142" s="251"/>
      <c r="D142" s="251"/>
      <c r="E142" s="251"/>
      <c r="F142" s="251"/>
      <c r="G142" s="251"/>
      <c r="H142" s="251"/>
      <c r="I142" s="251"/>
      <c r="J142" s="251"/>
      <c r="K142" s="251"/>
      <c r="L142" s="251"/>
      <c r="M142" s="251"/>
      <c r="N142" s="251"/>
      <c r="O142" s="251"/>
      <c r="P142" s="251"/>
      <c r="Q142" s="251"/>
      <c r="R142" s="251"/>
      <c r="S142" s="251"/>
      <c r="T142" s="251"/>
      <c r="U142" s="251"/>
      <c r="V142" s="251"/>
      <c r="W142" s="251"/>
      <c r="X142" s="251"/>
      <c r="Y142" s="251"/>
      <c r="Z142" s="251"/>
    </row>
    <row r="143" spans="1:26" ht="14.25" customHeight="1" x14ac:dyDescent="0.35">
      <c r="A143" s="251"/>
      <c r="B143" s="251"/>
      <c r="C143" s="251"/>
      <c r="D143" s="251"/>
      <c r="E143" s="251"/>
      <c r="F143" s="251"/>
      <c r="G143" s="251"/>
      <c r="H143" s="251"/>
      <c r="I143" s="251"/>
      <c r="J143" s="251"/>
      <c r="K143" s="251"/>
      <c r="L143" s="251"/>
      <c r="M143" s="251"/>
      <c r="N143" s="251"/>
      <c r="O143" s="251"/>
      <c r="P143" s="251"/>
      <c r="Q143" s="251"/>
      <c r="R143" s="251"/>
      <c r="S143" s="251"/>
      <c r="T143" s="251"/>
      <c r="U143" s="251"/>
      <c r="V143" s="251"/>
      <c r="W143" s="251"/>
      <c r="X143" s="251"/>
      <c r="Y143" s="251"/>
      <c r="Z143" s="251"/>
    </row>
    <row r="144" spans="1:26" ht="14.25" customHeight="1" x14ac:dyDescent="0.35">
      <c r="A144" s="251"/>
      <c r="B144" s="251"/>
      <c r="C144" s="251"/>
      <c r="D144" s="251"/>
      <c r="E144" s="251"/>
      <c r="F144" s="251"/>
      <c r="G144" s="251"/>
      <c r="H144" s="251"/>
      <c r="I144" s="251"/>
      <c r="J144" s="251"/>
      <c r="K144" s="251"/>
      <c r="L144" s="251"/>
      <c r="M144" s="251"/>
      <c r="N144" s="251"/>
      <c r="O144" s="251"/>
      <c r="P144" s="251"/>
      <c r="Q144" s="251"/>
      <c r="R144" s="251"/>
      <c r="S144" s="251"/>
      <c r="T144" s="251"/>
      <c r="U144" s="251"/>
      <c r="V144" s="251"/>
      <c r="W144" s="251"/>
      <c r="X144" s="251"/>
      <c r="Y144" s="251"/>
      <c r="Z144" s="251"/>
    </row>
    <row r="145" spans="1:26" ht="14.25" customHeight="1" x14ac:dyDescent="0.35">
      <c r="A145" s="251"/>
      <c r="B145" s="251"/>
      <c r="C145" s="251"/>
      <c r="D145" s="251"/>
      <c r="E145" s="251"/>
      <c r="F145" s="251"/>
      <c r="G145" s="251"/>
      <c r="H145" s="251"/>
      <c r="I145" s="251"/>
      <c r="J145" s="251"/>
      <c r="K145" s="251"/>
      <c r="L145" s="251"/>
      <c r="M145" s="251"/>
      <c r="N145" s="251"/>
      <c r="O145" s="251"/>
      <c r="P145" s="251"/>
      <c r="Q145" s="251"/>
      <c r="R145" s="251"/>
      <c r="S145" s="251"/>
      <c r="T145" s="251"/>
      <c r="U145" s="251"/>
      <c r="V145" s="251"/>
      <c r="W145" s="251"/>
      <c r="X145" s="251"/>
      <c r="Y145" s="251"/>
      <c r="Z145" s="251"/>
    </row>
    <row r="146" spans="1:26" ht="14.25" customHeight="1" x14ac:dyDescent="0.35">
      <c r="A146" s="251"/>
      <c r="B146" s="251"/>
      <c r="C146" s="251"/>
      <c r="D146" s="251"/>
      <c r="E146" s="251"/>
      <c r="F146" s="251"/>
      <c r="G146" s="251"/>
      <c r="H146" s="251"/>
      <c r="I146" s="251"/>
      <c r="J146" s="251"/>
      <c r="K146" s="251"/>
      <c r="L146" s="251"/>
      <c r="M146" s="251"/>
      <c r="N146" s="251"/>
      <c r="O146" s="251"/>
      <c r="P146" s="251"/>
      <c r="Q146" s="251"/>
      <c r="R146" s="251"/>
      <c r="S146" s="251"/>
      <c r="T146" s="251"/>
      <c r="U146" s="251"/>
      <c r="V146" s="251"/>
      <c r="W146" s="251"/>
      <c r="X146" s="251"/>
      <c r="Y146" s="251"/>
      <c r="Z146" s="251"/>
    </row>
    <row r="147" spans="1:26" ht="14.25" customHeight="1" x14ac:dyDescent="0.35">
      <c r="A147" s="251"/>
      <c r="B147" s="251"/>
      <c r="C147" s="251"/>
      <c r="D147" s="251"/>
      <c r="E147" s="251"/>
      <c r="F147" s="251"/>
      <c r="G147" s="251"/>
      <c r="H147" s="251"/>
      <c r="I147" s="251"/>
      <c r="J147" s="251"/>
      <c r="K147" s="251"/>
      <c r="L147" s="251"/>
      <c r="M147" s="251"/>
      <c r="N147" s="251"/>
      <c r="O147" s="251"/>
      <c r="P147" s="251"/>
      <c r="Q147" s="251"/>
      <c r="R147" s="251"/>
      <c r="S147" s="251"/>
      <c r="T147" s="251"/>
      <c r="U147" s="251"/>
      <c r="V147" s="251"/>
      <c r="W147" s="251"/>
      <c r="X147" s="251"/>
      <c r="Y147" s="251"/>
      <c r="Z147" s="251"/>
    </row>
    <row r="148" spans="1:26" ht="14.25" customHeight="1" x14ac:dyDescent="0.35">
      <c r="A148" s="251"/>
      <c r="B148" s="251"/>
      <c r="C148" s="251"/>
      <c r="D148" s="251"/>
      <c r="E148" s="251"/>
      <c r="F148" s="251"/>
      <c r="G148" s="251"/>
      <c r="H148" s="251"/>
      <c r="I148" s="251"/>
      <c r="J148" s="251"/>
      <c r="K148" s="251"/>
      <c r="L148" s="251"/>
      <c r="M148" s="251"/>
      <c r="N148" s="251"/>
      <c r="O148" s="251"/>
      <c r="P148" s="251"/>
      <c r="Q148" s="251"/>
      <c r="R148" s="251"/>
      <c r="S148" s="251"/>
      <c r="T148" s="251"/>
      <c r="U148" s="251"/>
      <c r="V148" s="251"/>
      <c r="W148" s="251"/>
      <c r="X148" s="251"/>
      <c r="Y148" s="251"/>
      <c r="Z148" s="251"/>
    </row>
    <row r="149" spans="1:26" ht="14.25" customHeight="1" x14ac:dyDescent="0.35">
      <c r="A149" s="251"/>
      <c r="B149" s="251"/>
      <c r="C149" s="251"/>
      <c r="D149" s="251"/>
      <c r="E149" s="251"/>
      <c r="F149" s="251"/>
      <c r="G149" s="251"/>
      <c r="H149" s="251"/>
      <c r="I149" s="251"/>
      <c r="J149" s="251"/>
      <c r="K149" s="251"/>
      <c r="L149" s="251"/>
      <c r="M149" s="251"/>
      <c r="N149" s="251"/>
      <c r="O149" s="251"/>
      <c r="P149" s="251"/>
      <c r="Q149" s="251"/>
      <c r="R149" s="251"/>
      <c r="S149" s="251"/>
      <c r="T149" s="251"/>
      <c r="U149" s="251"/>
      <c r="V149" s="251"/>
      <c r="W149" s="251"/>
      <c r="X149" s="251"/>
      <c r="Y149" s="251"/>
      <c r="Z149" s="251"/>
    </row>
    <row r="150" spans="1:26" ht="14.25" customHeight="1" x14ac:dyDescent="0.35">
      <c r="A150" s="251"/>
      <c r="B150" s="251"/>
      <c r="C150" s="251"/>
      <c r="D150" s="251"/>
      <c r="E150" s="251"/>
      <c r="F150" s="251"/>
      <c r="G150" s="251"/>
      <c r="H150" s="251"/>
      <c r="I150" s="251"/>
      <c r="J150" s="251"/>
      <c r="K150" s="251"/>
      <c r="L150" s="251"/>
      <c r="M150" s="251"/>
      <c r="N150" s="251"/>
      <c r="O150" s="251"/>
      <c r="P150" s="251"/>
      <c r="Q150" s="251"/>
      <c r="R150" s="251"/>
      <c r="S150" s="251"/>
      <c r="T150" s="251"/>
      <c r="U150" s="251"/>
      <c r="V150" s="251"/>
      <c r="W150" s="251"/>
      <c r="X150" s="251"/>
      <c r="Y150" s="251"/>
      <c r="Z150" s="251"/>
    </row>
    <row r="151" spans="1:26" ht="14.25" customHeight="1" x14ac:dyDescent="0.35">
      <c r="A151" s="251"/>
      <c r="B151" s="251"/>
      <c r="C151" s="251"/>
      <c r="D151" s="251"/>
      <c r="E151" s="251"/>
      <c r="F151" s="251"/>
      <c r="G151" s="251"/>
      <c r="H151" s="251"/>
      <c r="I151" s="251"/>
      <c r="J151" s="251"/>
      <c r="K151" s="251"/>
      <c r="L151" s="251"/>
      <c r="M151" s="251"/>
      <c r="N151" s="251"/>
      <c r="O151" s="251"/>
      <c r="P151" s="251"/>
      <c r="Q151" s="251"/>
      <c r="R151" s="251"/>
      <c r="S151" s="251"/>
      <c r="T151" s="251"/>
      <c r="U151" s="251"/>
      <c r="V151" s="251"/>
      <c r="W151" s="251"/>
      <c r="X151" s="251"/>
      <c r="Y151" s="251"/>
      <c r="Z151" s="251"/>
    </row>
    <row r="152" spans="1:26" ht="14.25" customHeight="1" x14ac:dyDescent="0.35">
      <c r="A152" s="251"/>
      <c r="B152" s="251"/>
      <c r="C152" s="251"/>
      <c r="D152" s="251"/>
      <c r="E152" s="251"/>
      <c r="F152" s="251"/>
      <c r="G152" s="251"/>
      <c r="H152" s="251"/>
      <c r="I152" s="251"/>
      <c r="J152" s="251"/>
      <c r="K152" s="251"/>
      <c r="L152" s="251"/>
      <c r="M152" s="251"/>
      <c r="N152" s="251"/>
      <c r="O152" s="251"/>
      <c r="P152" s="251"/>
      <c r="Q152" s="251"/>
      <c r="R152" s="251"/>
      <c r="S152" s="251"/>
      <c r="T152" s="251"/>
      <c r="U152" s="251"/>
      <c r="V152" s="251"/>
      <c r="W152" s="251"/>
      <c r="X152" s="251"/>
      <c r="Y152" s="251"/>
      <c r="Z152" s="251"/>
    </row>
    <row r="153" spans="1:26" ht="14.25" customHeight="1" x14ac:dyDescent="0.35">
      <c r="A153" s="251"/>
      <c r="B153" s="251"/>
      <c r="C153" s="251"/>
      <c r="D153" s="251"/>
      <c r="E153" s="251"/>
      <c r="F153" s="251"/>
      <c r="G153" s="251"/>
      <c r="H153" s="251"/>
      <c r="I153" s="251"/>
      <c r="J153" s="251"/>
      <c r="K153" s="251"/>
      <c r="L153" s="251"/>
      <c r="M153" s="251"/>
      <c r="N153" s="251"/>
      <c r="O153" s="251"/>
      <c r="P153" s="251"/>
      <c r="Q153" s="251"/>
      <c r="R153" s="251"/>
      <c r="S153" s="251"/>
      <c r="T153" s="251"/>
      <c r="U153" s="251"/>
      <c r="V153" s="251"/>
      <c r="W153" s="251"/>
      <c r="X153" s="251"/>
      <c r="Y153" s="251"/>
      <c r="Z153" s="251"/>
    </row>
    <row r="154" spans="1:26" ht="14.25" customHeight="1" x14ac:dyDescent="0.35">
      <c r="A154" s="251"/>
      <c r="B154" s="251"/>
      <c r="C154" s="251"/>
      <c r="D154" s="251"/>
      <c r="E154" s="251"/>
      <c r="F154" s="251"/>
      <c r="G154" s="251"/>
      <c r="H154" s="251"/>
      <c r="I154" s="251"/>
      <c r="J154" s="251"/>
      <c r="K154" s="251"/>
      <c r="L154" s="251"/>
      <c r="M154" s="251"/>
      <c r="N154" s="251"/>
      <c r="O154" s="251"/>
      <c r="P154" s="251"/>
      <c r="Q154" s="251"/>
      <c r="R154" s="251"/>
      <c r="S154" s="251"/>
      <c r="T154" s="251"/>
      <c r="U154" s="251"/>
      <c r="V154" s="251"/>
      <c r="W154" s="251"/>
      <c r="X154" s="251"/>
      <c r="Y154" s="251"/>
      <c r="Z154" s="251"/>
    </row>
    <row r="155" spans="1:26" ht="14.25" customHeight="1" x14ac:dyDescent="0.35">
      <c r="A155" s="251"/>
      <c r="B155" s="251"/>
      <c r="C155" s="251"/>
      <c r="D155" s="251"/>
      <c r="E155" s="251"/>
      <c r="F155" s="251"/>
      <c r="G155" s="251"/>
      <c r="H155" s="251"/>
      <c r="I155" s="251"/>
      <c r="J155" s="251"/>
      <c r="K155" s="251"/>
      <c r="L155" s="251"/>
      <c r="M155" s="251"/>
      <c r="N155" s="251"/>
      <c r="O155" s="251"/>
      <c r="P155" s="251"/>
      <c r="Q155" s="251"/>
      <c r="R155" s="251"/>
      <c r="S155" s="251"/>
      <c r="T155" s="251"/>
      <c r="U155" s="251"/>
      <c r="V155" s="251"/>
      <c r="W155" s="251"/>
      <c r="X155" s="251"/>
      <c r="Y155" s="251"/>
      <c r="Z155" s="251"/>
    </row>
    <row r="156" spans="1:26" ht="14.25" customHeight="1" x14ac:dyDescent="0.35">
      <c r="A156" s="251"/>
      <c r="B156" s="251"/>
      <c r="C156" s="251"/>
      <c r="D156" s="251"/>
      <c r="E156" s="251"/>
      <c r="F156" s="251"/>
      <c r="G156" s="251"/>
      <c r="H156" s="251"/>
      <c r="I156" s="251"/>
      <c r="J156" s="251"/>
      <c r="K156" s="251"/>
      <c r="L156" s="251"/>
      <c r="M156" s="251"/>
      <c r="N156" s="251"/>
      <c r="O156" s="251"/>
      <c r="P156" s="251"/>
      <c r="Q156" s="251"/>
      <c r="R156" s="251"/>
      <c r="S156" s="251"/>
      <c r="T156" s="251"/>
      <c r="U156" s="251"/>
      <c r="V156" s="251"/>
      <c r="W156" s="251"/>
      <c r="X156" s="251"/>
      <c r="Y156" s="251"/>
      <c r="Z156" s="251"/>
    </row>
    <row r="157" spans="1:26" ht="14.25" customHeight="1" x14ac:dyDescent="0.35">
      <c r="A157" s="251"/>
      <c r="B157" s="251"/>
      <c r="C157" s="251"/>
      <c r="D157" s="251"/>
      <c r="E157" s="251"/>
      <c r="F157" s="251"/>
      <c r="G157" s="251"/>
      <c r="H157" s="251"/>
      <c r="I157" s="251"/>
      <c r="J157" s="251"/>
      <c r="K157" s="251"/>
      <c r="L157" s="251"/>
      <c r="M157" s="251"/>
      <c r="N157" s="251"/>
      <c r="O157" s="251"/>
      <c r="P157" s="251"/>
      <c r="Q157" s="251"/>
      <c r="R157" s="251"/>
      <c r="S157" s="251"/>
      <c r="T157" s="251"/>
      <c r="U157" s="251"/>
      <c r="V157" s="251"/>
      <c r="W157" s="251"/>
      <c r="X157" s="251"/>
      <c r="Y157" s="251"/>
      <c r="Z157" s="251"/>
    </row>
    <row r="158" spans="1:26" ht="14.25" customHeight="1" x14ac:dyDescent="0.35">
      <c r="A158" s="251"/>
      <c r="B158" s="251"/>
      <c r="C158" s="251"/>
      <c r="D158" s="251"/>
      <c r="E158" s="251"/>
      <c r="F158" s="251"/>
      <c r="G158" s="251"/>
      <c r="H158" s="251"/>
      <c r="I158" s="251"/>
      <c r="J158" s="251"/>
      <c r="K158" s="251"/>
      <c r="L158" s="251"/>
      <c r="M158" s="251"/>
      <c r="N158" s="251"/>
      <c r="O158" s="251"/>
      <c r="P158" s="251"/>
      <c r="Q158" s="251"/>
      <c r="R158" s="251"/>
      <c r="S158" s="251"/>
      <c r="T158" s="251"/>
      <c r="U158" s="251"/>
      <c r="V158" s="251"/>
      <c r="W158" s="251"/>
      <c r="X158" s="251"/>
      <c r="Y158" s="251"/>
      <c r="Z158" s="251"/>
    </row>
    <row r="159" spans="1:26" ht="14.25" customHeight="1" x14ac:dyDescent="0.35">
      <c r="A159" s="251"/>
      <c r="B159" s="251"/>
      <c r="C159" s="251"/>
      <c r="D159" s="251"/>
      <c r="E159" s="251"/>
      <c r="F159" s="251"/>
      <c r="G159" s="251"/>
      <c r="H159" s="251"/>
      <c r="I159" s="251"/>
      <c r="J159" s="251"/>
      <c r="K159" s="251"/>
      <c r="L159" s="251"/>
      <c r="M159" s="251"/>
      <c r="N159" s="251"/>
      <c r="O159" s="251"/>
      <c r="P159" s="251"/>
      <c r="Q159" s="251"/>
      <c r="R159" s="251"/>
      <c r="S159" s="251"/>
      <c r="T159" s="251"/>
      <c r="U159" s="251"/>
      <c r="V159" s="251"/>
      <c r="W159" s="251"/>
      <c r="X159" s="251"/>
      <c r="Y159" s="251"/>
      <c r="Z159" s="251"/>
    </row>
    <row r="160" spans="1:26" ht="14.25" customHeight="1" x14ac:dyDescent="0.35">
      <c r="A160" s="251"/>
      <c r="B160" s="251"/>
      <c r="C160" s="251"/>
      <c r="D160" s="251"/>
      <c r="E160" s="251"/>
      <c r="F160" s="251"/>
      <c r="G160" s="251"/>
      <c r="H160" s="251"/>
      <c r="I160" s="251"/>
      <c r="J160" s="251"/>
      <c r="K160" s="251"/>
      <c r="L160" s="251"/>
      <c r="M160" s="251"/>
      <c r="N160" s="251"/>
      <c r="O160" s="251"/>
      <c r="P160" s="251"/>
      <c r="Q160" s="251"/>
      <c r="R160" s="251"/>
      <c r="S160" s="251"/>
      <c r="T160" s="251"/>
      <c r="U160" s="251"/>
      <c r="V160" s="251"/>
      <c r="W160" s="251"/>
      <c r="X160" s="251"/>
      <c r="Y160" s="251"/>
      <c r="Z160" s="251"/>
    </row>
    <row r="161" spans="1:26" ht="14.25" customHeight="1" x14ac:dyDescent="0.35">
      <c r="A161" s="251"/>
      <c r="B161" s="251"/>
      <c r="C161" s="251"/>
      <c r="D161" s="251"/>
      <c r="E161" s="251"/>
      <c r="F161" s="251"/>
      <c r="G161" s="251"/>
      <c r="H161" s="251"/>
      <c r="I161" s="251"/>
      <c r="J161" s="251"/>
      <c r="K161" s="251"/>
      <c r="L161" s="251"/>
      <c r="M161" s="251"/>
      <c r="N161" s="251"/>
      <c r="O161" s="251"/>
      <c r="P161" s="251"/>
      <c r="Q161" s="251"/>
      <c r="R161" s="251"/>
      <c r="S161" s="251"/>
      <c r="T161" s="251"/>
      <c r="U161" s="251"/>
      <c r="V161" s="251"/>
      <c r="W161" s="251"/>
      <c r="X161" s="251"/>
      <c r="Y161" s="251"/>
      <c r="Z161" s="251"/>
    </row>
    <row r="162" spans="1:26" ht="14.25" customHeight="1" x14ac:dyDescent="0.35">
      <c r="A162" s="251"/>
      <c r="B162" s="251"/>
      <c r="C162" s="251"/>
      <c r="D162" s="251"/>
      <c r="E162" s="251"/>
      <c r="F162" s="251"/>
      <c r="G162" s="251"/>
      <c r="H162" s="251"/>
      <c r="I162" s="251"/>
      <c r="J162" s="251"/>
      <c r="K162" s="251"/>
      <c r="L162" s="251"/>
      <c r="M162" s="251"/>
      <c r="N162" s="251"/>
      <c r="O162" s="251"/>
      <c r="P162" s="251"/>
      <c r="Q162" s="251"/>
      <c r="R162" s="251"/>
      <c r="S162" s="251"/>
      <c r="T162" s="251"/>
      <c r="U162" s="251"/>
      <c r="V162" s="251"/>
      <c r="W162" s="251"/>
      <c r="X162" s="251"/>
      <c r="Y162" s="251"/>
      <c r="Z162" s="251"/>
    </row>
    <row r="163" spans="1:26" ht="14.25" customHeight="1" x14ac:dyDescent="0.35">
      <c r="A163" s="251"/>
      <c r="B163" s="251"/>
      <c r="C163" s="251"/>
      <c r="D163" s="251"/>
      <c r="E163" s="251"/>
      <c r="F163" s="251"/>
      <c r="G163" s="251"/>
      <c r="H163" s="251"/>
      <c r="I163" s="251"/>
      <c r="J163" s="251"/>
      <c r="K163" s="251"/>
      <c r="L163" s="251"/>
      <c r="M163" s="251"/>
      <c r="N163" s="251"/>
      <c r="O163" s="251"/>
      <c r="P163" s="251"/>
      <c r="Q163" s="251"/>
      <c r="R163" s="251"/>
      <c r="S163" s="251"/>
      <c r="T163" s="251"/>
      <c r="U163" s="251"/>
      <c r="V163" s="251"/>
      <c r="W163" s="251"/>
      <c r="X163" s="251"/>
      <c r="Y163" s="251"/>
      <c r="Z163" s="251"/>
    </row>
    <row r="164" spans="1:26" ht="14.25" customHeight="1" x14ac:dyDescent="0.35">
      <c r="A164" s="251"/>
      <c r="B164" s="251"/>
      <c r="C164" s="251"/>
      <c r="D164" s="251"/>
      <c r="E164" s="251"/>
      <c r="F164" s="251"/>
      <c r="G164" s="251"/>
      <c r="H164" s="251"/>
      <c r="I164" s="251"/>
      <c r="J164" s="251"/>
      <c r="K164" s="251"/>
      <c r="L164" s="251"/>
      <c r="M164" s="251"/>
      <c r="N164" s="251"/>
      <c r="O164" s="251"/>
      <c r="P164" s="251"/>
      <c r="Q164" s="251"/>
      <c r="R164" s="251"/>
      <c r="S164" s="251"/>
      <c r="T164" s="251"/>
      <c r="U164" s="251"/>
      <c r="V164" s="251"/>
      <c r="W164" s="251"/>
      <c r="X164" s="251"/>
      <c r="Y164" s="251"/>
      <c r="Z164" s="251"/>
    </row>
    <row r="165" spans="1:26" ht="14.25" customHeight="1" x14ac:dyDescent="0.35">
      <c r="A165" s="251"/>
      <c r="B165" s="251"/>
      <c r="C165" s="251"/>
      <c r="D165" s="251"/>
      <c r="E165" s="251"/>
      <c r="F165" s="251"/>
      <c r="G165" s="251"/>
      <c r="H165" s="251"/>
      <c r="I165" s="251"/>
      <c r="J165" s="251"/>
      <c r="K165" s="251"/>
      <c r="L165" s="251"/>
      <c r="M165" s="251"/>
      <c r="N165" s="251"/>
      <c r="O165" s="251"/>
      <c r="P165" s="251"/>
      <c r="Q165" s="251"/>
      <c r="R165" s="251"/>
      <c r="S165" s="251"/>
      <c r="T165" s="251"/>
      <c r="U165" s="251"/>
      <c r="V165" s="251"/>
      <c r="W165" s="251"/>
      <c r="X165" s="251"/>
      <c r="Y165" s="251"/>
      <c r="Z165" s="251"/>
    </row>
    <row r="166" spans="1:26" ht="14.25" customHeight="1" x14ac:dyDescent="0.35">
      <c r="A166" s="251"/>
      <c r="B166" s="251"/>
      <c r="C166" s="251"/>
      <c r="D166" s="251"/>
      <c r="E166" s="251"/>
      <c r="F166" s="251"/>
      <c r="G166" s="251"/>
      <c r="H166" s="251"/>
      <c r="I166" s="251"/>
      <c r="J166" s="251"/>
      <c r="K166" s="251"/>
      <c r="L166" s="251"/>
      <c r="M166" s="251"/>
      <c r="N166" s="251"/>
      <c r="O166" s="251"/>
      <c r="P166" s="251"/>
      <c r="Q166" s="251"/>
      <c r="R166" s="251"/>
      <c r="S166" s="251"/>
      <c r="T166" s="251"/>
      <c r="U166" s="251"/>
      <c r="V166" s="251"/>
      <c r="W166" s="251"/>
      <c r="X166" s="251"/>
      <c r="Y166" s="251"/>
      <c r="Z166" s="251"/>
    </row>
    <row r="167" spans="1:26" ht="14.25" customHeight="1" x14ac:dyDescent="0.35">
      <c r="A167" s="251"/>
      <c r="B167" s="251"/>
      <c r="C167" s="251"/>
      <c r="D167" s="251"/>
      <c r="E167" s="251"/>
      <c r="F167" s="251"/>
      <c r="G167" s="251"/>
      <c r="H167" s="251"/>
      <c r="I167" s="251"/>
      <c r="J167" s="251"/>
      <c r="K167" s="251"/>
      <c r="L167" s="251"/>
      <c r="M167" s="251"/>
      <c r="N167" s="251"/>
      <c r="O167" s="251"/>
      <c r="P167" s="251"/>
      <c r="Q167" s="251"/>
      <c r="R167" s="251"/>
      <c r="S167" s="251"/>
      <c r="T167" s="251"/>
      <c r="U167" s="251"/>
      <c r="V167" s="251"/>
      <c r="W167" s="251"/>
      <c r="X167" s="251"/>
      <c r="Y167" s="251"/>
      <c r="Z167" s="251"/>
    </row>
    <row r="168" spans="1:26" ht="14.25" customHeight="1" x14ac:dyDescent="0.35">
      <c r="A168" s="251"/>
      <c r="B168" s="251"/>
      <c r="C168" s="251"/>
      <c r="D168" s="251"/>
      <c r="E168" s="251"/>
      <c r="F168" s="251"/>
      <c r="G168" s="251"/>
      <c r="H168" s="251"/>
      <c r="I168" s="251"/>
      <c r="J168" s="251"/>
      <c r="K168" s="251"/>
      <c r="L168" s="251"/>
      <c r="M168" s="251"/>
      <c r="N168" s="251"/>
      <c r="O168" s="251"/>
      <c r="P168" s="251"/>
      <c r="Q168" s="251"/>
      <c r="R168" s="251"/>
      <c r="S168" s="251"/>
      <c r="T168" s="251"/>
      <c r="U168" s="251"/>
      <c r="V168" s="251"/>
      <c r="W168" s="251"/>
      <c r="X168" s="251"/>
      <c r="Y168" s="251"/>
      <c r="Z168" s="251"/>
    </row>
    <row r="169" spans="1:26" ht="14.25" customHeight="1" x14ac:dyDescent="0.35">
      <c r="A169" s="251"/>
      <c r="B169" s="251"/>
      <c r="C169" s="251"/>
      <c r="D169" s="251"/>
      <c r="E169" s="251"/>
      <c r="F169" s="251"/>
      <c r="G169" s="251"/>
      <c r="H169" s="251"/>
      <c r="I169" s="251"/>
      <c r="J169" s="251"/>
      <c r="K169" s="251"/>
      <c r="L169" s="251"/>
      <c r="M169" s="251"/>
      <c r="N169" s="251"/>
      <c r="O169" s="251"/>
      <c r="P169" s="251"/>
      <c r="Q169" s="251"/>
      <c r="R169" s="251"/>
      <c r="S169" s="251"/>
      <c r="T169" s="251"/>
      <c r="U169" s="251"/>
      <c r="V169" s="251"/>
      <c r="W169" s="251"/>
      <c r="X169" s="251"/>
      <c r="Y169" s="251"/>
      <c r="Z169" s="251"/>
    </row>
    <row r="170" spans="1:26" ht="14.25" customHeight="1" x14ac:dyDescent="0.35">
      <c r="A170" s="251"/>
      <c r="B170" s="251"/>
      <c r="C170" s="251"/>
      <c r="D170" s="251"/>
      <c r="E170" s="251"/>
      <c r="F170" s="251"/>
      <c r="G170" s="251"/>
      <c r="H170" s="251"/>
      <c r="I170" s="251"/>
      <c r="J170" s="251"/>
      <c r="K170" s="251"/>
      <c r="L170" s="251"/>
      <c r="M170" s="251"/>
      <c r="N170" s="251"/>
      <c r="O170" s="251"/>
      <c r="P170" s="251"/>
      <c r="Q170" s="251"/>
      <c r="R170" s="251"/>
      <c r="S170" s="251"/>
      <c r="T170" s="251"/>
      <c r="U170" s="251"/>
      <c r="V170" s="251"/>
      <c r="W170" s="251"/>
      <c r="X170" s="251"/>
      <c r="Y170" s="251"/>
      <c r="Z170" s="251"/>
    </row>
    <row r="171" spans="1:26" ht="14.25" customHeight="1" x14ac:dyDescent="0.35">
      <c r="A171" s="251"/>
      <c r="B171" s="251"/>
      <c r="C171" s="251"/>
      <c r="D171" s="251"/>
      <c r="E171" s="251"/>
      <c r="F171" s="251"/>
      <c r="G171" s="251"/>
      <c r="H171" s="251"/>
      <c r="I171" s="251"/>
      <c r="J171" s="251"/>
      <c r="K171" s="251"/>
      <c r="L171" s="251"/>
      <c r="M171" s="251"/>
      <c r="N171" s="251"/>
      <c r="O171" s="251"/>
      <c r="P171" s="251"/>
      <c r="Q171" s="251"/>
      <c r="R171" s="251"/>
      <c r="S171" s="251"/>
      <c r="T171" s="251"/>
      <c r="U171" s="251"/>
      <c r="V171" s="251"/>
      <c r="W171" s="251"/>
      <c r="X171" s="251"/>
      <c r="Y171" s="251"/>
      <c r="Z171" s="251"/>
    </row>
    <row r="172" spans="1:26" ht="14.25" customHeight="1" x14ac:dyDescent="0.35">
      <c r="A172" s="251"/>
      <c r="B172" s="251"/>
      <c r="C172" s="251"/>
      <c r="D172" s="251"/>
      <c r="E172" s="251"/>
      <c r="F172" s="251"/>
      <c r="G172" s="251"/>
      <c r="H172" s="251"/>
      <c r="I172" s="251"/>
      <c r="J172" s="251"/>
      <c r="K172" s="251"/>
      <c r="L172" s="251"/>
      <c r="M172" s="251"/>
      <c r="N172" s="251"/>
      <c r="O172" s="251"/>
      <c r="P172" s="251"/>
      <c r="Q172" s="251"/>
      <c r="R172" s="251"/>
      <c r="S172" s="251"/>
      <c r="T172" s="251"/>
      <c r="U172" s="251"/>
      <c r="V172" s="251"/>
      <c r="W172" s="251"/>
      <c r="X172" s="251"/>
      <c r="Y172" s="251"/>
      <c r="Z172" s="251"/>
    </row>
    <row r="173" spans="1:26" ht="14.25" customHeight="1" x14ac:dyDescent="0.35">
      <c r="A173" s="251"/>
      <c r="B173" s="251"/>
      <c r="C173" s="251"/>
      <c r="D173" s="251"/>
      <c r="E173" s="251"/>
      <c r="F173" s="251"/>
      <c r="G173" s="251"/>
      <c r="H173" s="251"/>
      <c r="I173" s="251"/>
      <c r="J173" s="251"/>
      <c r="K173" s="251"/>
      <c r="L173" s="251"/>
      <c r="M173" s="251"/>
      <c r="N173" s="251"/>
      <c r="O173" s="251"/>
      <c r="P173" s="251"/>
      <c r="Q173" s="251"/>
      <c r="R173" s="251"/>
      <c r="S173" s="251"/>
      <c r="T173" s="251"/>
      <c r="U173" s="251"/>
      <c r="V173" s="251"/>
      <c r="W173" s="251"/>
      <c r="X173" s="251"/>
      <c r="Y173" s="251"/>
      <c r="Z173" s="251"/>
    </row>
    <row r="174" spans="1:26" ht="14.25" customHeight="1" x14ac:dyDescent="0.35">
      <c r="A174" s="251"/>
      <c r="B174" s="251"/>
      <c r="C174" s="251"/>
      <c r="D174" s="251"/>
      <c r="E174" s="251"/>
      <c r="F174" s="251"/>
      <c r="G174" s="251"/>
      <c r="H174" s="251"/>
      <c r="I174" s="251"/>
      <c r="J174" s="251"/>
      <c r="K174" s="251"/>
      <c r="L174" s="251"/>
      <c r="M174" s="251"/>
      <c r="N174" s="251"/>
      <c r="O174" s="251"/>
      <c r="P174" s="251"/>
      <c r="Q174" s="251"/>
      <c r="R174" s="251"/>
      <c r="S174" s="251"/>
      <c r="T174" s="251"/>
      <c r="U174" s="251"/>
      <c r="V174" s="251"/>
      <c r="W174" s="251"/>
      <c r="X174" s="251"/>
      <c r="Y174" s="251"/>
      <c r="Z174" s="251"/>
    </row>
    <row r="175" spans="1:26" ht="14.25" customHeight="1" x14ac:dyDescent="0.35">
      <c r="A175" s="251"/>
      <c r="B175" s="251"/>
      <c r="C175" s="251"/>
      <c r="D175" s="251"/>
      <c r="E175" s="251"/>
      <c r="F175" s="251"/>
      <c r="G175" s="251"/>
      <c r="H175" s="251"/>
      <c r="I175" s="251"/>
      <c r="J175" s="251"/>
      <c r="K175" s="251"/>
      <c r="L175" s="251"/>
      <c r="M175" s="251"/>
      <c r="N175" s="251"/>
      <c r="O175" s="251"/>
      <c r="P175" s="251"/>
      <c r="Q175" s="251"/>
      <c r="R175" s="251"/>
      <c r="S175" s="251"/>
      <c r="T175" s="251"/>
      <c r="U175" s="251"/>
      <c r="V175" s="251"/>
      <c r="W175" s="251"/>
      <c r="X175" s="251"/>
      <c r="Y175" s="251"/>
      <c r="Z175" s="251"/>
    </row>
    <row r="176" spans="1:26" ht="14.25" customHeight="1" x14ac:dyDescent="0.35">
      <c r="A176" s="251"/>
      <c r="B176" s="251"/>
      <c r="C176" s="251"/>
      <c r="D176" s="251"/>
      <c r="E176" s="251"/>
      <c r="F176" s="251"/>
      <c r="G176" s="251"/>
      <c r="H176" s="251"/>
      <c r="I176" s="251"/>
      <c r="J176" s="251"/>
      <c r="K176" s="251"/>
      <c r="L176" s="251"/>
      <c r="M176" s="251"/>
      <c r="N176" s="251"/>
      <c r="O176" s="251"/>
      <c r="P176" s="251"/>
      <c r="Q176" s="251"/>
      <c r="R176" s="251"/>
      <c r="S176" s="251"/>
      <c r="T176" s="251"/>
      <c r="U176" s="251"/>
      <c r="V176" s="251"/>
      <c r="W176" s="251"/>
      <c r="X176" s="251"/>
      <c r="Y176" s="251"/>
      <c r="Z176" s="251"/>
    </row>
    <row r="177" spans="1:26" ht="14.25" customHeight="1" x14ac:dyDescent="0.35">
      <c r="A177" s="251"/>
      <c r="B177" s="251"/>
      <c r="C177" s="251"/>
      <c r="D177" s="251"/>
      <c r="E177" s="251"/>
      <c r="F177" s="251"/>
      <c r="G177" s="251"/>
      <c r="H177" s="251"/>
      <c r="I177" s="251"/>
      <c r="J177" s="251"/>
      <c r="K177" s="251"/>
      <c r="L177" s="251"/>
      <c r="M177" s="251"/>
      <c r="N177" s="251"/>
      <c r="O177" s="251"/>
      <c r="P177" s="251"/>
      <c r="Q177" s="251"/>
      <c r="R177" s="251"/>
      <c r="S177" s="251"/>
      <c r="T177" s="251"/>
      <c r="U177" s="251"/>
      <c r="V177" s="251"/>
      <c r="W177" s="251"/>
      <c r="X177" s="251"/>
      <c r="Y177" s="251"/>
      <c r="Z177" s="251"/>
    </row>
    <row r="178" spans="1:26" ht="14.25" customHeight="1" x14ac:dyDescent="0.35">
      <c r="A178" s="251"/>
      <c r="B178" s="251"/>
      <c r="C178" s="251"/>
      <c r="D178" s="251"/>
      <c r="E178" s="251"/>
      <c r="F178" s="251"/>
      <c r="G178" s="251"/>
      <c r="H178" s="251"/>
      <c r="I178" s="251"/>
      <c r="J178" s="251"/>
      <c r="K178" s="251"/>
      <c r="L178" s="251"/>
      <c r="M178" s="251"/>
      <c r="N178" s="251"/>
      <c r="O178" s="251"/>
      <c r="P178" s="251"/>
      <c r="Q178" s="251"/>
      <c r="R178" s="251"/>
      <c r="S178" s="251"/>
      <c r="T178" s="251"/>
      <c r="U178" s="251"/>
      <c r="V178" s="251"/>
      <c r="W178" s="251"/>
      <c r="X178" s="251"/>
      <c r="Y178" s="251"/>
      <c r="Z178" s="251"/>
    </row>
    <row r="179" spans="1:26" ht="14.25" customHeight="1" x14ac:dyDescent="0.35">
      <c r="A179" s="251"/>
      <c r="B179" s="251"/>
      <c r="C179" s="251"/>
      <c r="D179" s="251"/>
      <c r="E179" s="251"/>
      <c r="F179" s="251"/>
      <c r="G179" s="251"/>
      <c r="H179" s="251"/>
      <c r="I179" s="251"/>
      <c r="J179" s="251"/>
      <c r="K179" s="251"/>
      <c r="L179" s="251"/>
      <c r="M179" s="251"/>
      <c r="N179" s="251"/>
      <c r="O179" s="251"/>
      <c r="P179" s="251"/>
      <c r="Q179" s="251"/>
      <c r="R179" s="251"/>
      <c r="S179" s="251"/>
      <c r="T179" s="251"/>
      <c r="U179" s="251"/>
      <c r="V179" s="251"/>
      <c r="W179" s="251"/>
      <c r="X179" s="251"/>
      <c r="Y179" s="251"/>
      <c r="Z179" s="251"/>
    </row>
    <row r="180" spans="1:26" ht="14.25" customHeight="1" x14ac:dyDescent="0.35">
      <c r="A180" s="251"/>
      <c r="B180" s="251"/>
      <c r="C180" s="251"/>
      <c r="D180" s="251"/>
      <c r="E180" s="251"/>
      <c r="F180" s="251"/>
      <c r="G180" s="251"/>
      <c r="H180" s="251"/>
      <c r="I180" s="251"/>
      <c r="J180" s="251"/>
      <c r="K180" s="251"/>
      <c r="L180" s="251"/>
      <c r="M180" s="251"/>
      <c r="N180" s="251"/>
      <c r="O180" s="251"/>
      <c r="P180" s="251"/>
      <c r="Q180" s="251"/>
      <c r="R180" s="251"/>
      <c r="S180" s="251"/>
      <c r="T180" s="251"/>
      <c r="U180" s="251"/>
      <c r="V180" s="251"/>
      <c r="W180" s="251"/>
      <c r="X180" s="251"/>
      <c r="Y180" s="251"/>
      <c r="Z180" s="251"/>
    </row>
    <row r="181" spans="1:26" ht="14.25" customHeight="1" x14ac:dyDescent="0.35">
      <c r="A181" s="251"/>
      <c r="B181" s="251"/>
      <c r="C181" s="251"/>
      <c r="D181" s="251"/>
      <c r="E181" s="251"/>
      <c r="F181" s="251"/>
      <c r="G181" s="251"/>
      <c r="H181" s="251"/>
      <c r="I181" s="251"/>
      <c r="J181" s="251"/>
      <c r="K181" s="251"/>
      <c r="L181" s="251"/>
      <c r="M181" s="251"/>
      <c r="N181" s="251"/>
      <c r="O181" s="251"/>
      <c r="P181" s="251"/>
      <c r="Q181" s="251"/>
      <c r="R181" s="251"/>
      <c r="S181" s="251"/>
      <c r="T181" s="251"/>
      <c r="U181" s="251"/>
      <c r="V181" s="251"/>
      <c r="W181" s="251"/>
      <c r="X181" s="251"/>
      <c r="Y181" s="251"/>
      <c r="Z181" s="251"/>
    </row>
    <row r="182" spans="1:26" ht="14.25" customHeight="1" x14ac:dyDescent="0.35">
      <c r="A182" s="251"/>
      <c r="B182" s="251"/>
      <c r="C182" s="251"/>
      <c r="D182" s="251"/>
      <c r="E182" s="251"/>
      <c r="F182" s="251"/>
      <c r="G182" s="251"/>
      <c r="H182" s="251"/>
      <c r="I182" s="251"/>
      <c r="J182" s="251"/>
      <c r="K182" s="251"/>
      <c r="L182" s="251"/>
      <c r="M182" s="251"/>
      <c r="N182" s="251"/>
      <c r="O182" s="251"/>
      <c r="P182" s="251"/>
      <c r="Q182" s="251"/>
      <c r="R182" s="251"/>
      <c r="S182" s="251"/>
      <c r="T182" s="251"/>
      <c r="U182" s="251"/>
      <c r="V182" s="251"/>
      <c r="W182" s="251"/>
      <c r="X182" s="251"/>
      <c r="Y182" s="251"/>
      <c r="Z182" s="251"/>
    </row>
    <row r="183" spans="1:26" ht="14.25" customHeight="1" x14ac:dyDescent="0.35">
      <c r="A183" s="251"/>
      <c r="B183" s="251"/>
      <c r="C183" s="251"/>
      <c r="D183" s="251"/>
      <c r="E183" s="251"/>
      <c r="F183" s="251"/>
      <c r="G183" s="251"/>
      <c r="H183" s="251"/>
      <c r="I183" s="251"/>
      <c r="J183" s="251"/>
      <c r="K183" s="251"/>
      <c r="L183" s="251"/>
      <c r="M183" s="251"/>
      <c r="N183" s="251"/>
      <c r="O183" s="251"/>
      <c r="P183" s="251"/>
      <c r="Q183" s="251"/>
      <c r="R183" s="251"/>
      <c r="S183" s="251"/>
      <c r="T183" s="251"/>
      <c r="U183" s="251"/>
      <c r="V183" s="251"/>
      <c r="W183" s="251"/>
      <c r="X183" s="251"/>
      <c r="Y183" s="251"/>
      <c r="Z183" s="251"/>
    </row>
    <row r="184" spans="1:26" ht="14.25" customHeight="1" x14ac:dyDescent="0.35">
      <c r="A184" s="251"/>
      <c r="B184" s="251"/>
      <c r="C184" s="251"/>
      <c r="D184" s="251"/>
      <c r="E184" s="251"/>
      <c r="F184" s="251"/>
      <c r="G184" s="251"/>
      <c r="H184" s="251"/>
      <c r="I184" s="251"/>
      <c r="J184" s="251"/>
      <c r="K184" s="251"/>
      <c r="L184" s="251"/>
      <c r="M184" s="251"/>
      <c r="N184" s="251"/>
      <c r="O184" s="251"/>
      <c r="P184" s="251"/>
      <c r="Q184" s="251"/>
      <c r="R184" s="251"/>
      <c r="S184" s="251"/>
      <c r="T184" s="251"/>
      <c r="U184" s="251"/>
      <c r="V184" s="251"/>
      <c r="W184" s="251"/>
      <c r="X184" s="251"/>
      <c r="Y184" s="251"/>
      <c r="Z184" s="251"/>
    </row>
    <row r="185" spans="1:26" ht="14.25" customHeight="1" x14ac:dyDescent="0.35">
      <c r="A185" s="251"/>
      <c r="B185" s="251"/>
      <c r="C185" s="251"/>
      <c r="D185" s="251"/>
      <c r="E185" s="251"/>
      <c r="F185" s="251"/>
      <c r="G185" s="251"/>
      <c r="H185" s="251"/>
      <c r="I185" s="251"/>
      <c r="J185" s="251"/>
      <c r="K185" s="251"/>
      <c r="L185" s="251"/>
      <c r="M185" s="251"/>
      <c r="N185" s="251"/>
      <c r="O185" s="251"/>
      <c r="P185" s="251"/>
      <c r="Q185" s="251"/>
      <c r="R185" s="251"/>
      <c r="S185" s="251"/>
      <c r="T185" s="251"/>
      <c r="U185" s="251"/>
      <c r="V185" s="251"/>
      <c r="W185" s="251"/>
      <c r="X185" s="251"/>
      <c r="Y185" s="251"/>
      <c r="Z185" s="251"/>
    </row>
    <row r="186" spans="1:26" ht="14.25" customHeight="1" x14ac:dyDescent="0.35">
      <c r="A186" s="251"/>
      <c r="B186" s="251"/>
      <c r="C186" s="251"/>
      <c r="D186" s="251"/>
      <c r="E186" s="251"/>
      <c r="F186" s="251"/>
      <c r="G186" s="251"/>
      <c r="H186" s="251"/>
      <c r="I186" s="251"/>
      <c r="J186" s="251"/>
      <c r="K186" s="251"/>
      <c r="L186" s="251"/>
      <c r="M186" s="251"/>
      <c r="N186" s="251"/>
      <c r="O186" s="251"/>
      <c r="P186" s="251"/>
      <c r="Q186" s="251"/>
      <c r="R186" s="251"/>
      <c r="S186" s="251"/>
      <c r="T186" s="251"/>
      <c r="U186" s="251"/>
      <c r="V186" s="251"/>
      <c r="W186" s="251"/>
      <c r="X186" s="251"/>
      <c r="Y186" s="251"/>
      <c r="Z186" s="251"/>
    </row>
    <row r="187" spans="1:26" ht="14.25" customHeight="1" x14ac:dyDescent="0.35">
      <c r="A187" s="251"/>
      <c r="B187" s="251"/>
      <c r="C187" s="251"/>
      <c r="D187" s="251"/>
      <c r="E187" s="251"/>
      <c r="F187" s="251"/>
      <c r="G187" s="251"/>
      <c r="H187" s="251"/>
      <c r="I187" s="251"/>
      <c r="J187" s="251"/>
      <c r="K187" s="251"/>
      <c r="L187" s="251"/>
      <c r="M187" s="251"/>
      <c r="N187" s="251"/>
      <c r="O187" s="251"/>
      <c r="P187" s="251"/>
      <c r="Q187" s="251"/>
      <c r="R187" s="251"/>
      <c r="S187" s="251"/>
      <c r="T187" s="251"/>
      <c r="U187" s="251"/>
      <c r="V187" s="251"/>
      <c r="W187" s="251"/>
      <c r="X187" s="251"/>
      <c r="Y187" s="251"/>
      <c r="Z187" s="251"/>
    </row>
    <row r="188" spans="1:26" ht="14.25" customHeight="1" x14ac:dyDescent="0.35">
      <c r="A188" s="251"/>
      <c r="B188" s="251"/>
      <c r="C188" s="251"/>
      <c r="D188" s="251"/>
      <c r="E188" s="251"/>
      <c r="F188" s="251"/>
      <c r="G188" s="251"/>
      <c r="H188" s="251"/>
      <c r="I188" s="251"/>
      <c r="J188" s="251"/>
      <c r="K188" s="251"/>
      <c r="L188" s="251"/>
      <c r="M188" s="251"/>
      <c r="N188" s="251"/>
      <c r="O188" s="251"/>
      <c r="P188" s="251"/>
      <c r="Q188" s="251"/>
      <c r="R188" s="251"/>
      <c r="S188" s="251"/>
      <c r="T188" s="251"/>
      <c r="U188" s="251"/>
      <c r="V188" s="251"/>
      <c r="W188" s="251"/>
      <c r="X188" s="251"/>
      <c r="Y188" s="251"/>
      <c r="Z188" s="251"/>
    </row>
    <row r="189" spans="1:26" ht="14.25" customHeight="1" x14ac:dyDescent="0.35">
      <c r="A189" s="251"/>
      <c r="B189" s="251"/>
      <c r="C189" s="251"/>
      <c r="D189" s="251"/>
      <c r="E189" s="251"/>
      <c r="F189" s="251"/>
      <c r="G189" s="251"/>
      <c r="H189" s="251"/>
      <c r="I189" s="251"/>
      <c r="J189" s="251"/>
      <c r="K189" s="251"/>
      <c r="L189" s="251"/>
      <c r="M189" s="251"/>
      <c r="N189" s="251"/>
      <c r="O189" s="251"/>
      <c r="P189" s="251"/>
      <c r="Q189" s="251"/>
      <c r="R189" s="251"/>
      <c r="S189" s="251"/>
      <c r="T189" s="251"/>
      <c r="U189" s="251"/>
      <c r="V189" s="251"/>
      <c r="W189" s="251"/>
      <c r="X189" s="251"/>
      <c r="Y189" s="251"/>
      <c r="Z189" s="251"/>
    </row>
    <row r="190" spans="1:26" ht="14.25" customHeight="1" x14ac:dyDescent="0.35">
      <c r="A190" s="251"/>
      <c r="B190" s="251"/>
      <c r="C190" s="251"/>
      <c r="D190" s="251"/>
      <c r="E190" s="251"/>
      <c r="F190" s="251"/>
      <c r="G190" s="251"/>
      <c r="H190" s="251"/>
      <c r="I190" s="251"/>
      <c r="J190" s="251"/>
      <c r="K190" s="251"/>
      <c r="L190" s="251"/>
      <c r="M190" s="251"/>
      <c r="N190" s="251"/>
      <c r="O190" s="251"/>
      <c r="P190" s="251"/>
      <c r="Q190" s="251"/>
      <c r="R190" s="251"/>
      <c r="S190" s="251"/>
      <c r="T190" s="251"/>
      <c r="U190" s="251"/>
      <c r="V190" s="251"/>
      <c r="W190" s="251"/>
      <c r="X190" s="251"/>
      <c r="Y190" s="251"/>
      <c r="Z190" s="251"/>
    </row>
    <row r="191" spans="1:26" ht="14.25" customHeight="1" x14ac:dyDescent="0.35">
      <c r="A191" s="251"/>
      <c r="B191" s="251"/>
      <c r="C191" s="251"/>
      <c r="D191" s="251"/>
      <c r="E191" s="251"/>
      <c r="F191" s="251"/>
      <c r="G191" s="251"/>
      <c r="H191" s="251"/>
      <c r="I191" s="251"/>
      <c r="J191" s="251"/>
      <c r="K191" s="251"/>
      <c r="L191" s="251"/>
      <c r="M191" s="251"/>
      <c r="N191" s="251"/>
      <c r="O191" s="251"/>
      <c r="P191" s="251"/>
      <c r="Q191" s="251"/>
      <c r="R191" s="251"/>
      <c r="S191" s="251"/>
      <c r="T191" s="251"/>
      <c r="U191" s="251"/>
      <c r="V191" s="251"/>
      <c r="W191" s="251"/>
      <c r="X191" s="251"/>
      <c r="Y191" s="251"/>
      <c r="Z191" s="251"/>
    </row>
    <row r="192" spans="1:26" ht="14.25" customHeight="1" x14ac:dyDescent="0.35">
      <c r="A192" s="251"/>
      <c r="B192" s="251"/>
      <c r="C192" s="251"/>
      <c r="D192" s="251"/>
      <c r="E192" s="251"/>
      <c r="F192" s="251"/>
      <c r="G192" s="251"/>
      <c r="H192" s="251"/>
      <c r="I192" s="251"/>
      <c r="J192" s="251"/>
      <c r="K192" s="251"/>
      <c r="L192" s="251"/>
      <c r="M192" s="251"/>
      <c r="N192" s="251"/>
      <c r="O192" s="251"/>
      <c r="P192" s="251"/>
      <c r="Q192" s="251"/>
      <c r="R192" s="251"/>
      <c r="S192" s="251"/>
      <c r="T192" s="251"/>
      <c r="U192" s="251"/>
      <c r="V192" s="251"/>
      <c r="W192" s="251"/>
      <c r="X192" s="251"/>
      <c r="Y192" s="251"/>
      <c r="Z192" s="251"/>
    </row>
    <row r="193" spans="1:26" ht="14.25" customHeight="1" x14ac:dyDescent="0.35">
      <c r="A193" s="251"/>
      <c r="B193" s="251"/>
      <c r="C193" s="251"/>
      <c r="D193" s="251"/>
      <c r="E193" s="251"/>
      <c r="F193" s="251"/>
      <c r="G193" s="251"/>
      <c r="H193" s="251"/>
      <c r="I193" s="251"/>
      <c r="J193" s="251"/>
      <c r="K193" s="251"/>
      <c r="L193" s="251"/>
      <c r="M193" s="251"/>
      <c r="N193" s="251"/>
      <c r="O193" s="251"/>
      <c r="P193" s="251"/>
      <c r="Q193" s="251"/>
      <c r="R193" s="251"/>
      <c r="S193" s="251"/>
      <c r="T193" s="251"/>
      <c r="U193" s="251"/>
      <c r="V193" s="251"/>
      <c r="W193" s="251"/>
      <c r="X193" s="251"/>
      <c r="Y193" s="251"/>
      <c r="Z193" s="251"/>
    </row>
    <row r="194" spans="1:26" ht="14.25" customHeight="1" x14ac:dyDescent="0.35">
      <c r="A194" s="251"/>
      <c r="B194" s="251"/>
      <c r="C194" s="251"/>
      <c r="D194" s="251"/>
      <c r="E194" s="251"/>
      <c r="F194" s="251"/>
      <c r="G194" s="251"/>
      <c r="H194" s="251"/>
      <c r="I194" s="251"/>
      <c r="J194" s="251"/>
      <c r="K194" s="251"/>
      <c r="L194" s="251"/>
      <c r="M194" s="251"/>
      <c r="N194" s="251"/>
      <c r="O194" s="251"/>
      <c r="P194" s="251"/>
      <c r="Q194" s="251"/>
      <c r="R194" s="251"/>
      <c r="S194" s="251"/>
      <c r="T194" s="251"/>
      <c r="U194" s="251"/>
      <c r="V194" s="251"/>
      <c r="W194" s="251"/>
      <c r="X194" s="251"/>
      <c r="Y194" s="251"/>
      <c r="Z194" s="251"/>
    </row>
    <row r="195" spans="1:26" ht="14.25" customHeight="1" x14ac:dyDescent="0.35">
      <c r="A195" s="251"/>
      <c r="B195" s="251"/>
      <c r="C195" s="251"/>
      <c r="D195" s="251"/>
      <c r="E195" s="251"/>
      <c r="F195" s="251"/>
      <c r="G195" s="251"/>
      <c r="H195" s="251"/>
      <c r="I195" s="251"/>
      <c r="J195" s="251"/>
      <c r="K195" s="251"/>
      <c r="L195" s="251"/>
      <c r="M195" s="251"/>
      <c r="N195" s="251"/>
      <c r="O195" s="251"/>
      <c r="P195" s="251"/>
      <c r="Q195" s="251"/>
      <c r="R195" s="251"/>
      <c r="S195" s="251"/>
      <c r="T195" s="251"/>
      <c r="U195" s="251"/>
      <c r="V195" s="251"/>
      <c r="W195" s="251"/>
      <c r="X195" s="251"/>
      <c r="Y195" s="251"/>
      <c r="Z195" s="251"/>
    </row>
    <row r="196" spans="1:26" ht="14.25" customHeight="1" x14ac:dyDescent="0.35">
      <c r="A196" s="251"/>
      <c r="B196" s="251"/>
      <c r="C196" s="251"/>
      <c r="D196" s="251"/>
      <c r="E196" s="251"/>
      <c r="F196" s="251"/>
      <c r="G196" s="251"/>
      <c r="H196" s="251"/>
      <c r="I196" s="251"/>
      <c r="J196" s="251"/>
      <c r="K196" s="251"/>
      <c r="L196" s="251"/>
      <c r="M196" s="251"/>
      <c r="N196" s="251"/>
      <c r="O196" s="251"/>
      <c r="P196" s="251"/>
      <c r="Q196" s="251"/>
      <c r="R196" s="251"/>
      <c r="S196" s="251"/>
      <c r="T196" s="251"/>
      <c r="U196" s="251"/>
      <c r="V196" s="251"/>
      <c r="W196" s="251"/>
      <c r="X196" s="251"/>
      <c r="Y196" s="251"/>
      <c r="Z196" s="251"/>
    </row>
    <row r="197" spans="1:26" ht="14.25" customHeight="1" x14ac:dyDescent="0.35">
      <c r="A197" s="251"/>
      <c r="B197" s="251"/>
      <c r="C197" s="251"/>
      <c r="D197" s="251"/>
      <c r="E197" s="251"/>
      <c r="F197" s="251"/>
      <c r="G197" s="251"/>
      <c r="H197" s="251"/>
      <c r="I197" s="251"/>
      <c r="J197" s="251"/>
      <c r="K197" s="251"/>
      <c r="L197" s="251"/>
      <c r="M197" s="251"/>
      <c r="N197" s="251"/>
      <c r="O197" s="251"/>
      <c r="P197" s="251"/>
      <c r="Q197" s="251"/>
      <c r="R197" s="251"/>
      <c r="S197" s="251"/>
      <c r="T197" s="251"/>
      <c r="U197" s="251"/>
      <c r="V197" s="251"/>
      <c r="W197" s="251"/>
      <c r="X197" s="251"/>
      <c r="Y197" s="251"/>
      <c r="Z197" s="251"/>
    </row>
    <row r="198" spans="1:26" ht="14.25" customHeight="1" x14ac:dyDescent="0.35">
      <c r="A198" s="251"/>
      <c r="B198" s="251"/>
      <c r="C198" s="251"/>
      <c r="D198" s="251"/>
      <c r="E198" s="251"/>
      <c r="F198" s="251"/>
      <c r="G198" s="251"/>
      <c r="H198" s="251"/>
      <c r="I198" s="251"/>
      <c r="J198" s="251"/>
      <c r="K198" s="251"/>
      <c r="L198" s="251"/>
      <c r="M198" s="251"/>
      <c r="N198" s="251"/>
      <c r="O198" s="251"/>
      <c r="P198" s="251"/>
      <c r="Q198" s="251"/>
      <c r="R198" s="251"/>
      <c r="S198" s="251"/>
      <c r="T198" s="251"/>
      <c r="U198" s="251"/>
      <c r="V198" s="251"/>
      <c r="W198" s="251"/>
      <c r="X198" s="251"/>
      <c r="Y198" s="251"/>
      <c r="Z198" s="251"/>
    </row>
    <row r="199" spans="1:26" ht="14.25" customHeight="1" x14ac:dyDescent="0.35">
      <c r="A199" s="251"/>
      <c r="B199" s="251"/>
      <c r="C199" s="251"/>
      <c r="D199" s="251"/>
      <c r="E199" s="251"/>
      <c r="F199" s="251"/>
      <c r="G199" s="251"/>
      <c r="H199" s="251"/>
      <c r="I199" s="251"/>
      <c r="J199" s="251"/>
      <c r="K199" s="251"/>
      <c r="L199" s="251"/>
      <c r="M199" s="251"/>
      <c r="N199" s="251"/>
      <c r="O199" s="251"/>
      <c r="P199" s="251"/>
      <c r="Q199" s="251"/>
      <c r="R199" s="251"/>
      <c r="S199" s="251"/>
      <c r="T199" s="251"/>
      <c r="U199" s="251"/>
      <c r="V199" s="251"/>
      <c r="W199" s="251"/>
      <c r="X199" s="251"/>
      <c r="Y199" s="251"/>
      <c r="Z199" s="251"/>
    </row>
    <row r="200" spans="1:26" ht="14.25" customHeight="1" x14ac:dyDescent="0.35">
      <c r="A200" s="251"/>
      <c r="B200" s="251"/>
      <c r="C200" s="251"/>
      <c r="D200" s="251"/>
      <c r="E200" s="251"/>
      <c r="F200" s="251"/>
      <c r="G200" s="251"/>
      <c r="H200" s="251"/>
      <c r="I200" s="251"/>
      <c r="J200" s="251"/>
      <c r="K200" s="251"/>
      <c r="L200" s="251"/>
      <c r="M200" s="251"/>
      <c r="N200" s="251"/>
      <c r="O200" s="251"/>
      <c r="P200" s="251"/>
      <c r="Q200" s="251"/>
      <c r="R200" s="251"/>
      <c r="S200" s="251"/>
      <c r="T200" s="251"/>
      <c r="U200" s="251"/>
      <c r="V200" s="251"/>
      <c r="W200" s="251"/>
      <c r="X200" s="251"/>
      <c r="Y200" s="251"/>
      <c r="Z200" s="251"/>
    </row>
    <row r="201" spans="1:26" ht="14.25" customHeight="1" x14ac:dyDescent="0.35">
      <c r="A201" s="251"/>
      <c r="B201" s="251"/>
      <c r="C201" s="251"/>
      <c r="D201" s="251"/>
      <c r="E201" s="251"/>
      <c r="F201" s="251"/>
      <c r="G201" s="251"/>
      <c r="H201" s="251"/>
      <c r="I201" s="251"/>
      <c r="J201" s="251"/>
      <c r="K201" s="251"/>
      <c r="L201" s="251"/>
      <c r="M201" s="251"/>
      <c r="N201" s="251"/>
      <c r="O201" s="251"/>
      <c r="P201" s="251"/>
      <c r="Q201" s="251"/>
      <c r="R201" s="251"/>
      <c r="S201" s="251"/>
      <c r="T201" s="251"/>
      <c r="U201" s="251"/>
      <c r="V201" s="251"/>
      <c r="W201" s="251"/>
      <c r="X201" s="251"/>
      <c r="Y201" s="251"/>
      <c r="Z201" s="251"/>
    </row>
    <row r="202" spans="1:26" ht="14.25" customHeight="1" x14ac:dyDescent="0.35">
      <c r="A202" s="251"/>
      <c r="B202" s="251"/>
      <c r="C202" s="251"/>
      <c r="D202" s="251"/>
      <c r="E202" s="251"/>
      <c r="F202" s="251"/>
      <c r="G202" s="251"/>
      <c r="H202" s="251"/>
      <c r="I202" s="251"/>
      <c r="J202" s="251"/>
      <c r="K202" s="251"/>
      <c r="L202" s="251"/>
      <c r="M202" s="251"/>
      <c r="N202" s="251"/>
      <c r="O202" s="251"/>
      <c r="P202" s="251"/>
      <c r="Q202" s="251"/>
      <c r="R202" s="251"/>
      <c r="S202" s="251"/>
      <c r="T202" s="251"/>
      <c r="U202" s="251"/>
      <c r="V202" s="251"/>
      <c r="W202" s="251"/>
      <c r="X202" s="251"/>
      <c r="Y202" s="251"/>
      <c r="Z202" s="251"/>
    </row>
    <row r="203" spans="1:26" ht="14.25" customHeight="1" x14ac:dyDescent="0.35">
      <c r="A203" s="251"/>
      <c r="B203" s="251"/>
      <c r="C203" s="251"/>
      <c r="D203" s="251"/>
      <c r="E203" s="251"/>
      <c r="F203" s="251"/>
      <c r="G203" s="251"/>
      <c r="H203" s="251"/>
      <c r="I203" s="251"/>
      <c r="J203" s="251"/>
      <c r="K203" s="251"/>
      <c r="L203" s="251"/>
      <c r="M203" s="251"/>
      <c r="N203" s="251"/>
      <c r="O203" s="251"/>
      <c r="P203" s="251"/>
      <c r="Q203" s="251"/>
      <c r="R203" s="251"/>
      <c r="S203" s="251"/>
      <c r="T203" s="251"/>
      <c r="U203" s="251"/>
      <c r="V203" s="251"/>
      <c r="W203" s="251"/>
      <c r="X203" s="251"/>
      <c r="Y203" s="251"/>
      <c r="Z203" s="251"/>
    </row>
    <row r="204" spans="1:26" ht="14.25" customHeight="1" x14ac:dyDescent="0.35">
      <c r="A204" s="251"/>
      <c r="B204" s="251"/>
      <c r="C204" s="251"/>
      <c r="D204" s="251"/>
      <c r="E204" s="251"/>
      <c r="F204" s="251"/>
      <c r="G204" s="251"/>
      <c r="H204" s="251"/>
      <c r="I204" s="251"/>
      <c r="J204" s="251"/>
      <c r="K204" s="251"/>
      <c r="L204" s="251"/>
      <c r="M204" s="251"/>
      <c r="N204" s="251"/>
      <c r="O204" s="251"/>
      <c r="P204" s="251"/>
      <c r="Q204" s="251"/>
      <c r="R204" s="251"/>
      <c r="S204" s="251"/>
      <c r="T204" s="251"/>
      <c r="U204" s="251"/>
      <c r="V204" s="251"/>
      <c r="W204" s="251"/>
      <c r="X204" s="251"/>
      <c r="Y204" s="251"/>
      <c r="Z204" s="251"/>
    </row>
    <row r="205" spans="1:26" ht="14.25" customHeight="1" x14ac:dyDescent="0.35">
      <c r="A205" s="251"/>
      <c r="B205" s="251"/>
      <c r="C205" s="251"/>
      <c r="D205" s="251"/>
      <c r="E205" s="251"/>
      <c r="F205" s="251"/>
      <c r="G205" s="251"/>
      <c r="H205" s="251"/>
      <c r="I205" s="251"/>
      <c r="J205" s="251"/>
      <c r="K205" s="251"/>
      <c r="L205" s="251"/>
      <c r="M205" s="251"/>
      <c r="N205" s="251"/>
      <c r="O205" s="251"/>
      <c r="P205" s="251"/>
      <c r="Q205" s="251"/>
      <c r="R205" s="251"/>
      <c r="S205" s="251"/>
      <c r="T205" s="251"/>
      <c r="U205" s="251"/>
      <c r="V205" s="251"/>
      <c r="W205" s="251"/>
      <c r="X205" s="251"/>
      <c r="Y205" s="251"/>
      <c r="Z205" s="251"/>
    </row>
    <row r="206" spans="1:26" ht="14.25" customHeight="1" x14ac:dyDescent="0.35">
      <c r="A206" s="251"/>
      <c r="B206" s="251"/>
      <c r="C206" s="251"/>
      <c r="D206" s="251"/>
      <c r="E206" s="251"/>
      <c r="F206" s="251"/>
      <c r="G206" s="251"/>
      <c r="H206" s="251"/>
      <c r="I206" s="251"/>
      <c r="J206" s="251"/>
      <c r="K206" s="251"/>
      <c r="L206" s="251"/>
      <c r="M206" s="251"/>
      <c r="N206" s="251"/>
      <c r="O206" s="251"/>
      <c r="P206" s="251"/>
      <c r="Q206" s="251"/>
      <c r="R206" s="251"/>
      <c r="S206" s="251"/>
      <c r="T206" s="251"/>
      <c r="U206" s="251"/>
      <c r="V206" s="251"/>
      <c r="W206" s="251"/>
      <c r="X206" s="251"/>
      <c r="Y206" s="251"/>
      <c r="Z206" s="251"/>
    </row>
    <row r="207" spans="1:26" ht="14.25" customHeight="1" x14ac:dyDescent="0.35">
      <c r="A207" s="251"/>
      <c r="B207" s="251"/>
      <c r="C207" s="251"/>
      <c r="D207" s="251"/>
      <c r="E207" s="251"/>
      <c r="F207" s="251"/>
      <c r="G207" s="251"/>
      <c r="H207" s="251"/>
      <c r="I207" s="251"/>
      <c r="J207" s="251"/>
      <c r="K207" s="251"/>
      <c r="L207" s="251"/>
      <c r="M207" s="251"/>
      <c r="N207" s="251"/>
      <c r="O207" s="251"/>
      <c r="P207" s="251"/>
      <c r="Q207" s="251"/>
      <c r="R207" s="251"/>
      <c r="S207" s="251"/>
      <c r="T207" s="251"/>
      <c r="U207" s="251"/>
      <c r="V207" s="251"/>
      <c r="W207" s="251"/>
      <c r="X207" s="251"/>
      <c r="Y207" s="251"/>
      <c r="Z207" s="251"/>
    </row>
    <row r="208" spans="1:26" ht="14.25" customHeight="1" x14ac:dyDescent="0.35">
      <c r="A208" s="251"/>
      <c r="B208" s="251"/>
      <c r="C208" s="251"/>
      <c r="D208" s="251"/>
      <c r="E208" s="251"/>
      <c r="F208" s="251"/>
      <c r="G208" s="251"/>
      <c r="H208" s="251"/>
      <c r="I208" s="251"/>
      <c r="J208" s="251"/>
      <c r="K208" s="251"/>
      <c r="L208" s="251"/>
      <c r="M208" s="251"/>
      <c r="N208" s="251"/>
      <c r="O208" s="251"/>
      <c r="P208" s="251"/>
      <c r="Q208" s="251"/>
      <c r="R208" s="251"/>
      <c r="S208" s="251"/>
      <c r="T208" s="251"/>
      <c r="U208" s="251"/>
      <c r="V208" s="251"/>
      <c r="W208" s="251"/>
      <c r="X208" s="251"/>
      <c r="Y208" s="251"/>
      <c r="Z208" s="251"/>
    </row>
    <row r="209" spans="1:26" ht="14.25" customHeight="1" x14ac:dyDescent="0.35">
      <c r="A209" s="251"/>
      <c r="B209" s="251"/>
      <c r="C209" s="251"/>
      <c r="D209" s="251"/>
      <c r="E209" s="251"/>
      <c r="F209" s="251"/>
      <c r="G209" s="251"/>
      <c r="H209" s="251"/>
      <c r="I209" s="251"/>
      <c r="J209" s="251"/>
      <c r="K209" s="251"/>
      <c r="L209" s="251"/>
      <c r="M209" s="251"/>
      <c r="N209" s="251"/>
      <c r="O209" s="251"/>
      <c r="P209" s="251"/>
      <c r="Q209" s="251"/>
      <c r="R209" s="251"/>
      <c r="S209" s="251"/>
      <c r="T209" s="251"/>
      <c r="U209" s="251"/>
      <c r="V209" s="251"/>
      <c r="W209" s="251"/>
      <c r="X209" s="251"/>
      <c r="Y209" s="251"/>
      <c r="Z209" s="251"/>
    </row>
    <row r="210" spans="1:26" ht="14.25" customHeight="1" x14ac:dyDescent="0.35">
      <c r="A210" s="251"/>
      <c r="B210" s="251"/>
      <c r="C210" s="251"/>
      <c r="D210" s="251"/>
      <c r="E210" s="251"/>
      <c r="F210" s="251"/>
      <c r="G210" s="251"/>
      <c r="H210" s="251"/>
      <c r="I210" s="251"/>
      <c r="J210" s="251"/>
      <c r="K210" s="251"/>
      <c r="L210" s="251"/>
      <c r="M210" s="251"/>
      <c r="N210" s="251"/>
      <c r="O210" s="251"/>
      <c r="P210" s="251"/>
      <c r="Q210" s="251"/>
      <c r="R210" s="251"/>
      <c r="S210" s="251"/>
      <c r="T210" s="251"/>
      <c r="U210" s="251"/>
      <c r="V210" s="251"/>
      <c r="W210" s="251"/>
      <c r="X210" s="251"/>
      <c r="Y210" s="251"/>
      <c r="Z210" s="251"/>
    </row>
    <row r="211" spans="1:26" ht="14.25" customHeight="1" x14ac:dyDescent="0.35">
      <c r="A211" s="251"/>
      <c r="B211" s="251"/>
      <c r="C211" s="251"/>
      <c r="D211" s="251"/>
      <c r="E211" s="251"/>
      <c r="F211" s="251"/>
      <c r="G211" s="251"/>
      <c r="H211" s="251"/>
      <c r="I211" s="251"/>
      <c r="J211" s="251"/>
      <c r="K211" s="251"/>
      <c r="L211" s="251"/>
      <c r="M211" s="251"/>
      <c r="N211" s="251"/>
      <c r="O211" s="251"/>
      <c r="P211" s="251"/>
      <c r="Q211" s="251"/>
      <c r="R211" s="251"/>
      <c r="S211" s="251"/>
      <c r="T211" s="251"/>
      <c r="U211" s="251"/>
      <c r="V211" s="251"/>
      <c r="W211" s="251"/>
      <c r="X211" s="251"/>
      <c r="Y211" s="251"/>
      <c r="Z211" s="251"/>
    </row>
    <row r="212" spans="1:26" ht="14.25" customHeight="1" x14ac:dyDescent="0.35">
      <c r="A212" s="251"/>
      <c r="B212" s="251"/>
      <c r="C212" s="251"/>
      <c r="D212" s="251"/>
      <c r="E212" s="251"/>
      <c r="F212" s="251"/>
      <c r="G212" s="251"/>
      <c r="H212" s="251"/>
      <c r="I212" s="251"/>
      <c r="J212" s="251"/>
      <c r="K212" s="251"/>
      <c r="L212" s="251"/>
      <c r="M212" s="251"/>
      <c r="N212" s="251"/>
      <c r="O212" s="251"/>
      <c r="P212" s="251"/>
      <c r="Q212" s="251"/>
      <c r="R212" s="251"/>
      <c r="S212" s="251"/>
      <c r="T212" s="251"/>
      <c r="U212" s="251"/>
      <c r="V212" s="251"/>
      <c r="W212" s="251"/>
      <c r="X212" s="251"/>
      <c r="Y212" s="251"/>
      <c r="Z212" s="251"/>
    </row>
    <row r="213" spans="1:26" ht="14.25" customHeight="1" x14ac:dyDescent="0.35">
      <c r="A213" s="251"/>
      <c r="B213" s="251"/>
      <c r="C213" s="251"/>
      <c r="D213" s="251"/>
      <c r="E213" s="251"/>
      <c r="F213" s="251"/>
      <c r="G213" s="251"/>
      <c r="H213" s="251"/>
      <c r="I213" s="251"/>
      <c r="J213" s="251"/>
      <c r="K213" s="251"/>
      <c r="L213" s="251"/>
      <c r="M213" s="251"/>
      <c r="N213" s="251"/>
      <c r="O213" s="251"/>
      <c r="P213" s="251"/>
      <c r="Q213" s="251"/>
      <c r="R213" s="251"/>
      <c r="S213" s="251"/>
      <c r="T213" s="251"/>
      <c r="U213" s="251"/>
      <c r="V213" s="251"/>
      <c r="W213" s="251"/>
      <c r="X213" s="251"/>
      <c r="Y213" s="251"/>
      <c r="Z213" s="251"/>
    </row>
    <row r="214" spans="1:26" ht="14.25" customHeight="1" x14ac:dyDescent="0.35">
      <c r="A214" s="251"/>
      <c r="B214" s="251"/>
      <c r="C214" s="251"/>
      <c r="D214" s="251"/>
      <c r="E214" s="251"/>
      <c r="F214" s="251"/>
      <c r="G214" s="251"/>
      <c r="H214" s="251"/>
      <c r="I214" s="251"/>
      <c r="J214" s="251"/>
      <c r="K214" s="251"/>
      <c r="L214" s="251"/>
      <c r="M214" s="251"/>
      <c r="N214" s="251"/>
      <c r="O214" s="251"/>
      <c r="P214" s="251"/>
      <c r="Q214" s="251"/>
      <c r="R214" s="251"/>
      <c r="S214" s="251"/>
      <c r="T214" s="251"/>
      <c r="U214" s="251"/>
      <c r="V214" s="251"/>
      <c r="W214" s="251"/>
      <c r="X214" s="251"/>
      <c r="Y214" s="251"/>
      <c r="Z214" s="251"/>
    </row>
    <row r="215" spans="1:26" ht="14.25" customHeight="1" x14ac:dyDescent="0.35">
      <c r="A215" s="251"/>
      <c r="B215" s="251"/>
      <c r="C215" s="251"/>
      <c r="D215" s="251"/>
      <c r="E215" s="251"/>
      <c r="F215" s="251"/>
      <c r="G215" s="251"/>
      <c r="H215" s="251"/>
      <c r="I215" s="251"/>
      <c r="J215" s="251"/>
      <c r="K215" s="251"/>
      <c r="L215" s="251"/>
      <c r="M215" s="251"/>
      <c r="N215" s="251"/>
      <c r="O215" s="251"/>
      <c r="P215" s="251"/>
      <c r="Q215" s="251"/>
      <c r="R215" s="251"/>
      <c r="S215" s="251"/>
      <c r="T215" s="251"/>
      <c r="U215" s="251"/>
      <c r="V215" s="251"/>
      <c r="W215" s="251"/>
      <c r="X215" s="251"/>
      <c r="Y215" s="251"/>
      <c r="Z215" s="251"/>
    </row>
    <row r="216" spans="1:26" ht="14.25" customHeight="1" x14ac:dyDescent="0.35">
      <c r="A216" s="251"/>
      <c r="B216" s="251"/>
      <c r="C216" s="251"/>
      <c r="D216" s="251"/>
      <c r="E216" s="251"/>
      <c r="F216" s="251"/>
      <c r="G216" s="251"/>
      <c r="H216" s="251"/>
      <c r="I216" s="251"/>
      <c r="J216" s="251"/>
      <c r="K216" s="251"/>
      <c r="L216" s="251"/>
      <c r="M216" s="251"/>
      <c r="N216" s="251"/>
      <c r="O216" s="251"/>
      <c r="P216" s="251"/>
      <c r="Q216" s="251"/>
      <c r="R216" s="251"/>
      <c r="S216" s="251"/>
      <c r="T216" s="251"/>
      <c r="U216" s="251"/>
      <c r="V216" s="251"/>
      <c r="W216" s="251"/>
      <c r="X216" s="251"/>
      <c r="Y216" s="251"/>
      <c r="Z216" s="251"/>
    </row>
    <row r="217" spans="1:26" ht="14.25" customHeight="1" x14ac:dyDescent="0.35">
      <c r="A217" s="251"/>
      <c r="B217" s="251"/>
      <c r="C217" s="251"/>
      <c r="D217" s="251"/>
      <c r="E217" s="251"/>
      <c r="F217" s="251"/>
      <c r="G217" s="251"/>
      <c r="H217" s="251"/>
      <c r="I217" s="251"/>
      <c r="J217" s="251"/>
      <c r="K217" s="251"/>
      <c r="L217" s="251"/>
      <c r="M217" s="251"/>
      <c r="N217" s="251"/>
      <c r="O217" s="251"/>
      <c r="P217" s="251"/>
      <c r="Q217" s="251"/>
      <c r="R217" s="251"/>
      <c r="S217" s="251"/>
      <c r="T217" s="251"/>
      <c r="U217" s="251"/>
      <c r="V217" s="251"/>
      <c r="W217" s="251"/>
      <c r="X217" s="251"/>
      <c r="Y217" s="251"/>
      <c r="Z217" s="251"/>
    </row>
    <row r="218" spans="1:26" ht="14.25" customHeight="1" x14ac:dyDescent="0.35">
      <c r="A218" s="251"/>
      <c r="B218" s="251"/>
      <c r="C218" s="251"/>
      <c r="D218" s="251"/>
      <c r="E218" s="251"/>
      <c r="F218" s="251"/>
      <c r="G218" s="251"/>
      <c r="H218" s="251"/>
      <c r="I218" s="251"/>
      <c r="J218" s="251"/>
      <c r="K218" s="251"/>
      <c r="L218" s="251"/>
      <c r="M218" s="251"/>
      <c r="N218" s="251"/>
      <c r="O218" s="251"/>
      <c r="P218" s="251"/>
      <c r="Q218" s="251"/>
      <c r="R218" s="251"/>
      <c r="S218" s="251"/>
      <c r="T218" s="251"/>
      <c r="U218" s="251"/>
      <c r="V218" s="251"/>
      <c r="W218" s="251"/>
      <c r="X218" s="251"/>
      <c r="Y218" s="251"/>
      <c r="Z218" s="251"/>
    </row>
    <row r="219" spans="1:26" ht="14.25" customHeight="1" x14ac:dyDescent="0.35">
      <c r="A219" s="251"/>
      <c r="B219" s="251"/>
      <c r="C219" s="251"/>
      <c r="D219" s="251"/>
      <c r="E219" s="251"/>
      <c r="F219" s="251"/>
      <c r="G219" s="251"/>
      <c r="H219" s="251"/>
      <c r="I219" s="251"/>
      <c r="J219" s="251"/>
      <c r="K219" s="251"/>
      <c r="L219" s="251"/>
      <c r="M219" s="251"/>
      <c r="N219" s="251"/>
      <c r="O219" s="251"/>
      <c r="P219" s="251"/>
      <c r="Q219" s="251"/>
      <c r="R219" s="251"/>
      <c r="S219" s="251"/>
      <c r="T219" s="251"/>
      <c r="U219" s="251"/>
      <c r="V219" s="251"/>
      <c r="W219" s="251"/>
      <c r="X219" s="251"/>
      <c r="Y219" s="251"/>
      <c r="Z219" s="251"/>
    </row>
    <row r="220" spans="1:26" ht="14.25" customHeight="1" x14ac:dyDescent="0.35">
      <c r="A220" s="251"/>
      <c r="B220" s="251"/>
      <c r="C220" s="251"/>
      <c r="D220" s="251"/>
      <c r="E220" s="251"/>
      <c r="F220" s="251"/>
      <c r="G220" s="251"/>
      <c r="H220" s="251"/>
      <c r="I220" s="251"/>
      <c r="J220" s="251"/>
      <c r="K220" s="251"/>
      <c r="L220" s="251"/>
      <c r="M220" s="251"/>
      <c r="N220" s="251"/>
      <c r="O220" s="251"/>
      <c r="P220" s="251"/>
      <c r="Q220" s="251"/>
      <c r="R220" s="251"/>
      <c r="S220" s="251"/>
      <c r="T220" s="251"/>
      <c r="U220" s="251"/>
      <c r="V220" s="251"/>
      <c r="W220" s="251"/>
      <c r="X220" s="251"/>
      <c r="Y220" s="251"/>
      <c r="Z220" s="251"/>
    </row>
    <row r="221" spans="1:26" ht="14.25" customHeight="1" x14ac:dyDescent="0.35">
      <c r="A221" s="251"/>
      <c r="B221" s="251"/>
      <c r="C221" s="251"/>
      <c r="D221" s="251"/>
      <c r="E221" s="251"/>
      <c r="F221" s="251"/>
      <c r="G221" s="251"/>
      <c r="H221" s="251"/>
      <c r="I221" s="251"/>
      <c r="J221" s="251"/>
      <c r="K221" s="251"/>
      <c r="L221" s="251"/>
      <c r="M221" s="251"/>
      <c r="N221" s="251"/>
      <c r="O221" s="251"/>
      <c r="P221" s="251"/>
      <c r="Q221" s="251"/>
      <c r="R221" s="251"/>
      <c r="S221" s="251"/>
      <c r="T221" s="251"/>
      <c r="U221" s="251"/>
      <c r="V221" s="251"/>
      <c r="W221" s="251"/>
      <c r="X221" s="251"/>
      <c r="Y221" s="251"/>
      <c r="Z221" s="251"/>
    </row>
    <row r="222" spans="1:26" ht="14.25" customHeight="1" x14ac:dyDescent="0.35">
      <c r="A222" s="251"/>
      <c r="B222" s="251"/>
      <c r="C222" s="251"/>
      <c r="D222" s="251"/>
      <c r="E222" s="251"/>
      <c r="F222" s="251"/>
      <c r="G222" s="251"/>
      <c r="H222" s="251"/>
      <c r="I222" s="251"/>
      <c r="J222" s="251"/>
      <c r="K222" s="251"/>
      <c r="L222" s="251"/>
      <c r="M222" s="251"/>
      <c r="N222" s="251"/>
      <c r="O222" s="251"/>
      <c r="P222" s="251"/>
      <c r="Q222" s="251"/>
      <c r="R222" s="251"/>
      <c r="S222" s="251"/>
      <c r="T222" s="251"/>
      <c r="U222" s="251"/>
      <c r="V222" s="251"/>
      <c r="W222" s="251"/>
      <c r="X222" s="251"/>
      <c r="Y222" s="251"/>
      <c r="Z222" s="251"/>
    </row>
    <row r="223" spans="1:26" ht="14.25" customHeight="1" x14ac:dyDescent="0.35">
      <c r="A223" s="251"/>
      <c r="B223" s="251"/>
      <c r="C223" s="251"/>
      <c r="D223" s="251"/>
      <c r="E223" s="251"/>
      <c r="F223" s="251"/>
      <c r="G223" s="251"/>
      <c r="H223" s="251"/>
      <c r="I223" s="251"/>
      <c r="J223" s="251"/>
      <c r="K223" s="251"/>
      <c r="L223" s="251"/>
      <c r="M223" s="251"/>
      <c r="N223" s="251"/>
      <c r="O223" s="251"/>
      <c r="P223" s="251"/>
      <c r="Q223" s="251"/>
      <c r="R223" s="251"/>
      <c r="S223" s="251"/>
      <c r="T223" s="251"/>
      <c r="U223" s="251"/>
      <c r="V223" s="251"/>
      <c r="W223" s="251"/>
      <c r="X223" s="251"/>
      <c r="Y223" s="251"/>
      <c r="Z223" s="251"/>
    </row>
    <row r="224" spans="1:26" ht="14.25" customHeight="1" x14ac:dyDescent="0.35">
      <c r="A224" s="251"/>
      <c r="B224" s="251"/>
      <c r="C224" s="251"/>
      <c r="D224" s="251"/>
      <c r="E224" s="251"/>
      <c r="F224" s="251"/>
      <c r="G224" s="251"/>
      <c r="H224" s="251"/>
      <c r="I224" s="251"/>
      <c r="J224" s="251"/>
      <c r="K224" s="251"/>
      <c r="L224" s="251"/>
      <c r="M224" s="251"/>
      <c r="N224" s="251"/>
      <c r="O224" s="251"/>
      <c r="P224" s="251"/>
      <c r="Q224" s="251"/>
      <c r="R224" s="251"/>
      <c r="S224" s="251"/>
      <c r="T224" s="251"/>
      <c r="U224" s="251"/>
      <c r="V224" s="251"/>
      <c r="W224" s="251"/>
      <c r="X224" s="251"/>
      <c r="Y224" s="251"/>
      <c r="Z224" s="251"/>
    </row>
    <row r="225" spans="1:26" ht="14.25" customHeight="1" x14ac:dyDescent="0.35">
      <c r="A225" s="251"/>
      <c r="B225" s="251"/>
      <c r="C225" s="251"/>
      <c r="D225" s="251"/>
      <c r="E225" s="251"/>
      <c r="F225" s="251"/>
      <c r="G225" s="251"/>
      <c r="H225" s="251"/>
      <c r="I225" s="251"/>
      <c r="J225" s="251"/>
      <c r="K225" s="251"/>
      <c r="L225" s="251"/>
      <c r="M225" s="251"/>
      <c r="N225" s="251"/>
      <c r="O225" s="251"/>
      <c r="P225" s="251"/>
      <c r="Q225" s="251"/>
      <c r="R225" s="251"/>
      <c r="S225" s="251"/>
      <c r="T225" s="251"/>
      <c r="U225" s="251"/>
      <c r="V225" s="251"/>
      <c r="W225" s="251"/>
      <c r="X225" s="251"/>
      <c r="Y225" s="251"/>
      <c r="Z225" s="251"/>
    </row>
    <row r="226" spans="1:26" ht="14.25" customHeight="1" x14ac:dyDescent="0.35">
      <c r="A226" s="251"/>
      <c r="B226" s="251"/>
      <c r="C226" s="251"/>
      <c r="D226" s="251"/>
      <c r="E226" s="251"/>
      <c r="F226" s="251"/>
      <c r="G226" s="251"/>
      <c r="H226" s="251"/>
      <c r="I226" s="251"/>
      <c r="J226" s="251"/>
      <c r="K226" s="251"/>
      <c r="L226" s="251"/>
      <c r="M226" s="251"/>
      <c r="N226" s="251"/>
      <c r="O226" s="251"/>
      <c r="P226" s="251"/>
      <c r="Q226" s="251"/>
      <c r="R226" s="251"/>
      <c r="S226" s="251"/>
      <c r="T226" s="251"/>
      <c r="U226" s="251"/>
      <c r="V226" s="251"/>
      <c r="W226" s="251"/>
      <c r="X226" s="251"/>
      <c r="Y226" s="251"/>
      <c r="Z226" s="251"/>
    </row>
    <row r="227" spans="1:26" ht="14.25" customHeight="1" x14ac:dyDescent="0.35">
      <c r="A227" s="251"/>
      <c r="B227" s="251"/>
      <c r="C227" s="251"/>
      <c r="D227" s="251"/>
      <c r="E227" s="251"/>
      <c r="F227" s="251"/>
      <c r="G227" s="251"/>
      <c r="H227" s="251"/>
      <c r="I227" s="251"/>
      <c r="J227" s="251"/>
      <c r="K227" s="251"/>
      <c r="L227" s="251"/>
      <c r="M227" s="251"/>
      <c r="N227" s="251"/>
      <c r="O227" s="251"/>
      <c r="P227" s="251"/>
      <c r="Q227" s="251"/>
      <c r="R227" s="251"/>
      <c r="S227" s="251"/>
      <c r="T227" s="251"/>
      <c r="U227" s="251"/>
      <c r="V227" s="251"/>
      <c r="W227" s="251"/>
      <c r="X227" s="251"/>
      <c r="Y227" s="251"/>
      <c r="Z227" s="251"/>
    </row>
    <row r="228" spans="1:26" ht="14.25" customHeight="1" x14ac:dyDescent="0.35">
      <c r="A228" s="251"/>
      <c r="B228" s="251"/>
      <c r="C228" s="251"/>
      <c r="D228" s="251"/>
      <c r="E228" s="251"/>
      <c r="F228" s="251"/>
      <c r="G228" s="251"/>
      <c r="H228" s="251"/>
      <c r="I228" s="251"/>
      <c r="J228" s="251"/>
      <c r="K228" s="251"/>
      <c r="L228" s="251"/>
      <c r="M228" s="251"/>
      <c r="N228" s="251"/>
      <c r="O228" s="251"/>
      <c r="P228" s="251"/>
      <c r="Q228" s="251"/>
      <c r="R228" s="251"/>
      <c r="S228" s="251"/>
      <c r="T228" s="251"/>
      <c r="U228" s="251"/>
      <c r="V228" s="251"/>
      <c r="W228" s="251"/>
      <c r="X228" s="251"/>
      <c r="Y228" s="251"/>
      <c r="Z228" s="251"/>
    </row>
    <row r="229" spans="1:26" ht="14.25" customHeight="1" x14ac:dyDescent="0.35">
      <c r="A229" s="251"/>
      <c r="B229" s="251"/>
      <c r="C229" s="251"/>
      <c r="D229" s="251"/>
      <c r="E229" s="251"/>
      <c r="F229" s="251"/>
      <c r="G229" s="251"/>
      <c r="H229" s="251"/>
      <c r="I229" s="251"/>
      <c r="J229" s="251"/>
      <c r="K229" s="251"/>
      <c r="L229" s="251"/>
      <c r="M229" s="251"/>
      <c r="N229" s="251"/>
      <c r="O229" s="251"/>
      <c r="P229" s="251"/>
      <c r="Q229" s="251"/>
      <c r="R229" s="251"/>
      <c r="S229" s="251"/>
      <c r="T229" s="251"/>
      <c r="U229" s="251"/>
      <c r="V229" s="251"/>
      <c r="W229" s="251"/>
      <c r="X229" s="251"/>
      <c r="Y229" s="251"/>
      <c r="Z229" s="251"/>
    </row>
    <row r="230" spans="1:26" ht="14.25" customHeight="1" x14ac:dyDescent="0.35">
      <c r="A230" s="251"/>
      <c r="B230" s="251"/>
      <c r="C230" s="251"/>
      <c r="D230" s="251"/>
      <c r="E230" s="251"/>
      <c r="F230" s="251"/>
      <c r="G230" s="251"/>
      <c r="H230" s="251"/>
      <c r="I230" s="251"/>
      <c r="J230" s="251"/>
      <c r="K230" s="251"/>
      <c r="L230" s="251"/>
      <c r="M230" s="251"/>
      <c r="N230" s="251"/>
      <c r="O230" s="251"/>
      <c r="P230" s="251"/>
      <c r="Q230" s="251"/>
      <c r="R230" s="251"/>
      <c r="S230" s="251"/>
      <c r="T230" s="251"/>
      <c r="U230" s="251"/>
      <c r="V230" s="251"/>
      <c r="W230" s="251"/>
      <c r="X230" s="251"/>
      <c r="Y230" s="251"/>
      <c r="Z230" s="251"/>
    </row>
    <row r="231" spans="1:26" ht="14.25" customHeight="1" x14ac:dyDescent="0.35">
      <c r="A231" s="251"/>
      <c r="B231" s="251"/>
      <c r="C231" s="251"/>
      <c r="D231" s="251"/>
      <c r="E231" s="251"/>
      <c r="F231" s="251"/>
      <c r="G231" s="251"/>
      <c r="H231" s="251"/>
      <c r="I231" s="251"/>
      <c r="J231" s="251"/>
      <c r="K231" s="251"/>
      <c r="L231" s="251"/>
      <c r="M231" s="251"/>
      <c r="N231" s="251"/>
      <c r="O231" s="251"/>
      <c r="P231" s="251"/>
      <c r="Q231" s="251"/>
      <c r="R231" s="251"/>
      <c r="S231" s="251"/>
      <c r="T231" s="251"/>
      <c r="U231" s="251"/>
      <c r="V231" s="251"/>
      <c r="W231" s="251"/>
      <c r="X231" s="251"/>
      <c r="Y231" s="251"/>
      <c r="Z231" s="251"/>
    </row>
    <row r="232" spans="1:26" ht="14.25" customHeight="1" x14ac:dyDescent="0.35">
      <c r="A232" s="251"/>
      <c r="B232" s="251"/>
      <c r="C232" s="251"/>
      <c r="D232" s="251"/>
      <c r="E232" s="251"/>
      <c r="F232" s="251"/>
      <c r="G232" s="251"/>
      <c r="H232" s="251"/>
      <c r="I232" s="251"/>
      <c r="J232" s="251"/>
      <c r="K232" s="251"/>
      <c r="L232" s="251"/>
      <c r="M232" s="251"/>
      <c r="N232" s="251"/>
      <c r="O232" s="251"/>
      <c r="P232" s="251"/>
      <c r="Q232" s="251"/>
      <c r="R232" s="251"/>
      <c r="S232" s="251"/>
      <c r="T232" s="251"/>
      <c r="U232" s="251"/>
      <c r="V232" s="251"/>
      <c r="W232" s="251"/>
      <c r="X232" s="251"/>
      <c r="Y232" s="251"/>
      <c r="Z232" s="251"/>
    </row>
    <row r="233" spans="1:26" ht="14.25" customHeight="1" x14ac:dyDescent="0.35">
      <c r="A233" s="251"/>
      <c r="B233" s="251"/>
      <c r="C233" s="251"/>
      <c r="D233" s="251"/>
      <c r="E233" s="251"/>
      <c r="F233" s="251"/>
      <c r="G233" s="251"/>
      <c r="H233" s="251"/>
      <c r="I233" s="251"/>
      <c r="J233" s="251"/>
      <c r="K233" s="251"/>
      <c r="L233" s="251"/>
      <c r="M233" s="251"/>
      <c r="N233" s="251"/>
      <c r="O233" s="251"/>
      <c r="P233" s="251"/>
      <c r="Q233" s="251"/>
      <c r="R233" s="251"/>
      <c r="S233" s="251"/>
      <c r="T233" s="251"/>
      <c r="U233" s="251"/>
      <c r="V233" s="251"/>
      <c r="W233" s="251"/>
      <c r="X233" s="251"/>
      <c r="Y233" s="251"/>
      <c r="Z233" s="251"/>
    </row>
    <row r="234" spans="1:26" ht="14.25" customHeight="1" x14ac:dyDescent="0.35">
      <c r="A234" s="251"/>
      <c r="B234" s="251"/>
      <c r="C234" s="251"/>
      <c r="D234" s="251"/>
      <c r="E234" s="251"/>
      <c r="F234" s="251"/>
      <c r="G234" s="251"/>
      <c r="H234" s="251"/>
      <c r="I234" s="251"/>
      <c r="J234" s="251"/>
      <c r="K234" s="251"/>
      <c r="L234" s="251"/>
      <c r="M234" s="251"/>
      <c r="N234" s="251"/>
      <c r="O234" s="251"/>
      <c r="P234" s="251"/>
      <c r="Q234" s="251"/>
      <c r="R234" s="251"/>
      <c r="S234" s="251"/>
      <c r="T234" s="251"/>
      <c r="U234" s="251"/>
      <c r="V234" s="251"/>
      <c r="W234" s="251"/>
      <c r="X234" s="251"/>
      <c r="Y234" s="251"/>
      <c r="Z234" s="251"/>
    </row>
    <row r="235" spans="1:26" ht="14.25" customHeight="1" x14ac:dyDescent="0.35">
      <c r="A235" s="251"/>
      <c r="B235" s="251"/>
      <c r="C235" s="251"/>
      <c r="D235" s="251"/>
      <c r="E235" s="251"/>
      <c r="F235" s="251"/>
      <c r="G235" s="251"/>
      <c r="H235" s="251"/>
      <c r="I235" s="251"/>
      <c r="J235" s="251"/>
      <c r="K235" s="251"/>
      <c r="L235" s="251"/>
      <c r="M235" s="251"/>
      <c r="N235" s="251"/>
      <c r="O235" s="251"/>
      <c r="P235" s="251"/>
      <c r="Q235" s="251"/>
      <c r="R235" s="251"/>
      <c r="S235" s="251"/>
      <c r="T235" s="251"/>
      <c r="U235" s="251"/>
      <c r="V235" s="251"/>
      <c r="W235" s="251"/>
      <c r="X235" s="251"/>
      <c r="Y235" s="251"/>
      <c r="Z235" s="251"/>
    </row>
    <row r="236" spans="1:26" ht="14.25" customHeight="1" x14ac:dyDescent="0.35">
      <c r="A236" s="251"/>
      <c r="B236" s="251"/>
      <c r="C236" s="251"/>
      <c r="D236" s="251"/>
      <c r="E236" s="251"/>
      <c r="F236" s="251"/>
      <c r="G236" s="251"/>
      <c r="H236" s="251"/>
      <c r="I236" s="251"/>
      <c r="J236" s="251"/>
      <c r="K236" s="251"/>
      <c r="L236" s="251"/>
      <c r="M236" s="251"/>
      <c r="N236" s="251"/>
      <c r="O236" s="251"/>
      <c r="P236" s="251"/>
      <c r="Q236" s="251"/>
      <c r="R236" s="251"/>
      <c r="S236" s="251"/>
      <c r="T236" s="251"/>
      <c r="U236" s="251"/>
      <c r="V236" s="251"/>
      <c r="W236" s="251"/>
      <c r="X236" s="251"/>
      <c r="Y236" s="251"/>
      <c r="Z236" s="251"/>
    </row>
    <row r="237" spans="1:26" ht="14.25" customHeight="1" x14ac:dyDescent="0.35">
      <c r="A237" s="251"/>
      <c r="B237" s="251"/>
      <c r="C237" s="251"/>
      <c r="D237" s="251"/>
      <c r="E237" s="251"/>
      <c r="F237" s="251"/>
      <c r="G237" s="251"/>
      <c r="H237" s="251"/>
      <c r="I237" s="251"/>
      <c r="J237" s="251"/>
      <c r="K237" s="251"/>
      <c r="L237" s="251"/>
      <c r="M237" s="251"/>
      <c r="N237" s="251"/>
      <c r="O237" s="251"/>
      <c r="P237" s="251"/>
      <c r="Q237" s="251"/>
      <c r="R237" s="251"/>
      <c r="S237" s="251"/>
      <c r="T237" s="251"/>
      <c r="U237" s="251"/>
      <c r="V237" s="251"/>
      <c r="W237" s="251"/>
      <c r="X237" s="251"/>
      <c r="Y237" s="251"/>
      <c r="Z237" s="251"/>
    </row>
    <row r="238" spans="1:26" ht="14.25" customHeight="1" x14ac:dyDescent="0.35">
      <c r="A238" s="251"/>
      <c r="B238" s="251"/>
      <c r="C238" s="251"/>
      <c r="D238" s="251"/>
      <c r="E238" s="251"/>
      <c r="F238" s="251"/>
      <c r="G238" s="251"/>
      <c r="H238" s="251"/>
      <c r="I238" s="251"/>
      <c r="J238" s="251"/>
      <c r="K238" s="251"/>
      <c r="L238" s="251"/>
      <c r="M238" s="251"/>
      <c r="N238" s="251"/>
      <c r="O238" s="251"/>
      <c r="P238" s="251"/>
      <c r="Q238" s="251"/>
      <c r="R238" s="251"/>
      <c r="S238" s="251"/>
      <c r="T238" s="251"/>
      <c r="U238" s="251"/>
      <c r="V238" s="251"/>
      <c r="W238" s="251"/>
      <c r="X238" s="251"/>
      <c r="Y238" s="251"/>
      <c r="Z238" s="251"/>
    </row>
    <row r="239" spans="1:26" ht="14.25" customHeight="1" x14ac:dyDescent="0.35">
      <c r="A239" s="251"/>
      <c r="B239" s="251"/>
      <c r="C239" s="251"/>
      <c r="D239" s="251"/>
      <c r="E239" s="251"/>
      <c r="F239" s="251"/>
      <c r="G239" s="251"/>
      <c r="H239" s="251"/>
      <c r="I239" s="251"/>
      <c r="J239" s="251"/>
      <c r="K239" s="251"/>
      <c r="L239" s="251"/>
      <c r="M239" s="251"/>
      <c r="N239" s="251"/>
      <c r="O239" s="251"/>
      <c r="P239" s="251"/>
      <c r="Q239" s="251"/>
      <c r="R239" s="251"/>
      <c r="S239" s="251"/>
      <c r="T239" s="251"/>
      <c r="U239" s="251"/>
      <c r="V239" s="251"/>
      <c r="W239" s="251"/>
      <c r="X239" s="251"/>
      <c r="Y239" s="251"/>
      <c r="Z239" s="251"/>
    </row>
    <row r="240" spans="1:26" ht="14.25" customHeight="1" x14ac:dyDescent="0.35">
      <c r="A240" s="251"/>
      <c r="B240" s="251"/>
      <c r="C240" s="251"/>
      <c r="D240" s="251"/>
      <c r="E240" s="251"/>
      <c r="F240" s="251"/>
      <c r="G240" s="251"/>
      <c r="H240" s="251"/>
      <c r="I240" s="251"/>
      <c r="J240" s="251"/>
      <c r="K240" s="251"/>
      <c r="L240" s="251"/>
      <c r="M240" s="251"/>
      <c r="N240" s="251"/>
      <c r="O240" s="251"/>
      <c r="P240" s="251"/>
      <c r="Q240" s="251"/>
      <c r="R240" s="251"/>
      <c r="S240" s="251"/>
      <c r="T240" s="251"/>
      <c r="U240" s="251"/>
      <c r="V240" s="251"/>
      <c r="W240" s="251"/>
      <c r="X240" s="251"/>
      <c r="Y240" s="251"/>
      <c r="Z240" s="251"/>
    </row>
    <row r="241" spans="1:26" ht="14.25" customHeight="1" x14ac:dyDescent="0.35">
      <c r="A241" s="251"/>
      <c r="B241" s="251"/>
      <c r="C241" s="251"/>
      <c r="D241" s="251"/>
      <c r="E241" s="251"/>
      <c r="F241" s="251"/>
      <c r="G241" s="251"/>
      <c r="H241" s="251"/>
      <c r="I241" s="251"/>
      <c r="J241" s="251"/>
      <c r="K241" s="251"/>
      <c r="L241" s="251"/>
      <c r="M241" s="251"/>
      <c r="N241" s="251"/>
      <c r="O241" s="251"/>
      <c r="P241" s="251"/>
      <c r="Q241" s="251"/>
      <c r="R241" s="251"/>
      <c r="S241" s="251"/>
      <c r="T241" s="251"/>
      <c r="U241" s="251"/>
      <c r="V241" s="251"/>
      <c r="W241" s="251"/>
      <c r="X241" s="251"/>
      <c r="Y241" s="251"/>
      <c r="Z241" s="251"/>
    </row>
    <row r="242" spans="1:26" ht="14.25" customHeight="1" x14ac:dyDescent="0.35">
      <c r="A242" s="251"/>
      <c r="B242" s="251"/>
      <c r="C242" s="251"/>
      <c r="D242" s="251"/>
      <c r="E242" s="251"/>
      <c r="F242" s="251"/>
      <c r="G242" s="251"/>
      <c r="H242" s="251"/>
      <c r="I242" s="251"/>
      <c r="J242" s="251"/>
      <c r="K242" s="251"/>
      <c r="L242" s="251"/>
      <c r="M242" s="251"/>
      <c r="N242" s="251"/>
      <c r="O242" s="251"/>
      <c r="P242" s="251"/>
      <c r="Q242" s="251"/>
      <c r="R242" s="251"/>
      <c r="S242" s="251"/>
      <c r="T242" s="251"/>
      <c r="U242" s="251"/>
      <c r="V242" s="251"/>
      <c r="W242" s="251"/>
      <c r="X242" s="251"/>
      <c r="Y242" s="251"/>
      <c r="Z242" s="251"/>
    </row>
    <row r="243" spans="1:26" ht="14.25" customHeight="1" x14ac:dyDescent="0.35">
      <c r="A243" s="251"/>
      <c r="B243" s="251"/>
      <c r="C243" s="251"/>
      <c r="D243" s="251"/>
      <c r="E243" s="251"/>
      <c r="F243" s="251"/>
      <c r="G243" s="251"/>
      <c r="H243" s="251"/>
      <c r="I243" s="251"/>
      <c r="J243" s="251"/>
      <c r="K243" s="251"/>
      <c r="L243" s="251"/>
      <c r="M243" s="251"/>
      <c r="N243" s="251"/>
      <c r="O243" s="251"/>
      <c r="P243" s="251"/>
      <c r="Q243" s="251"/>
      <c r="R243" s="251"/>
      <c r="S243" s="251"/>
      <c r="T243" s="251"/>
      <c r="U243" s="251"/>
      <c r="V243" s="251"/>
      <c r="W243" s="251"/>
      <c r="X243" s="251"/>
      <c r="Y243" s="251"/>
      <c r="Z243" s="251"/>
    </row>
    <row r="244" spans="1:26" ht="14.25" customHeight="1" x14ac:dyDescent="0.35">
      <c r="A244" s="251"/>
      <c r="B244" s="251"/>
      <c r="C244" s="251"/>
      <c r="D244" s="251"/>
      <c r="E244" s="251"/>
      <c r="F244" s="251"/>
      <c r="G244" s="251"/>
      <c r="H244" s="251"/>
      <c r="I244" s="251"/>
      <c r="J244" s="251"/>
      <c r="K244" s="251"/>
      <c r="L244" s="251"/>
      <c r="M244" s="251"/>
      <c r="N244" s="251"/>
      <c r="O244" s="251"/>
      <c r="P244" s="251"/>
      <c r="Q244" s="251"/>
      <c r="R244" s="251"/>
      <c r="S244" s="251"/>
      <c r="T244" s="251"/>
      <c r="U244" s="251"/>
      <c r="V244" s="251"/>
      <c r="W244" s="251"/>
      <c r="X244" s="251"/>
      <c r="Y244" s="251"/>
      <c r="Z244" s="251"/>
    </row>
    <row r="245" spans="1:26" ht="14.25" customHeight="1" x14ac:dyDescent="0.35">
      <c r="A245" s="251"/>
      <c r="B245" s="251"/>
      <c r="C245" s="251"/>
      <c r="D245" s="251"/>
      <c r="E245" s="251"/>
      <c r="F245" s="251"/>
      <c r="G245" s="251"/>
      <c r="H245" s="251"/>
      <c r="I245" s="251"/>
      <c r="J245" s="251"/>
      <c r="K245" s="251"/>
      <c r="L245" s="251"/>
      <c r="M245" s="251"/>
      <c r="N245" s="251"/>
      <c r="O245" s="251"/>
      <c r="P245" s="251"/>
      <c r="Q245" s="251"/>
      <c r="R245" s="251"/>
      <c r="S245" s="251"/>
      <c r="T245" s="251"/>
      <c r="U245" s="251"/>
      <c r="V245" s="251"/>
      <c r="W245" s="251"/>
      <c r="X245" s="251"/>
      <c r="Y245" s="251"/>
      <c r="Z245" s="251"/>
    </row>
    <row r="246" spans="1:26" ht="14.25" customHeight="1" x14ac:dyDescent="0.35">
      <c r="A246" s="251"/>
      <c r="B246" s="251"/>
      <c r="C246" s="251"/>
      <c r="D246" s="251"/>
      <c r="E246" s="251"/>
      <c r="F246" s="251"/>
      <c r="G246" s="251"/>
      <c r="H246" s="251"/>
      <c r="I246" s="251"/>
      <c r="J246" s="251"/>
      <c r="K246" s="251"/>
      <c r="L246" s="251"/>
      <c r="M246" s="251"/>
      <c r="N246" s="251"/>
      <c r="O246" s="251"/>
      <c r="P246" s="251"/>
      <c r="Q246" s="251"/>
      <c r="R246" s="251"/>
      <c r="S246" s="251"/>
      <c r="T246" s="251"/>
      <c r="U246" s="251"/>
      <c r="V246" s="251"/>
      <c r="W246" s="251"/>
      <c r="X246" s="251"/>
      <c r="Y246" s="251"/>
      <c r="Z246" s="251"/>
    </row>
    <row r="247" spans="1:26" ht="14.25" customHeight="1" x14ac:dyDescent="0.35">
      <c r="A247" s="251"/>
      <c r="B247" s="251"/>
      <c r="C247" s="251"/>
      <c r="D247" s="251"/>
      <c r="E247" s="251"/>
      <c r="F247" s="251"/>
      <c r="G247" s="251"/>
      <c r="H247" s="251"/>
      <c r="I247" s="251"/>
      <c r="J247" s="251"/>
      <c r="K247" s="251"/>
      <c r="L247" s="251"/>
      <c r="M247" s="251"/>
      <c r="N247" s="251"/>
      <c r="O247" s="251"/>
      <c r="P247" s="251"/>
      <c r="Q247" s="251"/>
      <c r="R247" s="251"/>
      <c r="S247" s="251"/>
      <c r="T247" s="251"/>
      <c r="U247" s="251"/>
      <c r="V247" s="251"/>
      <c r="W247" s="251"/>
      <c r="X247" s="251"/>
      <c r="Y247" s="251"/>
      <c r="Z247" s="251"/>
    </row>
    <row r="248" spans="1:26" ht="14.25" customHeight="1" x14ac:dyDescent="0.35">
      <c r="A248" s="251"/>
      <c r="B248" s="251"/>
      <c r="C248" s="251"/>
      <c r="D248" s="251"/>
      <c r="E248" s="251"/>
      <c r="F248" s="251"/>
      <c r="G248" s="251"/>
      <c r="H248" s="251"/>
      <c r="I248" s="251"/>
      <c r="J248" s="251"/>
      <c r="K248" s="251"/>
      <c r="L248" s="251"/>
      <c r="M248" s="251"/>
      <c r="N248" s="251"/>
      <c r="O248" s="251"/>
      <c r="P248" s="251"/>
      <c r="Q248" s="251"/>
      <c r="R248" s="251"/>
      <c r="S248" s="251"/>
      <c r="T248" s="251"/>
      <c r="U248" s="251"/>
      <c r="V248" s="251"/>
      <c r="W248" s="251"/>
      <c r="X248" s="251"/>
      <c r="Y248" s="251"/>
      <c r="Z248" s="251"/>
    </row>
    <row r="249" spans="1:26" ht="14.25" customHeight="1" x14ac:dyDescent="0.35">
      <c r="A249" s="251"/>
      <c r="B249" s="251"/>
      <c r="C249" s="251"/>
      <c r="D249" s="251"/>
      <c r="E249" s="251"/>
      <c r="F249" s="251"/>
      <c r="G249" s="251"/>
      <c r="H249" s="251"/>
      <c r="I249" s="251"/>
      <c r="J249" s="251"/>
      <c r="K249" s="251"/>
      <c r="L249" s="251"/>
      <c r="M249" s="251"/>
      <c r="N249" s="251"/>
      <c r="O249" s="251"/>
      <c r="P249" s="251"/>
      <c r="Q249" s="251"/>
      <c r="R249" s="251"/>
      <c r="S249" s="251"/>
      <c r="T249" s="251"/>
      <c r="U249" s="251"/>
      <c r="V249" s="251"/>
      <c r="W249" s="251"/>
      <c r="X249" s="251"/>
      <c r="Y249" s="251"/>
      <c r="Z249" s="251"/>
    </row>
    <row r="250" spans="1:26" ht="14.25" customHeight="1" x14ac:dyDescent="0.35">
      <c r="A250" s="251"/>
      <c r="B250" s="251"/>
      <c r="C250" s="251"/>
      <c r="D250" s="251"/>
      <c r="E250" s="251"/>
      <c r="F250" s="251"/>
      <c r="G250" s="251"/>
      <c r="H250" s="251"/>
      <c r="I250" s="251"/>
      <c r="J250" s="251"/>
      <c r="K250" s="251"/>
      <c r="L250" s="251"/>
      <c r="M250" s="251"/>
      <c r="N250" s="251"/>
      <c r="O250" s="251"/>
      <c r="P250" s="251"/>
      <c r="Q250" s="251"/>
      <c r="R250" s="251"/>
      <c r="S250" s="251"/>
      <c r="T250" s="251"/>
      <c r="U250" s="251"/>
      <c r="V250" s="251"/>
      <c r="W250" s="251"/>
      <c r="X250" s="251"/>
      <c r="Y250" s="251"/>
      <c r="Z250" s="251"/>
    </row>
    <row r="251" spans="1:26" ht="14.25" customHeight="1" x14ac:dyDescent="0.35">
      <c r="A251" s="251"/>
      <c r="B251" s="251"/>
      <c r="C251" s="251"/>
      <c r="D251" s="251"/>
      <c r="E251" s="251"/>
      <c r="F251" s="251"/>
      <c r="G251" s="251"/>
      <c r="H251" s="251"/>
      <c r="I251" s="251"/>
      <c r="J251" s="251"/>
      <c r="K251" s="251"/>
      <c r="L251" s="251"/>
      <c r="M251" s="251"/>
      <c r="N251" s="251"/>
      <c r="O251" s="251"/>
      <c r="P251" s="251"/>
      <c r="Q251" s="251"/>
      <c r="R251" s="251"/>
      <c r="S251" s="251"/>
      <c r="T251" s="251"/>
      <c r="U251" s="251"/>
      <c r="V251" s="251"/>
      <c r="W251" s="251"/>
      <c r="X251" s="251"/>
      <c r="Y251" s="251"/>
      <c r="Z251" s="251"/>
    </row>
    <row r="252" spans="1:26" ht="14.25" customHeight="1" x14ac:dyDescent="0.35">
      <c r="A252" s="251"/>
      <c r="B252" s="251"/>
      <c r="C252" s="251"/>
      <c r="D252" s="251"/>
      <c r="E252" s="251"/>
      <c r="F252" s="251"/>
      <c r="G252" s="251"/>
      <c r="H252" s="251"/>
      <c r="I252" s="251"/>
      <c r="J252" s="251"/>
      <c r="K252" s="251"/>
      <c r="L252" s="251"/>
      <c r="M252" s="251"/>
      <c r="N252" s="251"/>
      <c r="O252" s="251"/>
      <c r="P252" s="251"/>
      <c r="Q252" s="251"/>
      <c r="R252" s="251"/>
      <c r="S252" s="251"/>
      <c r="T252" s="251"/>
      <c r="U252" s="251"/>
      <c r="V252" s="251"/>
      <c r="W252" s="251"/>
      <c r="X252" s="251"/>
      <c r="Y252" s="251"/>
      <c r="Z252" s="251"/>
    </row>
    <row r="253" spans="1:26" ht="14.25" customHeight="1" x14ac:dyDescent="0.35">
      <c r="A253" s="251"/>
      <c r="B253" s="251"/>
      <c r="C253" s="251"/>
      <c r="D253" s="251"/>
      <c r="E253" s="251"/>
      <c r="F253" s="251"/>
      <c r="G253" s="251"/>
      <c r="H253" s="251"/>
      <c r="I253" s="251"/>
      <c r="J253" s="251"/>
      <c r="K253" s="251"/>
      <c r="L253" s="251"/>
      <c r="M253" s="251"/>
      <c r="N253" s="251"/>
      <c r="O253" s="251"/>
      <c r="P253" s="251"/>
      <c r="Q253" s="251"/>
      <c r="R253" s="251"/>
      <c r="S253" s="251"/>
      <c r="T253" s="251"/>
      <c r="U253" s="251"/>
      <c r="V253" s="251"/>
      <c r="W253" s="251"/>
      <c r="X253" s="251"/>
      <c r="Y253" s="251"/>
      <c r="Z253" s="251"/>
    </row>
    <row r="254" spans="1:26" ht="14.25" customHeight="1" x14ac:dyDescent="0.35">
      <c r="A254" s="251"/>
      <c r="B254" s="251"/>
      <c r="C254" s="251"/>
      <c r="D254" s="251"/>
      <c r="E254" s="251"/>
      <c r="F254" s="251"/>
      <c r="G254" s="251"/>
      <c r="H254" s="251"/>
      <c r="I254" s="251"/>
      <c r="J254" s="251"/>
      <c r="K254" s="251"/>
      <c r="L254" s="251"/>
      <c r="M254" s="251"/>
      <c r="N254" s="251"/>
      <c r="O254" s="251"/>
      <c r="P254" s="251"/>
      <c r="Q254" s="251"/>
      <c r="R254" s="251"/>
      <c r="S254" s="251"/>
      <c r="T254" s="251"/>
      <c r="U254" s="251"/>
      <c r="V254" s="251"/>
      <c r="W254" s="251"/>
      <c r="X254" s="251"/>
      <c r="Y254" s="251"/>
      <c r="Z254" s="251"/>
    </row>
    <row r="255" spans="1:26" ht="14.25" customHeight="1" x14ac:dyDescent="0.35">
      <c r="A255" s="251"/>
      <c r="B255" s="251"/>
      <c r="C255" s="251"/>
      <c r="D255" s="251"/>
      <c r="E255" s="251"/>
      <c r="F255" s="251"/>
      <c r="G255" s="251"/>
      <c r="H255" s="251"/>
      <c r="I255" s="251"/>
      <c r="J255" s="251"/>
      <c r="K255" s="251"/>
      <c r="L255" s="251"/>
      <c r="M255" s="251"/>
      <c r="N255" s="251"/>
      <c r="O255" s="251"/>
      <c r="P255" s="251"/>
      <c r="Q255" s="251"/>
      <c r="R255" s="251"/>
      <c r="S255" s="251"/>
      <c r="T255" s="251"/>
      <c r="U255" s="251"/>
      <c r="V255" s="251"/>
      <c r="W255" s="251"/>
      <c r="X255" s="251"/>
      <c r="Y255" s="251"/>
      <c r="Z255" s="251"/>
    </row>
    <row r="256" spans="1:26" ht="14.25" customHeight="1" x14ac:dyDescent="0.35">
      <c r="A256" s="251"/>
      <c r="B256" s="251"/>
      <c r="C256" s="251"/>
      <c r="D256" s="251"/>
      <c r="E256" s="251"/>
      <c r="F256" s="251"/>
      <c r="G256" s="251"/>
      <c r="H256" s="251"/>
      <c r="I256" s="251"/>
      <c r="J256" s="251"/>
      <c r="K256" s="251"/>
      <c r="L256" s="251"/>
      <c r="M256" s="251"/>
      <c r="N256" s="251"/>
      <c r="O256" s="251"/>
      <c r="P256" s="251"/>
      <c r="Q256" s="251"/>
      <c r="R256" s="251"/>
      <c r="S256" s="251"/>
      <c r="T256" s="251"/>
      <c r="U256" s="251"/>
      <c r="V256" s="251"/>
      <c r="W256" s="251"/>
      <c r="X256" s="251"/>
      <c r="Y256" s="251"/>
      <c r="Z256" s="251"/>
    </row>
    <row r="257" spans="1:26" ht="14.25" customHeight="1" x14ac:dyDescent="0.35">
      <c r="A257" s="251"/>
      <c r="B257" s="251"/>
      <c r="C257" s="251"/>
      <c r="D257" s="251"/>
      <c r="E257" s="251"/>
      <c r="F257" s="251"/>
      <c r="G257" s="251"/>
      <c r="H257" s="251"/>
      <c r="I257" s="251"/>
      <c r="J257" s="251"/>
      <c r="K257" s="251"/>
      <c r="L257" s="251"/>
      <c r="M257" s="251"/>
      <c r="N257" s="251"/>
      <c r="O257" s="251"/>
      <c r="P257" s="251"/>
      <c r="Q257" s="251"/>
      <c r="R257" s="251"/>
      <c r="S257" s="251"/>
      <c r="T257" s="251"/>
      <c r="U257" s="251"/>
      <c r="V257" s="251"/>
      <c r="W257" s="251"/>
      <c r="X257" s="251"/>
      <c r="Y257" s="251"/>
      <c r="Z257" s="251"/>
    </row>
    <row r="258" spans="1:26" ht="14.25" customHeight="1" x14ac:dyDescent="0.35">
      <c r="A258" s="251"/>
      <c r="B258" s="251"/>
      <c r="C258" s="251"/>
      <c r="D258" s="251"/>
      <c r="E258" s="251"/>
      <c r="F258" s="251"/>
      <c r="G258" s="251"/>
      <c r="H258" s="251"/>
      <c r="I258" s="251"/>
      <c r="J258" s="251"/>
      <c r="K258" s="251"/>
      <c r="L258" s="251"/>
      <c r="M258" s="251"/>
      <c r="N258" s="251"/>
      <c r="O258" s="251"/>
      <c r="P258" s="251"/>
      <c r="Q258" s="251"/>
      <c r="R258" s="251"/>
      <c r="S258" s="251"/>
      <c r="T258" s="251"/>
      <c r="U258" s="251"/>
      <c r="V258" s="251"/>
      <c r="W258" s="251"/>
      <c r="X258" s="251"/>
      <c r="Y258" s="251"/>
      <c r="Z258" s="251"/>
    </row>
    <row r="259" spans="1:26" ht="14.25" customHeight="1" x14ac:dyDescent="0.35">
      <c r="A259" s="251"/>
      <c r="B259" s="251"/>
      <c r="C259" s="251"/>
      <c r="D259" s="251"/>
      <c r="E259" s="251"/>
      <c r="F259" s="251"/>
      <c r="G259" s="251"/>
      <c r="H259" s="251"/>
      <c r="I259" s="251"/>
      <c r="J259" s="251"/>
      <c r="K259" s="251"/>
      <c r="L259" s="251"/>
      <c r="M259" s="251"/>
      <c r="N259" s="251"/>
      <c r="O259" s="251"/>
      <c r="P259" s="251"/>
      <c r="Q259" s="251"/>
      <c r="R259" s="251"/>
      <c r="S259" s="251"/>
      <c r="T259" s="251"/>
      <c r="U259" s="251"/>
      <c r="V259" s="251"/>
      <c r="W259" s="251"/>
      <c r="X259" s="251"/>
      <c r="Y259" s="251"/>
      <c r="Z259" s="251"/>
    </row>
    <row r="260" spans="1:26" ht="14.25" customHeight="1" x14ac:dyDescent="0.35">
      <c r="A260" s="251"/>
      <c r="B260" s="251"/>
      <c r="C260" s="251"/>
      <c r="D260" s="251"/>
      <c r="E260" s="251"/>
      <c r="F260" s="251"/>
      <c r="G260" s="251"/>
      <c r="H260" s="251"/>
      <c r="I260" s="251"/>
      <c r="J260" s="251"/>
      <c r="K260" s="251"/>
      <c r="L260" s="251"/>
      <c r="M260" s="251"/>
      <c r="N260" s="251"/>
      <c r="O260" s="251"/>
      <c r="P260" s="251"/>
      <c r="Q260" s="251"/>
      <c r="R260" s="251"/>
      <c r="S260" s="251"/>
      <c r="T260" s="251"/>
      <c r="U260" s="251"/>
      <c r="V260" s="251"/>
      <c r="W260" s="251"/>
      <c r="X260" s="251"/>
      <c r="Y260" s="251"/>
      <c r="Z260" s="251"/>
    </row>
    <row r="261" spans="1:26" ht="14.25" customHeight="1" x14ac:dyDescent="0.35">
      <c r="A261" s="251"/>
      <c r="B261" s="251"/>
      <c r="C261" s="251"/>
      <c r="D261" s="251"/>
      <c r="E261" s="251"/>
      <c r="F261" s="251"/>
      <c r="G261" s="251"/>
      <c r="H261" s="251"/>
      <c r="I261" s="251"/>
      <c r="J261" s="251"/>
      <c r="K261" s="251"/>
      <c r="L261" s="251"/>
      <c r="M261" s="251"/>
      <c r="N261" s="251"/>
      <c r="O261" s="251"/>
      <c r="P261" s="251"/>
      <c r="Q261" s="251"/>
      <c r="R261" s="251"/>
      <c r="S261" s="251"/>
      <c r="T261" s="251"/>
      <c r="U261" s="251"/>
      <c r="V261" s="251"/>
      <c r="W261" s="251"/>
      <c r="X261" s="251"/>
      <c r="Y261" s="251"/>
      <c r="Z261" s="251"/>
    </row>
    <row r="262" spans="1:26" ht="14.25" customHeight="1" x14ac:dyDescent="0.35">
      <c r="A262" s="251"/>
      <c r="B262" s="251"/>
      <c r="C262" s="251"/>
      <c r="D262" s="251"/>
      <c r="E262" s="251"/>
      <c r="F262" s="251"/>
      <c r="G262" s="251"/>
      <c r="H262" s="251"/>
      <c r="I262" s="251"/>
      <c r="J262" s="251"/>
      <c r="K262" s="251"/>
      <c r="L262" s="251"/>
      <c r="M262" s="251"/>
      <c r="N262" s="251"/>
      <c r="O262" s="251"/>
      <c r="P262" s="251"/>
      <c r="Q262" s="251"/>
      <c r="R262" s="251"/>
      <c r="S262" s="251"/>
      <c r="T262" s="251"/>
      <c r="U262" s="251"/>
      <c r="V262" s="251"/>
      <c r="W262" s="251"/>
      <c r="X262" s="251"/>
      <c r="Y262" s="251"/>
      <c r="Z262" s="251"/>
    </row>
    <row r="263" spans="1:26" ht="14.25" customHeight="1" x14ac:dyDescent="0.35">
      <c r="A263" s="251"/>
      <c r="B263" s="251"/>
      <c r="C263" s="251"/>
      <c r="D263" s="251"/>
      <c r="E263" s="251"/>
      <c r="F263" s="251"/>
      <c r="G263" s="251"/>
      <c r="H263" s="251"/>
      <c r="I263" s="251"/>
      <c r="J263" s="251"/>
      <c r="K263" s="251"/>
      <c r="L263" s="251"/>
      <c r="M263" s="251"/>
      <c r="N263" s="251"/>
      <c r="O263" s="251"/>
      <c r="P263" s="251"/>
      <c r="Q263" s="251"/>
      <c r="R263" s="251"/>
      <c r="S263" s="251"/>
      <c r="T263" s="251"/>
      <c r="U263" s="251"/>
      <c r="V263" s="251"/>
      <c r="W263" s="251"/>
      <c r="X263" s="251"/>
      <c r="Y263" s="251"/>
      <c r="Z263" s="251"/>
    </row>
    <row r="264" spans="1:26" ht="14.25" customHeight="1" x14ac:dyDescent="0.35">
      <c r="A264" s="251"/>
      <c r="B264" s="251"/>
      <c r="C264" s="251"/>
      <c r="D264" s="251"/>
      <c r="E264" s="251"/>
      <c r="F264" s="251"/>
      <c r="G264" s="251"/>
      <c r="H264" s="251"/>
      <c r="I264" s="251"/>
      <c r="J264" s="251"/>
      <c r="K264" s="251"/>
      <c r="L264" s="251"/>
      <c r="M264" s="251"/>
      <c r="N264" s="251"/>
      <c r="O264" s="251"/>
      <c r="P264" s="251"/>
      <c r="Q264" s="251"/>
      <c r="R264" s="251"/>
      <c r="S264" s="251"/>
      <c r="T264" s="251"/>
      <c r="U264" s="251"/>
      <c r="V264" s="251"/>
      <c r="W264" s="251"/>
      <c r="X264" s="251"/>
      <c r="Y264" s="251"/>
      <c r="Z264" s="251"/>
    </row>
    <row r="265" spans="1:26" ht="14.25" customHeight="1" x14ac:dyDescent="0.35">
      <c r="A265" s="251"/>
      <c r="B265" s="251"/>
      <c r="C265" s="251"/>
      <c r="D265" s="251"/>
      <c r="E265" s="251"/>
      <c r="F265" s="251"/>
      <c r="G265" s="251"/>
      <c r="H265" s="251"/>
      <c r="I265" s="251"/>
      <c r="J265" s="251"/>
      <c r="K265" s="251"/>
      <c r="L265" s="251"/>
      <c r="M265" s="251"/>
      <c r="N265" s="251"/>
      <c r="O265" s="251"/>
      <c r="P265" s="251"/>
      <c r="Q265" s="251"/>
      <c r="R265" s="251"/>
      <c r="S265" s="251"/>
      <c r="T265" s="251"/>
      <c r="U265" s="251"/>
      <c r="V265" s="251"/>
      <c r="W265" s="251"/>
      <c r="X265" s="251"/>
      <c r="Y265" s="251"/>
      <c r="Z265" s="251"/>
    </row>
    <row r="266" spans="1:26" ht="14.25" customHeight="1" x14ac:dyDescent="0.35">
      <c r="A266" s="251"/>
      <c r="B266" s="251"/>
      <c r="C266" s="251"/>
      <c r="D266" s="251"/>
      <c r="E266" s="251"/>
      <c r="F266" s="251"/>
      <c r="G266" s="251"/>
      <c r="H266" s="251"/>
      <c r="I266" s="251"/>
      <c r="J266" s="251"/>
      <c r="K266" s="251"/>
      <c r="L266" s="251"/>
      <c r="M266" s="251"/>
      <c r="N266" s="251"/>
      <c r="O266" s="251"/>
      <c r="P266" s="251"/>
      <c r="Q266" s="251"/>
      <c r="R266" s="251"/>
      <c r="S266" s="251"/>
      <c r="T266" s="251"/>
      <c r="U266" s="251"/>
      <c r="V266" s="251"/>
      <c r="W266" s="251"/>
      <c r="X266" s="251"/>
      <c r="Y266" s="251"/>
      <c r="Z266" s="251"/>
    </row>
    <row r="267" spans="1:26" ht="14.25" customHeight="1" x14ac:dyDescent="0.35">
      <c r="A267" s="251"/>
      <c r="B267" s="251"/>
      <c r="C267" s="251"/>
      <c r="D267" s="251"/>
      <c r="E267" s="251"/>
      <c r="F267" s="251"/>
      <c r="G267" s="251"/>
      <c r="H267" s="251"/>
      <c r="I267" s="251"/>
      <c r="J267" s="251"/>
      <c r="K267" s="251"/>
      <c r="L267" s="251"/>
      <c r="M267" s="251"/>
      <c r="N267" s="251"/>
      <c r="O267" s="251"/>
      <c r="P267" s="251"/>
      <c r="Q267" s="251"/>
      <c r="R267" s="251"/>
      <c r="S267" s="251"/>
      <c r="T267" s="251"/>
      <c r="U267" s="251"/>
      <c r="V267" s="251"/>
      <c r="W267" s="251"/>
      <c r="X267" s="251"/>
      <c r="Y267" s="251"/>
      <c r="Z267" s="251"/>
    </row>
    <row r="268" spans="1:26" ht="14.25" customHeight="1" x14ac:dyDescent="0.35">
      <c r="A268" s="251"/>
      <c r="B268" s="251"/>
      <c r="C268" s="251"/>
      <c r="D268" s="251"/>
      <c r="E268" s="251"/>
      <c r="F268" s="251"/>
      <c r="G268" s="251"/>
      <c r="H268" s="251"/>
      <c r="I268" s="251"/>
      <c r="J268" s="251"/>
      <c r="K268" s="251"/>
      <c r="L268" s="251"/>
      <c r="M268" s="251"/>
      <c r="N268" s="251"/>
      <c r="O268" s="251"/>
      <c r="P268" s="251"/>
      <c r="Q268" s="251"/>
      <c r="R268" s="251"/>
      <c r="S268" s="251"/>
      <c r="T268" s="251"/>
      <c r="U268" s="251"/>
      <c r="V268" s="251"/>
      <c r="W268" s="251"/>
      <c r="X268" s="251"/>
      <c r="Y268" s="251"/>
      <c r="Z268" s="251"/>
    </row>
    <row r="269" spans="1:26" ht="14.25" customHeight="1" x14ac:dyDescent="0.35">
      <c r="A269" s="251"/>
      <c r="B269" s="251"/>
      <c r="C269" s="251"/>
      <c r="D269" s="251"/>
      <c r="E269" s="251"/>
      <c r="F269" s="251"/>
      <c r="G269" s="251"/>
      <c r="H269" s="251"/>
      <c r="I269" s="251"/>
      <c r="J269" s="251"/>
      <c r="K269" s="251"/>
      <c r="L269" s="251"/>
      <c r="M269" s="251"/>
      <c r="N269" s="251"/>
      <c r="O269" s="251"/>
      <c r="P269" s="251"/>
      <c r="Q269" s="251"/>
      <c r="R269" s="251"/>
      <c r="S269" s="251"/>
      <c r="T269" s="251"/>
      <c r="U269" s="251"/>
      <c r="V269" s="251"/>
      <c r="W269" s="251"/>
      <c r="X269" s="251"/>
      <c r="Y269" s="251"/>
      <c r="Z269" s="251"/>
    </row>
    <row r="270" spans="1:26" ht="14.25" customHeight="1" x14ac:dyDescent="0.35">
      <c r="A270" s="251"/>
      <c r="B270" s="251"/>
      <c r="C270" s="251"/>
      <c r="D270" s="251"/>
      <c r="E270" s="251"/>
      <c r="F270" s="251"/>
      <c r="G270" s="251"/>
      <c r="H270" s="251"/>
      <c r="I270" s="251"/>
      <c r="J270" s="251"/>
      <c r="K270" s="251"/>
      <c r="L270" s="251"/>
      <c r="M270" s="251"/>
      <c r="N270" s="251"/>
      <c r="O270" s="251"/>
      <c r="P270" s="251"/>
      <c r="Q270" s="251"/>
      <c r="R270" s="251"/>
      <c r="S270" s="251"/>
      <c r="T270" s="251"/>
      <c r="U270" s="251"/>
      <c r="V270" s="251"/>
      <c r="W270" s="251"/>
      <c r="X270" s="251"/>
      <c r="Y270" s="251"/>
      <c r="Z270" s="251"/>
    </row>
    <row r="271" spans="1:26" ht="14.25" customHeight="1" x14ac:dyDescent="0.35">
      <c r="A271" s="251"/>
      <c r="B271" s="251"/>
      <c r="C271" s="251"/>
      <c r="D271" s="251"/>
      <c r="E271" s="251"/>
      <c r="F271" s="251"/>
      <c r="G271" s="251"/>
      <c r="H271" s="251"/>
      <c r="I271" s="251"/>
      <c r="J271" s="251"/>
      <c r="K271" s="251"/>
      <c r="L271" s="251"/>
      <c r="M271" s="251"/>
      <c r="N271" s="251"/>
      <c r="O271" s="251"/>
      <c r="P271" s="251"/>
      <c r="Q271" s="251"/>
      <c r="R271" s="251"/>
      <c r="S271" s="251"/>
      <c r="T271" s="251"/>
      <c r="U271" s="251"/>
      <c r="V271" s="251"/>
      <c r="W271" s="251"/>
      <c r="X271" s="251"/>
      <c r="Y271" s="251"/>
      <c r="Z271" s="251"/>
    </row>
    <row r="272" spans="1:26" ht="14.25" customHeight="1" x14ac:dyDescent="0.35">
      <c r="A272" s="251"/>
      <c r="B272" s="251"/>
      <c r="C272" s="251"/>
      <c r="D272" s="251"/>
      <c r="E272" s="251"/>
      <c r="F272" s="251"/>
      <c r="G272" s="251"/>
      <c r="H272" s="251"/>
      <c r="I272" s="251"/>
      <c r="J272" s="251"/>
      <c r="K272" s="251"/>
      <c r="L272" s="251"/>
      <c r="M272" s="251"/>
      <c r="N272" s="251"/>
      <c r="O272" s="251"/>
      <c r="P272" s="251"/>
      <c r="Q272" s="251"/>
      <c r="R272" s="251"/>
      <c r="S272" s="251"/>
      <c r="T272" s="251"/>
      <c r="U272" s="251"/>
      <c r="V272" s="251"/>
      <c r="W272" s="251"/>
      <c r="X272" s="251"/>
      <c r="Y272" s="251"/>
      <c r="Z272" s="251"/>
    </row>
    <row r="273" spans="1:26" ht="14.25" customHeight="1" x14ac:dyDescent="0.35">
      <c r="A273" s="251"/>
      <c r="B273" s="251"/>
      <c r="C273" s="251"/>
      <c r="D273" s="251"/>
      <c r="E273" s="251"/>
      <c r="F273" s="251"/>
      <c r="G273" s="251"/>
      <c r="H273" s="251"/>
      <c r="I273" s="251"/>
      <c r="J273" s="251"/>
      <c r="K273" s="251"/>
      <c r="L273" s="251"/>
      <c r="M273" s="251"/>
      <c r="N273" s="251"/>
      <c r="O273" s="251"/>
      <c r="P273" s="251"/>
      <c r="Q273" s="251"/>
      <c r="R273" s="251"/>
      <c r="S273" s="251"/>
      <c r="T273" s="251"/>
      <c r="U273" s="251"/>
      <c r="V273" s="251"/>
      <c r="W273" s="251"/>
      <c r="X273" s="251"/>
      <c r="Y273" s="251"/>
      <c r="Z273" s="251"/>
    </row>
    <row r="274" spans="1:26" ht="14.25" customHeight="1" x14ac:dyDescent="0.35">
      <c r="A274" s="251"/>
      <c r="B274" s="251"/>
      <c r="C274" s="251"/>
      <c r="D274" s="251"/>
      <c r="E274" s="251"/>
      <c r="F274" s="251"/>
      <c r="G274" s="251"/>
      <c r="H274" s="251"/>
      <c r="I274" s="251"/>
      <c r="J274" s="251"/>
      <c r="K274" s="251"/>
      <c r="L274" s="251"/>
      <c r="M274" s="251"/>
      <c r="N274" s="251"/>
      <c r="O274" s="251"/>
      <c r="P274" s="251"/>
      <c r="Q274" s="251"/>
      <c r="R274" s="251"/>
      <c r="S274" s="251"/>
      <c r="T274" s="251"/>
      <c r="U274" s="251"/>
      <c r="V274" s="251"/>
      <c r="W274" s="251"/>
      <c r="X274" s="251"/>
      <c r="Y274" s="251"/>
      <c r="Z274" s="251"/>
    </row>
    <row r="275" spans="1:26" ht="14.25" customHeight="1" x14ac:dyDescent="0.35">
      <c r="A275" s="251"/>
      <c r="B275" s="251"/>
      <c r="C275" s="251"/>
      <c r="D275" s="251"/>
      <c r="E275" s="251"/>
      <c r="F275" s="251"/>
      <c r="G275" s="251"/>
      <c r="H275" s="251"/>
      <c r="I275" s="251"/>
      <c r="J275" s="251"/>
      <c r="K275" s="251"/>
      <c r="L275" s="251"/>
      <c r="M275" s="251"/>
      <c r="N275" s="251"/>
      <c r="O275" s="251"/>
      <c r="P275" s="251"/>
      <c r="Q275" s="251"/>
      <c r="R275" s="251"/>
      <c r="S275" s="251"/>
      <c r="T275" s="251"/>
      <c r="U275" s="251"/>
      <c r="V275" s="251"/>
      <c r="W275" s="251"/>
      <c r="X275" s="251"/>
      <c r="Y275" s="251"/>
      <c r="Z275" s="251"/>
    </row>
    <row r="276" spans="1:26" ht="14.25" customHeight="1" x14ac:dyDescent="0.35">
      <c r="A276" s="251"/>
      <c r="B276" s="251"/>
      <c r="C276" s="251"/>
      <c r="D276" s="251"/>
      <c r="E276" s="251"/>
      <c r="F276" s="251"/>
      <c r="G276" s="251"/>
      <c r="H276" s="251"/>
      <c r="I276" s="251"/>
      <c r="J276" s="251"/>
      <c r="K276" s="251"/>
      <c r="L276" s="251"/>
      <c r="M276" s="251"/>
      <c r="N276" s="251"/>
      <c r="O276" s="251"/>
      <c r="P276" s="251"/>
      <c r="Q276" s="251"/>
      <c r="R276" s="251"/>
      <c r="S276" s="251"/>
      <c r="T276" s="251"/>
      <c r="U276" s="251"/>
      <c r="V276" s="251"/>
      <c r="W276" s="251"/>
      <c r="X276" s="251"/>
      <c r="Y276" s="251"/>
      <c r="Z276" s="251"/>
    </row>
    <row r="277" spans="1:26" ht="14.25" customHeight="1" x14ac:dyDescent="0.35">
      <c r="A277" s="251"/>
      <c r="B277" s="251"/>
      <c r="C277" s="251"/>
      <c r="D277" s="251"/>
      <c r="E277" s="251"/>
      <c r="F277" s="251"/>
      <c r="G277" s="251"/>
      <c r="H277" s="251"/>
      <c r="I277" s="251"/>
      <c r="J277" s="251"/>
      <c r="K277" s="251"/>
      <c r="L277" s="251"/>
      <c r="M277" s="251"/>
      <c r="N277" s="251"/>
      <c r="O277" s="251"/>
      <c r="P277" s="251"/>
      <c r="Q277" s="251"/>
      <c r="R277" s="251"/>
      <c r="S277" s="251"/>
      <c r="T277" s="251"/>
      <c r="U277" s="251"/>
      <c r="V277" s="251"/>
      <c r="W277" s="251"/>
      <c r="X277" s="251"/>
      <c r="Y277" s="251"/>
      <c r="Z277" s="251"/>
    </row>
    <row r="278" spans="1:26" ht="14.25" customHeight="1" x14ac:dyDescent="0.35">
      <c r="A278" s="251"/>
      <c r="B278" s="251"/>
      <c r="C278" s="251"/>
      <c r="D278" s="251"/>
      <c r="E278" s="251"/>
      <c r="F278" s="251"/>
      <c r="G278" s="251"/>
      <c r="H278" s="251"/>
      <c r="I278" s="251"/>
      <c r="J278" s="251"/>
      <c r="K278" s="251"/>
      <c r="L278" s="251"/>
      <c r="M278" s="251"/>
      <c r="N278" s="251"/>
      <c r="O278" s="251"/>
      <c r="P278" s="251"/>
      <c r="Q278" s="251"/>
      <c r="R278" s="251"/>
      <c r="S278" s="251"/>
      <c r="T278" s="251"/>
      <c r="U278" s="251"/>
      <c r="V278" s="251"/>
      <c r="W278" s="251"/>
      <c r="X278" s="251"/>
      <c r="Y278" s="251"/>
      <c r="Z278" s="251"/>
    </row>
    <row r="279" spans="1:26" ht="14.25" customHeight="1" x14ac:dyDescent="0.35">
      <c r="A279" s="251"/>
      <c r="B279" s="251"/>
      <c r="C279" s="251"/>
      <c r="D279" s="251"/>
      <c r="E279" s="251"/>
      <c r="F279" s="251"/>
      <c r="G279" s="251"/>
      <c r="H279" s="251"/>
      <c r="I279" s="251"/>
      <c r="J279" s="251"/>
      <c r="K279" s="251"/>
      <c r="L279" s="251"/>
      <c r="M279" s="251"/>
      <c r="N279" s="251"/>
      <c r="O279" s="251"/>
      <c r="P279" s="251"/>
      <c r="Q279" s="251"/>
      <c r="R279" s="251"/>
      <c r="S279" s="251"/>
      <c r="T279" s="251"/>
      <c r="U279" s="251"/>
      <c r="V279" s="251"/>
      <c r="W279" s="251"/>
      <c r="X279" s="251"/>
      <c r="Y279" s="251"/>
      <c r="Z279" s="251"/>
    </row>
    <row r="280" spans="1:26" ht="14.25" customHeight="1" x14ac:dyDescent="0.35">
      <c r="A280" s="251"/>
      <c r="B280" s="251"/>
      <c r="C280" s="251"/>
      <c r="D280" s="251"/>
      <c r="E280" s="251"/>
      <c r="F280" s="251"/>
      <c r="G280" s="251"/>
      <c r="H280" s="251"/>
      <c r="I280" s="251"/>
      <c r="J280" s="251"/>
      <c r="K280" s="251"/>
      <c r="L280" s="251"/>
      <c r="M280" s="251"/>
      <c r="N280" s="251"/>
      <c r="O280" s="251"/>
      <c r="P280" s="251"/>
      <c r="Q280" s="251"/>
      <c r="R280" s="251"/>
      <c r="S280" s="251"/>
      <c r="T280" s="251"/>
      <c r="U280" s="251"/>
      <c r="V280" s="251"/>
      <c r="W280" s="251"/>
      <c r="X280" s="251"/>
      <c r="Y280" s="251"/>
      <c r="Z280" s="251"/>
    </row>
    <row r="281" spans="1:26" ht="14.25" customHeight="1" x14ac:dyDescent="0.35">
      <c r="A281" s="251"/>
      <c r="B281" s="251"/>
      <c r="C281" s="251"/>
      <c r="D281" s="251"/>
      <c r="E281" s="251"/>
      <c r="F281" s="251"/>
      <c r="G281" s="251"/>
      <c r="H281" s="251"/>
      <c r="I281" s="251"/>
      <c r="J281" s="251"/>
      <c r="K281" s="251"/>
      <c r="L281" s="251"/>
      <c r="M281" s="251"/>
      <c r="N281" s="251"/>
      <c r="O281" s="251"/>
      <c r="P281" s="251"/>
      <c r="Q281" s="251"/>
      <c r="R281" s="251"/>
      <c r="S281" s="251"/>
      <c r="T281" s="251"/>
      <c r="U281" s="251"/>
      <c r="V281" s="251"/>
      <c r="W281" s="251"/>
      <c r="X281" s="251"/>
      <c r="Y281" s="251"/>
      <c r="Z281" s="251"/>
    </row>
    <row r="282" spans="1:26" ht="14.25" customHeight="1" x14ac:dyDescent="0.35">
      <c r="A282" s="251"/>
      <c r="B282" s="251"/>
      <c r="C282" s="251"/>
      <c r="D282" s="251"/>
      <c r="E282" s="251"/>
      <c r="F282" s="251"/>
      <c r="G282" s="251"/>
      <c r="H282" s="251"/>
      <c r="I282" s="251"/>
      <c r="J282" s="251"/>
      <c r="K282" s="251"/>
      <c r="L282" s="251"/>
      <c r="M282" s="251"/>
      <c r="N282" s="251"/>
      <c r="O282" s="251"/>
      <c r="P282" s="251"/>
      <c r="Q282" s="251"/>
      <c r="R282" s="251"/>
      <c r="S282" s="251"/>
      <c r="T282" s="251"/>
      <c r="U282" s="251"/>
      <c r="V282" s="251"/>
      <c r="W282" s="251"/>
      <c r="X282" s="251"/>
      <c r="Y282" s="251"/>
      <c r="Z282" s="251"/>
    </row>
    <row r="283" spans="1:26" ht="14.25" customHeight="1" x14ac:dyDescent="0.35">
      <c r="A283" s="251"/>
      <c r="B283" s="251"/>
      <c r="C283" s="251"/>
      <c r="D283" s="251"/>
      <c r="E283" s="251"/>
      <c r="F283" s="251"/>
      <c r="G283" s="251"/>
      <c r="H283" s="251"/>
      <c r="I283" s="251"/>
      <c r="J283" s="251"/>
      <c r="K283" s="251"/>
      <c r="L283" s="251"/>
      <c r="M283" s="251"/>
      <c r="N283" s="251"/>
      <c r="O283" s="251"/>
      <c r="P283" s="251"/>
      <c r="Q283" s="251"/>
      <c r="R283" s="251"/>
      <c r="S283" s="251"/>
      <c r="T283" s="251"/>
      <c r="U283" s="251"/>
      <c r="V283" s="251"/>
      <c r="W283" s="251"/>
      <c r="X283" s="251"/>
      <c r="Y283" s="251"/>
      <c r="Z283" s="251"/>
    </row>
    <row r="284" spans="1:26" ht="14.25" customHeight="1" x14ac:dyDescent="0.35">
      <c r="A284" s="251"/>
      <c r="B284" s="251"/>
      <c r="C284" s="251"/>
      <c r="D284" s="251"/>
      <c r="E284" s="251"/>
      <c r="F284" s="251"/>
      <c r="G284" s="251"/>
      <c r="H284" s="251"/>
      <c r="I284" s="251"/>
      <c r="J284" s="251"/>
      <c r="K284" s="251"/>
      <c r="L284" s="251"/>
      <c r="M284" s="251"/>
      <c r="N284" s="251"/>
      <c r="O284" s="251"/>
      <c r="P284" s="251"/>
      <c r="Q284" s="251"/>
      <c r="R284" s="251"/>
      <c r="S284" s="251"/>
      <c r="T284" s="251"/>
      <c r="U284" s="251"/>
      <c r="V284" s="251"/>
      <c r="W284" s="251"/>
      <c r="X284" s="251"/>
      <c r="Y284" s="251"/>
      <c r="Z284" s="251"/>
    </row>
    <row r="285" spans="1:26" ht="14.25" customHeight="1" x14ac:dyDescent="0.35">
      <c r="A285" s="251"/>
      <c r="B285" s="251"/>
      <c r="C285" s="251"/>
      <c r="D285" s="251"/>
      <c r="E285" s="251"/>
      <c r="F285" s="251"/>
      <c r="G285" s="251"/>
      <c r="H285" s="251"/>
      <c r="I285" s="251"/>
      <c r="J285" s="251"/>
      <c r="K285" s="251"/>
      <c r="L285" s="251"/>
      <c r="M285" s="251"/>
      <c r="N285" s="251"/>
      <c r="O285" s="251"/>
      <c r="P285" s="251"/>
      <c r="Q285" s="251"/>
      <c r="R285" s="251"/>
      <c r="S285" s="251"/>
      <c r="T285" s="251"/>
      <c r="U285" s="251"/>
      <c r="V285" s="251"/>
      <c r="W285" s="251"/>
      <c r="X285" s="251"/>
      <c r="Y285" s="251"/>
      <c r="Z285" s="251"/>
    </row>
    <row r="286" spans="1:26" ht="14.25" customHeight="1" x14ac:dyDescent="0.35">
      <c r="A286" s="251"/>
      <c r="B286" s="251"/>
      <c r="C286" s="251"/>
      <c r="D286" s="251"/>
      <c r="E286" s="251"/>
      <c r="F286" s="251"/>
      <c r="G286" s="251"/>
      <c r="H286" s="251"/>
      <c r="I286" s="251"/>
      <c r="J286" s="251"/>
      <c r="K286" s="251"/>
      <c r="L286" s="251"/>
      <c r="M286" s="251"/>
      <c r="N286" s="251"/>
      <c r="O286" s="251"/>
      <c r="P286" s="251"/>
      <c r="Q286" s="251"/>
      <c r="R286" s="251"/>
      <c r="S286" s="251"/>
      <c r="T286" s="251"/>
      <c r="U286" s="251"/>
      <c r="V286" s="251"/>
      <c r="W286" s="251"/>
      <c r="X286" s="251"/>
      <c r="Y286" s="251"/>
      <c r="Z286" s="251"/>
    </row>
    <row r="287" spans="1:26" ht="14.25" customHeight="1" x14ac:dyDescent="0.35">
      <c r="A287" s="251"/>
      <c r="B287" s="251"/>
      <c r="C287" s="251"/>
      <c r="D287" s="251"/>
      <c r="E287" s="251"/>
      <c r="F287" s="251"/>
      <c r="G287" s="251"/>
      <c r="H287" s="251"/>
      <c r="I287" s="251"/>
      <c r="J287" s="251"/>
      <c r="K287" s="251"/>
      <c r="L287" s="251"/>
      <c r="M287" s="251"/>
      <c r="N287" s="251"/>
      <c r="O287" s="251"/>
      <c r="P287" s="251"/>
      <c r="Q287" s="251"/>
      <c r="R287" s="251"/>
      <c r="S287" s="251"/>
      <c r="T287" s="251"/>
      <c r="U287" s="251"/>
      <c r="V287" s="251"/>
      <c r="W287" s="251"/>
      <c r="X287" s="251"/>
      <c r="Y287" s="251"/>
      <c r="Z287" s="251"/>
    </row>
    <row r="288" spans="1:26" ht="14.25" customHeight="1" x14ac:dyDescent="0.35">
      <c r="A288" s="251"/>
      <c r="B288" s="251"/>
      <c r="C288" s="251"/>
      <c r="D288" s="251"/>
      <c r="E288" s="251"/>
      <c r="F288" s="251"/>
      <c r="G288" s="251"/>
      <c r="H288" s="251"/>
      <c r="I288" s="251"/>
      <c r="J288" s="251"/>
      <c r="K288" s="251"/>
      <c r="L288" s="251"/>
      <c r="M288" s="251"/>
      <c r="N288" s="251"/>
      <c r="O288" s="251"/>
      <c r="P288" s="251"/>
      <c r="Q288" s="251"/>
      <c r="R288" s="251"/>
      <c r="S288" s="251"/>
      <c r="T288" s="251"/>
      <c r="U288" s="251"/>
      <c r="V288" s="251"/>
      <c r="W288" s="251"/>
      <c r="X288" s="251"/>
      <c r="Y288" s="251"/>
      <c r="Z288" s="251"/>
    </row>
    <row r="289" spans="1:26" ht="14.25" customHeight="1" x14ac:dyDescent="0.35">
      <c r="A289" s="251"/>
      <c r="B289" s="251"/>
      <c r="C289" s="251"/>
      <c r="D289" s="251"/>
      <c r="E289" s="251"/>
      <c r="F289" s="251"/>
      <c r="G289" s="251"/>
      <c r="H289" s="251"/>
      <c r="I289" s="251"/>
      <c r="J289" s="251"/>
      <c r="K289" s="251"/>
      <c r="L289" s="251"/>
      <c r="M289" s="251"/>
      <c r="N289" s="251"/>
      <c r="O289" s="251"/>
      <c r="P289" s="251"/>
      <c r="Q289" s="251"/>
      <c r="R289" s="251"/>
      <c r="S289" s="251"/>
      <c r="T289" s="251"/>
      <c r="U289" s="251"/>
      <c r="V289" s="251"/>
      <c r="W289" s="251"/>
      <c r="X289" s="251"/>
      <c r="Y289" s="251"/>
      <c r="Z289" s="251"/>
    </row>
    <row r="290" spans="1:26" ht="14.25" customHeight="1" x14ac:dyDescent="0.35">
      <c r="A290" s="251"/>
      <c r="B290" s="251"/>
      <c r="C290" s="251"/>
      <c r="D290" s="251"/>
      <c r="E290" s="251"/>
      <c r="F290" s="251"/>
      <c r="G290" s="251"/>
      <c r="H290" s="251"/>
      <c r="I290" s="251"/>
      <c r="J290" s="251"/>
      <c r="K290" s="251"/>
      <c r="L290" s="251"/>
      <c r="M290" s="251"/>
      <c r="N290" s="251"/>
      <c r="O290" s="251"/>
      <c r="P290" s="251"/>
      <c r="Q290" s="251"/>
      <c r="R290" s="251"/>
      <c r="S290" s="251"/>
      <c r="T290" s="251"/>
      <c r="U290" s="251"/>
      <c r="V290" s="251"/>
      <c r="W290" s="251"/>
      <c r="X290" s="251"/>
      <c r="Y290" s="251"/>
      <c r="Z290" s="251"/>
    </row>
    <row r="291" spans="1:26" ht="14.25" customHeight="1" x14ac:dyDescent="0.35">
      <c r="A291" s="251"/>
      <c r="B291" s="251"/>
      <c r="C291" s="251"/>
      <c r="D291" s="251"/>
      <c r="E291" s="251"/>
      <c r="F291" s="251"/>
      <c r="G291" s="251"/>
      <c r="H291" s="251"/>
      <c r="I291" s="251"/>
      <c r="J291" s="251"/>
      <c r="K291" s="251"/>
      <c r="L291" s="251"/>
      <c r="M291" s="251"/>
      <c r="N291" s="251"/>
      <c r="O291" s="251"/>
      <c r="P291" s="251"/>
      <c r="Q291" s="251"/>
      <c r="R291" s="251"/>
      <c r="S291" s="251"/>
      <c r="T291" s="251"/>
      <c r="U291" s="251"/>
      <c r="V291" s="251"/>
      <c r="W291" s="251"/>
      <c r="X291" s="251"/>
      <c r="Y291" s="251"/>
      <c r="Z291" s="251"/>
    </row>
    <row r="292" spans="1:26" ht="14.25" customHeight="1" x14ac:dyDescent="0.35">
      <c r="A292" s="251"/>
      <c r="B292" s="251"/>
      <c r="C292" s="251"/>
      <c r="D292" s="251"/>
      <c r="E292" s="251"/>
      <c r="F292" s="251"/>
      <c r="G292" s="251"/>
      <c r="H292" s="251"/>
      <c r="I292" s="251"/>
      <c r="J292" s="251"/>
      <c r="K292" s="251"/>
      <c r="L292" s="251"/>
      <c r="M292" s="251"/>
      <c r="N292" s="251"/>
      <c r="O292" s="251"/>
      <c r="P292" s="251"/>
      <c r="Q292" s="251"/>
      <c r="R292" s="251"/>
      <c r="S292" s="251"/>
      <c r="T292" s="251"/>
      <c r="U292" s="251"/>
      <c r="V292" s="251"/>
      <c r="W292" s="251"/>
      <c r="X292" s="251"/>
      <c r="Y292" s="251"/>
      <c r="Z292" s="251"/>
    </row>
    <row r="293" spans="1:26" ht="14.25" customHeight="1" x14ac:dyDescent="0.35">
      <c r="A293" s="251"/>
      <c r="B293" s="251"/>
      <c r="C293" s="251"/>
      <c r="D293" s="251"/>
      <c r="E293" s="251"/>
      <c r="F293" s="251"/>
      <c r="G293" s="251"/>
      <c r="H293" s="251"/>
      <c r="I293" s="251"/>
      <c r="J293" s="251"/>
      <c r="K293" s="251"/>
      <c r="L293" s="251"/>
      <c r="M293" s="251"/>
      <c r="N293" s="251"/>
      <c r="O293" s="251"/>
      <c r="P293" s="251"/>
      <c r="Q293" s="251"/>
      <c r="R293" s="251"/>
      <c r="S293" s="251"/>
      <c r="T293" s="251"/>
      <c r="U293" s="251"/>
      <c r="V293" s="251"/>
      <c r="W293" s="251"/>
      <c r="X293" s="251"/>
      <c r="Y293" s="251"/>
      <c r="Z293" s="251"/>
    </row>
    <row r="294" spans="1:26" ht="14.25" customHeight="1" x14ac:dyDescent="0.35">
      <c r="A294" s="251"/>
      <c r="B294" s="251"/>
      <c r="C294" s="251"/>
      <c r="D294" s="251"/>
      <c r="E294" s="251"/>
      <c r="F294" s="251"/>
      <c r="G294" s="251"/>
      <c r="H294" s="251"/>
      <c r="I294" s="251"/>
      <c r="J294" s="251"/>
      <c r="K294" s="251"/>
      <c r="L294" s="251"/>
      <c r="M294" s="251"/>
      <c r="N294" s="251"/>
      <c r="O294" s="251"/>
      <c r="P294" s="251"/>
      <c r="Q294" s="251"/>
      <c r="R294" s="251"/>
      <c r="S294" s="251"/>
      <c r="T294" s="251"/>
      <c r="U294" s="251"/>
      <c r="V294" s="251"/>
      <c r="W294" s="251"/>
      <c r="X294" s="251"/>
      <c r="Y294" s="251"/>
      <c r="Z294" s="251"/>
    </row>
    <row r="295" spans="1:26" ht="14.25" customHeight="1" x14ac:dyDescent="0.35">
      <c r="A295" s="251"/>
      <c r="B295" s="251"/>
      <c r="C295" s="251"/>
      <c r="D295" s="251"/>
      <c r="E295" s="251"/>
      <c r="F295" s="251"/>
      <c r="G295" s="251"/>
      <c r="H295" s="251"/>
      <c r="I295" s="251"/>
      <c r="J295" s="251"/>
      <c r="K295" s="251"/>
      <c r="L295" s="251"/>
      <c r="M295" s="251"/>
      <c r="N295" s="251"/>
      <c r="O295" s="251"/>
      <c r="P295" s="251"/>
      <c r="Q295" s="251"/>
      <c r="R295" s="251"/>
      <c r="S295" s="251"/>
      <c r="T295" s="251"/>
      <c r="U295" s="251"/>
      <c r="V295" s="251"/>
      <c r="W295" s="251"/>
      <c r="X295" s="251"/>
      <c r="Y295" s="251"/>
      <c r="Z295" s="251"/>
    </row>
    <row r="296" spans="1:26" ht="14.25" customHeight="1" x14ac:dyDescent="0.35">
      <c r="A296" s="251"/>
      <c r="B296" s="251"/>
      <c r="C296" s="251"/>
      <c r="D296" s="251"/>
      <c r="E296" s="251"/>
      <c r="F296" s="251"/>
      <c r="G296" s="251"/>
      <c r="H296" s="251"/>
      <c r="I296" s="251"/>
      <c r="J296" s="251"/>
      <c r="K296" s="251"/>
      <c r="L296" s="251"/>
      <c r="M296" s="251"/>
      <c r="N296" s="251"/>
      <c r="O296" s="251"/>
      <c r="P296" s="251"/>
      <c r="Q296" s="251"/>
      <c r="R296" s="251"/>
      <c r="S296" s="251"/>
      <c r="T296" s="251"/>
      <c r="U296" s="251"/>
      <c r="V296" s="251"/>
      <c r="W296" s="251"/>
      <c r="X296" s="251"/>
      <c r="Y296" s="251"/>
      <c r="Z296" s="251"/>
    </row>
    <row r="297" spans="1:26" ht="14.25" customHeight="1" x14ac:dyDescent="0.35">
      <c r="A297" s="251"/>
      <c r="B297" s="251"/>
      <c r="C297" s="251"/>
      <c r="D297" s="251"/>
      <c r="E297" s="251"/>
      <c r="F297" s="251"/>
      <c r="G297" s="251"/>
      <c r="H297" s="251"/>
      <c r="I297" s="251"/>
      <c r="J297" s="251"/>
      <c r="K297" s="251"/>
      <c r="L297" s="251"/>
      <c r="M297" s="251"/>
      <c r="N297" s="251"/>
      <c r="O297" s="251"/>
      <c r="P297" s="251"/>
      <c r="Q297" s="251"/>
      <c r="R297" s="251"/>
      <c r="S297" s="251"/>
      <c r="T297" s="251"/>
      <c r="U297" s="251"/>
      <c r="V297" s="251"/>
      <c r="W297" s="251"/>
      <c r="X297" s="251"/>
      <c r="Y297" s="251"/>
      <c r="Z297" s="251"/>
    </row>
    <row r="298" spans="1:26" ht="14.25" customHeight="1" x14ac:dyDescent="0.35">
      <c r="A298" s="251"/>
      <c r="B298" s="251"/>
      <c r="C298" s="251"/>
      <c r="D298" s="251"/>
      <c r="E298" s="251"/>
      <c r="F298" s="251"/>
      <c r="G298" s="251"/>
      <c r="H298" s="251"/>
      <c r="I298" s="251"/>
      <c r="J298" s="251"/>
      <c r="K298" s="251"/>
      <c r="L298" s="251"/>
      <c r="M298" s="251"/>
      <c r="N298" s="251"/>
      <c r="O298" s="251"/>
      <c r="P298" s="251"/>
      <c r="Q298" s="251"/>
      <c r="R298" s="251"/>
      <c r="S298" s="251"/>
      <c r="T298" s="251"/>
      <c r="U298" s="251"/>
      <c r="V298" s="251"/>
      <c r="W298" s="251"/>
      <c r="X298" s="251"/>
      <c r="Y298" s="251"/>
      <c r="Z298" s="251"/>
    </row>
    <row r="299" spans="1:26" ht="14.25" customHeight="1" x14ac:dyDescent="0.35">
      <c r="A299" s="251"/>
      <c r="B299" s="251"/>
      <c r="C299" s="251"/>
      <c r="D299" s="251"/>
      <c r="E299" s="251"/>
      <c r="F299" s="251"/>
      <c r="G299" s="251"/>
      <c r="H299" s="251"/>
      <c r="I299" s="251"/>
      <c r="J299" s="251"/>
      <c r="K299" s="251"/>
      <c r="L299" s="251"/>
      <c r="M299" s="251"/>
      <c r="N299" s="251"/>
      <c r="O299" s="251"/>
      <c r="P299" s="251"/>
      <c r="Q299" s="251"/>
      <c r="R299" s="251"/>
      <c r="S299" s="251"/>
      <c r="T299" s="251"/>
      <c r="U299" s="251"/>
      <c r="V299" s="251"/>
      <c r="W299" s="251"/>
      <c r="X299" s="251"/>
      <c r="Y299" s="251"/>
      <c r="Z299" s="251"/>
    </row>
    <row r="300" spans="1:26" ht="14.25" customHeight="1" x14ac:dyDescent="0.35">
      <c r="A300" s="251"/>
      <c r="B300" s="251"/>
      <c r="C300" s="251"/>
      <c r="D300" s="251"/>
      <c r="E300" s="251"/>
      <c r="F300" s="251"/>
      <c r="G300" s="251"/>
      <c r="H300" s="251"/>
      <c r="I300" s="251"/>
      <c r="J300" s="251"/>
      <c r="K300" s="251"/>
      <c r="L300" s="251"/>
      <c r="M300" s="251"/>
      <c r="N300" s="251"/>
      <c r="O300" s="251"/>
      <c r="P300" s="251"/>
      <c r="Q300" s="251"/>
      <c r="R300" s="251"/>
      <c r="S300" s="251"/>
      <c r="T300" s="251"/>
      <c r="U300" s="251"/>
      <c r="V300" s="251"/>
      <c r="W300" s="251"/>
      <c r="X300" s="251"/>
      <c r="Y300" s="251"/>
      <c r="Z300" s="251"/>
    </row>
    <row r="301" spans="1:26" ht="14.25" customHeight="1" x14ac:dyDescent="0.35">
      <c r="A301" s="251"/>
      <c r="B301" s="251"/>
      <c r="C301" s="251"/>
      <c r="D301" s="251"/>
      <c r="E301" s="251"/>
      <c r="F301" s="251"/>
      <c r="G301" s="251"/>
      <c r="H301" s="251"/>
      <c r="I301" s="251"/>
      <c r="J301" s="251"/>
      <c r="K301" s="251"/>
      <c r="L301" s="251"/>
      <c r="M301" s="251"/>
      <c r="N301" s="251"/>
      <c r="O301" s="251"/>
      <c r="P301" s="251"/>
      <c r="Q301" s="251"/>
      <c r="R301" s="251"/>
      <c r="S301" s="251"/>
      <c r="T301" s="251"/>
      <c r="U301" s="251"/>
      <c r="V301" s="251"/>
      <c r="W301" s="251"/>
      <c r="X301" s="251"/>
      <c r="Y301" s="251"/>
      <c r="Z301" s="251"/>
    </row>
    <row r="302" spans="1:26" ht="14.25" customHeight="1" x14ac:dyDescent="0.35">
      <c r="A302" s="251"/>
      <c r="B302" s="251"/>
      <c r="C302" s="251"/>
      <c r="D302" s="251"/>
      <c r="E302" s="251"/>
      <c r="F302" s="251"/>
      <c r="G302" s="251"/>
      <c r="H302" s="251"/>
      <c r="I302" s="251"/>
      <c r="J302" s="251"/>
      <c r="K302" s="251"/>
      <c r="L302" s="251"/>
      <c r="M302" s="251"/>
      <c r="N302" s="251"/>
      <c r="O302" s="251"/>
      <c r="P302" s="251"/>
      <c r="Q302" s="251"/>
      <c r="R302" s="251"/>
      <c r="S302" s="251"/>
      <c r="T302" s="251"/>
      <c r="U302" s="251"/>
      <c r="V302" s="251"/>
      <c r="W302" s="251"/>
      <c r="X302" s="251"/>
      <c r="Y302" s="251"/>
      <c r="Z302" s="251"/>
    </row>
    <row r="303" spans="1:26" ht="14.25" customHeight="1" x14ac:dyDescent="0.35">
      <c r="A303" s="251"/>
      <c r="B303" s="251"/>
      <c r="C303" s="251"/>
      <c r="D303" s="251"/>
      <c r="E303" s="251"/>
      <c r="F303" s="251"/>
      <c r="G303" s="251"/>
      <c r="H303" s="251"/>
      <c r="I303" s="251"/>
      <c r="J303" s="251"/>
      <c r="K303" s="251"/>
      <c r="L303" s="251"/>
      <c r="M303" s="251"/>
      <c r="N303" s="251"/>
      <c r="O303" s="251"/>
      <c r="P303" s="251"/>
      <c r="Q303" s="251"/>
      <c r="R303" s="251"/>
      <c r="S303" s="251"/>
      <c r="T303" s="251"/>
      <c r="U303" s="251"/>
      <c r="V303" s="251"/>
      <c r="W303" s="251"/>
      <c r="X303" s="251"/>
      <c r="Y303" s="251"/>
      <c r="Z303" s="251"/>
    </row>
    <row r="304" spans="1:26" ht="14.25" customHeight="1" x14ac:dyDescent="0.35">
      <c r="A304" s="251"/>
      <c r="B304" s="251"/>
      <c r="C304" s="251"/>
      <c r="D304" s="251"/>
      <c r="E304" s="251"/>
      <c r="F304" s="251"/>
      <c r="G304" s="251"/>
      <c r="H304" s="251"/>
      <c r="I304" s="251"/>
      <c r="J304" s="251"/>
      <c r="K304" s="251"/>
      <c r="L304" s="251"/>
      <c r="M304" s="251"/>
      <c r="N304" s="251"/>
      <c r="O304" s="251"/>
      <c r="P304" s="251"/>
      <c r="Q304" s="251"/>
      <c r="R304" s="251"/>
      <c r="S304" s="251"/>
      <c r="T304" s="251"/>
      <c r="U304" s="251"/>
      <c r="V304" s="251"/>
      <c r="W304" s="251"/>
      <c r="X304" s="251"/>
      <c r="Y304" s="251"/>
      <c r="Z304" s="251"/>
    </row>
    <row r="305" spans="1:26" ht="14.25" customHeight="1" x14ac:dyDescent="0.35">
      <c r="A305" s="251"/>
      <c r="B305" s="251"/>
      <c r="C305" s="251"/>
      <c r="D305" s="251"/>
      <c r="E305" s="251"/>
      <c r="F305" s="251"/>
      <c r="G305" s="251"/>
      <c r="H305" s="251"/>
      <c r="I305" s="251"/>
      <c r="J305" s="251"/>
      <c r="K305" s="251"/>
      <c r="L305" s="251"/>
      <c r="M305" s="251"/>
      <c r="N305" s="251"/>
      <c r="O305" s="251"/>
      <c r="P305" s="251"/>
      <c r="Q305" s="251"/>
      <c r="R305" s="251"/>
      <c r="S305" s="251"/>
      <c r="T305" s="251"/>
      <c r="U305" s="251"/>
      <c r="V305" s="251"/>
      <c r="W305" s="251"/>
      <c r="X305" s="251"/>
      <c r="Y305" s="251"/>
      <c r="Z305" s="251"/>
    </row>
    <row r="306" spans="1:26" ht="14.25" customHeight="1" x14ac:dyDescent="0.35">
      <c r="A306" s="251"/>
      <c r="B306" s="251"/>
      <c r="C306" s="251"/>
      <c r="D306" s="251"/>
      <c r="E306" s="251"/>
      <c r="F306" s="251"/>
      <c r="G306" s="251"/>
      <c r="H306" s="251"/>
      <c r="I306" s="251"/>
      <c r="J306" s="251"/>
      <c r="K306" s="251"/>
      <c r="L306" s="251"/>
      <c r="M306" s="251"/>
      <c r="N306" s="251"/>
      <c r="O306" s="251"/>
      <c r="P306" s="251"/>
      <c r="Q306" s="251"/>
      <c r="R306" s="251"/>
      <c r="S306" s="251"/>
      <c r="T306" s="251"/>
      <c r="U306" s="251"/>
      <c r="V306" s="251"/>
      <c r="W306" s="251"/>
      <c r="X306" s="251"/>
      <c r="Y306" s="251"/>
      <c r="Z306" s="251"/>
    </row>
    <row r="307" spans="1:26" ht="14.25" customHeight="1" x14ac:dyDescent="0.35">
      <c r="A307" s="251"/>
      <c r="B307" s="251"/>
      <c r="C307" s="251"/>
      <c r="D307" s="251"/>
      <c r="E307" s="251"/>
      <c r="F307" s="251"/>
      <c r="G307" s="251"/>
      <c r="H307" s="251"/>
      <c r="I307" s="251"/>
      <c r="J307" s="251"/>
      <c r="K307" s="251"/>
      <c r="L307" s="251"/>
      <c r="M307" s="251"/>
      <c r="N307" s="251"/>
      <c r="O307" s="251"/>
      <c r="P307" s="251"/>
      <c r="Q307" s="251"/>
      <c r="R307" s="251"/>
      <c r="S307" s="251"/>
      <c r="T307" s="251"/>
      <c r="U307" s="251"/>
      <c r="V307" s="251"/>
      <c r="W307" s="251"/>
      <c r="X307" s="251"/>
      <c r="Y307" s="251"/>
      <c r="Z307" s="251"/>
    </row>
    <row r="308" spans="1:26" ht="14.25" customHeight="1" x14ac:dyDescent="0.35">
      <c r="A308" s="251"/>
      <c r="B308" s="251"/>
      <c r="C308" s="251"/>
      <c r="D308" s="251"/>
      <c r="E308" s="251"/>
      <c r="F308" s="251"/>
      <c r="G308" s="251"/>
      <c r="H308" s="251"/>
      <c r="I308" s="251"/>
      <c r="J308" s="251"/>
      <c r="K308" s="251"/>
      <c r="L308" s="251"/>
      <c r="M308" s="251"/>
      <c r="N308" s="251"/>
      <c r="O308" s="251"/>
      <c r="P308" s="251"/>
      <c r="Q308" s="251"/>
      <c r="R308" s="251"/>
      <c r="S308" s="251"/>
      <c r="T308" s="251"/>
      <c r="U308" s="251"/>
      <c r="V308" s="251"/>
      <c r="W308" s="251"/>
      <c r="X308" s="251"/>
      <c r="Y308" s="251"/>
      <c r="Z308" s="251"/>
    </row>
    <row r="309" spans="1:26" ht="14.25" customHeight="1" x14ac:dyDescent="0.35">
      <c r="A309" s="251"/>
      <c r="B309" s="251"/>
      <c r="C309" s="251"/>
      <c r="D309" s="251"/>
      <c r="E309" s="251"/>
      <c r="F309" s="251"/>
      <c r="G309" s="251"/>
      <c r="H309" s="251"/>
      <c r="I309" s="251"/>
      <c r="J309" s="251"/>
      <c r="K309" s="251"/>
      <c r="L309" s="251"/>
      <c r="M309" s="251"/>
      <c r="N309" s="251"/>
      <c r="O309" s="251"/>
      <c r="P309" s="251"/>
      <c r="Q309" s="251"/>
      <c r="R309" s="251"/>
      <c r="S309" s="251"/>
      <c r="T309" s="251"/>
      <c r="U309" s="251"/>
      <c r="V309" s="251"/>
      <c r="W309" s="251"/>
      <c r="X309" s="251"/>
      <c r="Y309" s="251"/>
      <c r="Z309" s="251"/>
    </row>
    <row r="310" spans="1:26" ht="14.25" customHeight="1" x14ac:dyDescent="0.35">
      <c r="A310" s="251"/>
      <c r="B310" s="251"/>
      <c r="C310" s="251"/>
      <c r="D310" s="251"/>
      <c r="E310" s="251"/>
      <c r="F310" s="251"/>
      <c r="G310" s="251"/>
      <c r="H310" s="251"/>
      <c r="I310" s="251"/>
      <c r="J310" s="251"/>
      <c r="K310" s="251"/>
      <c r="L310" s="251"/>
      <c r="M310" s="251"/>
      <c r="N310" s="251"/>
      <c r="O310" s="251"/>
      <c r="P310" s="251"/>
      <c r="Q310" s="251"/>
      <c r="R310" s="251"/>
      <c r="S310" s="251"/>
      <c r="T310" s="251"/>
      <c r="U310" s="251"/>
      <c r="V310" s="251"/>
      <c r="W310" s="251"/>
      <c r="X310" s="251"/>
      <c r="Y310" s="251"/>
      <c r="Z310" s="251"/>
    </row>
    <row r="311" spans="1:26" ht="14.25" customHeight="1" x14ac:dyDescent="0.35">
      <c r="A311" s="251"/>
      <c r="B311" s="251"/>
      <c r="C311" s="251"/>
      <c r="D311" s="251"/>
      <c r="E311" s="251"/>
      <c r="F311" s="251"/>
      <c r="G311" s="251"/>
      <c r="H311" s="251"/>
      <c r="I311" s="251"/>
      <c r="J311" s="251"/>
      <c r="K311" s="251"/>
      <c r="L311" s="251"/>
      <c r="M311" s="251"/>
      <c r="N311" s="251"/>
      <c r="O311" s="251"/>
      <c r="P311" s="251"/>
      <c r="Q311" s="251"/>
      <c r="R311" s="251"/>
      <c r="S311" s="251"/>
      <c r="T311" s="251"/>
      <c r="U311" s="251"/>
      <c r="V311" s="251"/>
      <c r="W311" s="251"/>
      <c r="X311" s="251"/>
      <c r="Y311" s="251"/>
      <c r="Z311" s="251"/>
    </row>
    <row r="312" spans="1:26" ht="14.25" customHeight="1" x14ac:dyDescent="0.35">
      <c r="A312" s="251"/>
      <c r="B312" s="251"/>
      <c r="C312" s="251"/>
      <c r="D312" s="251"/>
      <c r="E312" s="251"/>
      <c r="F312" s="251"/>
      <c r="G312" s="251"/>
      <c r="H312" s="251"/>
      <c r="I312" s="251"/>
      <c r="J312" s="251"/>
      <c r="K312" s="251"/>
      <c r="L312" s="251"/>
      <c r="M312" s="251"/>
      <c r="N312" s="251"/>
      <c r="O312" s="251"/>
      <c r="P312" s="251"/>
      <c r="Q312" s="251"/>
      <c r="R312" s="251"/>
      <c r="S312" s="251"/>
      <c r="T312" s="251"/>
      <c r="U312" s="251"/>
      <c r="V312" s="251"/>
      <c r="W312" s="251"/>
      <c r="X312" s="251"/>
      <c r="Y312" s="251"/>
      <c r="Z312" s="251"/>
    </row>
    <row r="313" spans="1:26" ht="14.25" customHeight="1" x14ac:dyDescent="0.35">
      <c r="A313" s="251"/>
      <c r="B313" s="251"/>
      <c r="C313" s="251"/>
      <c r="D313" s="251"/>
      <c r="E313" s="251"/>
      <c r="F313" s="251"/>
      <c r="G313" s="251"/>
      <c r="H313" s="251"/>
      <c r="I313" s="251"/>
      <c r="J313" s="251"/>
      <c r="K313" s="251"/>
      <c r="L313" s="251"/>
      <c r="M313" s="251"/>
      <c r="N313" s="251"/>
      <c r="O313" s="251"/>
      <c r="P313" s="251"/>
      <c r="Q313" s="251"/>
      <c r="R313" s="251"/>
      <c r="S313" s="251"/>
      <c r="T313" s="251"/>
      <c r="U313" s="251"/>
      <c r="V313" s="251"/>
      <c r="W313" s="251"/>
      <c r="X313" s="251"/>
      <c r="Y313" s="251"/>
      <c r="Z313" s="251"/>
    </row>
    <row r="314" spans="1:26" ht="14.25" customHeight="1" x14ac:dyDescent="0.35">
      <c r="A314" s="251"/>
      <c r="B314" s="251"/>
      <c r="C314" s="251"/>
      <c r="D314" s="251"/>
      <c r="E314" s="251"/>
      <c r="F314" s="251"/>
      <c r="G314" s="251"/>
      <c r="H314" s="251"/>
      <c r="I314" s="251"/>
      <c r="J314" s="251"/>
      <c r="K314" s="251"/>
      <c r="L314" s="251"/>
      <c r="M314" s="251"/>
      <c r="N314" s="251"/>
      <c r="O314" s="251"/>
      <c r="P314" s="251"/>
      <c r="Q314" s="251"/>
      <c r="R314" s="251"/>
      <c r="S314" s="251"/>
      <c r="T314" s="251"/>
      <c r="U314" s="251"/>
      <c r="V314" s="251"/>
      <c r="W314" s="251"/>
      <c r="X314" s="251"/>
      <c r="Y314" s="251"/>
      <c r="Z314" s="251"/>
    </row>
    <row r="315" spans="1:26" ht="14.25" customHeight="1" x14ac:dyDescent="0.35">
      <c r="A315" s="251"/>
      <c r="B315" s="251"/>
      <c r="C315" s="251"/>
      <c r="D315" s="251"/>
      <c r="E315" s="251"/>
      <c r="F315" s="251"/>
      <c r="G315" s="251"/>
      <c r="H315" s="251"/>
      <c r="I315" s="251"/>
      <c r="J315" s="251"/>
      <c r="K315" s="251"/>
      <c r="L315" s="251"/>
      <c r="M315" s="251"/>
      <c r="N315" s="251"/>
      <c r="O315" s="251"/>
      <c r="P315" s="251"/>
      <c r="Q315" s="251"/>
      <c r="R315" s="251"/>
      <c r="S315" s="251"/>
      <c r="T315" s="251"/>
      <c r="U315" s="251"/>
      <c r="V315" s="251"/>
      <c r="W315" s="251"/>
      <c r="X315" s="251"/>
      <c r="Y315" s="251"/>
      <c r="Z315" s="251"/>
    </row>
    <row r="316" spans="1:26" ht="14.25" customHeight="1" x14ac:dyDescent="0.35">
      <c r="A316" s="251"/>
      <c r="B316" s="251"/>
      <c r="C316" s="251"/>
      <c r="D316" s="251"/>
      <c r="E316" s="251"/>
      <c r="F316" s="251"/>
      <c r="G316" s="251"/>
      <c r="H316" s="251"/>
      <c r="I316" s="251"/>
      <c r="J316" s="251"/>
      <c r="K316" s="251"/>
      <c r="L316" s="251"/>
      <c r="M316" s="251"/>
      <c r="N316" s="251"/>
      <c r="O316" s="251"/>
      <c r="P316" s="251"/>
      <c r="Q316" s="251"/>
      <c r="R316" s="251"/>
      <c r="S316" s="251"/>
      <c r="T316" s="251"/>
      <c r="U316" s="251"/>
      <c r="V316" s="251"/>
      <c r="W316" s="251"/>
      <c r="X316" s="251"/>
      <c r="Y316" s="251"/>
      <c r="Z316" s="251"/>
    </row>
    <row r="317" spans="1:26" ht="14.25" customHeight="1" x14ac:dyDescent="0.35">
      <c r="A317" s="251"/>
      <c r="B317" s="251"/>
      <c r="C317" s="251"/>
      <c r="D317" s="251"/>
      <c r="E317" s="251"/>
      <c r="F317" s="251"/>
      <c r="G317" s="251"/>
      <c r="H317" s="251"/>
      <c r="I317" s="251"/>
      <c r="J317" s="251"/>
      <c r="K317" s="251"/>
      <c r="L317" s="251"/>
      <c r="M317" s="251"/>
      <c r="N317" s="251"/>
      <c r="O317" s="251"/>
      <c r="P317" s="251"/>
      <c r="Q317" s="251"/>
      <c r="R317" s="251"/>
      <c r="S317" s="251"/>
      <c r="T317" s="251"/>
      <c r="U317" s="251"/>
      <c r="V317" s="251"/>
      <c r="W317" s="251"/>
      <c r="X317" s="251"/>
      <c r="Y317" s="251"/>
      <c r="Z317" s="251"/>
    </row>
    <row r="318" spans="1:26" ht="14.25" customHeight="1" x14ac:dyDescent="0.35">
      <c r="A318" s="251"/>
      <c r="B318" s="251"/>
      <c r="C318" s="251"/>
      <c r="D318" s="251"/>
      <c r="E318" s="251"/>
      <c r="F318" s="251"/>
      <c r="G318" s="251"/>
      <c r="H318" s="251"/>
      <c r="I318" s="251"/>
      <c r="J318" s="251"/>
      <c r="K318" s="251"/>
      <c r="L318" s="251"/>
      <c r="M318" s="251"/>
      <c r="N318" s="251"/>
      <c r="O318" s="251"/>
      <c r="P318" s="251"/>
      <c r="Q318" s="251"/>
      <c r="R318" s="251"/>
      <c r="S318" s="251"/>
      <c r="T318" s="251"/>
      <c r="U318" s="251"/>
      <c r="V318" s="251"/>
      <c r="W318" s="251"/>
      <c r="X318" s="251"/>
      <c r="Y318" s="251"/>
      <c r="Z318" s="251"/>
    </row>
    <row r="319" spans="1:26" ht="14.25" customHeight="1" x14ac:dyDescent="0.35">
      <c r="A319" s="251"/>
      <c r="B319" s="251"/>
      <c r="C319" s="251"/>
      <c r="D319" s="251"/>
      <c r="E319" s="251"/>
      <c r="F319" s="251"/>
      <c r="G319" s="251"/>
      <c r="H319" s="251"/>
      <c r="I319" s="251"/>
      <c r="J319" s="251"/>
      <c r="K319" s="251"/>
      <c r="L319" s="251"/>
      <c r="M319" s="251"/>
      <c r="N319" s="251"/>
      <c r="O319" s="251"/>
      <c r="P319" s="251"/>
      <c r="Q319" s="251"/>
      <c r="R319" s="251"/>
      <c r="S319" s="251"/>
      <c r="T319" s="251"/>
      <c r="U319" s="251"/>
      <c r="V319" s="251"/>
      <c r="W319" s="251"/>
      <c r="X319" s="251"/>
      <c r="Y319" s="251"/>
      <c r="Z319" s="251"/>
    </row>
    <row r="320" spans="1:26" ht="14.25" customHeight="1" x14ac:dyDescent="0.35">
      <c r="A320" s="251"/>
      <c r="B320" s="251"/>
      <c r="C320" s="251"/>
      <c r="D320" s="251"/>
      <c r="E320" s="251"/>
      <c r="F320" s="251"/>
      <c r="G320" s="251"/>
      <c r="H320" s="251"/>
      <c r="I320" s="251"/>
      <c r="J320" s="251"/>
      <c r="K320" s="251"/>
      <c r="L320" s="251"/>
      <c r="M320" s="251"/>
      <c r="N320" s="251"/>
      <c r="O320" s="251"/>
      <c r="P320" s="251"/>
      <c r="Q320" s="251"/>
      <c r="R320" s="251"/>
      <c r="S320" s="251"/>
      <c r="T320" s="251"/>
      <c r="U320" s="251"/>
      <c r="V320" s="251"/>
      <c r="W320" s="251"/>
      <c r="X320" s="251"/>
      <c r="Y320" s="251"/>
      <c r="Z320" s="251"/>
    </row>
    <row r="321" spans="1:26" ht="14.25" customHeight="1" x14ac:dyDescent="0.35">
      <c r="A321" s="251"/>
      <c r="B321" s="251"/>
      <c r="C321" s="251"/>
      <c r="D321" s="251"/>
      <c r="E321" s="251"/>
      <c r="F321" s="251"/>
      <c r="G321" s="251"/>
      <c r="H321" s="251"/>
      <c r="I321" s="251"/>
      <c r="J321" s="251"/>
      <c r="K321" s="251"/>
      <c r="L321" s="251"/>
      <c r="M321" s="251"/>
      <c r="N321" s="251"/>
      <c r="O321" s="251"/>
      <c r="P321" s="251"/>
      <c r="Q321" s="251"/>
      <c r="R321" s="251"/>
      <c r="S321" s="251"/>
      <c r="T321" s="251"/>
      <c r="U321" s="251"/>
      <c r="V321" s="251"/>
      <c r="W321" s="251"/>
      <c r="X321" s="251"/>
      <c r="Y321" s="251"/>
      <c r="Z321" s="251"/>
    </row>
    <row r="322" spans="1:26" ht="14.25" customHeight="1" x14ac:dyDescent="0.35">
      <c r="A322" s="251"/>
      <c r="B322" s="251"/>
      <c r="C322" s="251"/>
      <c r="D322" s="251"/>
      <c r="E322" s="251"/>
      <c r="F322" s="251"/>
      <c r="G322" s="251"/>
      <c r="H322" s="251"/>
      <c r="I322" s="251"/>
      <c r="J322" s="251"/>
      <c r="K322" s="251"/>
      <c r="L322" s="251"/>
      <c r="M322" s="251"/>
      <c r="N322" s="251"/>
      <c r="O322" s="251"/>
      <c r="P322" s="251"/>
      <c r="Q322" s="251"/>
      <c r="R322" s="251"/>
      <c r="S322" s="251"/>
      <c r="T322" s="251"/>
      <c r="U322" s="251"/>
      <c r="V322" s="251"/>
      <c r="W322" s="251"/>
      <c r="X322" s="251"/>
      <c r="Y322" s="251"/>
      <c r="Z322" s="251"/>
    </row>
    <row r="323" spans="1:26" ht="14.25" customHeight="1" x14ac:dyDescent="0.35">
      <c r="A323" s="251"/>
      <c r="B323" s="251"/>
      <c r="C323" s="251"/>
      <c r="D323" s="251"/>
      <c r="E323" s="251"/>
      <c r="F323" s="251"/>
      <c r="G323" s="251"/>
      <c r="H323" s="251"/>
      <c r="I323" s="251"/>
      <c r="J323" s="251"/>
      <c r="K323" s="251"/>
      <c r="L323" s="251"/>
      <c r="M323" s="251"/>
      <c r="N323" s="251"/>
      <c r="O323" s="251"/>
      <c r="P323" s="251"/>
      <c r="Q323" s="251"/>
      <c r="R323" s="251"/>
      <c r="S323" s="251"/>
      <c r="T323" s="251"/>
      <c r="U323" s="251"/>
      <c r="V323" s="251"/>
      <c r="W323" s="251"/>
      <c r="X323" s="251"/>
      <c r="Y323" s="251"/>
      <c r="Z323" s="251"/>
    </row>
    <row r="324" spans="1:26" ht="14.25" customHeight="1" x14ac:dyDescent="0.35">
      <c r="A324" s="251"/>
      <c r="B324" s="251"/>
      <c r="C324" s="251"/>
      <c r="D324" s="251"/>
      <c r="E324" s="251"/>
      <c r="F324" s="251"/>
      <c r="G324" s="251"/>
      <c r="H324" s="251"/>
      <c r="I324" s="251"/>
      <c r="J324" s="251"/>
      <c r="K324" s="251"/>
      <c r="L324" s="251"/>
      <c r="M324" s="251"/>
      <c r="N324" s="251"/>
      <c r="O324" s="251"/>
      <c r="P324" s="251"/>
      <c r="Q324" s="251"/>
      <c r="R324" s="251"/>
      <c r="S324" s="251"/>
      <c r="T324" s="251"/>
      <c r="U324" s="251"/>
      <c r="V324" s="251"/>
      <c r="W324" s="251"/>
      <c r="X324" s="251"/>
      <c r="Y324" s="251"/>
      <c r="Z324" s="251"/>
    </row>
    <row r="325" spans="1:26" ht="14.25" customHeight="1" x14ac:dyDescent="0.35">
      <c r="A325" s="251"/>
      <c r="B325" s="251"/>
      <c r="C325" s="251"/>
      <c r="D325" s="251"/>
      <c r="E325" s="251"/>
      <c r="F325" s="251"/>
      <c r="G325" s="251"/>
      <c r="H325" s="251"/>
      <c r="I325" s="251"/>
      <c r="J325" s="251"/>
      <c r="K325" s="251"/>
      <c r="L325" s="251"/>
      <c r="M325" s="251"/>
      <c r="N325" s="251"/>
      <c r="O325" s="251"/>
      <c r="P325" s="251"/>
      <c r="Q325" s="251"/>
      <c r="R325" s="251"/>
      <c r="S325" s="251"/>
      <c r="T325" s="251"/>
      <c r="U325" s="251"/>
      <c r="V325" s="251"/>
      <c r="W325" s="251"/>
      <c r="X325" s="251"/>
      <c r="Y325" s="251"/>
      <c r="Z325" s="251"/>
    </row>
    <row r="326" spans="1:26" ht="14.25" customHeight="1" x14ac:dyDescent="0.35">
      <c r="A326" s="251"/>
      <c r="B326" s="251"/>
      <c r="C326" s="251"/>
      <c r="D326" s="251"/>
      <c r="E326" s="251"/>
      <c r="F326" s="251"/>
      <c r="G326" s="251"/>
      <c r="H326" s="251"/>
      <c r="I326" s="251"/>
      <c r="J326" s="251"/>
      <c r="K326" s="251"/>
      <c r="L326" s="251"/>
      <c r="M326" s="251"/>
      <c r="N326" s="251"/>
      <c r="O326" s="251"/>
      <c r="P326" s="251"/>
      <c r="Q326" s="251"/>
      <c r="R326" s="251"/>
      <c r="S326" s="251"/>
      <c r="T326" s="251"/>
      <c r="U326" s="251"/>
      <c r="V326" s="251"/>
      <c r="W326" s="251"/>
      <c r="X326" s="251"/>
      <c r="Y326" s="251"/>
      <c r="Z326" s="251"/>
    </row>
    <row r="327" spans="1:26" ht="14.25" customHeight="1" x14ac:dyDescent="0.35">
      <c r="A327" s="251"/>
      <c r="B327" s="251"/>
      <c r="C327" s="251"/>
      <c r="D327" s="251"/>
      <c r="E327" s="251"/>
      <c r="F327" s="251"/>
      <c r="G327" s="251"/>
      <c r="H327" s="251"/>
      <c r="I327" s="251"/>
      <c r="J327" s="251"/>
      <c r="K327" s="251"/>
      <c r="L327" s="251"/>
      <c r="M327" s="251"/>
      <c r="N327" s="251"/>
      <c r="O327" s="251"/>
      <c r="P327" s="251"/>
      <c r="Q327" s="251"/>
      <c r="R327" s="251"/>
      <c r="S327" s="251"/>
      <c r="T327" s="251"/>
      <c r="U327" s="251"/>
      <c r="V327" s="251"/>
      <c r="W327" s="251"/>
      <c r="X327" s="251"/>
      <c r="Y327" s="251"/>
      <c r="Z327" s="251"/>
    </row>
    <row r="328" spans="1:26" ht="14.25" customHeight="1" x14ac:dyDescent="0.35">
      <c r="A328" s="251"/>
      <c r="B328" s="251"/>
      <c r="C328" s="251"/>
      <c r="D328" s="251"/>
      <c r="E328" s="251"/>
      <c r="F328" s="251"/>
      <c r="G328" s="251"/>
      <c r="H328" s="251"/>
      <c r="I328" s="251"/>
      <c r="J328" s="251"/>
      <c r="K328" s="251"/>
      <c r="L328" s="251"/>
      <c r="M328" s="251"/>
      <c r="N328" s="251"/>
      <c r="O328" s="251"/>
      <c r="P328" s="251"/>
      <c r="Q328" s="251"/>
      <c r="R328" s="251"/>
      <c r="S328" s="251"/>
      <c r="T328" s="251"/>
      <c r="U328" s="251"/>
      <c r="V328" s="251"/>
      <c r="W328" s="251"/>
      <c r="X328" s="251"/>
      <c r="Y328" s="251"/>
      <c r="Z328" s="251"/>
    </row>
    <row r="329" spans="1:26" ht="14.25" customHeight="1" x14ac:dyDescent="0.35">
      <c r="A329" s="251"/>
      <c r="B329" s="251"/>
      <c r="C329" s="251"/>
      <c r="D329" s="251"/>
      <c r="E329" s="251"/>
      <c r="F329" s="251"/>
      <c r="G329" s="251"/>
      <c r="H329" s="251"/>
      <c r="I329" s="251"/>
      <c r="J329" s="251"/>
      <c r="K329" s="251"/>
      <c r="L329" s="251"/>
      <c r="M329" s="251"/>
      <c r="N329" s="251"/>
      <c r="O329" s="251"/>
      <c r="P329" s="251"/>
      <c r="Q329" s="251"/>
      <c r="R329" s="251"/>
      <c r="S329" s="251"/>
      <c r="T329" s="251"/>
      <c r="U329" s="251"/>
      <c r="V329" s="251"/>
      <c r="W329" s="251"/>
      <c r="X329" s="251"/>
      <c r="Y329" s="251"/>
      <c r="Z329" s="251"/>
    </row>
    <row r="330" spans="1:26" ht="14.25" customHeight="1" x14ac:dyDescent="0.35">
      <c r="A330" s="251"/>
      <c r="B330" s="251"/>
      <c r="C330" s="251"/>
      <c r="D330" s="251"/>
      <c r="E330" s="251"/>
      <c r="F330" s="251"/>
      <c r="G330" s="251"/>
      <c r="H330" s="251"/>
      <c r="I330" s="251"/>
      <c r="J330" s="251"/>
      <c r="K330" s="251"/>
      <c r="L330" s="251"/>
      <c r="M330" s="251"/>
      <c r="N330" s="251"/>
      <c r="O330" s="251"/>
      <c r="P330" s="251"/>
      <c r="Q330" s="251"/>
      <c r="R330" s="251"/>
      <c r="S330" s="251"/>
      <c r="T330" s="251"/>
      <c r="U330" s="251"/>
      <c r="V330" s="251"/>
      <c r="W330" s="251"/>
      <c r="X330" s="251"/>
      <c r="Y330" s="251"/>
      <c r="Z330" s="251"/>
    </row>
    <row r="331" spans="1:26" ht="14.25" customHeight="1" x14ac:dyDescent="0.35">
      <c r="A331" s="251"/>
      <c r="B331" s="251"/>
      <c r="C331" s="251"/>
      <c r="D331" s="251"/>
      <c r="E331" s="251"/>
      <c r="F331" s="251"/>
      <c r="G331" s="251"/>
      <c r="H331" s="251"/>
      <c r="I331" s="251"/>
      <c r="J331" s="251"/>
      <c r="K331" s="251"/>
      <c r="L331" s="251"/>
      <c r="M331" s="251"/>
      <c r="N331" s="251"/>
      <c r="O331" s="251"/>
      <c r="P331" s="251"/>
      <c r="Q331" s="251"/>
      <c r="R331" s="251"/>
      <c r="S331" s="251"/>
      <c r="T331" s="251"/>
      <c r="U331" s="251"/>
      <c r="V331" s="251"/>
      <c r="W331" s="251"/>
      <c r="X331" s="251"/>
      <c r="Y331" s="251"/>
      <c r="Z331" s="251"/>
    </row>
    <row r="332" spans="1:26" ht="14.25" customHeight="1" x14ac:dyDescent="0.35">
      <c r="A332" s="251"/>
      <c r="B332" s="251"/>
      <c r="C332" s="251"/>
      <c r="D332" s="251"/>
      <c r="E332" s="251"/>
      <c r="F332" s="251"/>
      <c r="G332" s="251"/>
      <c r="H332" s="251"/>
      <c r="I332" s="251"/>
      <c r="J332" s="251"/>
      <c r="K332" s="251"/>
      <c r="L332" s="251"/>
      <c r="M332" s="251"/>
      <c r="N332" s="251"/>
      <c r="O332" s="251"/>
      <c r="P332" s="251"/>
      <c r="Q332" s="251"/>
      <c r="R332" s="251"/>
      <c r="S332" s="251"/>
      <c r="T332" s="251"/>
      <c r="U332" s="251"/>
      <c r="V332" s="251"/>
      <c r="W332" s="251"/>
      <c r="X332" s="251"/>
      <c r="Y332" s="251"/>
      <c r="Z332" s="251"/>
    </row>
    <row r="333" spans="1:26" ht="14.25" customHeight="1" x14ac:dyDescent="0.35">
      <c r="A333" s="251"/>
      <c r="B333" s="251"/>
      <c r="C333" s="251"/>
      <c r="D333" s="251"/>
      <c r="E333" s="251"/>
      <c r="F333" s="251"/>
      <c r="G333" s="251"/>
      <c r="H333" s="251"/>
      <c r="I333" s="251"/>
      <c r="J333" s="251"/>
      <c r="K333" s="251"/>
      <c r="L333" s="251"/>
      <c r="M333" s="251"/>
      <c r="N333" s="251"/>
      <c r="O333" s="251"/>
      <c r="P333" s="251"/>
      <c r="Q333" s="251"/>
      <c r="R333" s="251"/>
      <c r="S333" s="251"/>
      <c r="T333" s="251"/>
      <c r="U333" s="251"/>
      <c r="V333" s="251"/>
      <c r="W333" s="251"/>
      <c r="X333" s="251"/>
      <c r="Y333" s="251"/>
      <c r="Z333" s="251"/>
    </row>
    <row r="334" spans="1:26" ht="14.25" customHeight="1" x14ac:dyDescent="0.35">
      <c r="A334" s="251"/>
      <c r="B334" s="251"/>
      <c r="C334" s="251"/>
      <c r="D334" s="251"/>
      <c r="E334" s="251"/>
      <c r="F334" s="251"/>
      <c r="G334" s="251"/>
      <c r="H334" s="251"/>
      <c r="I334" s="251"/>
      <c r="J334" s="251"/>
      <c r="K334" s="251"/>
      <c r="L334" s="251"/>
      <c r="M334" s="251"/>
      <c r="N334" s="251"/>
      <c r="O334" s="251"/>
      <c r="P334" s="251"/>
      <c r="Q334" s="251"/>
      <c r="R334" s="251"/>
      <c r="S334" s="251"/>
      <c r="T334" s="251"/>
      <c r="U334" s="251"/>
      <c r="V334" s="251"/>
      <c r="W334" s="251"/>
      <c r="X334" s="251"/>
      <c r="Y334" s="251"/>
      <c r="Z334" s="251"/>
    </row>
    <row r="335" spans="1:26" ht="14.25" customHeight="1" x14ac:dyDescent="0.35">
      <c r="A335" s="251"/>
      <c r="B335" s="251"/>
      <c r="C335" s="251"/>
      <c r="D335" s="251"/>
      <c r="E335" s="251"/>
      <c r="F335" s="251"/>
      <c r="G335" s="251"/>
      <c r="H335" s="251"/>
      <c r="I335" s="251"/>
      <c r="J335" s="251"/>
      <c r="K335" s="251"/>
      <c r="L335" s="251"/>
      <c r="M335" s="251"/>
      <c r="N335" s="251"/>
      <c r="O335" s="251"/>
      <c r="P335" s="251"/>
      <c r="Q335" s="251"/>
      <c r="R335" s="251"/>
      <c r="S335" s="251"/>
      <c r="T335" s="251"/>
      <c r="U335" s="251"/>
      <c r="V335" s="251"/>
      <c r="W335" s="251"/>
      <c r="X335" s="251"/>
      <c r="Y335" s="251"/>
      <c r="Z335" s="251"/>
    </row>
    <row r="336" spans="1:26" ht="14.25" customHeight="1" x14ac:dyDescent="0.35">
      <c r="A336" s="251"/>
      <c r="B336" s="251"/>
      <c r="C336" s="251"/>
      <c r="D336" s="251"/>
      <c r="E336" s="251"/>
      <c r="F336" s="251"/>
      <c r="G336" s="251"/>
      <c r="H336" s="251"/>
      <c r="I336" s="251"/>
      <c r="J336" s="251"/>
      <c r="K336" s="251"/>
      <c r="L336" s="251"/>
      <c r="M336" s="251"/>
      <c r="N336" s="251"/>
      <c r="O336" s="251"/>
      <c r="P336" s="251"/>
      <c r="Q336" s="251"/>
      <c r="R336" s="251"/>
      <c r="S336" s="251"/>
      <c r="T336" s="251"/>
      <c r="U336" s="251"/>
      <c r="V336" s="251"/>
      <c r="W336" s="251"/>
      <c r="X336" s="251"/>
      <c r="Y336" s="251"/>
      <c r="Z336" s="251"/>
    </row>
    <row r="337" spans="1:26" ht="14.25" customHeight="1" x14ac:dyDescent="0.35">
      <c r="A337" s="251"/>
      <c r="B337" s="251"/>
      <c r="C337" s="251"/>
      <c r="D337" s="251"/>
      <c r="E337" s="251"/>
      <c r="F337" s="251"/>
      <c r="G337" s="251"/>
      <c r="H337" s="251"/>
      <c r="I337" s="251"/>
      <c r="J337" s="251"/>
      <c r="K337" s="251"/>
      <c r="L337" s="251"/>
      <c r="M337" s="251"/>
      <c r="N337" s="251"/>
      <c r="O337" s="251"/>
      <c r="P337" s="251"/>
      <c r="Q337" s="251"/>
      <c r="R337" s="251"/>
      <c r="S337" s="251"/>
      <c r="T337" s="251"/>
      <c r="U337" s="251"/>
      <c r="V337" s="251"/>
      <c r="W337" s="251"/>
      <c r="X337" s="251"/>
      <c r="Y337" s="251"/>
      <c r="Z337" s="251"/>
    </row>
    <row r="338" spans="1:26" ht="14.25" customHeight="1" x14ac:dyDescent="0.35">
      <c r="A338" s="251"/>
      <c r="B338" s="251"/>
      <c r="C338" s="251"/>
      <c r="D338" s="251"/>
      <c r="E338" s="251"/>
      <c r="F338" s="251"/>
      <c r="G338" s="251"/>
      <c r="H338" s="251"/>
      <c r="I338" s="251"/>
      <c r="J338" s="251"/>
      <c r="K338" s="251"/>
      <c r="L338" s="251"/>
      <c r="M338" s="251"/>
      <c r="N338" s="251"/>
      <c r="O338" s="251"/>
      <c r="P338" s="251"/>
      <c r="Q338" s="251"/>
      <c r="R338" s="251"/>
      <c r="S338" s="251"/>
      <c r="T338" s="251"/>
      <c r="U338" s="251"/>
      <c r="V338" s="251"/>
      <c r="W338" s="251"/>
      <c r="X338" s="251"/>
      <c r="Y338" s="251"/>
      <c r="Z338" s="251"/>
    </row>
    <row r="339" spans="1:26" ht="14.25" customHeight="1" x14ac:dyDescent="0.35">
      <c r="A339" s="251"/>
      <c r="B339" s="251"/>
      <c r="C339" s="251"/>
      <c r="D339" s="251"/>
      <c r="E339" s="251"/>
      <c r="F339" s="251"/>
      <c r="G339" s="251"/>
      <c r="H339" s="251"/>
      <c r="I339" s="251"/>
      <c r="J339" s="251"/>
      <c r="K339" s="251"/>
      <c r="L339" s="251"/>
      <c r="M339" s="251"/>
      <c r="N339" s="251"/>
      <c r="O339" s="251"/>
      <c r="P339" s="251"/>
      <c r="Q339" s="251"/>
      <c r="R339" s="251"/>
      <c r="S339" s="251"/>
      <c r="T339" s="251"/>
      <c r="U339" s="251"/>
      <c r="V339" s="251"/>
      <c r="W339" s="251"/>
      <c r="X339" s="251"/>
      <c r="Y339" s="251"/>
      <c r="Z339" s="251"/>
    </row>
    <row r="340" spans="1:26" ht="14.25" customHeight="1" x14ac:dyDescent="0.35">
      <c r="A340" s="251"/>
      <c r="B340" s="251"/>
      <c r="C340" s="251"/>
      <c r="D340" s="251"/>
      <c r="E340" s="251"/>
      <c r="F340" s="251"/>
      <c r="G340" s="251"/>
      <c r="H340" s="251"/>
      <c r="I340" s="251"/>
      <c r="J340" s="251"/>
      <c r="K340" s="251"/>
      <c r="L340" s="251"/>
      <c r="M340" s="251"/>
      <c r="N340" s="251"/>
      <c r="O340" s="251"/>
      <c r="P340" s="251"/>
      <c r="Q340" s="251"/>
      <c r="R340" s="251"/>
      <c r="S340" s="251"/>
      <c r="T340" s="251"/>
      <c r="U340" s="251"/>
      <c r="V340" s="251"/>
      <c r="W340" s="251"/>
      <c r="X340" s="251"/>
      <c r="Y340" s="251"/>
      <c r="Z340" s="251"/>
    </row>
    <row r="341" spans="1:26" ht="14.25" customHeight="1" x14ac:dyDescent="0.35">
      <c r="A341" s="251"/>
      <c r="B341" s="251"/>
      <c r="C341" s="251"/>
      <c r="D341" s="251"/>
      <c r="E341" s="251"/>
      <c r="F341" s="251"/>
      <c r="G341" s="251"/>
      <c r="H341" s="251"/>
      <c r="I341" s="251"/>
      <c r="J341" s="251"/>
      <c r="K341" s="251"/>
      <c r="L341" s="251"/>
      <c r="M341" s="251"/>
      <c r="N341" s="251"/>
      <c r="O341" s="251"/>
      <c r="P341" s="251"/>
      <c r="Q341" s="251"/>
      <c r="R341" s="251"/>
      <c r="S341" s="251"/>
      <c r="T341" s="251"/>
      <c r="U341" s="251"/>
      <c r="V341" s="251"/>
      <c r="W341" s="251"/>
      <c r="X341" s="251"/>
      <c r="Y341" s="251"/>
      <c r="Z341" s="251"/>
    </row>
    <row r="342" spans="1:26" ht="14.25" customHeight="1" x14ac:dyDescent="0.35">
      <c r="A342" s="251"/>
      <c r="B342" s="251"/>
      <c r="C342" s="251"/>
      <c r="D342" s="251"/>
      <c r="E342" s="251"/>
      <c r="F342" s="251"/>
      <c r="G342" s="251"/>
      <c r="H342" s="251"/>
      <c r="I342" s="251"/>
      <c r="J342" s="251"/>
      <c r="K342" s="251"/>
      <c r="L342" s="251"/>
      <c r="M342" s="251"/>
      <c r="N342" s="251"/>
      <c r="O342" s="251"/>
      <c r="P342" s="251"/>
      <c r="Q342" s="251"/>
      <c r="R342" s="251"/>
      <c r="S342" s="251"/>
      <c r="T342" s="251"/>
      <c r="U342" s="251"/>
      <c r="V342" s="251"/>
      <c r="W342" s="251"/>
      <c r="X342" s="251"/>
      <c r="Y342" s="251"/>
      <c r="Z342" s="251"/>
    </row>
    <row r="343" spans="1:26" ht="14.25" customHeight="1" x14ac:dyDescent="0.35">
      <c r="A343" s="251"/>
      <c r="B343" s="251"/>
      <c r="C343" s="251"/>
      <c r="D343" s="251"/>
      <c r="E343" s="251"/>
      <c r="F343" s="251"/>
      <c r="G343" s="251"/>
      <c r="H343" s="251"/>
      <c r="I343" s="251"/>
      <c r="J343" s="251"/>
      <c r="K343" s="251"/>
      <c r="L343" s="251"/>
      <c r="M343" s="251"/>
      <c r="N343" s="251"/>
      <c r="O343" s="251"/>
      <c r="P343" s="251"/>
      <c r="Q343" s="251"/>
      <c r="R343" s="251"/>
      <c r="S343" s="251"/>
      <c r="T343" s="251"/>
      <c r="U343" s="251"/>
      <c r="V343" s="251"/>
      <c r="W343" s="251"/>
      <c r="X343" s="251"/>
      <c r="Y343" s="251"/>
      <c r="Z343" s="251"/>
    </row>
    <row r="344" spans="1:26" ht="14.25" customHeight="1" x14ac:dyDescent="0.35">
      <c r="A344" s="251"/>
      <c r="B344" s="251"/>
      <c r="C344" s="251"/>
      <c r="D344" s="251"/>
      <c r="E344" s="251"/>
      <c r="F344" s="251"/>
      <c r="G344" s="251"/>
      <c r="H344" s="251"/>
      <c r="I344" s="251"/>
      <c r="J344" s="251"/>
      <c r="K344" s="251"/>
      <c r="L344" s="251"/>
      <c r="M344" s="251"/>
      <c r="N344" s="251"/>
      <c r="O344" s="251"/>
      <c r="P344" s="251"/>
      <c r="Q344" s="251"/>
      <c r="R344" s="251"/>
      <c r="S344" s="251"/>
      <c r="T344" s="251"/>
      <c r="U344" s="251"/>
      <c r="V344" s="251"/>
      <c r="W344" s="251"/>
      <c r="X344" s="251"/>
      <c r="Y344" s="251"/>
      <c r="Z344" s="251"/>
    </row>
    <row r="345" spans="1:26" ht="14.25" customHeight="1" x14ac:dyDescent="0.35">
      <c r="A345" s="251"/>
      <c r="B345" s="251"/>
      <c r="C345" s="251"/>
      <c r="D345" s="251"/>
      <c r="E345" s="251"/>
      <c r="F345" s="251"/>
      <c r="G345" s="251"/>
      <c r="H345" s="251"/>
      <c r="I345" s="251"/>
      <c r="J345" s="251"/>
      <c r="K345" s="251"/>
      <c r="L345" s="251"/>
      <c r="M345" s="251"/>
      <c r="N345" s="251"/>
      <c r="O345" s="251"/>
      <c r="P345" s="251"/>
      <c r="Q345" s="251"/>
      <c r="R345" s="251"/>
      <c r="S345" s="251"/>
      <c r="T345" s="251"/>
      <c r="U345" s="251"/>
      <c r="V345" s="251"/>
      <c r="W345" s="251"/>
      <c r="X345" s="251"/>
      <c r="Y345" s="251"/>
      <c r="Z345" s="251"/>
    </row>
    <row r="346" spans="1:26" ht="14.25" customHeight="1" x14ac:dyDescent="0.35">
      <c r="A346" s="251"/>
      <c r="B346" s="251"/>
      <c r="C346" s="251"/>
      <c r="D346" s="251"/>
      <c r="E346" s="251"/>
      <c r="F346" s="251"/>
      <c r="G346" s="251"/>
      <c r="H346" s="251"/>
      <c r="I346" s="251"/>
      <c r="J346" s="251"/>
      <c r="K346" s="251"/>
      <c r="L346" s="251"/>
      <c r="M346" s="251"/>
      <c r="N346" s="251"/>
      <c r="O346" s="251"/>
      <c r="P346" s="251"/>
      <c r="Q346" s="251"/>
      <c r="R346" s="251"/>
      <c r="S346" s="251"/>
      <c r="T346" s="251"/>
      <c r="U346" s="251"/>
      <c r="V346" s="251"/>
      <c r="W346" s="251"/>
      <c r="X346" s="251"/>
      <c r="Y346" s="251"/>
      <c r="Z346" s="251"/>
    </row>
    <row r="347" spans="1:26" ht="14.25" customHeight="1" x14ac:dyDescent="0.35">
      <c r="A347" s="251"/>
      <c r="B347" s="251"/>
      <c r="C347" s="251"/>
      <c r="D347" s="251"/>
      <c r="E347" s="251"/>
      <c r="F347" s="251"/>
      <c r="G347" s="251"/>
      <c r="H347" s="251"/>
      <c r="I347" s="251"/>
      <c r="J347" s="251"/>
      <c r="K347" s="251"/>
      <c r="L347" s="251"/>
      <c r="M347" s="251"/>
      <c r="N347" s="251"/>
      <c r="O347" s="251"/>
      <c r="P347" s="251"/>
      <c r="Q347" s="251"/>
      <c r="R347" s="251"/>
      <c r="S347" s="251"/>
      <c r="T347" s="251"/>
      <c r="U347" s="251"/>
      <c r="V347" s="251"/>
      <c r="W347" s="251"/>
      <c r="X347" s="251"/>
      <c r="Y347" s="251"/>
      <c r="Z347" s="251"/>
    </row>
    <row r="348" spans="1:26" ht="14.25" customHeight="1" x14ac:dyDescent="0.35">
      <c r="A348" s="251"/>
      <c r="B348" s="251"/>
      <c r="C348" s="251"/>
      <c r="D348" s="251"/>
      <c r="E348" s="251"/>
      <c r="F348" s="251"/>
      <c r="G348" s="251"/>
      <c r="H348" s="251"/>
      <c r="I348" s="251"/>
      <c r="J348" s="251"/>
      <c r="K348" s="251"/>
      <c r="L348" s="251"/>
      <c r="M348" s="251"/>
      <c r="N348" s="251"/>
      <c r="O348" s="251"/>
      <c r="P348" s="251"/>
      <c r="Q348" s="251"/>
      <c r="R348" s="251"/>
      <c r="S348" s="251"/>
      <c r="T348" s="251"/>
      <c r="U348" s="251"/>
      <c r="V348" s="251"/>
      <c r="W348" s="251"/>
      <c r="X348" s="251"/>
      <c r="Y348" s="251"/>
      <c r="Z348" s="251"/>
    </row>
    <row r="349" spans="1:26" ht="14.25" customHeight="1" x14ac:dyDescent="0.35">
      <c r="A349" s="251"/>
      <c r="B349" s="251"/>
      <c r="C349" s="251"/>
      <c r="D349" s="251"/>
      <c r="E349" s="251"/>
      <c r="F349" s="251"/>
      <c r="G349" s="251"/>
      <c r="H349" s="251"/>
      <c r="I349" s="251"/>
      <c r="J349" s="251"/>
      <c r="K349" s="251"/>
      <c r="L349" s="251"/>
      <c r="M349" s="251"/>
      <c r="N349" s="251"/>
      <c r="O349" s="251"/>
      <c r="P349" s="251"/>
      <c r="Q349" s="251"/>
      <c r="R349" s="251"/>
      <c r="S349" s="251"/>
      <c r="T349" s="251"/>
      <c r="U349" s="251"/>
      <c r="V349" s="251"/>
      <c r="W349" s="251"/>
      <c r="X349" s="251"/>
      <c r="Y349" s="251"/>
      <c r="Z349" s="251"/>
    </row>
    <row r="350" spans="1:26" ht="14.25" customHeight="1" x14ac:dyDescent="0.35">
      <c r="A350" s="251"/>
      <c r="B350" s="251"/>
      <c r="C350" s="251"/>
      <c r="D350" s="251"/>
      <c r="E350" s="251"/>
      <c r="F350" s="251"/>
      <c r="G350" s="251"/>
      <c r="H350" s="251"/>
      <c r="I350" s="251"/>
      <c r="J350" s="251"/>
      <c r="K350" s="251"/>
      <c r="L350" s="251"/>
      <c r="M350" s="251"/>
      <c r="N350" s="251"/>
      <c r="O350" s="251"/>
      <c r="P350" s="251"/>
      <c r="Q350" s="251"/>
      <c r="R350" s="251"/>
      <c r="S350" s="251"/>
      <c r="T350" s="251"/>
      <c r="U350" s="251"/>
      <c r="V350" s="251"/>
      <c r="W350" s="251"/>
      <c r="X350" s="251"/>
      <c r="Y350" s="251"/>
      <c r="Z350" s="251"/>
    </row>
    <row r="351" spans="1:26" ht="14.25" customHeight="1" x14ac:dyDescent="0.35">
      <c r="A351" s="251"/>
      <c r="B351" s="251"/>
      <c r="C351" s="251"/>
      <c r="D351" s="251"/>
      <c r="E351" s="251"/>
      <c r="F351" s="251"/>
      <c r="G351" s="251"/>
      <c r="H351" s="251"/>
      <c r="I351" s="251"/>
      <c r="J351" s="251"/>
      <c r="K351" s="251"/>
      <c r="L351" s="251"/>
      <c r="M351" s="251"/>
      <c r="N351" s="251"/>
      <c r="O351" s="251"/>
      <c r="P351" s="251"/>
      <c r="Q351" s="251"/>
      <c r="R351" s="251"/>
      <c r="S351" s="251"/>
      <c r="T351" s="251"/>
      <c r="U351" s="251"/>
      <c r="V351" s="251"/>
      <c r="W351" s="251"/>
      <c r="X351" s="251"/>
      <c r="Y351" s="251"/>
      <c r="Z351" s="251"/>
    </row>
    <row r="352" spans="1:26" ht="14.25" customHeight="1" x14ac:dyDescent="0.35">
      <c r="A352" s="251"/>
      <c r="B352" s="251"/>
      <c r="C352" s="251"/>
      <c r="D352" s="251"/>
      <c r="E352" s="251"/>
      <c r="F352" s="251"/>
      <c r="G352" s="251"/>
      <c r="H352" s="251"/>
      <c r="I352" s="251"/>
      <c r="J352" s="251"/>
      <c r="K352" s="251"/>
      <c r="L352" s="251"/>
      <c r="M352" s="251"/>
      <c r="N352" s="251"/>
      <c r="O352" s="251"/>
      <c r="P352" s="251"/>
      <c r="Q352" s="251"/>
      <c r="R352" s="251"/>
      <c r="S352" s="251"/>
      <c r="T352" s="251"/>
      <c r="U352" s="251"/>
      <c r="V352" s="251"/>
      <c r="W352" s="251"/>
      <c r="X352" s="251"/>
      <c r="Y352" s="251"/>
      <c r="Z352" s="251"/>
    </row>
    <row r="353" spans="1:26" ht="14.25" customHeight="1" x14ac:dyDescent="0.35">
      <c r="A353" s="251"/>
      <c r="B353" s="251"/>
      <c r="C353" s="251"/>
      <c r="D353" s="251"/>
      <c r="E353" s="251"/>
      <c r="F353" s="251"/>
      <c r="G353" s="251"/>
      <c r="H353" s="251"/>
      <c r="I353" s="251"/>
      <c r="J353" s="251"/>
      <c r="K353" s="251"/>
      <c r="L353" s="251"/>
      <c r="M353" s="251"/>
      <c r="N353" s="251"/>
      <c r="O353" s="251"/>
      <c r="P353" s="251"/>
      <c r="Q353" s="251"/>
      <c r="R353" s="251"/>
      <c r="S353" s="251"/>
      <c r="T353" s="251"/>
      <c r="U353" s="251"/>
      <c r="V353" s="251"/>
      <c r="W353" s="251"/>
      <c r="X353" s="251"/>
      <c r="Y353" s="251"/>
      <c r="Z353" s="251"/>
    </row>
    <row r="354" spans="1:26" ht="14.25" customHeight="1" x14ac:dyDescent="0.35">
      <c r="A354" s="251"/>
      <c r="B354" s="251"/>
      <c r="C354" s="251"/>
      <c r="D354" s="251"/>
      <c r="E354" s="251"/>
      <c r="F354" s="251"/>
      <c r="G354" s="251"/>
      <c r="H354" s="251"/>
      <c r="I354" s="251"/>
      <c r="J354" s="251"/>
      <c r="K354" s="251"/>
      <c r="L354" s="251"/>
      <c r="M354" s="251"/>
      <c r="N354" s="251"/>
      <c r="O354" s="251"/>
      <c r="P354" s="251"/>
      <c r="Q354" s="251"/>
      <c r="R354" s="251"/>
      <c r="S354" s="251"/>
      <c r="T354" s="251"/>
      <c r="U354" s="251"/>
      <c r="V354" s="251"/>
      <c r="W354" s="251"/>
      <c r="X354" s="251"/>
      <c r="Y354" s="251"/>
      <c r="Z354" s="251"/>
    </row>
    <row r="355" spans="1:26" ht="14.25" customHeight="1" x14ac:dyDescent="0.35">
      <c r="A355" s="251"/>
      <c r="B355" s="251"/>
      <c r="C355" s="251"/>
      <c r="D355" s="251"/>
      <c r="E355" s="251"/>
      <c r="F355" s="251"/>
      <c r="G355" s="251"/>
      <c r="H355" s="251"/>
      <c r="I355" s="251"/>
      <c r="J355" s="251"/>
      <c r="K355" s="251"/>
      <c r="L355" s="251"/>
      <c r="M355" s="251"/>
      <c r="N355" s="251"/>
      <c r="O355" s="251"/>
      <c r="P355" s="251"/>
      <c r="Q355" s="251"/>
      <c r="R355" s="251"/>
      <c r="S355" s="251"/>
      <c r="T355" s="251"/>
      <c r="U355" s="251"/>
      <c r="V355" s="251"/>
      <c r="W355" s="251"/>
      <c r="X355" s="251"/>
      <c r="Y355" s="251"/>
      <c r="Z355" s="251"/>
    </row>
    <row r="356" spans="1:26" ht="14.25" customHeight="1" x14ac:dyDescent="0.35">
      <c r="A356" s="251"/>
      <c r="B356" s="251"/>
      <c r="C356" s="251"/>
      <c r="D356" s="251"/>
      <c r="E356" s="251"/>
      <c r="F356" s="251"/>
      <c r="G356" s="251"/>
      <c r="H356" s="251"/>
      <c r="I356" s="251"/>
      <c r="J356" s="251"/>
      <c r="K356" s="251"/>
      <c r="L356" s="251"/>
      <c r="M356" s="251"/>
      <c r="N356" s="251"/>
      <c r="O356" s="251"/>
      <c r="P356" s="251"/>
      <c r="Q356" s="251"/>
      <c r="R356" s="251"/>
      <c r="S356" s="251"/>
      <c r="T356" s="251"/>
      <c r="U356" s="251"/>
      <c r="V356" s="251"/>
      <c r="W356" s="251"/>
      <c r="X356" s="251"/>
      <c r="Y356" s="251"/>
      <c r="Z356" s="251"/>
    </row>
    <row r="357" spans="1:26" ht="14.25" customHeight="1" x14ac:dyDescent="0.35">
      <c r="A357" s="251"/>
      <c r="B357" s="251"/>
      <c r="C357" s="251"/>
      <c r="D357" s="251"/>
      <c r="E357" s="251"/>
      <c r="F357" s="251"/>
      <c r="G357" s="251"/>
      <c r="H357" s="251"/>
      <c r="I357" s="251"/>
      <c r="J357" s="251"/>
      <c r="K357" s="251"/>
      <c r="L357" s="251"/>
      <c r="M357" s="251"/>
      <c r="N357" s="251"/>
      <c r="O357" s="251"/>
      <c r="P357" s="251"/>
      <c r="Q357" s="251"/>
      <c r="R357" s="251"/>
      <c r="S357" s="251"/>
      <c r="T357" s="251"/>
      <c r="U357" s="251"/>
      <c r="V357" s="251"/>
      <c r="W357" s="251"/>
      <c r="X357" s="251"/>
      <c r="Y357" s="251"/>
      <c r="Z357" s="251"/>
    </row>
    <row r="358" spans="1:26" ht="14.25" customHeight="1" x14ac:dyDescent="0.35">
      <c r="A358" s="251"/>
      <c r="B358" s="251"/>
      <c r="C358" s="251"/>
      <c r="D358" s="251"/>
      <c r="E358" s="251"/>
      <c r="F358" s="251"/>
      <c r="G358" s="251"/>
      <c r="H358" s="251"/>
      <c r="I358" s="251"/>
      <c r="J358" s="251"/>
      <c r="K358" s="251"/>
      <c r="L358" s="251"/>
      <c r="M358" s="251"/>
      <c r="N358" s="251"/>
      <c r="O358" s="251"/>
      <c r="P358" s="251"/>
      <c r="Q358" s="251"/>
      <c r="R358" s="251"/>
      <c r="S358" s="251"/>
      <c r="T358" s="251"/>
      <c r="U358" s="251"/>
      <c r="V358" s="251"/>
      <c r="W358" s="251"/>
      <c r="X358" s="251"/>
      <c r="Y358" s="251"/>
      <c r="Z358" s="251"/>
    </row>
    <row r="359" spans="1:26" ht="14.25" customHeight="1" x14ac:dyDescent="0.35">
      <c r="A359" s="251"/>
      <c r="B359" s="251"/>
      <c r="C359" s="251"/>
      <c r="D359" s="251"/>
      <c r="E359" s="251"/>
      <c r="F359" s="251"/>
      <c r="G359" s="251"/>
      <c r="H359" s="251"/>
      <c r="I359" s="251"/>
      <c r="J359" s="251"/>
      <c r="K359" s="251"/>
      <c r="L359" s="251"/>
      <c r="M359" s="251"/>
      <c r="N359" s="251"/>
      <c r="O359" s="251"/>
      <c r="P359" s="251"/>
      <c r="Q359" s="251"/>
      <c r="R359" s="251"/>
      <c r="S359" s="251"/>
      <c r="T359" s="251"/>
      <c r="U359" s="251"/>
      <c r="V359" s="251"/>
      <c r="W359" s="251"/>
      <c r="X359" s="251"/>
      <c r="Y359" s="251"/>
      <c r="Z359" s="251"/>
    </row>
    <row r="360" spans="1:26" ht="14.25" customHeight="1" x14ac:dyDescent="0.35">
      <c r="A360" s="251"/>
      <c r="B360" s="251"/>
      <c r="C360" s="251"/>
      <c r="D360" s="251"/>
      <c r="E360" s="251"/>
      <c r="F360" s="251"/>
      <c r="G360" s="251"/>
      <c r="H360" s="251"/>
      <c r="I360" s="251"/>
      <c r="J360" s="251"/>
      <c r="K360" s="251"/>
      <c r="L360" s="251"/>
      <c r="M360" s="251"/>
      <c r="N360" s="251"/>
      <c r="O360" s="251"/>
      <c r="P360" s="251"/>
      <c r="Q360" s="251"/>
      <c r="R360" s="251"/>
      <c r="S360" s="251"/>
      <c r="T360" s="251"/>
      <c r="U360" s="251"/>
      <c r="V360" s="251"/>
      <c r="W360" s="251"/>
      <c r="X360" s="251"/>
      <c r="Y360" s="251"/>
      <c r="Z360" s="251"/>
    </row>
    <row r="361" spans="1:26" ht="14.25" customHeight="1" x14ac:dyDescent="0.35">
      <c r="A361" s="251"/>
      <c r="B361" s="251"/>
      <c r="C361" s="251"/>
      <c r="D361" s="251"/>
      <c r="E361" s="251"/>
      <c r="F361" s="251"/>
      <c r="G361" s="251"/>
      <c r="H361" s="251"/>
      <c r="I361" s="251"/>
      <c r="J361" s="251"/>
      <c r="K361" s="251"/>
      <c r="L361" s="251"/>
      <c r="M361" s="251"/>
      <c r="N361" s="251"/>
      <c r="O361" s="251"/>
      <c r="P361" s="251"/>
      <c r="Q361" s="251"/>
      <c r="R361" s="251"/>
      <c r="S361" s="251"/>
      <c r="T361" s="251"/>
      <c r="U361" s="251"/>
      <c r="V361" s="251"/>
      <c r="W361" s="251"/>
      <c r="X361" s="251"/>
      <c r="Y361" s="251"/>
      <c r="Z361" s="251"/>
    </row>
    <row r="362" spans="1:26" ht="14.25" customHeight="1" x14ac:dyDescent="0.35">
      <c r="A362" s="251"/>
      <c r="B362" s="251"/>
      <c r="C362" s="251"/>
      <c r="D362" s="251"/>
      <c r="E362" s="251"/>
      <c r="F362" s="251"/>
      <c r="G362" s="251"/>
      <c r="H362" s="251"/>
      <c r="I362" s="251"/>
      <c r="J362" s="251"/>
      <c r="K362" s="251"/>
      <c r="L362" s="251"/>
      <c r="M362" s="251"/>
      <c r="N362" s="251"/>
      <c r="O362" s="251"/>
      <c r="P362" s="251"/>
      <c r="Q362" s="251"/>
      <c r="R362" s="251"/>
      <c r="S362" s="251"/>
      <c r="T362" s="251"/>
      <c r="U362" s="251"/>
      <c r="V362" s="251"/>
      <c r="W362" s="251"/>
      <c r="X362" s="251"/>
      <c r="Y362" s="251"/>
      <c r="Z362" s="251"/>
    </row>
    <row r="363" spans="1:26" ht="14.25" customHeight="1" x14ac:dyDescent="0.35">
      <c r="A363" s="251"/>
      <c r="B363" s="251"/>
      <c r="C363" s="251"/>
      <c r="D363" s="251"/>
      <c r="E363" s="251"/>
      <c r="F363" s="251"/>
      <c r="G363" s="251"/>
      <c r="H363" s="251"/>
      <c r="I363" s="251"/>
      <c r="J363" s="251"/>
      <c r="K363" s="251"/>
      <c r="L363" s="251"/>
      <c r="M363" s="251"/>
      <c r="N363" s="251"/>
      <c r="O363" s="251"/>
      <c r="P363" s="251"/>
      <c r="Q363" s="251"/>
      <c r="R363" s="251"/>
      <c r="S363" s="251"/>
      <c r="T363" s="251"/>
      <c r="U363" s="251"/>
      <c r="V363" s="251"/>
      <c r="W363" s="251"/>
      <c r="X363" s="251"/>
      <c r="Y363" s="251"/>
      <c r="Z363" s="251"/>
    </row>
    <row r="364" spans="1:26" ht="14.25" customHeight="1" x14ac:dyDescent="0.35">
      <c r="A364" s="251"/>
      <c r="B364" s="251"/>
      <c r="C364" s="251"/>
      <c r="D364" s="251"/>
      <c r="E364" s="251"/>
      <c r="F364" s="251"/>
      <c r="G364" s="251"/>
      <c r="H364" s="251"/>
      <c r="I364" s="251"/>
      <c r="J364" s="251"/>
      <c r="K364" s="251"/>
      <c r="L364" s="251"/>
      <c r="M364" s="251"/>
      <c r="N364" s="251"/>
      <c r="O364" s="251"/>
      <c r="P364" s="251"/>
      <c r="Q364" s="251"/>
      <c r="R364" s="251"/>
      <c r="S364" s="251"/>
      <c r="T364" s="251"/>
      <c r="U364" s="251"/>
      <c r="V364" s="251"/>
      <c r="W364" s="251"/>
      <c r="X364" s="251"/>
      <c r="Y364" s="251"/>
      <c r="Z364" s="251"/>
    </row>
    <row r="365" spans="1:26" ht="14.25" customHeight="1" x14ac:dyDescent="0.35">
      <c r="A365" s="251"/>
      <c r="B365" s="251"/>
      <c r="C365" s="251"/>
      <c r="D365" s="251"/>
      <c r="E365" s="251"/>
      <c r="F365" s="251"/>
      <c r="G365" s="251"/>
      <c r="H365" s="251"/>
      <c r="I365" s="251"/>
      <c r="J365" s="251"/>
      <c r="K365" s="251"/>
      <c r="L365" s="251"/>
      <c r="M365" s="251"/>
      <c r="N365" s="251"/>
      <c r="O365" s="251"/>
      <c r="P365" s="251"/>
      <c r="Q365" s="251"/>
      <c r="R365" s="251"/>
      <c r="S365" s="251"/>
      <c r="T365" s="251"/>
      <c r="U365" s="251"/>
      <c r="V365" s="251"/>
      <c r="W365" s="251"/>
      <c r="X365" s="251"/>
      <c r="Y365" s="251"/>
      <c r="Z365" s="251"/>
    </row>
    <row r="366" spans="1:26" ht="14.25" customHeight="1" x14ac:dyDescent="0.35">
      <c r="A366" s="251"/>
      <c r="B366" s="251"/>
      <c r="C366" s="251"/>
      <c r="D366" s="251"/>
      <c r="E366" s="251"/>
      <c r="F366" s="251"/>
      <c r="G366" s="251"/>
      <c r="H366" s="251"/>
      <c r="I366" s="251"/>
      <c r="J366" s="251"/>
      <c r="K366" s="251"/>
      <c r="L366" s="251"/>
      <c r="M366" s="251"/>
      <c r="N366" s="251"/>
      <c r="O366" s="251"/>
      <c r="P366" s="251"/>
      <c r="Q366" s="251"/>
      <c r="R366" s="251"/>
      <c r="S366" s="251"/>
      <c r="T366" s="251"/>
      <c r="U366" s="251"/>
      <c r="V366" s="251"/>
      <c r="W366" s="251"/>
      <c r="X366" s="251"/>
      <c r="Y366" s="251"/>
      <c r="Z366" s="251"/>
    </row>
    <row r="367" spans="1:26" ht="14.25" customHeight="1" x14ac:dyDescent="0.35">
      <c r="A367" s="251"/>
      <c r="B367" s="251"/>
      <c r="C367" s="251"/>
      <c r="D367" s="251"/>
      <c r="E367" s="251"/>
      <c r="F367" s="251"/>
      <c r="G367" s="251"/>
      <c r="H367" s="251"/>
      <c r="I367" s="251"/>
      <c r="J367" s="251"/>
      <c r="K367" s="251"/>
      <c r="L367" s="251"/>
      <c r="M367" s="251"/>
      <c r="N367" s="251"/>
      <c r="O367" s="251"/>
      <c r="P367" s="251"/>
      <c r="Q367" s="251"/>
      <c r="R367" s="251"/>
      <c r="S367" s="251"/>
      <c r="T367" s="251"/>
      <c r="U367" s="251"/>
      <c r="V367" s="251"/>
      <c r="W367" s="251"/>
      <c r="X367" s="251"/>
      <c r="Y367" s="251"/>
      <c r="Z367" s="251"/>
    </row>
    <row r="368" spans="1:26" ht="14.25" customHeight="1" x14ac:dyDescent="0.35">
      <c r="A368" s="251"/>
      <c r="B368" s="251"/>
      <c r="C368" s="251"/>
      <c r="D368" s="251"/>
      <c r="E368" s="251"/>
      <c r="F368" s="251"/>
      <c r="G368" s="251"/>
      <c r="H368" s="251"/>
      <c r="I368" s="251"/>
      <c r="J368" s="251"/>
      <c r="K368" s="251"/>
      <c r="L368" s="251"/>
      <c r="M368" s="251"/>
      <c r="N368" s="251"/>
      <c r="O368" s="251"/>
      <c r="P368" s="251"/>
      <c r="Q368" s="251"/>
      <c r="R368" s="251"/>
      <c r="S368" s="251"/>
      <c r="T368" s="251"/>
      <c r="U368" s="251"/>
      <c r="V368" s="251"/>
      <c r="W368" s="251"/>
      <c r="X368" s="251"/>
      <c r="Y368" s="251"/>
      <c r="Z368" s="251"/>
    </row>
    <row r="369" spans="1:26" ht="14.25" customHeight="1" x14ac:dyDescent="0.35">
      <c r="A369" s="251"/>
      <c r="B369" s="251"/>
      <c r="C369" s="251"/>
      <c r="D369" s="251"/>
      <c r="E369" s="251"/>
      <c r="F369" s="251"/>
      <c r="G369" s="251"/>
      <c r="H369" s="251"/>
      <c r="I369" s="251"/>
      <c r="J369" s="251"/>
      <c r="K369" s="251"/>
      <c r="L369" s="251"/>
      <c r="M369" s="251"/>
      <c r="N369" s="251"/>
      <c r="O369" s="251"/>
      <c r="P369" s="251"/>
      <c r="Q369" s="251"/>
      <c r="R369" s="251"/>
      <c r="S369" s="251"/>
      <c r="T369" s="251"/>
      <c r="U369" s="251"/>
      <c r="V369" s="251"/>
      <c r="W369" s="251"/>
      <c r="X369" s="251"/>
      <c r="Y369" s="251"/>
      <c r="Z369" s="251"/>
    </row>
    <row r="370" spans="1:26" ht="14.25" customHeight="1" x14ac:dyDescent="0.35">
      <c r="A370" s="251"/>
      <c r="B370" s="251"/>
      <c r="C370" s="251"/>
      <c r="D370" s="251"/>
      <c r="E370" s="251"/>
      <c r="F370" s="251"/>
      <c r="G370" s="251"/>
      <c r="H370" s="251"/>
      <c r="I370" s="251"/>
      <c r="J370" s="251"/>
      <c r="K370" s="251"/>
      <c r="L370" s="251"/>
      <c r="M370" s="251"/>
      <c r="N370" s="251"/>
      <c r="O370" s="251"/>
      <c r="P370" s="251"/>
      <c r="Q370" s="251"/>
      <c r="R370" s="251"/>
      <c r="S370" s="251"/>
      <c r="T370" s="251"/>
      <c r="U370" s="251"/>
      <c r="V370" s="251"/>
      <c r="W370" s="251"/>
      <c r="X370" s="251"/>
      <c r="Y370" s="251"/>
      <c r="Z370" s="251"/>
    </row>
    <row r="371" spans="1:26" ht="14.25" customHeight="1" x14ac:dyDescent="0.35">
      <c r="A371" s="251"/>
      <c r="B371" s="251"/>
      <c r="C371" s="251"/>
      <c r="D371" s="251"/>
      <c r="E371" s="251"/>
      <c r="F371" s="251"/>
      <c r="G371" s="251"/>
      <c r="H371" s="251"/>
      <c r="I371" s="251"/>
      <c r="J371" s="251"/>
      <c r="K371" s="251"/>
      <c r="L371" s="251"/>
      <c r="M371" s="251"/>
      <c r="N371" s="251"/>
      <c r="O371" s="251"/>
      <c r="P371" s="251"/>
      <c r="Q371" s="251"/>
      <c r="R371" s="251"/>
      <c r="S371" s="251"/>
      <c r="T371" s="251"/>
      <c r="U371" s="251"/>
      <c r="V371" s="251"/>
      <c r="W371" s="251"/>
      <c r="X371" s="251"/>
      <c r="Y371" s="251"/>
      <c r="Z371" s="251"/>
    </row>
    <row r="372" spans="1:26" ht="14.25" customHeight="1" x14ac:dyDescent="0.35">
      <c r="A372" s="251"/>
      <c r="B372" s="251"/>
      <c r="C372" s="251"/>
      <c r="D372" s="251"/>
      <c r="E372" s="251"/>
      <c r="F372" s="251"/>
      <c r="G372" s="251"/>
      <c r="H372" s="251"/>
      <c r="I372" s="251"/>
      <c r="J372" s="251"/>
      <c r="K372" s="251"/>
      <c r="L372" s="251"/>
      <c r="M372" s="251"/>
      <c r="N372" s="251"/>
      <c r="O372" s="251"/>
      <c r="P372" s="251"/>
      <c r="Q372" s="251"/>
      <c r="R372" s="251"/>
      <c r="S372" s="251"/>
      <c r="T372" s="251"/>
      <c r="U372" s="251"/>
      <c r="V372" s="251"/>
      <c r="W372" s="251"/>
      <c r="X372" s="251"/>
      <c r="Y372" s="251"/>
      <c r="Z372" s="251"/>
    </row>
    <row r="373" spans="1:26" ht="14.25" customHeight="1" x14ac:dyDescent="0.35">
      <c r="A373" s="251"/>
      <c r="B373" s="251"/>
      <c r="C373" s="251"/>
      <c r="D373" s="251"/>
      <c r="E373" s="251"/>
      <c r="F373" s="251"/>
      <c r="G373" s="251"/>
      <c r="H373" s="251"/>
      <c r="I373" s="251"/>
      <c r="J373" s="251"/>
      <c r="K373" s="251"/>
      <c r="L373" s="251"/>
      <c r="M373" s="251"/>
      <c r="N373" s="251"/>
      <c r="O373" s="251"/>
      <c r="P373" s="251"/>
      <c r="Q373" s="251"/>
      <c r="R373" s="251"/>
      <c r="S373" s="251"/>
      <c r="T373" s="251"/>
      <c r="U373" s="251"/>
      <c r="V373" s="251"/>
      <c r="W373" s="251"/>
      <c r="X373" s="251"/>
      <c r="Y373" s="251"/>
      <c r="Z373" s="251"/>
    </row>
    <row r="374" spans="1:26" ht="14.25" customHeight="1" x14ac:dyDescent="0.35">
      <c r="A374" s="251"/>
      <c r="B374" s="251"/>
      <c r="C374" s="251"/>
      <c r="D374" s="251"/>
      <c r="E374" s="251"/>
      <c r="F374" s="251"/>
      <c r="G374" s="251"/>
      <c r="H374" s="251"/>
      <c r="I374" s="251"/>
      <c r="J374" s="251"/>
      <c r="K374" s="251"/>
      <c r="L374" s="251"/>
      <c r="M374" s="251"/>
      <c r="N374" s="251"/>
      <c r="O374" s="251"/>
      <c r="P374" s="251"/>
      <c r="Q374" s="251"/>
      <c r="R374" s="251"/>
      <c r="S374" s="251"/>
      <c r="T374" s="251"/>
      <c r="U374" s="251"/>
      <c r="V374" s="251"/>
      <c r="W374" s="251"/>
      <c r="X374" s="251"/>
      <c r="Y374" s="251"/>
      <c r="Z374" s="251"/>
    </row>
    <row r="375" spans="1:26" ht="14.25" customHeight="1" x14ac:dyDescent="0.35">
      <c r="A375" s="251"/>
      <c r="B375" s="251"/>
      <c r="C375" s="251"/>
      <c r="D375" s="251"/>
      <c r="E375" s="251"/>
      <c r="F375" s="251"/>
      <c r="G375" s="251"/>
      <c r="H375" s="251"/>
      <c r="I375" s="251"/>
      <c r="J375" s="251"/>
      <c r="K375" s="251"/>
      <c r="L375" s="251"/>
      <c r="M375" s="251"/>
      <c r="N375" s="251"/>
      <c r="O375" s="251"/>
      <c r="P375" s="251"/>
      <c r="Q375" s="251"/>
      <c r="R375" s="251"/>
      <c r="S375" s="251"/>
      <c r="T375" s="251"/>
      <c r="U375" s="251"/>
      <c r="V375" s="251"/>
      <c r="W375" s="251"/>
      <c r="X375" s="251"/>
      <c r="Y375" s="251"/>
      <c r="Z375" s="251"/>
    </row>
    <row r="376" spans="1:26" ht="14.25" customHeight="1" x14ac:dyDescent="0.35">
      <c r="A376" s="251"/>
      <c r="B376" s="251"/>
      <c r="C376" s="251"/>
      <c r="D376" s="251"/>
      <c r="E376" s="251"/>
      <c r="F376" s="251"/>
      <c r="G376" s="251"/>
      <c r="H376" s="251"/>
      <c r="I376" s="251"/>
      <c r="J376" s="251"/>
      <c r="K376" s="251"/>
      <c r="L376" s="251"/>
      <c r="M376" s="251"/>
      <c r="N376" s="251"/>
      <c r="O376" s="251"/>
      <c r="P376" s="251"/>
      <c r="Q376" s="251"/>
      <c r="R376" s="251"/>
      <c r="S376" s="251"/>
      <c r="T376" s="251"/>
      <c r="U376" s="251"/>
      <c r="V376" s="251"/>
      <c r="W376" s="251"/>
      <c r="X376" s="251"/>
      <c r="Y376" s="251"/>
      <c r="Z376" s="251"/>
    </row>
    <row r="377" spans="1:26" ht="14.25" customHeight="1" x14ac:dyDescent="0.35">
      <c r="A377" s="251"/>
      <c r="B377" s="251"/>
      <c r="C377" s="251"/>
      <c r="D377" s="251"/>
      <c r="E377" s="251"/>
      <c r="F377" s="251"/>
      <c r="G377" s="251"/>
      <c r="H377" s="251"/>
      <c r="I377" s="251"/>
      <c r="J377" s="251"/>
      <c r="K377" s="251"/>
      <c r="L377" s="251"/>
      <c r="M377" s="251"/>
      <c r="N377" s="251"/>
      <c r="O377" s="251"/>
      <c r="P377" s="251"/>
      <c r="Q377" s="251"/>
      <c r="R377" s="251"/>
      <c r="S377" s="251"/>
      <c r="T377" s="251"/>
      <c r="U377" s="251"/>
      <c r="V377" s="251"/>
      <c r="W377" s="251"/>
      <c r="X377" s="251"/>
      <c r="Y377" s="251"/>
      <c r="Z377" s="251"/>
    </row>
    <row r="378" spans="1:26" ht="14.25" customHeight="1" x14ac:dyDescent="0.35">
      <c r="A378" s="251"/>
      <c r="B378" s="251"/>
      <c r="C378" s="251"/>
      <c r="D378" s="251"/>
      <c r="E378" s="251"/>
      <c r="F378" s="251"/>
      <c r="G378" s="251"/>
      <c r="H378" s="251"/>
      <c r="I378" s="251"/>
      <c r="J378" s="251"/>
      <c r="K378" s="251"/>
      <c r="L378" s="251"/>
      <c r="M378" s="251"/>
      <c r="N378" s="251"/>
      <c r="O378" s="251"/>
      <c r="P378" s="251"/>
      <c r="Q378" s="251"/>
      <c r="R378" s="251"/>
      <c r="S378" s="251"/>
      <c r="T378" s="251"/>
      <c r="U378" s="251"/>
      <c r="V378" s="251"/>
      <c r="W378" s="251"/>
      <c r="X378" s="251"/>
      <c r="Y378" s="251"/>
      <c r="Z378" s="251"/>
    </row>
    <row r="379" spans="1:26" ht="14.25" customHeight="1" x14ac:dyDescent="0.35">
      <c r="A379" s="251"/>
      <c r="B379" s="251"/>
      <c r="C379" s="251"/>
      <c r="D379" s="251"/>
      <c r="E379" s="251"/>
      <c r="F379" s="251"/>
      <c r="G379" s="251"/>
      <c r="H379" s="251"/>
      <c r="I379" s="251"/>
      <c r="J379" s="251"/>
      <c r="K379" s="251"/>
      <c r="L379" s="251"/>
      <c r="M379" s="251"/>
      <c r="N379" s="251"/>
      <c r="O379" s="251"/>
      <c r="P379" s="251"/>
      <c r="Q379" s="251"/>
      <c r="R379" s="251"/>
      <c r="S379" s="251"/>
      <c r="T379" s="251"/>
      <c r="U379" s="251"/>
      <c r="V379" s="251"/>
      <c r="W379" s="251"/>
      <c r="X379" s="251"/>
      <c r="Y379" s="251"/>
      <c r="Z379" s="251"/>
    </row>
    <row r="380" spans="1:26" ht="14.25" customHeight="1" x14ac:dyDescent="0.35">
      <c r="A380" s="251"/>
      <c r="B380" s="251"/>
      <c r="C380" s="251"/>
      <c r="D380" s="251"/>
      <c r="E380" s="251"/>
      <c r="F380" s="251"/>
      <c r="G380" s="251"/>
      <c r="H380" s="251"/>
      <c r="I380" s="251"/>
      <c r="J380" s="251"/>
      <c r="K380" s="251"/>
      <c r="L380" s="251"/>
      <c r="M380" s="251"/>
      <c r="N380" s="251"/>
      <c r="O380" s="251"/>
      <c r="P380" s="251"/>
      <c r="Q380" s="251"/>
      <c r="R380" s="251"/>
      <c r="S380" s="251"/>
      <c r="T380" s="251"/>
      <c r="U380" s="251"/>
      <c r="V380" s="251"/>
      <c r="W380" s="251"/>
      <c r="X380" s="251"/>
      <c r="Y380" s="251"/>
      <c r="Z380" s="251"/>
    </row>
    <row r="381" spans="1:26" ht="14.25" customHeight="1" x14ac:dyDescent="0.35">
      <c r="A381" s="251"/>
      <c r="B381" s="251"/>
      <c r="C381" s="251"/>
      <c r="D381" s="251"/>
      <c r="E381" s="251"/>
      <c r="F381" s="251"/>
      <c r="G381" s="251"/>
      <c r="H381" s="251"/>
      <c r="I381" s="251"/>
      <c r="J381" s="251"/>
      <c r="K381" s="251"/>
      <c r="L381" s="251"/>
      <c r="M381" s="251"/>
      <c r="N381" s="251"/>
      <c r="O381" s="251"/>
      <c r="P381" s="251"/>
      <c r="Q381" s="251"/>
      <c r="R381" s="251"/>
      <c r="S381" s="251"/>
      <c r="T381" s="251"/>
      <c r="U381" s="251"/>
      <c r="V381" s="251"/>
      <c r="W381" s="251"/>
      <c r="X381" s="251"/>
      <c r="Y381" s="251"/>
      <c r="Z381" s="251"/>
    </row>
    <row r="382" spans="1:26" ht="14.25" customHeight="1" x14ac:dyDescent="0.35">
      <c r="A382" s="251"/>
      <c r="B382" s="251"/>
      <c r="C382" s="251"/>
      <c r="D382" s="251"/>
      <c r="E382" s="251"/>
      <c r="F382" s="251"/>
      <c r="G382" s="251"/>
      <c r="H382" s="251"/>
      <c r="I382" s="251"/>
      <c r="J382" s="251"/>
      <c r="K382" s="251"/>
      <c r="L382" s="251"/>
      <c r="M382" s="251"/>
      <c r="N382" s="251"/>
      <c r="O382" s="251"/>
      <c r="P382" s="251"/>
      <c r="Q382" s="251"/>
      <c r="R382" s="251"/>
      <c r="S382" s="251"/>
      <c r="T382" s="251"/>
      <c r="U382" s="251"/>
      <c r="V382" s="251"/>
      <c r="W382" s="251"/>
      <c r="X382" s="251"/>
      <c r="Y382" s="251"/>
      <c r="Z382" s="251"/>
    </row>
    <row r="383" spans="1:26" ht="14.25" customHeight="1" x14ac:dyDescent="0.35">
      <c r="A383" s="251"/>
      <c r="B383" s="251"/>
      <c r="C383" s="251"/>
      <c r="D383" s="251"/>
      <c r="E383" s="251"/>
      <c r="F383" s="251"/>
      <c r="G383" s="251"/>
      <c r="H383" s="251"/>
      <c r="I383" s="251"/>
      <c r="J383" s="251"/>
      <c r="K383" s="251"/>
      <c r="L383" s="251"/>
      <c r="M383" s="251"/>
      <c r="N383" s="251"/>
      <c r="O383" s="251"/>
      <c r="P383" s="251"/>
      <c r="Q383" s="251"/>
      <c r="R383" s="251"/>
      <c r="S383" s="251"/>
      <c r="T383" s="251"/>
      <c r="U383" s="251"/>
      <c r="V383" s="251"/>
      <c r="W383" s="251"/>
      <c r="X383" s="251"/>
      <c r="Y383" s="251"/>
      <c r="Z383" s="251"/>
    </row>
    <row r="384" spans="1:26" ht="14.25" customHeight="1" x14ac:dyDescent="0.35">
      <c r="A384" s="251"/>
      <c r="B384" s="251"/>
      <c r="C384" s="251"/>
      <c r="D384" s="251"/>
      <c r="E384" s="251"/>
      <c r="F384" s="251"/>
      <c r="G384" s="251"/>
      <c r="H384" s="251"/>
      <c r="I384" s="251"/>
      <c r="J384" s="251"/>
      <c r="K384" s="251"/>
      <c r="L384" s="251"/>
      <c r="M384" s="251"/>
      <c r="N384" s="251"/>
      <c r="O384" s="251"/>
      <c r="P384" s="251"/>
      <c r="Q384" s="251"/>
      <c r="R384" s="251"/>
      <c r="S384" s="251"/>
      <c r="T384" s="251"/>
      <c r="U384" s="251"/>
      <c r="V384" s="251"/>
      <c r="W384" s="251"/>
      <c r="X384" s="251"/>
      <c r="Y384" s="251"/>
      <c r="Z384" s="251"/>
    </row>
    <row r="385" spans="1:26" ht="14.25" customHeight="1" x14ac:dyDescent="0.35">
      <c r="A385" s="251"/>
      <c r="B385" s="251"/>
      <c r="C385" s="251"/>
      <c r="D385" s="251"/>
      <c r="E385" s="251"/>
      <c r="F385" s="251"/>
      <c r="G385" s="251"/>
      <c r="H385" s="251"/>
      <c r="I385" s="251"/>
      <c r="J385" s="251"/>
      <c r="K385" s="251"/>
      <c r="L385" s="251"/>
      <c r="M385" s="251"/>
      <c r="N385" s="251"/>
      <c r="O385" s="251"/>
      <c r="P385" s="251"/>
      <c r="Q385" s="251"/>
      <c r="R385" s="251"/>
      <c r="S385" s="251"/>
      <c r="T385" s="251"/>
      <c r="U385" s="251"/>
      <c r="V385" s="251"/>
      <c r="W385" s="251"/>
      <c r="X385" s="251"/>
      <c r="Y385" s="251"/>
      <c r="Z385" s="251"/>
    </row>
    <row r="386" spans="1:26" ht="14.25" customHeight="1" x14ac:dyDescent="0.35">
      <c r="A386" s="251"/>
      <c r="B386" s="251"/>
      <c r="C386" s="251"/>
      <c r="D386" s="251"/>
      <c r="E386" s="251"/>
      <c r="F386" s="251"/>
      <c r="G386" s="251"/>
      <c r="H386" s="251"/>
      <c r="I386" s="251"/>
      <c r="J386" s="251"/>
      <c r="K386" s="251"/>
      <c r="L386" s="251"/>
      <c r="M386" s="251"/>
      <c r="N386" s="251"/>
      <c r="O386" s="251"/>
      <c r="P386" s="251"/>
      <c r="Q386" s="251"/>
      <c r="R386" s="251"/>
      <c r="S386" s="251"/>
      <c r="T386" s="251"/>
      <c r="U386" s="251"/>
      <c r="V386" s="251"/>
      <c r="W386" s="251"/>
      <c r="X386" s="251"/>
      <c r="Y386" s="251"/>
      <c r="Z386" s="251"/>
    </row>
    <row r="387" spans="1:26" ht="14.25" customHeight="1" x14ac:dyDescent="0.35">
      <c r="A387" s="251"/>
      <c r="B387" s="251"/>
      <c r="C387" s="251"/>
      <c r="D387" s="251"/>
      <c r="E387" s="251"/>
      <c r="F387" s="251"/>
      <c r="G387" s="251"/>
      <c r="H387" s="251"/>
      <c r="I387" s="251"/>
      <c r="J387" s="251"/>
      <c r="K387" s="251"/>
      <c r="L387" s="251"/>
      <c r="M387" s="251"/>
      <c r="N387" s="251"/>
      <c r="O387" s="251"/>
      <c r="P387" s="251"/>
      <c r="Q387" s="251"/>
      <c r="R387" s="251"/>
      <c r="S387" s="251"/>
      <c r="T387" s="251"/>
      <c r="U387" s="251"/>
      <c r="V387" s="251"/>
      <c r="W387" s="251"/>
      <c r="X387" s="251"/>
      <c r="Y387" s="251"/>
      <c r="Z387" s="251"/>
    </row>
    <row r="388" spans="1:26" ht="14.25" customHeight="1" x14ac:dyDescent="0.35">
      <c r="A388" s="251"/>
      <c r="B388" s="251"/>
      <c r="C388" s="251"/>
      <c r="D388" s="251"/>
      <c r="E388" s="251"/>
      <c r="F388" s="251"/>
      <c r="G388" s="251"/>
      <c r="H388" s="251"/>
      <c r="I388" s="251"/>
      <c r="J388" s="251"/>
      <c r="K388" s="251"/>
      <c r="L388" s="251"/>
      <c r="M388" s="251"/>
      <c r="N388" s="251"/>
      <c r="O388" s="251"/>
      <c r="P388" s="251"/>
      <c r="Q388" s="251"/>
      <c r="R388" s="251"/>
      <c r="S388" s="251"/>
      <c r="T388" s="251"/>
      <c r="U388" s="251"/>
      <c r="V388" s="251"/>
      <c r="W388" s="251"/>
      <c r="X388" s="251"/>
      <c r="Y388" s="251"/>
      <c r="Z388" s="251"/>
    </row>
    <row r="389" spans="1:26" ht="14.25" customHeight="1" x14ac:dyDescent="0.35">
      <c r="A389" s="251"/>
      <c r="B389" s="251"/>
      <c r="C389" s="251"/>
      <c r="D389" s="251"/>
      <c r="E389" s="251"/>
      <c r="F389" s="251"/>
      <c r="G389" s="251"/>
      <c r="H389" s="251"/>
      <c r="I389" s="251"/>
      <c r="J389" s="251"/>
      <c r="K389" s="251"/>
      <c r="L389" s="251"/>
      <c r="M389" s="251"/>
      <c r="N389" s="251"/>
      <c r="O389" s="251"/>
      <c r="P389" s="251"/>
      <c r="Q389" s="251"/>
      <c r="R389" s="251"/>
      <c r="S389" s="251"/>
      <c r="T389" s="251"/>
      <c r="U389" s="251"/>
      <c r="V389" s="251"/>
      <c r="W389" s="251"/>
      <c r="X389" s="251"/>
      <c r="Y389" s="251"/>
      <c r="Z389" s="251"/>
    </row>
    <row r="390" spans="1:26" ht="14.25" customHeight="1" x14ac:dyDescent="0.35">
      <c r="A390" s="251"/>
      <c r="B390" s="251"/>
      <c r="C390" s="251"/>
      <c r="D390" s="251"/>
      <c r="E390" s="251"/>
      <c r="F390" s="251"/>
      <c r="G390" s="251"/>
      <c r="H390" s="251"/>
      <c r="I390" s="251"/>
      <c r="J390" s="251"/>
      <c r="K390" s="251"/>
      <c r="L390" s="251"/>
      <c r="M390" s="251"/>
      <c r="N390" s="251"/>
      <c r="O390" s="251"/>
      <c r="P390" s="251"/>
      <c r="Q390" s="251"/>
      <c r="R390" s="251"/>
      <c r="S390" s="251"/>
      <c r="T390" s="251"/>
      <c r="U390" s="251"/>
      <c r="V390" s="251"/>
      <c r="W390" s="251"/>
      <c r="X390" s="251"/>
      <c r="Y390" s="251"/>
      <c r="Z390" s="251"/>
    </row>
    <row r="391" spans="1:26" ht="14.25" customHeight="1" x14ac:dyDescent="0.35">
      <c r="A391" s="251"/>
      <c r="B391" s="251"/>
      <c r="C391" s="251"/>
      <c r="D391" s="251"/>
      <c r="E391" s="251"/>
      <c r="F391" s="251"/>
      <c r="G391" s="251"/>
      <c r="H391" s="251"/>
      <c r="I391" s="251"/>
      <c r="J391" s="251"/>
      <c r="K391" s="251"/>
      <c r="L391" s="251"/>
      <c r="M391" s="251"/>
      <c r="N391" s="251"/>
      <c r="O391" s="251"/>
      <c r="P391" s="251"/>
      <c r="Q391" s="251"/>
      <c r="R391" s="251"/>
      <c r="S391" s="251"/>
      <c r="T391" s="251"/>
      <c r="U391" s="251"/>
      <c r="V391" s="251"/>
      <c r="W391" s="251"/>
      <c r="X391" s="251"/>
      <c r="Y391" s="251"/>
      <c r="Z391" s="251"/>
    </row>
    <row r="392" spans="1:26" ht="14.25" customHeight="1" x14ac:dyDescent="0.35">
      <c r="A392" s="251"/>
      <c r="B392" s="251"/>
      <c r="C392" s="251"/>
      <c r="D392" s="251"/>
      <c r="E392" s="251"/>
      <c r="F392" s="251"/>
      <c r="G392" s="251"/>
      <c r="H392" s="251"/>
      <c r="I392" s="251"/>
      <c r="J392" s="251"/>
      <c r="K392" s="251"/>
      <c r="L392" s="251"/>
      <c r="M392" s="251"/>
      <c r="N392" s="251"/>
      <c r="O392" s="251"/>
      <c r="P392" s="251"/>
      <c r="Q392" s="251"/>
      <c r="R392" s="251"/>
      <c r="S392" s="251"/>
      <c r="T392" s="251"/>
      <c r="U392" s="251"/>
      <c r="V392" s="251"/>
      <c r="W392" s="251"/>
      <c r="X392" s="251"/>
      <c r="Y392" s="251"/>
      <c r="Z392" s="251"/>
    </row>
    <row r="393" spans="1:26" ht="14.25" customHeight="1" x14ac:dyDescent="0.35">
      <c r="A393" s="251"/>
      <c r="B393" s="251"/>
      <c r="C393" s="251"/>
      <c r="D393" s="251"/>
      <c r="E393" s="251"/>
      <c r="F393" s="251"/>
      <c r="G393" s="251"/>
      <c r="H393" s="251"/>
      <c r="I393" s="251"/>
      <c r="J393" s="251"/>
      <c r="K393" s="251"/>
      <c r="L393" s="251"/>
      <c r="M393" s="251"/>
      <c r="N393" s="251"/>
      <c r="O393" s="251"/>
      <c r="P393" s="251"/>
      <c r="Q393" s="251"/>
      <c r="R393" s="251"/>
      <c r="S393" s="251"/>
      <c r="T393" s="251"/>
      <c r="U393" s="251"/>
      <c r="V393" s="251"/>
      <c r="W393" s="251"/>
      <c r="X393" s="251"/>
      <c r="Y393" s="251"/>
      <c r="Z393" s="251"/>
    </row>
    <row r="394" spans="1:26" ht="14.25" customHeight="1" x14ac:dyDescent="0.35">
      <c r="A394" s="251"/>
      <c r="B394" s="251"/>
      <c r="C394" s="251"/>
      <c r="D394" s="251"/>
      <c r="E394" s="251"/>
      <c r="F394" s="251"/>
      <c r="G394" s="251"/>
      <c r="H394" s="251"/>
      <c r="I394" s="251"/>
      <c r="J394" s="251"/>
      <c r="K394" s="251"/>
      <c r="L394" s="251"/>
      <c r="M394" s="251"/>
      <c r="N394" s="251"/>
      <c r="O394" s="251"/>
      <c r="P394" s="251"/>
      <c r="Q394" s="251"/>
      <c r="R394" s="251"/>
      <c r="S394" s="251"/>
      <c r="T394" s="251"/>
      <c r="U394" s="251"/>
      <c r="V394" s="251"/>
      <c r="W394" s="251"/>
      <c r="X394" s="251"/>
      <c r="Y394" s="251"/>
      <c r="Z394" s="251"/>
    </row>
    <row r="395" spans="1:26" ht="14.25" customHeight="1" x14ac:dyDescent="0.35">
      <c r="A395" s="251"/>
      <c r="B395" s="251"/>
      <c r="C395" s="251"/>
      <c r="D395" s="251"/>
      <c r="E395" s="251"/>
      <c r="F395" s="251"/>
      <c r="G395" s="251"/>
      <c r="H395" s="251"/>
      <c r="I395" s="251"/>
      <c r="J395" s="251"/>
      <c r="K395" s="251"/>
      <c r="L395" s="251"/>
      <c r="M395" s="251"/>
      <c r="N395" s="251"/>
      <c r="O395" s="251"/>
      <c r="P395" s="251"/>
      <c r="Q395" s="251"/>
      <c r="R395" s="251"/>
      <c r="S395" s="251"/>
      <c r="T395" s="251"/>
      <c r="U395" s="251"/>
      <c r="V395" s="251"/>
      <c r="W395" s="251"/>
      <c r="X395" s="251"/>
      <c r="Y395" s="251"/>
      <c r="Z395" s="251"/>
    </row>
    <row r="396" spans="1:26" ht="14.25" customHeight="1" x14ac:dyDescent="0.35">
      <c r="A396" s="251"/>
      <c r="B396" s="251"/>
      <c r="C396" s="251"/>
      <c r="D396" s="251"/>
      <c r="E396" s="251"/>
      <c r="F396" s="251"/>
      <c r="G396" s="251"/>
      <c r="H396" s="251"/>
      <c r="I396" s="251"/>
      <c r="J396" s="251"/>
      <c r="K396" s="251"/>
      <c r="L396" s="251"/>
      <c r="M396" s="251"/>
      <c r="N396" s="251"/>
      <c r="O396" s="251"/>
      <c r="P396" s="251"/>
      <c r="Q396" s="251"/>
      <c r="R396" s="251"/>
      <c r="S396" s="251"/>
      <c r="T396" s="251"/>
      <c r="U396" s="251"/>
      <c r="V396" s="251"/>
      <c r="W396" s="251"/>
      <c r="X396" s="251"/>
      <c r="Y396" s="251"/>
      <c r="Z396" s="251"/>
    </row>
    <row r="397" spans="1:26" ht="14.25" customHeight="1" x14ac:dyDescent="0.35">
      <c r="A397" s="251"/>
      <c r="B397" s="251"/>
      <c r="C397" s="251"/>
      <c r="D397" s="251"/>
      <c r="E397" s="251"/>
      <c r="F397" s="251"/>
      <c r="G397" s="251"/>
      <c r="H397" s="251"/>
      <c r="I397" s="251"/>
      <c r="J397" s="251"/>
      <c r="K397" s="251"/>
      <c r="L397" s="251"/>
      <c r="M397" s="251"/>
      <c r="N397" s="251"/>
      <c r="O397" s="251"/>
      <c r="P397" s="251"/>
      <c r="Q397" s="251"/>
      <c r="R397" s="251"/>
      <c r="S397" s="251"/>
      <c r="T397" s="251"/>
      <c r="U397" s="251"/>
      <c r="V397" s="251"/>
      <c r="W397" s="251"/>
      <c r="X397" s="251"/>
      <c r="Y397" s="251"/>
      <c r="Z397" s="251"/>
    </row>
    <row r="398" spans="1:26" ht="14.25" customHeight="1" x14ac:dyDescent="0.35">
      <c r="A398" s="251"/>
      <c r="B398" s="251"/>
      <c r="C398" s="251"/>
      <c r="D398" s="251"/>
      <c r="E398" s="251"/>
      <c r="F398" s="251"/>
      <c r="G398" s="251"/>
      <c r="H398" s="251"/>
      <c r="I398" s="251"/>
      <c r="J398" s="251"/>
      <c r="K398" s="251"/>
      <c r="L398" s="251"/>
      <c r="M398" s="251"/>
      <c r="N398" s="251"/>
      <c r="O398" s="251"/>
      <c r="P398" s="251"/>
      <c r="Q398" s="251"/>
      <c r="R398" s="251"/>
      <c r="S398" s="251"/>
      <c r="T398" s="251"/>
      <c r="U398" s="251"/>
      <c r="V398" s="251"/>
      <c r="W398" s="251"/>
      <c r="X398" s="251"/>
      <c r="Y398" s="251"/>
      <c r="Z398" s="251"/>
    </row>
    <row r="399" spans="1:26" ht="14.25" customHeight="1" x14ac:dyDescent="0.35">
      <c r="A399" s="251"/>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row>
    <row r="400" spans="1:26" ht="14.25" customHeight="1" x14ac:dyDescent="0.35">
      <c r="A400" s="251"/>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row>
    <row r="401" spans="1:26" ht="14.25" customHeight="1" x14ac:dyDescent="0.35">
      <c r="A401" s="251"/>
      <c r="B401" s="251"/>
      <c r="C401" s="251"/>
      <c r="D401" s="251"/>
      <c r="E401" s="251"/>
      <c r="F401" s="251"/>
      <c r="G401" s="251"/>
      <c r="H401" s="251"/>
      <c r="I401" s="251"/>
      <c r="J401" s="251"/>
      <c r="K401" s="251"/>
      <c r="L401" s="251"/>
      <c r="M401" s="251"/>
      <c r="N401" s="251"/>
      <c r="O401" s="251"/>
      <c r="P401" s="251"/>
      <c r="Q401" s="251"/>
      <c r="R401" s="251"/>
      <c r="S401" s="251"/>
      <c r="T401" s="251"/>
      <c r="U401" s="251"/>
      <c r="V401" s="251"/>
      <c r="W401" s="251"/>
      <c r="X401" s="251"/>
      <c r="Y401" s="251"/>
      <c r="Z401" s="251"/>
    </row>
    <row r="402" spans="1:26" ht="14.25" customHeight="1" x14ac:dyDescent="0.35">
      <c r="A402" s="251"/>
      <c r="B402" s="251"/>
      <c r="C402" s="251"/>
      <c r="D402" s="251"/>
      <c r="E402" s="251"/>
      <c r="F402" s="251"/>
      <c r="G402" s="251"/>
      <c r="H402" s="251"/>
      <c r="I402" s="251"/>
      <c r="J402" s="251"/>
      <c r="K402" s="251"/>
      <c r="L402" s="251"/>
      <c r="M402" s="251"/>
      <c r="N402" s="251"/>
      <c r="O402" s="251"/>
      <c r="P402" s="251"/>
      <c r="Q402" s="251"/>
      <c r="R402" s="251"/>
      <c r="S402" s="251"/>
      <c r="T402" s="251"/>
      <c r="U402" s="251"/>
      <c r="V402" s="251"/>
      <c r="W402" s="251"/>
      <c r="X402" s="251"/>
      <c r="Y402" s="251"/>
      <c r="Z402" s="251"/>
    </row>
    <row r="403" spans="1:26" ht="14.25" customHeight="1" x14ac:dyDescent="0.35">
      <c r="A403" s="251"/>
      <c r="B403" s="251"/>
      <c r="C403" s="251"/>
      <c r="D403" s="251"/>
      <c r="E403" s="251"/>
      <c r="F403" s="251"/>
      <c r="G403" s="251"/>
      <c r="H403" s="251"/>
      <c r="I403" s="251"/>
      <c r="J403" s="251"/>
      <c r="K403" s="251"/>
      <c r="L403" s="251"/>
      <c r="M403" s="251"/>
      <c r="N403" s="251"/>
      <c r="O403" s="251"/>
      <c r="P403" s="251"/>
      <c r="Q403" s="251"/>
      <c r="R403" s="251"/>
      <c r="S403" s="251"/>
      <c r="T403" s="251"/>
      <c r="U403" s="251"/>
      <c r="V403" s="251"/>
      <c r="W403" s="251"/>
      <c r="X403" s="251"/>
      <c r="Y403" s="251"/>
      <c r="Z403" s="251"/>
    </row>
    <row r="404" spans="1:26" ht="14.25" customHeight="1" x14ac:dyDescent="0.35">
      <c r="A404" s="251"/>
      <c r="B404" s="251"/>
      <c r="C404" s="251"/>
      <c r="D404" s="251"/>
      <c r="E404" s="251"/>
      <c r="F404" s="251"/>
      <c r="G404" s="251"/>
      <c r="H404" s="251"/>
      <c r="I404" s="251"/>
      <c r="J404" s="251"/>
      <c r="K404" s="251"/>
      <c r="L404" s="251"/>
      <c r="M404" s="251"/>
      <c r="N404" s="251"/>
      <c r="O404" s="251"/>
      <c r="P404" s="251"/>
      <c r="Q404" s="251"/>
      <c r="R404" s="251"/>
      <c r="S404" s="251"/>
      <c r="T404" s="251"/>
      <c r="U404" s="251"/>
      <c r="V404" s="251"/>
      <c r="W404" s="251"/>
      <c r="X404" s="251"/>
      <c r="Y404" s="251"/>
      <c r="Z404" s="251"/>
    </row>
    <row r="405" spans="1:26" ht="14.25" customHeight="1" x14ac:dyDescent="0.35">
      <c r="A405" s="251"/>
      <c r="B405" s="251"/>
      <c r="C405" s="251"/>
      <c r="D405" s="251"/>
      <c r="E405" s="251"/>
      <c r="F405" s="251"/>
      <c r="G405" s="251"/>
      <c r="H405" s="251"/>
      <c r="I405" s="251"/>
      <c r="J405" s="251"/>
      <c r="K405" s="251"/>
      <c r="L405" s="251"/>
      <c r="M405" s="251"/>
      <c r="N405" s="251"/>
      <c r="O405" s="251"/>
      <c r="P405" s="251"/>
      <c r="Q405" s="251"/>
      <c r="R405" s="251"/>
      <c r="S405" s="251"/>
      <c r="T405" s="251"/>
      <c r="U405" s="251"/>
      <c r="V405" s="251"/>
      <c r="W405" s="251"/>
      <c r="X405" s="251"/>
      <c r="Y405" s="251"/>
      <c r="Z405" s="251"/>
    </row>
    <row r="406" spans="1:26" ht="14.25" customHeight="1" x14ac:dyDescent="0.35">
      <c r="A406" s="251"/>
      <c r="B406" s="251"/>
      <c r="C406" s="251"/>
      <c r="D406" s="251"/>
      <c r="E406" s="251"/>
      <c r="F406" s="251"/>
      <c r="G406" s="251"/>
      <c r="H406" s="251"/>
      <c r="I406" s="251"/>
      <c r="J406" s="251"/>
      <c r="K406" s="251"/>
      <c r="L406" s="251"/>
      <c r="M406" s="251"/>
      <c r="N406" s="251"/>
      <c r="O406" s="251"/>
      <c r="P406" s="251"/>
      <c r="Q406" s="251"/>
      <c r="R406" s="251"/>
      <c r="S406" s="251"/>
      <c r="T406" s="251"/>
      <c r="U406" s="251"/>
      <c r="V406" s="251"/>
      <c r="W406" s="251"/>
      <c r="X406" s="251"/>
      <c r="Y406" s="251"/>
      <c r="Z406" s="251"/>
    </row>
    <row r="407" spans="1:26" ht="14.25" customHeight="1" x14ac:dyDescent="0.35">
      <c r="A407" s="251"/>
      <c r="B407" s="251"/>
      <c r="C407" s="251"/>
      <c r="D407" s="251"/>
      <c r="E407" s="251"/>
      <c r="F407" s="251"/>
      <c r="G407" s="251"/>
      <c r="H407" s="251"/>
      <c r="I407" s="251"/>
      <c r="J407" s="251"/>
      <c r="K407" s="251"/>
      <c r="L407" s="251"/>
      <c r="M407" s="251"/>
      <c r="N407" s="251"/>
      <c r="O407" s="251"/>
      <c r="P407" s="251"/>
      <c r="Q407" s="251"/>
      <c r="R407" s="251"/>
      <c r="S407" s="251"/>
      <c r="T407" s="251"/>
      <c r="U407" s="251"/>
      <c r="V407" s="251"/>
      <c r="W407" s="251"/>
      <c r="X407" s="251"/>
      <c r="Y407" s="251"/>
      <c r="Z407" s="251"/>
    </row>
    <row r="408" spans="1:26" ht="14.25" customHeight="1" x14ac:dyDescent="0.35">
      <c r="A408" s="251"/>
      <c r="B408" s="251"/>
      <c r="C408" s="251"/>
      <c r="D408" s="251"/>
      <c r="E408" s="251"/>
      <c r="F408" s="251"/>
      <c r="G408" s="251"/>
      <c r="H408" s="251"/>
      <c r="I408" s="251"/>
      <c r="J408" s="251"/>
      <c r="K408" s="251"/>
      <c r="L408" s="251"/>
      <c r="M408" s="251"/>
      <c r="N408" s="251"/>
      <c r="O408" s="251"/>
      <c r="P408" s="251"/>
      <c r="Q408" s="251"/>
      <c r="R408" s="251"/>
      <c r="S408" s="251"/>
      <c r="T408" s="251"/>
      <c r="U408" s="251"/>
      <c r="V408" s="251"/>
      <c r="W408" s="251"/>
      <c r="X408" s="251"/>
      <c r="Y408" s="251"/>
      <c r="Z408" s="251"/>
    </row>
    <row r="409" spans="1:26" ht="14.25" customHeight="1" x14ac:dyDescent="0.35">
      <c r="A409" s="251"/>
      <c r="B409" s="251"/>
      <c r="C409" s="251"/>
      <c r="D409" s="251"/>
      <c r="E409" s="251"/>
      <c r="F409" s="251"/>
      <c r="G409" s="251"/>
      <c r="H409" s="251"/>
      <c r="I409" s="251"/>
      <c r="J409" s="251"/>
      <c r="K409" s="251"/>
      <c r="L409" s="251"/>
      <c r="M409" s="251"/>
      <c r="N409" s="251"/>
      <c r="O409" s="251"/>
      <c r="P409" s="251"/>
      <c r="Q409" s="251"/>
      <c r="R409" s="251"/>
      <c r="S409" s="251"/>
      <c r="T409" s="251"/>
      <c r="U409" s="251"/>
      <c r="V409" s="251"/>
      <c r="W409" s="251"/>
      <c r="X409" s="251"/>
      <c r="Y409" s="251"/>
      <c r="Z409" s="251"/>
    </row>
    <row r="410" spans="1:26" ht="14.25" customHeight="1" x14ac:dyDescent="0.35">
      <c r="A410" s="251"/>
      <c r="B410" s="251"/>
      <c r="C410" s="251"/>
      <c r="D410" s="251"/>
      <c r="E410" s="251"/>
      <c r="F410" s="251"/>
      <c r="G410" s="251"/>
      <c r="H410" s="251"/>
      <c r="I410" s="251"/>
      <c r="J410" s="251"/>
      <c r="K410" s="251"/>
      <c r="L410" s="251"/>
      <c r="M410" s="251"/>
      <c r="N410" s="251"/>
      <c r="O410" s="251"/>
      <c r="P410" s="251"/>
      <c r="Q410" s="251"/>
      <c r="R410" s="251"/>
      <c r="S410" s="251"/>
      <c r="T410" s="251"/>
      <c r="U410" s="251"/>
      <c r="V410" s="251"/>
      <c r="W410" s="251"/>
      <c r="X410" s="251"/>
      <c r="Y410" s="251"/>
      <c r="Z410" s="251"/>
    </row>
    <row r="411" spans="1:26" ht="14.25" customHeight="1" x14ac:dyDescent="0.35">
      <c r="A411" s="251"/>
      <c r="B411" s="251"/>
      <c r="C411" s="251"/>
      <c r="D411" s="251"/>
      <c r="E411" s="251"/>
      <c r="F411" s="251"/>
      <c r="G411" s="251"/>
      <c r="H411" s="251"/>
      <c r="I411" s="251"/>
      <c r="J411" s="251"/>
      <c r="K411" s="251"/>
      <c r="L411" s="251"/>
      <c r="M411" s="251"/>
      <c r="N411" s="251"/>
      <c r="O411" s="251"/>
      <c r="P411" s="251"/>
      <c r="Q411" s="251"/>
      <c r="R411" s="251"/>
      <c r="S411" s="251"/>
      <c r="T411" s="251"/>
      <c r="U411" s="251"/>
      <c r="V411" s="251"/>
      <c r="W411" s="251"/>
      <c r="X411" s="251"/>
      <c r="Y411" s="251"/>
      <c r="Z411" s="251"/>
    </row>
    <row r="412" spans="1:26" ht="14.25" customHeight="1" x14ac:dyDescent="0.35">
      <c r="A412" s="251"/>
      <c r="B412" s="251"/>
      <c r="C412" s="251"/>
      <c r="D412" s="251"/>
      <c r="E412" s="251"/>
      <c r="F412" s="251"/>
      <c r="G412" s="251"/>
      <c r="H412" s="251"/>
      <c r="I412" s="251"/>
      <c r="J412" s="251"/>
      <c r="K412" s="251"/>
      <c r="L412" s="251"/>
      <c r="M412" s="251"/>
      <c r="N412" s="251"/>
      <c r="O412" s="251"/>
      <c r="P412" s="251"/>
      <c r="Q412" s="251"/>
      <c r="R412" s="251"/>
      <c r="S412" s="251"/>
      <c r="T412" s="251"/>
      <c r="U412" s="251"/>
      <c r="V412" s="251"/>
      <c r="W412" s="251"/>
      <c r="X412" s="251"/>
      <c r="Y412" s="251"/>
      <c r="Z412" s="251"/>
    </row>
    <row r="413" spans="1:26" ht="14.25" customHeight="1" x14ac:dyDescent="0.35">
      <c r="A413" s="251"/>
      <c r="B413" s="251"/>
      <c r="C413" s="251"/>
      <c r="D413" s="251"/>
      <c r="E413" s="251"/>
      <c r="F413" s="251"/>
      <c r="G413" s="251"/>
      <c r="H413" s="251"/>
      <c r="I413" s="251"/>
      <c r="J413" s="251"/>
      <c r="K413" s="251"/>
      <c r="L413" s="251"/>
      <c r="M413" s="251"/>
      <c r="N413" s="251"/>
      <c r="O413" s="251"/>
      <c r="P413" s="251"/>
      <c r="Q413" s="251"/>
      <c r="R413" s="251"/>
      <c r="S413" s="251"/>
      <c r="T413" s="251"/>
      <c r="U413" s="251"/>
      <c r="V413" s="251"/>
      <c r="W413" s="251"/>
      <c r="X413" s="251"/>
      <c r="Y413" s="251"/>
      <c r="Z413" s="251"/>
    </row>
    <row r="414" spans="1:26" ht="14.25" customHeight="1" x14ac:dyDescent="0.35">
      <c r="A414" s="251"/>
      <c r="B414" s="251"/>
      <c r="C414" s="251"/>
      <c r="D414" s="251"/>
      <c r="E414" s="251"/>
      <c r="F414" s="251"/>
      <c r="G414" s="251"/>
      <c r="H414" s="251"/>
      <c r="I414" s="251"/>
      <c r="J414" s="251"/>
      <c r="K414" s="251"/>
      <c r="L414" s="251"/>
      <c r="M414" s="251"/>
      <c r="N414" s="251"/>
      <c r="O414" s="251"/>
      <c r="P414" s="251"/>
      <c r="Q414" s="251"/>
      <c r="R414" s="251"/>
      <c r="S414" s="251"/>
      <c r="T414" s="251"/>
      <c r="U414" s="251"/>
      <c r="V414" s="251"/>
      <c r="W414" s="251"/>
      <c r="X414" s="251"/>
      <c r="Y414" s="251"/>
      <c r="Z414" s="251"/>
    </row>
    <row r="415" spans="1:26" ht="14.25" customHeight="1" x14ac:dyDescent="0.35">
      <c r="A415" s="251"/>
      <c r="B415" s="251"/>
      <c r="C415" s="251"/>
      <c r="D415" s="251"/>
      <c r="E415" s="251"/>
      <c r="F415" s="251"/>
      <c r="G415" s="251"/>
      <c r="H415" s="251"/>
      <c r="I415" s="251"/>
      <c r="J415" s="251"/>
      <c r="K415" s="251"/>
      <c r="L415" s="251"/>
      <c r="M415" s="251"/>
      <c r="N415" s="251"/>
      <c r="O415" s="251"/>
      <c r="P415" s="251"/>
      <c r="Q415" s="251"/>
      <c r="R415" s="251"/>
      <c r="S415" s="251"/>
      <c r="T415" s="251"/>
      <c r="U415" s="251"/>
      <c r="V415" s="251"/>
      <c r="W415" s="251"/>
      <c r="X415" s="251"/>
      <c r="Y415" s="251"/>
      <c r="Z415" s="251"/>
    </row>
    <row r="416" spans="1:26" ht="14.25" customHeight="1" x14ac:dyDescent="0.35">
      <c r="A416" s="251"/>
      <c r="B416" s="251"/>
      <c r="C416" s="251"/>
      <c r="D416" s="251"/>
      <c r="E416" s="251"/>
      <c r="F416" s="251"/>
      <c r="G416" s="251"/>
      <c r="H416" s="251"/>
      <c r="I416" s="251"/>
      <c r="J416" s="251"/>
      <c r="K416" s="251"/>
      <c r="L416" s="251"/>
      <c r="M416" s="251"/>
      <c r="N416" s="251"/>
      <c r="O416" s="251"/>
      <c r="P416" s="251"/>
      <c r="Q416" s="251"/>
      <c r="R416" s="251"/>
      <c r="S416" s="251"/>
      <c r="T416" s="251"/>
      <c r="U416" s="251"/>
      <c r="V416" s="251"/>
      <c r="W416" s="251"/>
      <c r="X416" s="251"/>
      <c r="Y416" s="251"/>
      <c r="Z416" s="251"/>
    </row>
    <row r="417" spans="1:26" ht="14.25" customHeight="1" x14ac:dyDescent="0.35">
      <c r="A417" s="251"/>
      <c r="B417" s="251"/>
      <c r="C417" s="251"/>
      <c r="D417" s="251"/>
      <c r="E417" s="251"/>
      <c r="F417" s="251"/>
      <c r="G417" s="251"/>
      <c r="H417" s="251"/>
      <c r="I417" s="251"/>
      <c r="J417" s="251"/>
      <c r="K417" s="251"/>
      <c r="L417" s="251"/>
      <c r="M417" s="251"/>
      <c r="N417" s="251"/>
      <c r="O417" s="251"/>
      <c r="P417" s="251"/>
      <c r="Q417" s="251"/>
      <c r="R417" s="251"/>
      <c r="S417" s="251"/>
      <c r="T417" s="251"/>
      <c r="U417" s="251"/>
      <c r="V417" s="251"/>
      <c r="W417" s="251"/>
      <c r="X417" s="251"/>
      <c r="Y417" s="251"/>
      <c r="Z417" s="251"/>
    </row>
    <row r="418" spans="1:26" ht="14.25" customHeight="1" x14ac:dyDescent="0.35">
      <c r="A418" s="251"/>
      <c r="B418" s="251"/>
      <c r="C418" s="251"/>
      <c r="D418" s="251"/>
      <c r="E418" s="251"/>
      <c r="F418" s="251"/>
      <c r="G418" s="251"/>
      <c r="H418" s="251"/>
      <c r="I418" s="251"/>
      <c r="J418" s="251"/>
      <c r="K418" s="251"/>
      <c r="L418" s="251"/>
      <c r="M418" s="251"/>
      <c r="N418" s="251"/>
      <c r="O418" s="251"/>
      <c r="P418" s="251"/>
      <c r="Q418" s="251"/>
      <c r="R418" s="251"/>
      <c r="S418" s="251"/>
      <c r="T418" s="251"/>
      <c r="U418" s="251"/>
      <c r="V418" s="251"/>
      <c r="W418" s="251"/>
      <c r="X418" s="251"/>
      <c r="Y418" s="251"/>
      <c r="Z418" s="251"/>
    </row>
    <row r="419" spans="1:26" ht="14.25" customHeight="1" x14ac:dyDescent="0.35">
      <c r="A419" s="251"/>
      <c r="B419" s="251"/>
      <c r="C419" s="251"/>
      <c r="D419" s="251"/>
      <c r="E419" s="251"/>
      <c r="F419" s="251"/>
      <c r="G419" s="251"/>
      <c r="H419" s="251"/>
      <c r="I419" s="251"/>
      <c r="J419" s="251"/>
      <c r="K419" s="251"/>
      <c r="L419" s="251"/>
      <c r="M419" s="251"/>
      <c r="N419" s="251"/>
      <c r="O419" s="251"/>
      <c r="P419" s="251"/>
      <c r="Q419" s="251"/>
      <c r="R419" s="251"/>
      <c r="S419" s="251"/>
      <c r="T419" s="251"/>
      <c r="U419" s="251"/>
      <c r="V419" s="251"/>
      <c r="W419" s="251"/>
      <c r="X419" s="251"/>
      <c r="Y419" s="251"/>
      <c r="Z419" s="251"/>
    </row>
    <row r="420" spans="1:26" ht="14.25" customHeight="1" x14ac:dyDescent="0.35">
      <c r="A420" s="251"/>
      <c r="B420" s="251"/>
      <c r="C420" s="251"/>
      <c r="D420" s="251"/>
      <c r="E420" s="251"/>
      <c r="F420" s="251"/>
      <c r="G420" s="251"/>
      <c r="H420" s="251"/>
      <c r="I420" s="251"/>
      <c r="J420" s="251"/>
      <c r="K420" s="251"/>
      <c r="L420" s="251"/>
      <c r="M420" s="251"/>
      <c r="N420" s="251"/>
      <c r="O420" s="251"/>
      <c r="P420" s="251"/>
      <c r="Q420" s="251"/>
      <c r="R420" s="251"/>
      <c r="S420" s="251"/>
      <c r="T420" s="251"/>
      <c r="U420" s="251"/>
      <c r="V420" s="251"/>
      <c r="W420" s="251"/>
      <c r="X420" s="251"/>
      <c r="Y420" s="251"/>
      <c r="Z420" s="251"/>
    </row>
    <row r="421" spans="1:26" ht="14.25" customHeight="1" x14ac:dyDescent="0.35">
      <c r="A421" s="251"/>
      <c r="B421" s="251"/>
      <c r="C421" s="251"/>
      <c r="D421" s="251"/>
      <c r="E421" s="251"/>
      <c r="F421" s="251"/>
      <c r="G421" s="251"/>
      <c r="H421" s="251"/>
      <c r="I421" s="251"/>
      <c r="J421" s="251"/>
      <c r="K421" s="251"/>
      <c r="L421" s="251"/>
      <c r="M421" s="251"/>
      <c r="N421" s="251"/>
      <c r="O421" s="251"/>
      <c r="P421" s="251"/>
      <c r="Q421" s="251"/>
      <c r="R421" s="251"/>
      <c r="S421" s="251"/>
      <c r="T421" s="251"/>
      <c r="U421" s="251"/>
      <c r="V421" s="251"/>
      <c r="W421" s="251"/>
      <c r="X421" s="251"/>
      <c r="Y421" s="251"/>
      <c r="Z421" s="251"/>
    </row>
    <row r="422" spans="1:26" ht="14.25" customHeight="1" x14ac:dyDescent="0.35">
      <c r="A422" s="251"/>
      <c r="B422" s="251"/>
      <c r="C422" s="251"/>
      <c r="D422" s="251"/>
      <c r="E422" s="251"/>
      <c r="F422" s="251"/>
      <c r="G422" s="251"/>
      <c r="H422" s="251"/>
      <c r="I422" s="251"/>
      <c r="J422" s="251"/>
      <c r="K422" s="251"/>
      <c r="L422" s="251"/>
      <c r="M422" s="251"/>
      <c r="N422" s="251"/>
      <c r="O422" s="251"/>
      <c r="P422" s="251"/>
      <c r="Q422" s="251"/>
      <c r="R422" s="251"/>
      <c r="S422" s="251"/>
      <c r="T422" s="251"/>
      <c r="U422" s="251"/>
      <c r="V422" s="251"/>
      <c r="W422" s="251"/>
      <c r="X422" s="251"/>
      <c r="Y422" s="251"/>
      <c r="Z422" s="251"/>
    </row>
    <row r="423" spans="1:26" ht="14.25" customHeight="1" x14ac:dyDescent="0.35">
      <c r="A423" s="251"/>
      <c r="B423" s="251"/>
      <c r="C423" s="251"/>
      <c r="D423" s="251"/>
      <c r="E423" s="251"/>
      <c r="F423" s="251"/>
      <c r="G423" s="251"/>
      <c r="H423" s="251"/>
      <c r="I423" s="251"/>
      <c r="J423" s="251"/>
      <c r="K423" s="251"/>
      <c r="L423" s="251"/>
      <c r="M423" s="251"/>
      <c r="N423" s="251"/>
      <c r="O423" s="251"/>
      <c r="P423" s="251"/>
      <c r="Q423" s="251"/>
      <c r="R423" s="251"/>
      <c r="S423" s="251"/>
      <c r="T423" s="251"/>
      <c r="U423" s="251"/>
      <c r="V423" s="251"/>
      <c r="W423" s="251"/>
      <c r="X423" s="251"/>
      <c r="Y423" s="251"/>
      <c r="Z423" s="251"/>
    </row>
    <row r="424" spans="1:26" ht="14.25" customHeight="1" x14ac:dyDescent="0.35">
      <c r="A424" s="251"/>
      <c r="B424" s="251"/>
      <c r="C424" s="251"/>
      <c r="D424" s="251"/>
      <c r="E424" s="251"/>
      <c r="F424" s="251"/>
      <c r="G424" s="251"/>
      <c r="H424" s="251"/>
      <c r="I424" s="251"/>
      <c r="J424" s="251"/>
      <c r="K424" s="251"/>
      <c r="L424" s="251"/>
      <c r="M424" s="251"/>
      <c r="N424" s="251"/>
      <c r="O424" s="251"/>
      <c r="P424" s="251"/>
      <c r="Q424" s="251"/>
      <c r="R424" s="251"/>
      <c r="S424" s="251"/>
      <c r="T424" s="251"/>
      <c r="U424" s="251"/>
      <c r="V424" s="251"/>
      <c r="W424" s="251"/>
      <c r="X424" s="251"/>
      <c r="Y424" s="251"/>
      <c r="Z424" s="251"/>
    </row>
    <row r="425" spans="1:26" ht="14.25" customHeight="1" x14ac:dyDescent="0.35">
      <c r="A425" s="251"/>
      <c r="B425" s="251"/>
      <c r="C425" s="251"/>
      <c r="D425" s="251"/>
      <c r="E425" s="251"/>
      <c r="F425" s="251"/>
      <c r="G425" s="251"/>
      <c r="H425" s="251"/>
      <c r="I425" s="251"/>
      <c r="J425" s="251"/>
      <c r="K425" s="251"/>
      <c r="L425" s="251"/>
      <c r="M425" s="251"/>
      <c r="N425" s="251"/>
      <c r="O425" s="251"/>
      <c r="P425" s="251"/>
      <c r="Q425" s="251"/>
      <c r="R425" s="251"/>
      <c r="S425" s="251"/>
      <c r="T425" s="251"/>
      <c r="U425" s="251"/>
      <c r="V425" s="251"/>
      <c r="W425" s="251"/>
      <c r="X425" s="251"/>
      <c r="Y425" s="251"/>
      <c r="Z425" s="251"/>
    </row>
    <row r="426" spans="1:26" ht="14.25" customHeight="1" x14ac:dyDescent="0.35">
      <c r="A426" s="251"/>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row>
    <row r="427" spans="1:26" ht="14.25" customHeight="1" x14ac:dyDescent="0.35">
      <c r="A427" s="251"/>
      <c r="B427" s="251"/>
      <c r="C427" s="251"/>
      <c r="D427" s="251"/>
      <c r="E427" s="251"/>
      <c r="F427" s="251"/>
      <c r="G427" s="251"/>
      <c r="H427" s="251"/>
      <c r="I427" s="251"/>
      <c r="J427" s="251"/>
      <c r="K427" s="251"/>
      <c r="L427" s="251"/>
      <c r="M427" s="251"/>
      <c r="N427" s="251"/>
      <c r="O427" s="251"/>
      <c r="P427" s="251"/>
      <c r="Q427" s="251"/>
      <c r="R427" s="251"/>
      <c r="S427" s="251"/>
      <c r="T427" s="251"/>
      <c r="U427" s="251"/>
      <c r="V427" s="251"/>
      <c r="W427" s="251"/>
      <c r="X427" s="251"/>
      <c r="Y427" s="251"/>
      <c r="Z427" s="251"/>
    </row>
    <row r="428" spans="1:26" ht="14.25" customHeight="1" x14ac:dyDescent="0.35">
      <c r="A428" s="251"/>
      <c r="B428" s="251"/>
      <c r="C428" s="251"/>
      <c r="D428" s="251"/>
      <c r="E428" s="251"/>
      <c r="F428" s="251"/>
      <c r="G428" s="251"/>
      <c r="H428" s="251"/>
      <c r="I428" s="251"/>
      <c r="J428" s="251"/>
      <c r="K428" s="251"/>
      <c r="L428" s="251"/>
      <c r="M428" s="251"/>
      <c r="N428" s="251"/>
      <c r="O428" s="251"/>
      <c r="P428" s="251"/>
      <c r="Q428" s="251"/>
      <c r="R428" s="251"/>
      <c r="S428" s="251"/>
      <c r="T428" s="251"/>
      <c r="U428" s="251"/>
      <c r="V428" s="251"/>
      <c r="W428" s="251"/>
      <c r="X428" s="251"/>
      <c r="Y428" s="251"/>
      <c r="Z428" s="251"/>
    </row>
    <row r="429" spans="1:26" ht="14.25" customHeight="1" x14ac:dyDescent="0.35">
      <c r="A429" s="251"/>
      <c r="B429" s="251"/>
      <c r="C429" s="251"/>
      <c r="D429" s="251"/>
      <c r="E429" s="251"/>
      <c r="F429" s="251"/>
      <c r="G429" s="251"/>
      <c r="H429" s="251"/>
      <c r="I429" s="251"/>
      <c r="J429" s="251"/>
      <c r="K429" s="251"/>
      <c r="L429" s="251"/>
      <c r="M429" s="251"/>
      <c r="N429" s="251"/>
      <c r="O429" s="251"/>
      <c r="P429" s="251"/>
      <c r="Q429" s="251"/>
      <c r="R429" s="251"/>
      <c r="S429" s="251"/>
      <c r="T429" s="251"/>
      <c r="U429" s="251"/>
      <c r="V429" s="251"/>
      <c r="W429" s="251"/>
      <c r="X429" s="251"/>
      <c r="Y429" s="251"/>
      <c r="Z429" s="251"/>
    </row>
    <row r="430" spans="1:26" ht="14.25" customHeight="1" x14ac:dyDescent="0.35">
      <c r="A430" s="251"/>
      <c r="B430" s="251"/>
      <c r="C430" s="251"/>
      <c r="D430" s="251"/>
      <c r="E430" s="251"/>
      <c r="F430" s="251"/>
      <c r="G430" s="251"/>
      <c r="H430" s="251"/>
      <c r="I430" s="251"/>
      <c r="J430" s="251"/>
      <c r="K430" s="251"/>
      <c r="L430" s="251"/>
      <c r="M430" s="251"/>
      <c r="N430" s="251"/>
      <c r="O430" s="251"/>
      <c r="P430" s="251"/>
      <c r="Q430" s="251"/>
      <c r="R430" s="251"/>
      <c r="S430" s="251"/>
      <c r="T430" s="251"/>
      <c r="U430" s="251"/>
      <c r="V430" s="251"/>
      <c r="W430" s="251"/>
      <c r="X430" s="251"/>
      <c r="Y430" s="251"/>
      <c r="Z430" s="251"/>
    </row>
    <row r="431" spans="1:26" ht="14.25" customHeight="1" x14ac:dyDescent="0.35">
      <c r="A431" s="251"/>
      <c r="B431" s="251"/>
      <c r="C431" s="251"/>
      <c r="D431" s="251"/>
      <c r="E431" s="251"/>
      <c r="F431" s="251"/>
      <c r="G431" s="251"/>
      <c r="H431" s="251"/>
      <c r="I431" s="251"/>
      <c r="J431" s="251"/>
      <c r="K431" s="251"/>
      <c r="L431" s="251"/>
      <c r="M431" s="251"/>
      <c r="N431" s="251"/>
      <c r="O431" s="251"/>
      <c r="P431" s="251"/>
      <c r="Q431" s="251"/>
      <c r="R431" s="251"/>
      <c r="S431" s="251"/>
      <c r="T431" s="251"/>
      <c r="U431" s="251"/>
      <c r="V431" s="251"/>
      <c r="W431" s="251"/>
      <c r="X431" s="251"/>
      <c r="Y431" s="251"/>
      <c r="Z431" s="251"/>
    </row>
    <row r="432" spans="1:26" ht="14.25" customHeight="1" x14ac:dyDescent="0.35">
      <c r="A432" s="251"/>
      <c r="B432" s="251"/>
      <c r="C432" s="251"/>
      <c r="D432" s="251"/>
      <c r="E432" s="251"/>
      <c r="F432" s="251"/>
      <c r="G432" s="251"/>
      <c r="H432" s="251"/>
      <c r="I432" s="251"/>
      <c r="J432" s="251"/>
      <c r="K432" s="251"/>
      <c r="L432" s="251"/>
      <c r="M432" s="251"/>
      <c r="N432" s="251"/>
      <c r="O432" s="251"/>
      <c r="P432" s="251"/>
      <c r="Q432" s="251"/>
      <c r="R432" s="251"/>
      <c r="S432" s="251"/>
      <c r="T432" s="251"/>
      <c r="U432" s="251"/>
      <c r="V432" s="251"/>
      <c r="W432" s="251"/>
      <c r="X432" s="251"/>
      <c r="Y432" s="251"/>
      <c r="Z432" s="251"/>
    </row>
    <row r="433" spans="1:26" ht="14.25" customHeight="1" x14ac:dyDescent="0.35">
      <c r="A433" s="251"/>
      <c r="B433" s="251"/>
      <c r="C433" s="251"/>
      <c r="D433" s="251"/>
      <c r="E433" s="251"/>
      <c r="F433" s="251"/>
      <c r="G433" s="251"/>
      <c r="H433" s="251"/>
      <c r="I433" s="251"/>
      <c r="J433" s="251"/>
      <c r="K433" s="251"/>
      <c r="L433" s="251"/>
      <c r="M433" s="251"/>
      <c r="N433" s="251"/>
      <c r="O433" s="251"/>
      <c r="P433" s="251"/>
      <c r="Q433" s="251"/>
      <c r="R433" s="251"/>
      <c r="S433" s="251"/>
      <c r="T433" s="251"/>
      <c r="U433" s="251"/>
      <c r="V433" s="251"/>
      <c r="W433" s="251"/>
      <c r="X433" s="251"/>
      <c r="Y433" s="251"/>
      <c r="Z433" s="251"/>
    </row>
    <row r="434" spans="1:26" ht="14.25" customHeight="1" x14ac:dyDescent="0.35">
      <c r="A434" s="251"/>
      <c r="B434" s="251"/>
      <c r="C434" s="251"/>
      <c r="D434" s="251"/>
      <c r="E434" s="251"/>
      <c r="F434" s="251"/>
      <c r="G434" s="251"/>
      <c r="H434" s="251"/>
      <c r="I434" s="251"/>
      <c r="J434" s="251"/>
      <c r="K434" s="251"/>
      <c r="L434" s="251"/>
      <c r="M434" s="251"/>
      <c r="N434" s="251"/>
      <c r="O434" s="251"/>
      <c r="P434" s="251"/>
      <c r="Q434" s="251"/>
      <c r="R434" s="251"/>
      <c r="S434" s="251"/>
      <c r="T434" s="251"/>
      <c r="U434" s="251"/>
      <c r="V434" s="251"/>
      <c r="W434" s="251"/>
      <c r="X434" s="251"/>
      <c r="Y434" s="251"/>
      <c r="Z434" s="251"/>
    </row>
    <row r="435" spans="1:26" ht="14.25" customHeight="1" x14ac:dyDescent="0.35">
      <c r="A435" s="251"/>
      <c r="B435" s="251"/>
      <c r="C435" s="251"/>
      <c r="D435" s="251"/>
      <c r="E435" s="251"/>
      <c r="F435" s="251"/>
      <c r="G435" s="251"/>
      <c r="H435" s="251"/>
      <c r="I435" s="251"/>
      <c r="J435" s="251"/>
      <c r="K435" s="251"/>
      <c r="L435" s="251"/>
      <c r="M435" s="251"/>
      <c r="N435" s="251"/>
      <c r="O435" s="251"/>
      <c r="P435" s="251"/>
      <c r="Q435" s="251"/>
      <c r="R435" s="251"/>
      <c r="S435" s="251"/>
      <c r="T435" s="251"/>
      <c r="U435" s="251"/>
      <c r="V435" s="251"/>
      <c r="W435" s="251"/>
      <c r="X435" s="251"/>
      <c r="Y435" s="251"/>
      <c r="Z435" s="251"/>
    </row>
    <row r="436" spans="1:26" ht="14.25" customHeight="1" x14ac:dyDescent="0.35">
      <c r="A436" s="251"/>
      <c r="B436" s="251"/>
      <c r="C436" s="251"/>
      <c r="D436" s="251"/>
      <c r="E436" s="251"/>
      <c r="F436" s="251"/>
      <c r="G436" s="251"/>
      <c r="H436" s="251"/>
      <c r="I436" s="251"/>
      <c r="J436" s="251"/>
      <c r="K436" s="251"/>
      <c r="L436" s="251"/>
      <c r="M436" s="251"/>
      <c r="N436" s="251"/>
      <c r="O436" s="251"/>
      <c r="P436" s="251"/>
      <c r="Q436" s="251"/>
      <c r="R436" s="251"/>
      <c r="S436" s="251"/>
      <c r="T436" s="251"/>
      <c r="U436" s="251"/>
      <c r="V436" s="251"/>
      <c r="W436" s="251"/>
      <c r="X436" s="251"/>
      <c r="Y436" s="251"/>
      <c r="Z436" s="251"/>
    </row>
    <row r="437" spans="1:26" ht="14.25" customHeight="1" x14ac:dyDescent="0.35">
      <c r="A437" s="251"/>
      <c r="B437" s="251"/>
      <c r="C437" s="251"/>
      <c r="D437" s="251"/>
      <c r="E437" s="251"/>
      <c r="F437" s="251"/>
      <c r="G437" s="251"/>
      <c r="H437" s="251"/>
      <c r="I437" s="251"/>
      <c r="J437" s="251"/>
      <c r="K437" s="251"/>
      <c r="L437" s="251"/>
      <c r="M437" s="251"/>
      <c r="N437" s="251"/>
      <c r="O437" s="251"/>
      <c r="P437" s="251"/>
      <c r="Q437" s="251"/>
      <c r="R437" s="251"/>
      <c r="S437" s="251"/>
      <c r="T437" s="251"/>
      <c r="U437" s="251"/>
      <c r="V437" s="251"/>
      <c r="W437" s="251"/>
      <c r="X437" s="251"/>
      <c r="Y437" s="251"/>
      <c r="Z437" s="251"/>
    </row>
    <row r="438" spans="1:26" ht="14.25" customHeight="1" x14ac:dyDescent="0.35">
      <c r="A438" s="251"/>
      <c r="B438" s="251"/>
      <c r="C438" s="251"/>
      <c r="D438" s="251"/>
      <c r="E438" s="251"/>
      <c r="F438" s="251"/>
      <c r="G438" s="251"/>
      <c r="H438" s="251"/>
      <c r="I438" s="251"/>
      <c r="J438" s="251"/>
      <c r="K438" s="251"/>
      <c r="L438" s="251"/>
      <c r="M438" s="251"/>
      <c r="N438" s="251"/>
      <c r="O438" s="251"/>
      <c r="P438" s="251"/>
      <c r="Q438" s="251"/>
      <c r="R438" s="251"/>
      <c r="S438" s="251"/>
      <c r="T438" s="251"/>
      <c r="U438" s="251"/>
      <c r="V438" s="251"/>
      <c r="W438" s="251"/>
      <c r="X438" s="251"/>
      <c r="Y438" s="251"/>
      <c r="Z438" s="251"/>
    </row>
    <row r="439" spans="1:26" ht="14.25" customHeight="1" x14ac:dyDescent="0.35">
      <c r="A439" s="251"/>
      <c r="B439" s="251"/>
      <c r="C439" s="251"/>
      <c r="D439" s="251"/>
      <c r="E439" s="251"/>
      <c r="F439" s="251"/>
      <c r="G439" s="251"/>
      <c r="H439" s="251"/>
      <c r="I439" s="251"/>
      <c r="J439" s="251"/>
      <c r="K439" s="251"/>
      <c r="L439" s="251"/>
      <c r="M439" s="251"/>
      <c r="N439" s="251"/>
      <c r="O439" s="251"/>
      <c r="P439" s="251"/>
      <c r="Q439" s="251"/>
      <c r="R439" s="251"/>
      <c r="S439" s="251"/>
      <c r="T439" s="251"/>
      <c r="U439" s="251"/>
      <c r="V439" s="251"/>
      <c r="W439" s="251"/>
      <c r="X439" s="251"/>
      <c r="Y439" s="251"/>
      <c r="Z439" s="251"/>
    </row>
    <row r="440" spans="1:26" ht="14.25" customHeight="1" x14ac:dyDescent="0.35">
      <c r="A440" s="251"/>
      <c r="B440" s="251"/>
      <c r="C440" s="251"/>
      <c r="D440" s="251"/>
      <c r="E440" s="251"/>
      <c r="F440" s="251"/>
      <c r="G440" s="251"/>
      <c r="H440" s="251"/>
      <c r="I440" s="251"/>
      <c r="J440" s="251"/>
      <c r="K440" s="251"/>
      <c r="L440" s="251"/>
      <c r="M440" s="251"/>
      <c r="N440" s="251"/>
      <c r="O440" s="251"/>
      <c r="P440" s="251"/>
      <c r="Q440" s="251"/>
      <c r="R440" s="251"/>
      <c r="S440" s="251"/>
      <c r="T440" s="251"/>
      <c r="U440" s="251"/>
      <c r="V440" s="251"/>
      <c r="W440" s="251"/>
      <c r="X440" s="251"/>
      <c r="Y440" s="251"/>
      <c r="Z440" s="251"/>
    </row>
    <row r="441" spans="1:26" ht="14.25" customHeight="1" x14ac:dyDescent="0.35">
      <c r="A441" s="251"/>
      <c r="B441" s="251"/>
      <c r="C441" s="251"/>
      <c r="D441" s="251"/>
      <c r="E441" s="251"/>
      <c r="F441" s="251"/>
      <c r="G441" s="251"/>
      <c r="H441" s="251"/>
      <c r="I441" s="251"/>
      <c r="J441" s="251"/>
      <c r="K441" s="251"/>
      <c r="L441" s="251"/>
      <c r="M441" s="251"/>
      <c r="N441" s="251"/>
      <c r="O441" s="251"/>
      <c r="P441" s="251"/>
      <c r="Q441" s="251"/>
      <c r="R441" s="251"/>
      <c r="S441" s="251"/>
      <c r="T441" s="251"/>
      <c r="U441" s="251"/>
      <c r="V441" s="251"/>
      <c r="W441" s="251"/>
      <c r="X441" s="251"/>
      <c r="Y441" s="251"/>
      <c r="Z441" s="251"/>
    </row>
    <row r="442" spans="1:26" ht="14.25" customHeight="1" x14ac:dyDescent="0.35">
      <c r="A442" s="251"/>
      <c r="B442" s="251"/>
      <c r="C442" s="251"/>
      <c r="D442" s="251"/>
      <c r="E442" s="251"/>
      <c r="F442" s="251"/>
      <c r="G442" s="251"/>
      <c r="H442" s="251"/>
      <c r="I442" s="251"/>
      <c r="J442" s="251"/>
      <c r="K442" s="251"/>
      <c r="L442" s="251"/>
      <c r="M442" s="251"/>
      <c r="N442" s="251"/>
      <c r="O442" s="251"/>
      <c r="P442" s="251"/>
      <c r="Q442" s="251"/>
      <c r="R442" s="251"/>
      <c r="S442" s="251"/>
      <c r="T442" s="251"/>
      <c r="U442" s="251"/>
      <c r="V442" s="251"/>
      <c r="W442" s="251"/>
      <c r="X442" s="251"/>
      <c r="Y442" s="251"/>
      <c r="Z442" s="251"/>
    </row>
    <row r="443" spans="1:26" ht="14.25" customHeight="1" x14ac:dyDescent="0.35">
      <c r="A443" s="251"/>
      <c r="B443" s="251"/>
      <c r="C443" s="251"/>
      <c r="D443" s="251"/>
      <c r="E443" s="251"/>
      <c r="F443" s="251"/>
      <c r="G443" s="251"/>
      <c r="H443" s="251"/>
      <c r="I443" s="251"/>
      <c r="J443" s="251"/>
      <c r="K443" s="251"/>
      <c r="L443" s="251"/>
      <c r="M443" s="251"/>
      <c r="N443" s="251"/>
      <c r="O443" s="251"/>
      <c r="P443" s="251"/>
      <c r="Q443" s="251"/>
      <c r="R443" s="251"/>
      <c r="S443" s="251"/>
      <c r="T443" s="251"/>
      <c r="U443" s="251"/>
      <c r="V443" s="251"/>
      <c r="W443" s="251"/>
      <c r="X443" s="251"/>
      <c r="Y443" s="251"/>
      <c r="Z443" s="251"/>
    </row>
    <row r="444" spans="1:26" ht="14.25" customHeight="1" x14ac:dyDescent="0.35">
      <c r="A444" s="251"/>
      <c r="B444" s="251"/>
      <c r="C444" s="251"/>
      <c r="D444" s="251"/>
      <c r="E444" s="251"/>
      <c r="F444" s="251"/>
      <c r="G444" s="251"/>
      <c r="H444" s="251"/>
      <c r="I444" s="251"/>
      <c r="J444" s="251"/>
      <c r="K444" s="251"/>
      <c r="L444" s="251"/>
      <c r="M444" s="251"/>
      <c r="N444" s="251"/>
      <c r="O444" s="251"/>
      <c r="P444" s="251"/>
      <c r="Q444" s="251"/>
      <c r="R444" s="251"/>
      <c r="S444" s="251"/>
      <c r="T444" s="251"/>
      <c r="U444" s="251"/>
      <c r="V444" s="251"/>
      <c r="W444" s="251"/>
      <c r="X444" s="251"/>
      <c r="Y444" s="251"/>
      <c r="Z444" s="251"/>
    </row>
    <row r="445" spans="1:26" ht="14.25" customHeight="1" x14ac:dyDescent="0.35">
      <c r="A445" s="251"/>
      <c r="B445" s="251"/>
      <c r="C445" s="251"/>
      <c r="D445" s="251"/>
      <c r="E445" s="251"/>
      <c r="F445" s="251"/>
      <c r="G445" s="251"/>
      <c r="H445" s="251"/>
      <c r="I445" s="251"/>
      <c r="J445" s="251"/>
      <c r="K445" s="251"/>
      <c r="L445" s="251"/>
      <c r="M445" s="251"/>
      <c r="N445" s="251"/>
      <c r="O445" s="251"/>
      <c r="P445" s="251"/>
      <c r="Q445" s="251"/>
      <c r="R445" s="251"/>
      <c r="S445" s="251"/>
      <c r="T445" s="251"/>
      <c r="U445" s="251"/>
      <c r="V445" s="251"/>
      <c r="W445" s="251"/>
      <c r="X445" s="251"/>
      <c r="Y445" s="251"/>
      <c r="Z445" s="251"/>
    </row>
    <row r="446" spans="1:26" ht="14.25" customHeight="1" x14ac:dyDescent="0.35">
      <c r="A446" s="251"/>
      <c r="B446" s="251"/>
      <c r="C446" s="251"/>
      <c r="D446" s="251"/>
      <c r="E446" s="251"/>
      <c r="F446" s="251"/>
      <c r="G446" s="251"/>
      <c r="H446" s="251"/>
      <c r="I446" s="251"/>
      <c r="J446" s="251"/>
      <c r="K446" s="251"/>
      <c r="L446" s="251"/>
      <c r="M446" s="251"/>
      <c r="N446" s="251"/>
      <c r="O446" s="251"/>
      <c r="P446" s="251"/>
      <c r="Q446" s="251"/>
      <c r="R446" s="251"/>
      <c r="S446" s="251"/>
      <c r="T446" s="251"/>
      <c r="U446" s="251"/>
      <c r="V446" s="251"/>
      <c r="W446" s="251"/>
      <c r="X446" s="251"/>
      <c r="Y446" s="251"/>
      <c r="Z446" s="251"/>
    </row>
    <row r="447" spans="1:26" ht="14.25" customHeight="1" x14ac:dyDescent="0.35">
      <c r="A447" s="251"/>
      <c r="B447" s="251"/>
      <c r="C447" s="251"/>
      <c r="D447" s="251"/>
      <c r="E447" s="251"/>
      <c r="F447" s="251"/>
      <c r="G447" s="251"/>
      <c r="H447" s="251"/>
      <c r="I447" s="251"/>
      <c r="J447" s="251"/>
      <c r="K447" s="251"/>
      <c r="L447" s="251"/>
      <c r="M447" s="251"/>
      <c r="N447" s="251"/>
      <c r="O447" s="251"/>
      <c r="P447" s="251"/>
      <c r="Q447" s="251"/>
      <c r="R447" s="251"/>
      <c r="S447" s="251"/>
      <c r="T447" s="251"/>
      <c r="U447" s="251"/>
      <c r="V447" s="251"/>
      <c r="W447" s="251"/>
      <c r="X447" s="251"/>
      <c r="Y447" s="251"/>
      <c r="Z447" s="251"/>
    </row>
    <row r="448" spans="1:26" ht="14.25" customHeight="1" x14ac:dyDescent="0.35">
      <c r="A448" s="251"/>
      <c r="B448" s="251"/>
      <c r="C448" s="251"/>
      <c r="D448" s="251"/>
      <c r="E448" s="251"/>
      <c r="F448" s="251"/>
      <c r="G448" s="251"/>
      <c r="H448" s="251"/>
      <c r="I448" s="251"/>
      <c r="J448" s="251"/>
      <c r="K448" s="251"/>
      <c r="L448" s="251"/>
      <c r="M448" s="251"/>
      <c r="N448" s="251"/>
      <c r="O448" s="251"/>
      <c r="P448" s="251"/>
      <c r="Q448" s="251"/>
      <c r="R448" s="251"/>
      <c r="S448" s="251"/>
      <c r="T448" s="251"/>
      <c r="U448" s="251"/>
      <c r="V448" s="251"/>
      <c r="W448" s="251"/>
      <c r="X448" s="251"/>
      <c r="Y448" s="251"/>
      <c r="Z448" s="251"/>
    </row>
    <row r="449" spans="1:26" ht="14.25" customHeight="1" x14ac:dyDescent="0.35">
      <c r="A449" s="251"/>
      <c r="B449" s="251"/>
      <c r="C449" s="251"/>
      <c r="D449" s="251"/>
      <c r="E449" s="251"/>
      <c r="F449" s="251"/>
      <c r="G449" s="251"/>
      <c r="H449" s="251"/>
      <c r="I449" s="251"/>
      <c r="J449" s="251"/>
      <c r="K449" s="251"/>
      <c r="L449" s="251"/>
      <c r="M449" s="251"/>
      <c r="N449" s="251"/>
      <c r="O449" s="251"/>
      <c r="P449" s="251"/>
      <c r="Q449" s="251"/>
      <c r="R449" s="251"/>
      <c r="S449" s="251"/>
      <c r="T449" s="251"/>
      <c r="U449" s="251"/>
      <c r="V449" s="251"/>
      <c r="W449" s="251"/>
      <c r="X449" s="251"/>
      <c r="Y449" s="251"/>
      <c r="Z449" s="251"/>
    </row>
    <row r="450" spans="1:26" ht="14.25" customHeight="1" x14ac:dyDescent="0.35">
      <c r="A450" s="251"/>
      <c r="B450" s="251"/>
      <c r="C450" s="251"/>
      <c r="D450" s="251"/>
      <c r="E450" s="251"/>
      <c r="F450" s="251"/>
      <c r="G450" s="251"/>
      <c r="H450" s="251"/>
      <c r="I450" s="251"/>
      <c r="J450" s="251"/>
      <c r="K450" s="251"/>
      <c r="L450" s="251"/>
      <c r="M450" s="251"/>
      <c r="N450" s="251"/>
      <c r="O450" s="251"/>
      <c r="P450" s="251"/>
      <c r="Q450" s="251"/>
      <c r="R450" s="251"/>
      <c r="S450" s="251"/>
      <c r="T450" s="251"/>
      <c r="U450" s="251"/>
      <c r="V450" s="251"/>
      <c r="W450" s="251"/>
      <c r="X450" s="251"/>
      <c r="Y450" s="251"/>
      <c r="Z450" s="251"/>
    </row>
    <row r="451" spans="1:26" ht="14.25" customHeight="1" x14ac:dyDescent="0.35">
      <c r="A451" s="251"/>
      <c r="B451" s="251"/>
      <c r="C451" s="251"/>
      <c r="D451" s="251"/>
      <c r="E451" s="251"/>
      <c r="F451" s="251"/>
      <c r="G451" s="251"/>
      <c r="H451" s="251"/>
      <c r="I451" s="251"/>
      <c r="J451" s="251"/>
      <c r="K451" s="251"/>
      <c r="L451" s="251"/>
      <c r="M451" s="251"/>
      <c r="N451" s="251"/>
      <c r="O451" s="251"/>
      <c r="P451" s="251"/>
      <c r="Q451" s="251"/>
      <c r="R451" s="251"/>
      <c r="S451" s="251"/>
      <c r="T451" s="251"/>
      <c r="U451" s="251"/>
      <c r="V451" s="251"/>
      <c r="W451" s="251"/>
      <c r="X451" s="251"/>
      <c r="Y451" s="251"/>
      <c r="Z451" s="251"/>
    </row>
    <row r="452" spans="1:26" ht="14.25" customHeight="1" x14ac:dyDescent="0.35">
      <c r="A452" s="251"/>
      <c r="B452" s="251"/>
      <c r="C452" s="251"/>
      <c r="D452" s="251"/>
      <c r="E452" s="251"/>
      <c r="F452" s="251"/>
      <c r="G452" s="251"/>
      <c r="H452" s="251"/>
      <c r="I452" s="251"/>
      <c r="J452" s="251"/>
      <c r="K452" s="251"/>
      <c r="L452" s="251"/>
      <c r="M452" s="251"/>
      <c r="N452" s="251"/>
      <c r="O452" s="251"/>
      <c r="P452" s="251"/>
      <c r="Q452" s="251"/>
      <c r="R452" s="251"/>
      <c r="S452" s="251"/>
      <c r="T452" s="251"/>
      <c r="U452" s="251"/>
      <c r="V452" s="251"/>
      <c r="W452" s="251"/>
      <c r="X452" s="251"/>
      <c r="Y452" s="251"/>
      <c r="Z452" s="251"/>
    </row>
    <row r="453" spans="1:26" ht="14.25" customHeight="1" x14ac:dyDescent="0.35">
      <c r="A453" s="251"/>
      <c r="B453" s="251"/>
      <c r="C453" s="251"/>
      <c r="D453" s="251"/>
      <c r="E453" s="251"/>
      <c r="F453" s="251"/>
      <c r="G453" s="251"/>
      <c r="H453" s="251"/>
      <c r="I453" s="251"/>
      <c r="J453" s="251"/>
      <c r="K453" s="251"/>
      <c r="L453" s="251"/>
      <c r="M453" s="251"/>
      <c r="N453" s="251"/>
      <c r="O453" s="251"/>
      <c r="P453" s="251"/>
      <c r="Q453" s="251"/>
      <c r="R453" s="251"/>
      <c r="S453" s="251"/>
      <c r="T453" s="251"/>
      <c r="U453" s="251"/>
      <c r="V453" s="251"/>
      <c r="W453" s="251"/>
      <c r="X453" s="251"/>
      <c r="Y453" s="251"/>
      <c r="Z453" s="251"/>
    </row>
    <row r="454" spans="1:26" ht="14.25" customHeight="1" x14ac:dyDescent="0.35">
      <c r="A454" s="251"/>
      <c r="B454" s="251"/>
      <c r="C454" s="251"/>
      <c r="D454" s="251"/>
      <c r="E454" s="251"/>
      <c r="F454" s="251"/>
      <c r="G454" s="251"/>
      <c r="H454" s="251"/>
      <c r="I454" s="251"/>
      <c r="J454" s="251"/>
      <c r="K454" s="251"/>
      <c r="L454" s="251"/>
      <c r="M454" s="251"/>
      <c r="N454" s="251"/>
      <c r="O454" s="251"/>
      <c r="P454" s="251"/>
      <c r="Q454" s="251"/>
      <c r="R454" s="251"/>
      <c r="S454" s="251"/>
      <c r="T454" s="251"/>
      <c r="U454" s="251"/>
      <c r="V454" s="251"/>
      <c r="W454" s="251"/>
      <c r="X454" s="251"/>
      <c r="Y454" s="251"/>
      <c r="Z454" s="251"/>
    </row>
    <row r="455" spans="1:26" ht="14.25" customHeight="1" x14ac:dyDescent="0.35">
      <c r="A455" s="251"/>
      <c r="B455" s="251"/>
      <c r="C455" s="251"/>
      <c r="D455" s="251"/>
      <c r="E455" s="251"/>
      <c r="F455" s="251"/>
      <c r="G455" s="251"/>
      <c r="H455" s="251"/>
      <c r="I455" s="251"/>
      <c r="J455" s="251"/>
      <c r="K455" s="251"/>
      <c r="L455" s="251"/>
      <c r="M455" s="251"/>
      <c r="N455" s="251"/>
      <c r="O455" s="251"/>
      <c r="P455" s="251"/>
      <c r="Q455" s="251"/>
      <c r="R455" s="251"/>
      <c r="S455" s="251"/>
      <c r="T455" s="251"/>
      <c r="U455" s="251"/>
      <c r="V455" s="251"/>
      <c r="W455" s="251"/>
      <c r="X455" s="251"/>
      <c r="Y455" s="251"/>
      <c r="Z455" s="251"/>
    </row>
    <row r="456" spans="1:26" ht="14.25" customHeight="1" x14ac:dyDescent="0.35">
      <c r="A456" s="251"/>
      <c r="B456" s="251"/>
      <c r="C456" s="251"/>
      <c r="D456" s="251"/>
      <c r="E456" s="251"/>
      <c r="F456" s="251"/>
      <c r="G456" s="251"/>
      <c r="H456" s="251"/>
      <c r="I456" s="251"/>
      <c r="J456" s="251"/>
      <c r="K456" s="251"/>
      <c r="L456" s="251"/>
      <c r="M456" s="251"/>
      <c r="N456" s="251"/>
      <c r="O456" s="251"/>
      <c r="P456" s="251"/>
      <c r="Q456" s="251"/>
      <c r="R456" s="251"/>
      <c r="S456" s="251"/>
      <c r="T456" s="251"/>
      <c r="U456" s="251"/>
      <c r="V456" s="251"/>
      <c r="W456" s="251"/>
      <c r="X456" s="251"/>
      <c r="Y456" s="251"/>
      <c r="Z456" s="251"/>
    </row>
    <row r="457" spans="1:26" ht="14.25" customHeight="1" x14ac:dyDescent="0.35">
      <c r="A457" s="251"/>
      <c r="B457" s="251"/>
      <c r="C457" s="251"/>
      <c r="D457" s="251"/>
      <c r="E457" s="251"/>
      <c r="F457" s="251"/>
      <c r="G457" s="251"/>
      <c r="H457" s="251"/>
      <c r="I457" s="251"/>
      <c r="J457" s="251"/>
      <c r="K457" s="251"/>
      <c r="L457" s="251"/>
      <c r="M457" s="251"/>
      <c r="N457" s="251"/>
      <c r="O457" s="251"/>
      <c r="P457" s="251"/>
      <c r="Q457" s="251"/>
      <c r="R457" s="251"/>
      <c r="S457" s="251"/>
      <c r="T457" s="251"/>
      <c r="U457" s="251"/>
      <c r="V457" s="251"/>
      <c r="W457" s="251"/>
      <c r="X457" s="251"/>
      <c r="Y457" s="251"/>
      <c r="Z457" s="251"/>
    </row>
    <row r="458" spans="1:26" ht="14.25" customHeight="1" x14ac:dyDescent="0.35">
      <c r="A458" s="251"/>
      <c r="B458" s="251"/>
      <c r="C458" s="251"/>
      <c r="D458" s="251"/>
      <c r="E458" s="251"/>
      <c r="F458" s="251"/>
      <c r="G458" s="251"/>
      <c r="H458" s="251"/>
      <c r="I458" s="251"/>
      <c r="J458" s="251"/>
      <c r="K458" s="251"/>
      <c r="L458" s="251"/>
      <c r="M458" s="251"/>
      <c r="N458" s="251"/>
      <c r="O458" s="251"/>
      <c r="P458" s="251"/>
      <c r="Q458" s="251"/>
      <c r="R458" s="251"/>
      <c r="S458" s="251"/>
      <c r="T458" s="251"/>
      <c r="U458" s="251"/>
      <c r="V458" s="251"/>
      <c r="W458" s="251"/>
      <c r="X458" s="251"/>
      <c r="Y458" s="251"/>
      <c r="Z458" s="251"/>
    </row>
    <row r="459" spans="1:26" ht="14.25" customHeight="1" x14ac:dyDescent="0.35">
      <c r="A459" s="251"/>
      <c r="B459" s="251"/>
      <c r="C459" s="251"/>
      <c r="D459" s="251"/>
      <c r="E459" s="251"/>
      <c r="F459" s="251"/>
      <c r="G459" s="251"/>
      <c r="H459" s="251"/>
      <c r="I459" s="251"/>
      <c r="J459" s="251"/>
      <c r="K459" s="251"/>
      <c r="L459" s="251"/>
      <c r="M459" s="251"/>
      <c r="N459" s="251"/>
      <c r="O459" s="251"/>
      <c r="P459" s="251"/>
      <c r="Q459" s="251"/>
      <c r="R459" s="251"/>
      <c r="S459" s="251"/>
      <c r="T459" s="251"/>
      <c r="U459" s="251"/>
      <c r="V459" s="251"/>
      <c r="W459" s="251"/>
      <c r="X459" s="251"/>
      <c r="Y459" s="251"/>
      <c r="Z459" s="251"/>
    </row>
    <row r="460" spans="1:26" ht="14.25" customHeight="1" x14ac:dyDescent="0.35">
      <c r="A460" s="251"/>
      <c r="B460" s="251"/>
      <c r="C460" s="251"/>
      <c r="D460" s="251"/>
      <c r="E460" s="251"/>
      <c r="F460" s="251"/>
      <c r="G460" s="251"/>
      <c r="H460" s="251"/>
      <c r="I460" s="251"/>
      <c r="J460" s="251"/>
      <c r="K460" s="251"/>
      <c r="L460" s="251"/>
      <c r="M460" s="251"/>
      <c r="N460" s="251"/>
      <c r="O460" s="251"/>
      <c r="P460" s="251"/>
      <c r="Q460" s="251"/>
      <c r="R460" s="251"/>
      <c r="S460" s="251"/>
      <c r="T460" s="251"/>
      <c r="U460" s="251"/>
      <c r="V460" s="251"/>
      <c r="W460" s="251"/>
      <c r="X460" s="251"/>
      <c r="Y460" s="251"/>
      <c r="Z460" s="251"/>
    </row>
    <row r="461" spans="1:26" ht="14.25" customHeight="1" x14ac:dyDescent="0.35">
      <c r="A461" s="251"/>
      <c r="B461" s="251"/>
      <c r="C461" s="251"/>
      <c r="D461" s="251"/>
      <c r="E461" s="251"/>
      <c r="F461" s="251"/>
      <c r="G461" s="251"/>
      <c r="H461" s="251"/>
      <c r="I461" s="251"/>
      <c r="J461" s="251"/>
      <c r="K461" s="251"/>
      <c r="L461" s="251"/>
      <c r="M461" s="251"/>
      <c r="N461" s="251"/>
      <c r="O461" s="251"/>
      <c r="P461" s="251"/>
      <c r="Q461" s="251"/>
      <c r="R461" s="251"/>
      <c r="S461" s="251"/>
      <c r="T461" s="251"/>
      <c r="U461" s="251"/>
      <c r="V461" s="251"/>
      <c r="W461" s="251"/>
      <c r="X461" s="251"/>
      <c r="Y461" s="251"/>
      <c r="Z461" s="251"/>
    </row>
    <row r="462" spans="1:26" ht="14.25" customHeight="1" x14ac:dyDescent="0.35">
      <c r="A462" s="251"/>
      <c r="B462" s="251"/>
      <c r="C462" s="251"/>
      <c r="D462" s="251"/>
      <c r="E462" s="251"/>
      <c r="F462" s="251"/>
      <c r="G462" s="251"/>
      <c r="H462" s="251"/>
      <c r="I462" s="251"/>
      <c r="J462" s="251"/>
      <c r="K462" s="251"/>
      <c r="L462" s="251"/>
      <c r="M462" s="251"/>
      <c r="N462" s="251"/>
      <c r="O462" s="251"/>
      <c r="P462" s="251"/>
      <c r="Q462" s="251"/>
      <c r="R462" s="251"/>
      <c r="S462" s="251"/>
      <c r="T462" s="251"/>
      <c r="U462" s="251"/>
      <c r="V462" s="251"/>
      <c r="W462" s="251"/>
      <c r="X462" s="251"/>
      <c r="Y462" s="251"/>
      <c r="Z462" s="251"/>
    </row>
    <row r="463" spans="1:26" ht="14.25" customHeight="1" x14ac:dyDescent="0.35">
      <c r="A463" s="251"/>
      <c r="B463" s="251"/>
      <c r="C463" s="251"/>
      <c r="D463" s="251"/>
      <c r="E463" s="251"/>
      <c r="F463" s="251"/>
      <c r="G463" s="251"/>
      <c r="H463" s="251"/>
      <c r="I463" s="251"/>
      <c r="J463" s="251"/>
      <c r="K463" s="251"/>
      <c r="L463" s="251"/>
      <c r="M463" s="251"/>
      <c r="N463" s="251"/>
      <c r="O463" s="251"/>
      <c r="P463" s="251"/>
      <c r="Q463" s="251"/>
      <c r="R463" s="251"/>
      <c r="S463" s="251"/>
      <c r="T463" s="251"/>
      <c r="U463" s="251"/>
      <c r="V463" s="251"/>
      <c r="W463" s="251"/>
      <c r="X463" s="251"/>
      <c r="Y463" s="251"/>
      <c r="Z463" s="251"/>
    </row>
    <row r="464" spans="1:26" ht="14.25" customHeight="1" x14ac:dyDescent="0.35">
      <c r="A464" s="251"/>
      <c r="B464" s="251"/>
      <c r="C464" s="251"/>
      <c r="D464" s="251"/>
      <c r="E464" s="251"/>
      <c r="F464" s="251"/>
      <c r="G464" s="251"/>
      <c r="H464" s="251"/>
      <c r="I464" s="251"/>
      <c r="J464" s="251"/>
      <c r="K464" s="251"/>
      <c r="L464" s="251"/>
      <c r="M464" s="251"/>
      <c r="N464" s="251"/>
      <c r="O464" s="251"/>
      <c r="P464" s="251"/>
      <c r="Q464" s="251"/>
      <c r="R464" s="251"/>
      <c r="S464" s="251"/>
      <c r="T464" s="251"/>
      <c r="U464" s="251"/>
      <c r="V464" s="251"/>
      <c r="W464" s="251"/>
      <c r="X464" s="251"/>
      <c r="Y464" s="251"/>
      <c r="Z464" s="251"/>
    </row>
    <row r="465" spans="1:26" ht="14.25" customHeight="1" x14ac:dyDescent="0.35">
      <c r="A465" s="251"/>
      <c r="B465" s="251"/>
      <c r="C465" s="251"/>
      <c r="D465" s="251"/>
      <c r="E465" s="251"/>
      <c r="F465" s="251"/>
      <c r="G465" s="251"/>
      <c r="H465" s="251"/>
      <c r="I465" s="251"/>
      <c r="J465" s="251"/>
      <c r="K465" s="251"/>
      <c r="L465" s="251"/>
      <c r="M465" s="251"/>
      <c r="N465" s="251"/>
      <c r="O465" s="251"/>
      <c r="P465" s="251"/>
      <c r="Q465" s="251"/>
      <c r="R465" s="251"/>
      <c r="S465" s="251"/>
      <c r="T465" s="251"/>
      <c r="U465" s="251"/>
      <c r="V465" s="251"/>
      <c r="W465" s="251"/>
      <c r="X465" s="251"/>
      <c r="Y465" s="251"/>
      <c r="Z465" s="251"/>
    </row>
    <row r="466" spans="1:26" ht="14.25" customHeight="1" x14ac:dyDescent="0.35">
      <c r="A466" s="251"/>
      <c r="B466" s="251"/>
      <c r="C466" s="251"/>
      <c r="D466" s="251"/>
      <c r="E466" s="251"/>
      <c r="F466" s="251"/>
      <c r="G466" s="251"/>
      <c r="H466" s="251"/>
      <c r="I466" s="251"/>
      <c r="J466" s="251"/>
      <c r="K466" s="251"/>
      <c r="L466" s="251"/>
      <c r="M466" s="251"/>
      <c r="N466" s="251"/>
      <c r="O466" s="251"/>
      <c r="P466" s="251"/>
      <c r="Q466" s="251"/>
      <c r="R466" s="251"/>
      <c r="S466" s="251"/>
      <c r="T466" s="251"/>
      <c r="U466" s="251"/>
      <c r="V466" s="251"/>
      <c r="W466" s="251"/>
      <c r="X466" s="251"/>
      <c r="Y466" s="251"/>
      <c r="Z466" s="251"/>
    </row>
    <row r="467" spans="1:26" ht="14.25" customHeight="1" x14ac:dyDescent="0.35">
      <c r="A467" s="251"/>
      <c r="B467" s="251"/>
      <c r="C467" s="251"/>
      <c r="D467" s="251"/>
      <c r="E467" s="251"/>
      <c r="F467" s="251"/>
      <c r="G467" s="251"/>
      <c r="H467" s="251"/>
      <c r="I467" s="251"/>
      <c r="J467" s="251"/>
      <c r="K467" s="251"/>
      <c r="L467" s="251"/>
      <c r="M467" s="251"/>
      <c r="N467" s="251"/>
      <c r="O467" s="251"/>
      <c r="P467" s="251"/>
      <c r="Q467" s="251"/>
      <c r="R467" s="251"/>
      <c r="S467" s="251"/>
      <c r="T467" s="251"/>
      <c r="U467" s="251"/>
      <c r="V467" s="251"/>
      <c r="W467" s="251"/>
      <c r="X467" s="251"/>
      <c r="Y467" s="251"/>
      <c r="Z467" s="251"/>
    </row>
    <row r="468" spans="1:26" ht="14.25" customHeight="1" x14ac:dyDescent="0.35">
      <c r="A468" s="251"/>
      <c r="B468" s="251"/>
      <c r="C468" s="251"/>
      <c r="D468" s="251"/>
      <c r="E468" s="251"/>
      <c r="F468" s="251"/>
      <c r="G468" s="251"/>
      <c r="H468" s="251"/>
      <c r="I468" s="251"/>
      <c r="J468" s="251"/>
      <c r="K468" s="251"/>
      <c r="L468" s="251"/>
      <c r="M468" s="251"/>
      <c r="N468" s="251"/>
      <c r="O468" s="251"/>
      <c r="P468" s="251"/>
      <c r="Q468" s="251"/>
      <c r="R468" s="251"/>
      <c r="S468" s="251"/>
      <c r="T468" s="251"/>
      <c r="U468" s="251"/>
      <c r="V468" s="251"/>
      <c r="W468" s="251"/>
      <c r="X468" s="251"/>
      <c r="Y468" s="251"/>
      <c r="Z468" s="251"/>
    </row>
    <row r="469" spans="1:26" ht="14.25" customHeight="1" x14ac:dyDescent="0.35">
      <c r="A469" s="251"/>
      <c r="B469" s="251"/>
      <c r="C469" s="251"/>
      <c r="D469" s="251"/>
      <c r="E469" s="251"/>
      <c r="F469" s="251"/>
      <c r="G469" s="251"/>
      <c r="H469" s="251"/>
      <c r="I469" s="251"/>
      <c r="J469" s="251"/>
      <c r="K469" s="251"/>
      <c r="L469" s="251"/>
      <c r="M469" s="251"/>
      <c r="N469" s="251"/>
      <c r="O469" s="251"/>
      <c r="P469" s="251"/>
      <c r="Q469" s="251"/>
      <c r="R469" s="251"/>
      <c r="S469" s="251"/>
      <c r="T469" s="251"/>
      <c r="U469" s="251"/>
      <c r="V469" s="251"/>
      <c r="W469" s="251"/>
      <c r="X469" s="251"/>
      <c r="Y469" s="251"/>
      <c r="Z469" s="251"/>
    </row>
    <row r="470" spans="1:26" ht="14.25" customHeight="1" x14ac:dyDescent="0.35">
      <c r="A470" s="251"/>
      <c r="B470" s="251"/>
      <c r="C470" s="251"/>
      <c r="D470" s="251"/>
      <c r="E470" s="251"/>
      <c r="F470" s="251"/>
      <c r="G470" s="251"/>
      <c r="H470" s="251"/>
      <c r="I470" s="251"/>
      <c r="J470" s="251"/>
      <c r="K470" s="251"/>
      <c r="L470" s="251"/>
      <c r="M470" s="251"/>
      <c r="N470" s="251"/>
      <c r="O470" s="251"/>
      <c r="P470" s="251"/>
      <c r="Q470" s="251"/>
      <c r="R470" s="251"/>
      <c r="S470" s="251"/>
      <c r="T470" s="251"/>
      <c r="U470" s="251"/>
      <c r="V470" s="251"/>
      <c r="W470" s="251"/>
      <c r="X470" s="251"/>
      <c r="Y470" s="251"/>
      <c r="Z470" s="251"/>
    </row>
    <row r="471" spans="1:26" ht="14.25" customHeight="1" x14ac:dyDescent="0.35">
      <c r="A471" s="251"/>
      <c r="B471" s="251"/>
      <c r="C471" s="251"/>
      <c r="D471" s="251"/>
      <c r="E471" s="251"/>
      <c r="F471" s="251"/>
      <c r="G471" s="251"/>
      <c r="H471" s="251"/>
      <c r="I471" s="251"/>
      <c r="J471" s="251"/>
      <c r="K471" s="251"/>
      <c r="L471" s="251"/>
      <c r="M471" s="251"/>
      <c r="N471" s="251"/>
      <c r="O471" s="251"/>
      <c r="P471" s="251"/>
      <c r="Q471" s="251"/>
      <c r="R471" s="251"/>
      <c r="S471" s="251"/>
      <c r="T471" s="251"/>
      <c r="U471" s="251"/>
      <c r="V471" s="251"/>
      <c r="W471" s="251"/>
      <c r="X471" s="251"/>
      <c r="Y471" s="251"/>
      <c r="Z471" s="251"/>
    </row>
    <row r="472" spans="1:26" ht="14.25" customHeight="1" x14ac:dyDescent="0.35">
      <c r="A472" s="251"/>
      <c r="B472" s="251"/>
      <c r="C472" s="251"/>
      <c r="D472" s="251"/>
      <c r="E472" s="251"/>
      <c r="F472" s="251"/>
      <c r="G472" s="251"/>
      <c r="H472" s="251"/>
      <c r="I472" s="251"/>
      <c r="J472" s="251"/>
      <c r="K472" s="251"/>
      <c r="L472" s="251"/>
      <c r="M472" s="251"/>
      <c r="N472" s="251"/>
      <c r="O472" s="251"/>
      <c r="P472" s="251"/>
      <c r="Q472" s="251"/>
      <c r="R472" s="251"/>
      <c r="S472" s="251"/>
      <c r="T472" s="251"/>
      <c r="U472" s="251"/>
      <c r="V472" s="251"/>
      <c r="W472" s="251"/>
      <c r="X472" s="251"/>
      <c r="Y472" s="251"/>
      <c r="Z472" s="251"/>
    </row>
    <row r="473" spans="1:26" ht="14.25" customHeight="1" x14ac:dyDescent="0.35">
      <c r="A473" s="251"/>
      <c r="B473" s="251"/>
      <c r="C473" s="251"/>
      <c r="D473" s="251"/>
      <c r="E473" s="251"/>
      <c r="F473" s="251"/>
      <c r="G473" s="251"/>
      <c r="H473" s="251"/>
      <c r="I473" s="251"/>
      <c r="J473" s="251"/>
      <c r="K473" s="251"/>
      <c r="L473" s="251"/>
      <c r="M473" s="251"/>
      <c r="N473" s="251"/>
      <c r="O473" s="251"/>
      <c r="P473" s="251"/>
      <c r="Q473" s="251"/>
      <c r="R473" s="251"/>
      <c r="S473" s="251"/>
      <c r="T473" s="251"/>
      <c r="U473" s="251"/>
      <c r="V473" s="251"/>
      <c r="W473" s="251"/>
      <c r="X473" s="251"/>
      <c r="Y473" s="251"/>
      <c r="Z473" s="251"/>
    </row>
    <row r="474" spans="1:26" ht="14.25" customHeight="1" x14ac:dyDescent="0.35">
      <c r="A474" s="251"/>
      <c r="B474" s="251"/>
      <c r="C474" s="251"/>
      <c r="D474" s="251"/>
      <c r="E474" s="251"/>
      <c r="F474" s="251"/>
      <c r="G474" s="251"/>
      <c r="H474" s="251"/>
      <c r="I474" s="251"/>
      <c r="J474" s="251"/>
      <c r="K474" s="251"/>
      <c r="L474" s="251"/>
      <c r="M474" s="251"/>
      <c r="N474" s="251"/>
      <c r="O474" s="251"/>
      <c r="P474" s="251"/>
      <c r="Q474" s="251"/>
      <c r="R474" s="251"/>
      <c r="S474" s="251"/>
      <c r="T474" s="251"/>
      <c r="U474" s="251"/>
      <c r="V474" s="251"/>
      <c r="W474" s="251"/>
      <c r="X474" s="251"/>
      <c r="Y474" s="251"/>
      <c r="Z474" s="251"/>
    </row>
    <row r="475" spans="1:26" ht="14.25" customHeight="1" x14ac:dyDescent="0.35">
      <c r="A475" s="251"/>
      <c r="B475" s="251"/>
      <c r="C475" s="251"/>
      <c r="D475" s="251"/>
      <c r="E475" s="251"/>
      <c r="F475" s="251"/>
      <c r="G475" s="251"/>
      <c r="H475" s="251"/>
      <c r="I475" s="251"/>
      <c r="J475" s="251"/>
      <c r="K475" s="251"/>
      <c r="L475" s="251"/>
      <c r="M475" s="251"/>
      <c r="N475" s="251"/>
      <c r="O475" s="251"/>
      <c r="P475" s="251"/>
      <c r="Q475" s="251"/>
      <c r="R475" s="251"/>
      <c r="S475" s="251"/>
      <c r="T475" s="251"/>
      <c r="U475" s="251"/>
      <c r="V475" s="251"/>
      <c r="W475" s="251"/>
      <c r="X475" s="251"/>
      <c r="Y475" s="251"/>
      <c r="Z475" s="251"/>
    </row>
    <row r="476" spans="1:26" ht="14.25" customHeight="1" x14ac:dyDescent="0.35">
      <c r="A476" s="251"/>
      <c r="B476" s="251"/>
      <c r="C476" s="251"/>
      <c r="D476" s="251"/>
      <c r="E476" s="251"/>
      <c r="F476" s="251"/>
      <c r="G476" s="251"/>
      <c r="H476" s="251"/>
      <c r="I476" s="251"/>
      <c r="J476" s="251"/>
      <c r="K476" s="251"/>
      <c r="L476" s="251"/>
      <c r="M476" s="251"/>
      <c r="N476" s="251"/>
      <c r="O476" s="251"/>
      <c r="P476" s="251"/>
      <c r="Q476" s="251"/>
      <c r="R476" s="251"/>
      <c r="S476" s="251"/>
      <c r="T476" s="251"/>
      <c r="U476" s="251"/>
      <c r="V476" s="251"/>
      <c r="W476" s="251"/>
      <c r="X476" s="251"/>
      <c r="Y476" s="251"/>
      <c r="Z476" s="251"/>
    </row>
    <row r="477" spans="1:26" ht="14.25" customHeight="1" x14ac:dyDescent="0.35">
      <c r="A477" s="251"/>
      <c r="B477" s="251"/>
      <c r="C477" s="251"/>
      <c r="D477" s="251"/>
      <c r="E477" s="251"/>
      <c r="F477" s="251"/>
      <c r="G477" s="251"/>
      <c r="H477" s="251"/>
      <c r="I477" s="251"/>
      <c r="J477" s="251"/>
      <c r="K477" s="251"/>
      <c r="L477" s="251"/>
      <c r="M477" s="251"/>
      <c r="N477" s="251"/>
      <c r="O477" s="251"/>
      <c r="P477" s="251"/>
      <c r="Q477" s="251"/>
      <c r="R477" s="251"/>
      <c r="S477" s="251"/>
      <c r="T477" s="251"/>
      <c r="U477" s="251"/>
      <c r="V477" s="251"/>
      <c r="W477" s="251"/>
      <c r="X477" s="251"/>
      <c r="Y477" s="251"/>
      <c r="Z477" s="251"/>
    </row>
    <row r="478" spans="1:26" ht="14.25" customHeight="1" x14ac:dyDescent="0.35">
      <c r="A478" s="251"/>
      <c r="B478" s="251"/>
      <c r="C478" s="251"/>
      <c r="D478" s="251"/>
      <c r="E478" s="251"/>
      <c r="F478" s="251"/>
      <c r="G478" s="251"/>
      <c r="H478" s="251"/>
      <c r="I478" s="251"/>
      <c r="J478" s="251"/>
      <c r="K478" s="251"/>
      <c r="L478" s="251"/>
      <c r="M478" s="251"/>
      <c r="N478" s="251"/>
      <c r="O478" s="251"/>
      <c r="P478" s="251"/>
      <c r="Q478" s="251"/>
      <c r="R478" s="251"/>
      <c r="S478" s="251"/>
      <c r="T478" s="251"/>
      <c r="U478" s="251"/>
      <c r="V478" s="251"/>
      <c r="W478" s="251"/>
      <c r="X478" s="251"/>
      <c r="Y478" s="251"/>
      <c r="Z478" s="251"/>
    </row>
    <row r="479" spans="1:26" ht="14.25" customHeight="1" x14ac:dyDescent="0.35">
      <c r="A479" s="251"/>
      <c r="B479" s="251"/>
      <c r="C479" s="251"/>
      <c r="D479" s="251"/>
      <c r="E479" s="251"/>
      <c r="F479" s="251"/>
      <c r="G479" s="251"/>
      <c r="H479" s="251"/>
      <c r="I479" s="251"/>
      <c r="J479" s="251"/>
      <c r="K479" s="251"/>
      <c r="L479" s="251"/>
      <c r="M479" s="251"/>
      <c r="N479" s="251"/>
      <c r="O479" s="251"/>
      <c r="P479" s="251"/>
      <c r="Q479" s="251"/>
      <c r="R479" s="251"/>
      <c r="S479" s="251"/>
      <c r="T479" s="251"/>
      <c r="U479" s="251"/>
      <c r="V479" s="251"/>
      <c r="W479" s="251"/>
      <c r="X479" s="251"/>
      <c r="Y479" s="251"/>
      <c r="Z479" s="251"/>
    </row>
    <row r="480" spans="1:26" ht="14.25" customHeight="1" x14ac:dyDescent="0.35">
      <c r="A480" s="251"/>
      <c r="B480" s="251"/>
      <c r="C480" s="251"/>
      <c r="D480" s="251"/>
      <c r="E480" s="251"/>
      <c r="F480" s="251"/>
      <c r="G480" s="251"/>
      <c r="H480" s="251"/>
      <c r="I480" s="251"/>
      <c r="J480" s="251"/>
      <c r="K480" s="251"/>
      <c r="L480" s="251"/>
      <c r="M480" s="251"/>
      <c r="N480" s="251"/>
      <c r="O480" s="251"/>
      <c r="P480" s="251"/>
      <c r="Q480" s="251"/>
      <c r="R480" s="251"/>
      <c r="S480" s="251"/>
      <c r="T480" s="251"/>
      <c r="U480" s="251"/>
      <c r="V480" s="251"/>
      <c r="W480" s="251"/>
      <c r="X480" s="251"/>
      <c r="Y480" s="251"/>
      <c r="Z480" s="251"/>
    </row>
    <row r="481" spans="1:26" ht="14.25" customHeight="1" x14ac:dyDescent="0.35">
      <c r="A481" s="251"/>
      <c r="B481" s="251"/>
      <c r="C481" s="251"/>
      <c r="D481" s="251"/>
      <c r="E481" s="251"/>
      <c r="F481" s="251"/>
      <c r="G481" s="251"/>
      <c r="H481" s="251"/>
      <c r="I481" s="251"/>
      <c r="J481" s="251"/>
      <c r="K481" s="251"/>
      <c r="L481" s="251"/>
      <c r="M481" s="251"/>
      <c r="N481" s="251"/>
      <c r="O481" s="251"/>
      <c r="P481" s="251"/>
      <c r="Q481" s="251"/>
      <c r="R481" s="251"/>
      <c r="S481" s="251"/>
      <c r="T481" s="251"/>
      <c r="U481" s="251"/>
      <c r="V481" s="251"/>
      <c r="W481" s="251"/>
      <c r="X481" s="251"/>
      <c r="Y481" s="251"/>
      <c r="Z481" s="251"/>
    </row>
    <row r="482" spans="1:26" ht="14.25" customHeight="1" x14ac:dyDescent="0.35">
      <c r="A482" s="251"/>
      <c r="B482" s="251"/>
      <c r="C482" s="251"/>
      <c r="D482" s="251"/>
      <c r="E482" s="251"/>
      <c r="F482" s="251"/>
      <c r="G482" s="251"/>
      <c r="H482" s="251"/>
      <c r="I482" s="251"/>
      <c r="J482" s="251"/>
      <c r="K482" s="251"/>
      <c r="L482" s="251"/>
      <c r="M482" s="251"/>
      <c r="N482" s="251"/>
      <c r="O482" s="251"/>
      <c r="P482" s="251"/>
      <c r="Q482" s="251"/>
      <c r="R482" s="251"/>
      <c r="S482" s="251"/>
      <c r="T482" s="251"/>
      <c r="U482" s="251"/>
      <c r="V482" s="251"/>
      <c r="W482" s="251"/>
      <c r="X482" s="251"/>
      <c r="Y482" s="251"/>
      <c r="Z482" s="251"/>
    </row>
    <row r="483" spans="1:26" ht="14.25" customHeight="1" x14ac:dyDescent="0.35">
      <c r="A483" s="251"/>
      <c r="B483" s="251"/>
      <c r="C483" s="251"/>
      <c r="D483" s="251"/>
      <c r="E483" s="251"/>
      <c r="F483" s="251"/>
      <c r="G483" s="251"/>
      <c r="H483" s="251"/>
      <c r="I483" s="251"/>
      <c r="J483" s="251"/>
      <c r="K483" s="251"/>
      <c r="L483" s="251"/>
      <c r="M483" s="251"/>
      <c r="N483" s="251"/>
      <c r="O483" s="251"/>
      <c r="P483" s="251"/>
      <c r="Q483" s="251"/>
      <c r="R483" s="251"/>
      <c r="S483" s="251"/>
      <c r="T483" s="251"/>
      <c r="U483" s="251"/>
      <c r="V483" s="251"/>
      <c r="W483" s="251"/>
      <c r="X483" s="251"/>
      <c r="Y483" s="251"/>
      <c r="Z483" s="251"/>
    </row>
    <row r="484" spans="1:26" ht="14.25" customHeight="1" x14ac:dyDescent="0.35">
      <c r="A484" s="251"/>
      <c r="B484" s="251"/>
      <c r="C484" s="251"/>
      <c r="D484" s="251"/>
      <c r="E484" s="251"/>
      <c r="F484" s="251"/>
      <c r="G484" s="251"/>
      <c r="H484" s="251"/>
      <c r="I484" s="251"/>
      <c r="J484" s="251"/>
      <c r="K484" s="251"/>
      <c r="L484" s="251"/>
      <c r="M484" s="251"/>
      <c r="N484" s="251"/>
      <c r="O484" s="251"/>
      <c r="P484" s="251"/>
      <c r="Q484" s="251"/>
      <c r="R484" s="251"/>
      <c r="S484" s="251"/>
      <c r="T484" s="251"/>
      <c r="U484" s="251"/>
      <c r="V484" s="251"/>
      <c r="W484" s="251"/>
      <c r="X484" s="251"/>
      <c r="Y484" s="251"/>
      <c r="Z484" s="251"/>
    </row>
    <row r="485" spans="1:26" ht="14.25" customHeight="1" x14ac:dyDescent="0.35">
      <c r="A485" s="251"/>
      <c r="B485" s="251"/>
      <c r="C485" s="251"/>
      <c r="D485" s="251"/>
      <c r="E485" s="251"/>
      <c r="F485" s="251"/>
      <c r="G485" s="251"/>
      <c r="H485" s="251"/>
      <c r="I485" s="251"/>
      <c r="J485" s="251"/>
      <c r="K485" s="251"/>
      <c r="L485" s="251"/>
      <c r="M485" s="251"/>
      <c r="N485" s="251"/>
      <c r="O485" s="251"/>
      <c r="P485" s="251"/>
      <c r="Q485" s="251"/>
      <c r="R485" s="251"/>
      <c r="S485" s="251"/>
      <c r="T485" s="251"/>
      <c r="U485" s="251"/>
      <c r="V485" s="251"/>
      <c r="W485" s="251"/>
      <c r="X485" s="251"/>
      <c r="Y485" s="251"/>
      <c r="Z485" s="251"/>
    </row>
    <row r="486" spans="1:26" ht="14.25" customHeight="1" x14ac:dyDescent="0.35">
      <c r="A486" s="251"/>
      <c r="B486" s="251"/>
      <c r="C486" s="251"/>
      <c r="D486" s="251"/>
      <c r="E486" s="251"/>
      <c r="F486" s="251"/>
      <c r="G486" s="251"/>
      <c r="H486" s="251"/>
      <c r="I486" s="251"/>
      <c r="J486" s="251"/>
      <c r="K486" s="251"/>
      <c r="L486" s="251"/>
      <c r="M486" s="251"/>
      <c r="N486" s="251"/>
      <c r="O486" s="251"/>
      <c r="P486" s="251"/>
      <c r="Q486" s="251"/>
      <c r="R486" s="251"/>
      <c r="S486" s="251"/>
      <c r="T486" s="251"/>
      <c r="U486" s="251"/>
      <c r="V486" s="251"/>
      <c r="W486" s="251"/>
      <c r="X486" s="251"/>
      <c r="Y486" s="251"/>
      <c r="Z486" s="251"/>
    </row>
    <row r="487" spans="1:26" ht="14.25" customHeight="1" x14ac:dyDescent="0.35">
      <c r="A487" s="251"/>
      <c r="B487" s="251"/>
      <c r="C487" s="251"/>
      <c r="D487" s="251"/>
      <c r="E487" s="251"/>
      <c r="F487" s="251"/>
      <c r="G487" s="251"/>
      <c r="H487" s="251"/>
      <c r="I487" s="251"/>
      <c r="J487" s="251"/>
      <c r="K487" s="251"/>
      <c r="L487" s="251"/>
      <c r="M487" s="251"/>
      <c r="N487" s="251"/>
      <c r="O487" s="251"/>
      <c r="P487" s="251"/>
      <c r="Q487" s="251"/>
      <c r="R487" s="251"/>
      <c r="S487" s="251"/>
      <c r="T487" s="251"/>
      <c r="U487" s="251"/>
      <c r="V487" s="251"/>
      <c r="W487" s="251"/>
      <c r="X487" s="251"/>
      <c r="Y487" s="251"/>
      <c r="Z487" s="251"/>
    </row>
    <row r="488" spans="1:26" ht="14.25" customHeight="1" x14ac:dyDescent="0.35">
      <c r="A488" s="251"/>
      <c r="B488" s="251"/>
      <c r="C488" s="251"/>
      <c r="D488" s="251"/>
      <c r="E488" s="251"/>
      <c r="F488" s="251"/>
      <c r="G488" s="251"/>
      <c r="H488" s="251"/>
      <c r="I488" s="251"/>
      <c r="J488" s="251"/>
      <c r="K488" s="251"/>
      <c r="L488" s="251"/>
      <c r="M488" s="251"/>
      <c r="N488" s="251"/>
      <c r="O488" s="251"/>
      <c r="P488" s="251"/>
      <c r="Q488" s="251"/>
      <c r="R488" s="251"/>
      <c r="S488" s="251"/>
      <c r="T488" s="251"/>
      <c r="U488" s="251"/>
      <c r="V488" s="251"/>
      <c r="W488" s="251"/>
      <c r="X488" s="251"/>
      <c r="Y488" s="251"/>
      <c r="Z488" s="251"/>
    </row>
    <row r="489" spans="1:26" ht="14.25" customHeight="1" x14ac:dyDescent="0.35">
      <c r="A489" s="251"/>
      <c r="B489" s="251"/>
      <c r="C489" s="251"/>
      <c r="D489" s="251"/>
      <c r="E489" s="251"/>
      <c r="F489" s="251"/>
      <c r="G489" s="251"/>
      <c r="H489" s="251"/>
      <c r="I489" s="251"/>
      <c r="J489" s="251"/>
      <c r="K489" s="251"/>
      <c r="L489" s="251"/>
      <c r="M489" s="251"/>
      <c r="N489" s="251"/>
      <c r="O489" s="251"/>
      <c r="P489" s="251"/>
      <c r="Q489" s="251"/>
      <c r="R489" s="251"/>
      <c r="S489" s="251"/>
      <c r="T489" s="251"/>
      <c r="U489" s="251"/>
      <c r="V489" s="251"/>
      <c r="W489" s="251"/>
      <c r="X489" s="251"/>
      <c r="Y489" s="251"/>
      <c r="Z489" s="251"/>
    </row>
    <row r="490" spans="1:26" ht="14.25" customHeight="1" x14ac:dyDescent="0.35">
      <c r="A490" s="251"/>
      <c r="B490" s="251"/>
      <c r="C490" s="251"/>
      <c r="D490" s="251"/>
      <c r="E490" s="251"/>
      <c r="F490" s="251"/>
      <c r="G490" s="251"/>
      <c r="H490" s="251"/>
      <c r="I490" s="251"/>
      <c r="J490" s="251"/>
      <c r="K490" s="251"/>
      <c r="L490" s="251"/>
      <c r="M490" s="251"/>
      <c r="N490" s="251"/>
      <c r="O490" s="251"/>
      <c r="P490" s="251"/>
      <c r="Q490" s="251"/>
      <c r="R490" s="251"/>
      <c r="S490" s="251"/>
      <c r="T490" s="251"/>
      <c r="U490" s="251"/>
      <c r="V490" s="251"/>
      <c r="W490" s="251"/>
      <c r="X490" s="251"/>
      <c r="Y490" s="251"/>
      <c r="Z490" s="251"/>
    </row>
    <row r="491" spans="1:26" ht="14.25" customHeight="1" x14ac:dyDescent="0.35">
      <c r="A491" s="251"/>
      <c r="B491" s="251"/>
      <c r="C491" s="251"/>
      <c r="D491" s="251"/>
      <c r="E491" s="251"/>
      <c r="F491" s="251"/>
      <c r="G491" s="251"/>
      <c r="H491" s="251"/>
      <c r="I491" s="251"/>
      <c r="J491" s="251"/>
      <c r="K491" s="251"/>
      <c r="L491" s="251"/>
      <c r="M491" s="251"/>
      <c r="N491" s="251"/>
      <c r="O491" s="251"/>
      <c r="P491" s="251"/>
      <c r="Q491" s="251"/>
      <c r="R491" s="251"/>
      <c r="S491" s="251"/>
      <c r="T491" s="251"/>
      <c r="U491" s="251"/>
      <c r="V491" s="251"/>
      <c r="W491" s="251"/>
      <c r="X491" s="251"/>
      <c r="Y491" s="251"/>
      <c r="Z491" s="251"/>
    </row>
    <row r="492" spans="1:26" ht="14.25" customHeight="1" x14ac:dyDescent="0.35">
      <c r="A492" s="251"/>
      <c r="B492" s="251"/>
      <c r="C492" s="251"/>
      <c r="D492" s="251"/>
      <c r="E492" s="251"/>
      <c r="F492" s="251"/>
      <c r="G492" s="251"/>
      <c r="H492" s="251"/>
      <c r="I492" s="251"/>
      <c r="J492" s="251"/>
      <c r="K492" s="251"/>
      <c r="L492" s="251"/>
      <c r="M492" s="251"/>
      <c r="N492" s="251"/>
      <c r="O492" s="251"/>
      <c r="P492" s="251"/>
      <c r="Q492" s="251"/>
      <c r="R492" s="251"/>
      <c r="S492" s="251"/>
      <c r="T492" s="251"/>
      <c r="U492" s="251"/>
      <c r="V492" s="251"/>
      <c r="W492" s="251"/>
      <c r="X492" s="251"/>
      <c r="Y492" s="251"/>
      <c r="Z492" s="251"/>
    </row>
    <row r="493" spans="1:26" ht="14.25" customHeight="1" x14ac:dyDescent="0.35">
      <c r="A493" s="251"/>
      <c r="B493" s="251"/>
      <c r="C493" s="251"/>
      <c r="D493" s="251"/>
      <c r="E493" s="251"/>
      <c r="F493" s="251"/>
      <c r="G493" s="251"/>
      <c r="H493" s="251"/>
      <c r="I493" s="251"/>
      <c r="J493" s="251"/>
      <c r="K493" s="251"/>
      <c r="L493" s="251"/>
      <c r="M493" s="251"/>
      <c r="N493" s="251"/>
      <c r="O493" s="251"/>
      <c r="P493" s="251"/>
      <c r="Q493" s="251"/>
      <c r="R493" s="251"/>
      <c r="S493" s="251"/>
      <c r="T493" s="251"/>
      <c r="U493" s="251"/>
      <c r="V493" s="251"/>
      <c r="W493" s="251"/>
      <c r="X493" s="251"/>
      <c r="Y493" s="251"/>
      <c r="Z493" s="251"/>
    </row>
    <row r="494" spans="1:26" ht="14.25" customHeight="1" x14ac:dyDescent="0.35">
      <c r="A494" s="251"/>
      <c r="B494" s="251"/>
      <c r="C494" s="251"/>
      <c r="D494" s="251"/>
      <c r="E494" s="251"/>
      <c r="F494" s="251"/>
      <c r="G494" s="251"/>
      <c r="H494" s="251"/>
      <c r="I494" s="251"/>
      <c r="J494" s="251"/>
      <c r="K494" s="251"/>
      <c r="L494" s="251"/>
      <c r="M494" s="251"/>
      <c r="N494" s="251"/>
      <c r="O494" s="251"/>
      <c r="P494" s="251"/>
      <c r="Q494" s="251"/>
      <c r="R494" s="251"/>
      <c r="S494" s="251"/>
      <c r="T494" s="251"/>
      <c r="U494" s="251"/>
      <c r="V494" s="251"/>
      <c r="W494" s="251"/>
      <c r="X494" s="251"/>
      <c r="Y494" s="251"/>
      <c r="Z494" s="251"/>
    </row>
    <row r="495" spans="1:26" ht="14.25" customHeight="1" x14ac:dyDescent="0.35">
      <c r="A495" s="251"/>
      <c r="B495" s="251"/>
      <c r="C495" s="251"/>
      <c r="D495" s="251"/>
      <c r="E495" s="251"/>
      <c r="F495" s="251"/>
      <c r="G495" s="251"/>
      <c r="H495" s="251"/>
      <c r="I495" s="251"/>
      <c r="J495" s="251"/>
      <c r="K495" s="251"/>
      <c r="L495" s="251"/>
      <c r="M495" s="251"/>
      <c r="N495" s="251"/>
      <c r="O495" s="251"/>
      <c r="P495" s="251"/>
      <c r="Q495" s="251"/>
      <c r="R495" s="251"/>
      <c r="S495" s="251"/>
      <c r="T495" s="251"/>
      <c r="U495" s="251"/>
      <c r="V495" s="251"/>
      <c r="W495" s="251"/>
      <c r="X495" s="251"/>
      <c r="Y495" s="251"/>
      <c r="Z495" s="251"/>
    </row>
    <row r="496" spans="1:26" ht="14.25" customHeight="1" x14ac:dyDescent="0.35">
      <c r="A496" s="251"/>
      <c r="B496" s="251"/>
      <c r="C496" s="251"/>
      <c r="D496" s="251"/>
      <c r="E496" s="251"/>
      <c r="F496" s="251"/>
      <c r="G496" s="251"/>
      <c r="H496" s="251"/>
      <c r="I496" s="251"/>
      <c r="J496" s="251"/>
      <c r="K496" s="251"/>
      <c r="L496" s="251"/>
      <c r="M496" s="251"/>
      <c r="N496" s="251"/>
      <c r="O496" s="251"/>
      <c r="P496" s="251"/>
      <c r="Q496" s="251"/>
      <c r="R496" s="251"/>
      <c r="S496" s="251"/>
      <c r="T496" s="251"/>
      <c r="U496" s="251"/>
      <c r="V496" s="251"/>
      <c r="W496" s="251"/>
      <c r="X496" s="251"/>
      <c r="Y496" s="251"/>
      <c r="Z496" s="251"/>
    </row>
    <row r="497" spans="1:26" ht="14.25" customHeight="1" x14ac:dyDescent="0.35">
      <c r="A497" s="251"/>
      <c r="B497" s="251"/>
      <c r="C497" s="251"/>
      <c r="D497" s="251"/>
      <c r="E497" s="251"/>
      <c r="F497" s="251"/>
      <c r="G497" s="251"/>
      <c r="H497" s="251"/>
      <c r="I497" s="251"/>
      <c r="J497" s="251"/>
      <c r="K497" s="251"/>
      <c r="L497" s="251"/>
      <c r="M497" s="251"/>
      <c r="N497" s="251"/>
      <c r="O497" s="251"/>
      <c r="P497" s="251"/>
      <c r="Q497" s="251"/>
      <c r="R497" s="251"/>
      <c r="S497" s="251"/>
      <c r="T497" s="251"/>
      <c r="U497" s="251"/>
      <c r="V497" s="251"/>
      <c r="W497" s="251"/>
      <c r="X497" s="251"/>
      <c r="Y497" s="251"/>
      <c r="Z497" s="251"/>
    </row>
    <row r="498" spans="1:26" ht="14.25" customHeight="1" x14ac:dyDescent="0.35">
      <c r="A498" s="251"/>
      <c r="B498" s="251"/>
      <c r="C498" s="251"/>
      <c r="D498" s="251"/>
      <c r="E498" s="251"/>
      <c r="F498" s="251"/>
      <c r="G498" s="251"/>
      <c r="H498" s="251"/>
      <c r="I498" s="251"/>
      <c r="J498" s="251"/>
      <c r="K498" s="251"/>
      <c r="L498" s="251"/>
      <c r="M498" s="251"/>
      <c r="N498" s="251"/>
      <c r="O498" s="251"/>
      <c r="P498" s="251"/>
      <c r="Q498" s="251"/>
      <c r="R498" s="251"/>
      <c r="S498" s="251"/>
      <c r="T498" s="251"/>
      <c r="U498" s="251"/>
      <c r="V498" s="251"/>
      <c r="W498" s="251"/>
      <c r="X498" s="251"/>
      <c r="Y498" s="251"/>
      <c r="Z498" s="251"/>
    </row>
    <row r="499" spans="1:26" ht="14.25" customHeight="1" x14ac:dyDescent="0.35">
      <c r="A499" s="251"/>
      <c r="B499" s="251"/>
      <c r="C499" s="251"/>
      <c r="D499" s="251"/>
      <c r="E499" s="251"/>
      <c r="F499" s="251"/>
      <c r="G499" s="251"/>
      <c r="H499" s="251"/>
      <c r="I499" s="251"/>
      <c r="J499" s="251"/>
      <c r="K499" s="251"/>
      <c r="L499" s="251"/>
      <c r="M499" s="251"/>
      <c r="N499" s="251"/>
      <c r="O499" s="251"/>
      <c r="P499" s="251"/>
      <c r="Q499" s="251"/>
      <c r="R499" s="251"/>
      <c r="S499" s="251"/>
      <c r="T499" s="251"/>
      <c r="U499" s="251"/>
      <c r="V499" s="251"/>
      <c r="W499" s="251"/>
      <c r="X499" s="251"/>
      <c r="Y499" s="251"/>
      <c r="Z499" s="251"/>
    </row>
    <row r="500" spans="1:26" ht="14.25" customHeight="1" x14ac:dyDescent="0.35">
      <c r="A500" s="251"/>
      <c r="B500" s="251"/>
      <c r="C500" s="251"/>
      <c r="D500" s="251"/>
      <c r="E500" s="251"/>
      <c r="F500" s="251"/>
      <c r="G500" s="251"/>
      <c r="H500" s="251"/>
      <c r="I500" s="251"/>
      <c r="J500" s="251"/>
      <c r="K500" s="251"/>
      <c r="L500" s="251"/>
      <c r="M500" s="251"/>
      <c r="N500" s="251"/>
      <c r="O500" s="251"/>
      <c r="P500" s="251"/>
      <c r="Q500" s="251"/>
      <c r="R500" s="251"/>
      <c r="S500" s="251"/>
      <c r="T500" s="251"/>
      <c r="U500" s="251"/>
      <c r="V500" s="251"/>
      <c r="W500" s="251"/>
      <c r="X500" s="251"/>
      <c r="Y500" s="251"/>
      <c r="Z500" s="251"/>
    </row>
    <row r="501" spans="1:26" ht="14.25" customHeight="1" x14ac:dyDescent="0.35">
      <c r="A501" s="251"/>
      <c r="B501" s="251"/>
      <c r="C501" s="251"/>
      <c r="D501" s="251"/>
      <c r="E501" s="251"/>
      <c r="F501" s="251"/>
      <c r="G501" s="251"/>
      <c r="H501" s="251"/>
      <c r="I501" s="251"/>
      <c r="J501" s="251"/>
      <c r="K501" s="251"/>
      <c r="L501" s="251"/>
      <c r="M501" s="251"/>
      <c r="N501" s="251"/>
      <c r="O501" s="251"/>
      <c r="P501" s="251"/>
      <c r="Q501" s="251"/>
      <c r="R501" s="251"/>
      <c r="S501" s="251"/>
      <c r="T501" s="251"/>
      <c r="U501" s="251"/>
      <c r="V501" s="251"/>
      <c r="W501" s="251"/>
      <c r="X501" s="251"/>
      <c r="Y501" s="251"/>
      <c r="Z501" s="251"/>
    </row>
    <row r="502" spans="1:26" ht="14.25" customHeight="1" x14ac:dyDescent="0.35">
      <c r="A502" s="251"/>
      <c r="B502" s="251"/>
      <c r="C502" s="251"/>
      <c r="D502" s="251"/>
      <c r="E502" s="251"/>
      <c r="F502" s="251"/>
      <c r="G502" s="251"/>
      <c r="H502" s="251"/>
      <c r="I502" s="251"/>
      <c r="J502" s="251"/>
      <c r="K502" s="251"/>
      <c r="L502" s="251"/>
      <c r="M502" s="251"/>
      <c r="N502" s="251"/>
      <c r="O502" s="251"/>
      <c r="P502" s="251"/>
      <c r="Q502" s="251"/>
      <c r="R502" s="251"/>
      <c r="S502" s="251"/>
      <c r="T502" s="251"/>
      <c r="U502" s="251"/>
      <c r="V502" s="251"/>
      <c r="W502" s="251"/>
      <c r="X502" s="251"/>
      <c r="Y502" s="251"/>
      <c r="Z502" s="251"/>
    </row>
    <row r="503" spans="1:26" ht="14.25" customHeight="1" x14ac:dyDescent="0.35">
      <c r="A503" s="251"/>
      <c r="B503" s="251"/>
      <c r="C503" s="251"/>
      <c r="D503" s="251"/>
      <c r="E503" s="251"/>
      <c r="F503" s="251"/>
      <c r="G503" s="251"/>
      <c r="H503" s="251"/>
      <c r="I503" s="251"/>
      <c r="J503" s="251"/>
      <c r="K503" s="251"/>
      <c r="L503" s="251"/>
      <c r="M503" s="251"/>
      <c r="N503" s="251"/>
      <c r="O503" s="251"/>
      <c r="P503" s="251"/>
      <c r="Q503" s="251"/>
      <c r="R503" s="251"/>
      <c r="S503" s="251"/>
      <c r="T503" s="251"/>
      <c r="U503" s="251"/>
      <c r="V503" s="251"/>
      <c r="W503" s="251"/>
      <c r="X503" s="251"/>
      <c r="Y503" s="251"/>
      <c r="Z503" s="251"/>
    </row>
    <row r="504" spans="1:26" ht="14.25" customHeight="1" x14ac:dyDescent="0.35">
      <c r="A504" s="251"/>
      <c r="B504" s="251"/>
      <c r="C504" s="251"/>
      <c r="D504" s="251"/>
      <c r="E504" s="251"/>
      <c r="F504" s="251"/>
      <c r="G504" s="251"/>
      <c r="H504" s="251"/>
      <c r="I504" s="251"/>
      <c r="J504" s="251"/>
      <c r="K504" s="251"/>
      <c r="L504" s="251"/>
      <c r="M504" s="251"/>
      <c r="N504" s="251"/>
      <c r="O504" s="251"/>
      <c r="P504" s="251"/>
      <c r="Q504" s="251"/>
      <c r="R504" s="251"/>
      <c r="S504" s="251"/>
      <c r="T504" s="251"/>
      <c r="U504" s="251"/>
      <c r="V504" s="251"/>
      <c r="W504" s="251"/>
      <c r="X504" s="251"/>
      <c r="Y504" s="251"/>
      <c r="Z504" s="251"/>
    </row>
    <row r="505" spans="1:26" ht="14.25" customHeight="1" x14ac:dyDescent="0.35">
      <c r="A505" s="251"/>
      <c r="B505" s="251"/>
      <c r="C505" s="251"/>
      <c r="D505" s="251"/>
      <c r="E505" s="251"/>
      <c r="F505" s="251"/>
      <c r="G505" s="251"/>
      <c r="H505" s="251"/>
      <c r="I505" s="251"/>
      <c r="J505" s="251"/>
      <c r="K505" s="251"/>
      <c r="L505" s="251"/>
      <c r="M505" s="251"/>
      <c r="N505" s="251"/>
      <c r="O505" s="251"/>
      <c r="P505" s="251"/>
      <c r="Q505" s="251"/>
      <c r="R505" s="251"/>
      <c r="S505" s="251"/>
      <c r="T505" s="251"/>
      <c r="U505" s="251"/>
      <c r="V505" s="251"/>
      <c r="W505" s="251"/>
      <c r="X505" s="251"/>
      <c r="Y505" s="251"/>
      <c r="Z505" s="251"/>
    </row>
    <row r="506" spans="1:26" ht="14.25" customHeight="1" x14ac:dyDescent="0.35">
      <c r="A506" s="251"/>
      <c r="B506" s="251"/>
      <c r="C506" s="251"/>
      <c r="D506" s="251"/>
      <c r="E506" s="251"/>
      <c r="F506" s="251"/>
      <c r="G506" s="251"/>
      <c r="H506" s="251"/>
      <c r="I506" s="251"/>
      <c r="J506" s="251"/>
      <c r="K506" s="251"/>
      <c r="L506" s="251"/>
      <c r="M506" s="251"/>
      <c r="N506" s="251"/>
      <c r="O506" s="251"/>
      <c r="P506" s="251"/>
      <c r="Q506" s="251"/>
      <c r="R506" s="251"/>
      <c r="S506" s="251"/>
      <c r="T506" s="251"/>
      <c r="U506" s="251"/>
      <c r="V506" s="251"/>
      <c r="W506" s="251"/>
      <c r="X506" s="251"/>
      <c r="Y506" s="251"/>
      <c r="Z506" s="251"/>
    </row>
    <row r="507" spans="1:26" ht="14.25" customHeight="1" x14ac:dyDescent="0.35">
      <c r="A507" s="251"/>
      <c r="B507" s="251"/>
      <c r="C507" s="251"/>
      <c r="D507" s="251"/>
      <c r="E507" s="251"/>
      <c r="F507" s="251"/>
      <c r="G507" s="251"/>
      <c r="H507" s="251"/>
      <c r="I507" s="251"/>
      <c r="J507" s="251"/>
      <c r="K507" s="251"/>
      <c r="L507" s="251"/>
      <c r="M507" s="251"/>
      <c r="N507" s="251"/>
      <c r="O507" s="251"/>
      <c r="P507" s="251"/>
      <c r="Q507" s="251"/>
      <c r="R507" s="251"/>
      <c r="S507" s="251"/>
      <c r="T507" s="251"/>
      <c r="U507" s="251"/>
      <c r="V507" s="251"/>
      <c r="W507" s="251"/>
      <c r="X507" s="251"/>
      <c r="Y507" s="251"/>
      <c r="Z507" s="251"/>
    </row>
    <row r="508" spans="1:26" ht="14.25" customHeight="1" x14ac:dyDescent="0.35">
      <c r="A508" s="251"/>
      <c r="B508" s="251"/>
      <c r="C508" s="251"/>
      <c r="D508" s="251"/>
      <c r="E508" s="251"/>
      <c r="F508" s="251"/>
      <c r="G508" s="251"/>
      <c r="H508" s="251"/>
      <c r="I508" s="251"/>
      <c r="J508" s="251"/>
      <c r="K508" s="251"/>
      <c r="L508" s="251"/>
      <c r="M508" s="251"/>
      <c r="N508" s="251"/>
      <c r="O508" s="251"/>
      <c r="P508" s="251"/>
      <c r="Q508" s="251"/>
      <c r="R508" s="251"/>
      <c r="S508" s="251"/>
      <c r="T508" s="251"/>
      <c r="U508" s="251"/>
      <c r="V508" s="251"/>
      <c r="W508" s="251"/>
      <c r="X508" s="251"/>
      <c r="Y508" s="251"/>
      <c r="Z508" s="251"/>
    </row>
    <row r="509" spans="1:26" ht="14.25" customHeight="1" x14ac:dyDescent="0.35">
      <c r="A509" s="251"/>
      <c r="B509" s="251"/>
      <c r="C509" s="251"/>
      <c r="D509" s="251"/>
      <c r="E509" s="251"/>
      <c r="F509" s="251"/>
      <c r="G509" s="251"/>
      <c r="H509" s="251"/>
      <c r="I509" s="251"/>
      <c r="J509" s="251"/>
      <c r="K509" s="251"/>
      <c r="L509" s="251"/>
      <c r="M509" s="251"/>
      <c r="N509" s="251"/>
      <c r="O509" s="251"/>
      <c r="P509" s="251"/>
      <c r="Q509" s="251"/>
      <c r="R509" s="251"/>
      <c r="S509" s="251"/>
      <c r="T509" s="251"/>
      <c r="U509" s="251"/>
      <c r="V509" s="251"/>
      <c r="W509" s="251"/>
      <c r="X509" s="251"/>
      <c r="Y509" s="251"/>
      <c r="Z509" s="251"/>
    </row>
    <row r="510" spans="1:26" ht="14.25" customHeight="1" x14ac:dyDescent="0.35">
      <c r="A510" s="251"/>
      <c r="B510" s="251"/>
      <c r="C510" s="251"/>
      <c r="D510" s="251"/>
      <c r="E510" s="251"/>
      <c r="F510" s="251"/>
      <c r="G510" s="251"/>
      <c r="H510" s="251"/>
      <c r="I510" s="251"/>
      <c r="J510" s="251"/>
      <c r="K510" s="251"/>
      <c r="L510" s="251"/>
      <c r="M510" s="251"/>
      <c r="N510" s="251"/>
      <c r="O510" s="251"/>
      <c r="P510" s="251"/>
      <c r="Q510" s="251"/>
      <c r="R510" s="251"/>
      <c r="S510" s="251"/>
      <c r="T510" s="251"/>
      <c r="U510" s="251"/>
      <c r="V510" s="251"/>
      <c r="W510" s="251"/>
      <c r="X510" s="251"/>
      <c r="Y510" s="251"/>
      <c r="Z510" s="251"/>
    </row>
    <row r="511" spans="1:26" ht="14.25" customHeight="1" x14ac:dyDescent="0.35">
      <c r="A511" s="251"/>
      <c r="B511" s="251"/>
      <c r="C511" s="251"/>
      <c r="D511" s="251"/>
      <c r="E511" s="251"/>
      <c r="F511" s="251"/>
      <c r="G511" s="251"/>
      <c r="H511" s="251"/>
      <c r="I511" s="251"/>
      <c r="J511" s="251"/>
      <c r="K511" s="251"/>
      <c r="L511" s="251"/>
      <c r="M511" s="251"/>
      <c r="N511" s="251"/>
      <c r="O511" s="251"/>
      <c r="P511" s="251"/>
      <c r="Q511" s="251"/>
      <c r="R511" s="251"/>
      <c r="S511" s="251"/>
      <c r="T511" s="251"/>
      <c r="U511" s="251"/>
      <c r="V511" s="251"/>
      <c r="W511" s="251"/>
      <c r="X511" s="251"/>
      <c r="Y511" s="251"/>
      <c r="Z511" s="251"/>
    </row>
    <row r="512" spans="1:26" ht="14.25" customHeight="1" x14ac:dyDescent="0.35">
      <c r="A512" s="251"/>
      <c r="B512" s="251"/>
      <c r="C512" s="251"/>
      <c r="D512" s="251"/>
      <c r="E512" s="251"/>
      <c r="F512" s="251"/>
      <c r="G512" s="251"/>
      <c r="H512" s="251"/>
      <c r="I512" s="251"/>
      <c r="J512" s="251"/>
      <c r="K512" s="251"/>
      <c r="L512" s="251"/>
      <c r="M512" s="251"/>
      <c r="N512" s="251"/>
      <c r="O512" s="251"/>
      <c r="P512" s="251"/>
      <c r="Q512" s="251"/>
      <c r="R512" s="251"/>
      <c r="S512" s="251"/>
      <c r="T512" s="251"/>
      <c r="U512" s="251"/>
      <c r="V512" s="251"/>
      <c r="W512" s="251"/>
      <c r="X512" s="251"/>
      <c r="Y512" s="251"/>
      <c r="Z512" s="251"/>
    </row>
    <row r="513" spans="1:26" ht="14.25" customHeight="1" x14ac:dyDescent="0.35">
      <c r="A513" s="251"/>
      <c r="B513" s="251"/>
      <c r="C513" s="251"/>
      <c r="D513" s="251"/>
      <c r="E513" s="251"/>
      <c r="F513" s="251"/>
      <c r="G513" s="251"/>
      <c r="H513" s="251"/>
      <c r="I513" s="251"/>
      <c r="J513" s="251"/>
      <c r="K513" s="251"/>
      <c r="L513" s="251"/>
      <c r="M513" s="251"/>
      <c r="N513" s="251"/>
      <c r="O513" s="251"/>
      <c r="P513" s="251"/>
      <c r="Q513" s="251"/>
      <c r="R513" s="251"/>
      <c r="S513" s="251"/>
      <c r="T513" s="251"/>
      <c r="U513" s="251"/>
      <c r="V513" s="251"/>
      <c r="W513" s="251"/>
      <c r="X513" s="251"/>
      <c r="Y513" s="251"/>
      <c r="Z513" s="251"/>
    </row>
    <row r="514" spans="1:26" ht="14.25" customHeight="1" x14ac:dyDescent="0.35">
      <c r="A514" s="251"/>
      <c r="B514" s="251"/>
      <c r="C514" s="251"/>
      <c r="D514" s="251"/>
      <c r="E514" s="251"/>
      <c r="F514" s="251"/>
      <c r="G514" s="251"/>
      <c r="H514" s="251"/>
      <c r="I514" s="251"/>
      <c r="J514" s="251"/>
      <c r="K514" s="251"/>
      <c r="L514" s="251"/>
      <c r="M514" s="251"/>
      <c r="N514" s="251"/>
      <c r="O514" s="251"/>
      <c r="P514" s="251"/>
      <c r="Q514" s="251"/>
      <c r="R514" s="251"/>
      <c r="S514" s="251"/>
      <c r="T514" s="251"/>
      <c r="U514" s="251"/>
      <c r="V514" s="251"/>
      <c r="W514" s="251"/>
      <c r="X514" s="251"/>
      <c r="Y514" s="251"/>
      <c r="Z514" s="251"/>
    </row>
    <row r="515" spans="1:26" ht="14.25" customHeight="1" x14ac:dyDescent="0.35">
      <c r="A515" s="251"/>
      <c r="B515" s="251"/>
      <c r="C515" s="251"/>
      <c r="D515" s="251"/>
      <c r="E515" s="251"/>
      <c r="F515" s="251"/>
      <c r="G515" s="251"/>
      <c r="H515" s="251"/>
      <c r="I515" s="251"/>
      <c r="J515" s="251"/>
      <c r="K515" s="251"/>
      <c r="L515" s="251"/>
      <c r="M515" s="251"/>
      <c r="N515" s="251"/>
      <c r="O515" s="251"/>
      <c r="P515" s="251"/>
      <c r="Q515" s="251"/>
      <c r="R515" s="251"/>
      <c r="S515" s="251"/>
      <c r="T515" s="251"/>
      <c r="U515" s="251"/>
      <c r="V515" s="251"/>
      <c r="W515" s="251"/>
      <c r="X515" s="251"/>
      <c r="Y515" s="251"/>
      <c r="Z515" s="251"/>
    </row>
    <row r="516" spans="1:26" ht="14.25" customHeight="1" x14ac:dyDescent="0.35">
      <c r="A516" s="251"/>
      <c r="B516" s="251"/>
      <c r="C516" s="251"/>
      <c r="D516" s="251"/>
      <c r="E516" s="251"/>
      <c r="F516" s="251"/>
      <c r="G516" s="251"/>
      <c r="H516" s="251"/>
      <c r="I516" s="251"/>
      <c r="J516" s="251"/>
      <c r="K516" s="251"/>
      <c r="L516" s="251"/>
      <c r="M516" s="251"/>
      <c r="N516" s="251"/>
      <c r="O516" s="251"/>
      <c r="P516" s="251"/>
      <c r="Q516" s="251"/>
      <c r="R516" s="251"/>
      <c r="S516" s="251"/>
      <c r="T516" s="251"/>
      <c r="U516" s="251"/>
      <c r="V516" s="251"/>
      <c r="W516" s="251"/>
      <c r="X516" s="251"/>
      <c r="Y516" s="251"/>
      <c r="Z516" s="251"/>
    </row>
    <row r="517" spans="1:26" ht="14.25" customHeight="1" x14ac:dyDescent="0.35">
      <c r="A517" s="251"/>
      <c r="B517" s="251"/>
      <c r="C517" s="251"/>
      <c r="D517" s="251"/>
      <c r="E517" s="251"/>
      <c r="F517" s="251"/>
      <c r="G517" s="251"/>
      <c r="H517" s="251"/>
      <c r="I517" s="251"/>
      <c r="J517" s="251"/>
      <c r="K517" s="251"/>
      <c r="L517" s="251"/>
      <c r="M517" s="251"/>
      <c r="N517" s="251"/>
      <c r="O517" s="251"/>
      <c r="P517" s="251"/>
      <c r="Q517" s="251"/>
      <c r="R517" s="251"/>
      <c r="S517" s="251"/>
      <c r="T517" s="251"/>
      <c r="U517" s="251"/>
      <c r="V517" s="251"/>
      <c r="W517" s="251"/>
      <c r="X517" s="251"/>
      <c r="Y517" s="251"/>
      <c r="Z517" s="251"/>
    </row>
    <row r="518" spans="1:26" ht="14.25" customHeight="1" x14ac:dyDescent="0.35">
      <c r="A518" s="251"/>
      <c r="B518" s="251"/>
      <c r="C518" s="251"/>
      <c r="D518" s="251"/>
      <c r="E518" s="251"/>
      <c r="F518" s="251"/>
      <c r="G518" s="251"/>
      <c r="H518" s="251"/>
      <c r="I518" s="251"/>
      <c r="J518" s="251"/>
      <c r="K518" s="251"/>
      <c r="L518" s="251"/>
      <c r="M518" s="251"/>
      <c r="N518" s="251"/>
      <c r="O518" s="251"/>
      <c r="P518" s="251"/>
      <c r="Q518" s="251"/>
      <c r="R518" s="251"/>
      <c r="S518" s="251"/>
      <c r="T518" s="251"/>
      <c r="U518" s="251"/>
      <c r="V518" s="251"/>
      <c r="W518" s="251"/>
      <c r="X518" s="251"/>
      <c r="Y518" s="251"/>
      <c r="Z518" s="251"/>
    </row>
    <row r="519" spans="1:26" ht="14.25" customHeight="1" x14ac:dyDescent="0.35">
      <c r="A519" s="251"/>
      <c r="B519" s="251"/>
      <c r="C519" s="251"/>
      <c r="D519" s="251"/>
      <c r="E519" s="251"/>
      <c r="F519" s="251"/>
      <c r="G519" s="251"/>
      <c r="H519" s="251"/>
      <c r="I519" s="251"/>
      <c r="J519" s="251"/>
      <c r="K519" s="251"/>
      <c r="L519" s="251"/>
      <c r="M519" s="251"/>
      <c r="N519" s="251"/>
      <c r="O519" s="251"/>
      <c r="P519" s="251"/>
      <c r="Q519" s="251"/>
      <c r="R519" s="251"/>
      <c r="S519" s="251"/>
      <c r="T519" s="251"/>
      <c r="U519" s="251"/>
      <c r="V519" s="251"/>
      <c r="W519" s="251"/>
      <c r="X519" s="251"/>
      <c r="Y519" s="251"/>
      <c r="Z519" s="251"/>
    </row>
    <row r="520" spans="1:26" ht="14.25" customHeight="1" x14ac:dyDescent="0.35">
      <c r="A520" s="251"/>
      <c r="B520" s="251"/>
      <c r="C520" s="251"/>
      <c r="D520" s="251"/>
      <c r="E520" s="251"/>
      <c r="F520" s="251"/>
      <c r="G520" s="251"/>
      <c r="H520" s="251"/>
      <c r="I520" s="251"/>
      <c r="J520" s="251"/>
      <c r="K520" s="251"/>
      <c r="L520" s="251"/>
      <c r="M520" s="251"/>
      <c r="N520" s="251"/>
      <c r="O520" s="251"/>
      <c r="P520" s="251"/>
      <c r="Q520" s="251"/>
      <c r="R520" s="251"/>
      <c r="S520" s="251"/>
      <c r="T520" s="251"/>
      <c r="U520" s="251"/>
      <c r="V520" s="251"/>
      <c r="W520" s="251"/>
      <c r="X520" s="251"/>
      <c r="Y520" s="251"/>
      <c r="Z520" s="251"/>
    </row>
    <row r="521" spans="1:26" ht="14.25" customHeight="1" x14ac:dyDescent="0.35">
      <c r="A521" s="251"/>
      <c r="B521" s="251"/>
      <c r="C521" s="251"/>
      <c r="D521" s="251"/>
      <c r="E521" s="251"/>
      <c r="F521" s="251"/>
      <c r="G521" s="251"/>
      <c r="H521" s="251"/>
      <c r="I521" s="251"/>
      <c r="J521" s="251"/>
      <c r="K521" s="251"/>
      <c r="L521" s="251"/>
      <c r="M521" s="251"/>
      <c r="N521" s="251"/>
      <c r="O521" s="251"/>
      <c r="P521" s="251"/>
      <c r="Q521" s="251"/>
      <c r="R521" s="251"/>
      <c r="S521" s="251"/>
      <c r="T521" s="251"/>
      <c r="U521" s="251"/>
      <c r="V521" s="251"/>
      <c r="W521" s="251"/>
      <c r="X521" s="251"/>
      <c r="Y521" s="251"/>
      <c r="Z521" s="251"/>
    </row>
    <row r="522" spans="1:26" ht="14.25" customHeight="1" x14ac:dyDescent="0.35">
      <c r="A522" s="251"/>
      <c r="B522" s="251"/>
      <c r="C522" s="251"/>
      <c r="D522" s="251"/>
      <c r="E522" s="251"/>
      <c r="F522" s="251"/>
      <c r="G522" s="251"/>
      <c r="H522" s="251"/>
      <c r="I522" s="251"/>
      <c r="J522" s="251"/>
      <c r="K522" s="251"/>
      <c r="L522" s="251"/>
      <c r="M522" s="251"/>
      <c r="N522" s="251"/>
      <c r="O522" s="251"/>
      <c r="P522" s="251"/>
      <c r="Q522" s="251"/>
      <c r="R522" s="251"/>
      <c r="S522" s="251"/>
      <c r="T522" s="251"/>
      <c r="U522" s="251"/>
      <c r="V522" s="251"/>
      <c r="W522" s="251"/>
      <c r="X522" s="251"/>
      <c r="Y522" s="251"/>
      <c r="Z522" s="251"/>
    </row>
    <row r="523" spans="1:26" ht="14.25" customHeight="1" x14ac:dyDescent="0.35">
      <c r="A523" s="251"/>
      <c r="B523" s="251"/>
      <c r="C523" s="251"/>
      <c r="D523" s="251"/>
      <c r="E523" s="251"/>
      <c r="F523" s="251"/>
      <c r="G523" s="251"/>
      <c r="H523" s="251"/>
      <c r="I523" s="251"/>
      <c r="J523" s="251"/>
      <c r="K523" s="251"/>
      <c r="L523" s="251"/>
      <c r="M523" s="251"/>
      <c r="N523" s="251"/>
      <c r="O523" s="251"/>
      <c r="P523" s="251"/>
      <c r="Q523" s="251"/>
      <c r="R523" s="251"/>
      <c r="S523" s="251"/>
      <c r="T523" s="251"/>
      <c r="U523" s="251"/>
      <c r="V523" s="251"/>
      <c r="W523" s="251"/>
      <c r="X523" s="251"/>
      <c r="Y523" s="251"/>
      <c r="Z523" s="251"/>
    </row>
    <row r="524" spans="1:26" ht="14.25" customHeight="1" x14ac:dyDescent="0.35">
      <c r="A524" s="251"/>
      <c r="B524" s="251"/>
      <c r="C524" s="251"/>
      <c r="D524" s="251"/>
      <c r="E524" s="251"/>
      <c r="F524" s="251"/>
      <c r="G524" s="251"/>
      <c r="H524" s="251"/>
      <c r="I524" s="251"/>
      <c r="J524" s="251"/>
      <c r="K524" s="251"/>
      <c r="L524" s="251"/>
      <c r="M524" s="251"/>
      <c r="N524" s="251"/>
      <c r="O524" s="251"/>
      <c r="P524" s="251"/>
      <c r="Q524" s="251"/>
      <c r="R524" s="251"/>
      <c r="S524" s="251"/>
      <c r="T524" s="251"/>
      <c r="U524" s="251"/>
      <c r="V524" s="251"/>
      <c r="W524" s="251"/>
      <c r="X524" s="251"/>
      <c r="Y524" s="251"/>
      <c r="Z524" s="251"/>
    </row>
    <row r="525" spans="1:26" ht="14.25" customHeight="1" x14ac:dyDescent="0.35">
      <c r="A525" s="251"/>
      <c r="B525" s="251"/>
      <c r="C525" s="251"/>
      <c r="D525" s="251"/>
      <c r="E525" s="251"/>
      <c r="F525" s="251"/>
      <c r="G525" s="251"/>
      <c r="H525" s="251"/>
      <c r="I525" s="251"/>
      <c r="J525" s="251"/>
      <c r="K525" s="251"/>
      <c r="L525" s="251"/>
      <c r="M525" s="251"/>
      <c r="N525" s="251"/>
      <c r="O525" s="251"/>
      <c r="P525" s="251"/>
      <c r="Q525" s="251"/>
      <c r="R525" s="251"/>
      <c r="S525" s="251"/>
      <c r="T525" s="251"/>
      <c r="U525" s="251"/>
      <c r="V525" s="251"/>
      <c r="W525" s="251"/>
      <c r="X525" s="251"/>
      <c r="Y525" s="251"/>
      <c r="Z525" s="251"/>
    </row>
    <row r="526" spans="1:26" ht="14.25" customHeight="1" x14ac:dyDescent="0.35">
      <c r="A526" s="251"/>
      <c r="B526" s="251"/>
      <c r="C526" s="251"/>
      <c r="D526" s="251"/>
      <c r="E526" s="251"/>
      <c r="F526" s="251"/>
      <c r="G526" s="251"/>
      <c r="H526" s="251"/>
      <c r="I526" s="251"/>
      <c r="J526" s="251"/>
      <c r="K526" s="251"/>
      <c r="L526" s="251"/>
      <c r="M526" s="251"/>
      <c r="N526" s="251"/>
      <c r="O526" s="251"/>
      <c r="P526" s="251"/>
      <c r="Q526" s="251"/>
      <c r="R526" s="251"/>
      <c r="S526" s="251"/>
      <c r="T526" s="251"/>
      <c r="U526" s="251"/>
      <c r="V526" s="251"/>
      <c r="W526" s="251"/>
      <c r="X526" s="251"/>
      <c r="Y526" s="251"/>
      <c r="Z526" s="251"/>
    </row>
    <row r="527" spans="1:26" ht="14.25" customHeight="1" x14ac:dyDescent="0.35">
      <c r="A527" s="251"/>
      <c r="B527" s="251"/>
      <c r="C527" s="251"/>
      <c r="D527" s="251"/>
      <c r="E527" s="251"/>
      <c r="F527" s="251"/>
      <c r="G527" s="251"/>
      <c r="H527" s="251"/>
      <c r="I527" s="251"/>
      <c r="J527" s="251"/>
      <c r="K527" s="251"/>
      <c r="L527" s="251"/>
      <c r="M527" s="251"/>
      <c r="N527" s="251"/>
      <c r="O527" s="251"/>
      <c r="P527" s="251"/>
      <c r="Q527" s="251"/>
      <c r="R527" s="251"/>
      <c r="S527" s="251"/>
      <c r="T527" s="251"/>
      <c r="U527" s="251"/>
      <c r="V527" s="251"/>
      <c r="W527" s="251"/>
      <c r="X527" s="251"/>
      <c r="Y527" s="251"/>
      <c r="Z527" s="251"/>
    </row>
    <row r="528" spans="1:26" ht="14.25" customHeight="1" x14ac:dyDescent="0.35">
      <c r="A528" s="251"/>
      <c r="B528" s="251"/>
      <c r="C528" s="251"/>
      <c r="D528" s="251"/>
      <c r="E528" s="251"/>
      <c r="F528" s="251"/>
      <c r="G528" s="251"/>
      <c r="H528" s="251"/>
      <c r="I528" s="251"/>
      <c r="J528" s="251"/>
      <c r="K528" s="251"/>
      <c r="L528" s="251"/>
      <c r="M528" s="251"/>
      <c r="N528" s="251"/>
      <c r="O528" s="251"/>
      <c r="P528" s="251"/>
      <c r="Q528" s="251"/>
      <c r="R528" s="251"/>
      <c r="S528" s="251"/>
      <c r="T528" s="251"/>
      <c r="U528" s="251"/>
      <c r="V528" s="251"/>
      <c r="W528" s="251"/>
      <c r="X528" s="251"/>
      <c r="Y528" s="251"/>
      <c r="Z528" s="251"/>
    </row>
    <row r="529" spans="1:26" ht="14.25" customHeight="1" x14ac:dyDescent="0.35">
      <c r="A529" s="251"/>
      <c r="B529" s="251"/>
      <c r="C529" s="251"/>
      <c r="D529" s="251"/>
      <c r="E529" s="251"/>
      <c r="F529" s="251"/>
      <c r="G529" s="251"/>
      <c r="H529" s="251"/>
      <c r="I529" s="251"/>
      <c r="J529" s="251"/>
      <c r="K529" s="251"/>
      <c r="L529" s="251"/>
      <c r="M529" s="251"/>
      <c r="N529" s="251"/>
      <c r="O529" s="251"/>
      <c r="P529" s="251"/>
      <c r="Q529" s="251"/>
      <c r="R529" s="251"/>
      <c r="S529" s="251"/>
      <c r="T529" s="251"/>
      <c r="U529" s="251"/>
      <c r="V529" s="251"/>
      <c r="W529" s="251"/>
      <c r="X529" s="251"/>
      <c r="Y529" s="251"/>
      <c r="Z529" s="251"/>
    </row>
    <row r="530" spans="1:26" ht="14.25" customHeight="1" x14ac:dyDescent="0.35">
      <c r="A530" s="251"/>
      <c r="B530" s="251"/>
      <c r="C530" s="251"/>
      <c r="D530" s="251"/>
      <c r="E530" s="251"/>
      <c r="F530" s="251"/>
      <c r="G530" s="251"/>
      <c r="H530" s="251"/>
      <c r="I530" s="251"/>
      <c r="J530" s="251"/>
      <c r="K530" s="251"/>
      <c r="L530" s="251"/>
      <c r="M530" s="251"/>
      <c r="N530" s="251"/>
      <c r="O530" s="251"/>
      <c r="P530" s="251"/>
      <c r="Q530" s="251"/>
      <c r="R530" s="251"/>
      <c r="S530" s="251"/>
      <c r="T530" s="251"/>
      <c r="U530" s="251"/>
      <c r="V530" s="251"/>
      <c r="W530" s="251"/>
      <c r="X530" s="251"/>
      <c r="Y530" s="251"/>
      <c r="Z530" s="251"/>
    </row>
    <row r="531" spans="1:26" ht="14.25" customHeight="1" x14ac:dyDescent="0.35">
      <c r="A531" s="251"/>
      <c r="B531" s="251"/>
      <c r="C531" s="251"/>
      <c r="D531" s="251"/>
      <c r="E531" s="251"/>
      <c r="F531" s="251"/>
      <c r="G531" s="251"/>
      <c r="H531" s="251"/>
      <c r="I531" s="251"/>
      <c r="J531" s="251"/>
      <c r="K531" s="251"/>
      <c r="L531" s="251"/>
      <c r="M531" s="251"/>
      <c r="N531" s="251"/>
      <c r="O531" s="251"/>
      <c r="P531" s="251"/>
      <c r="Q531" s="251"/>
      <c r="R531" s="251"/>
      <c r="S531" s="251"/>
      <c r="T531" s="251"/>
      <c r="U531" s="251"/>
      <c r="V531" s="251"/>
      <c r="W531" s="251"/>
      <c r="X531" s="251"/>
      <c r="Y531" s="251"/>
      <c r="Z531" s="251"/>
    </row>
    <row r="532" spans="1:26" ht="14.25" customHeight="1" x14ac:dyDescent="0.35">
      <c r="A532" s="251"/>
      <c r="B532" s="251"/>
      <c r="C532" s="251"/>
      <c r="D532" s="251"/>
      <c r="E532" s="251"/>
      <c r="F532" s="251"/>
      <c r="G532" s="251"/>
      <c r="H532" s="251"/>
      <c r="I532" s="251"/>
      <c r="J532" s="251"/>
      <c r="K532" s="251"/>
      <c r="L532" s="251"/>
      <c r="M532" s="251"/>
      <c r="N532" s="251"/>
      <c r="O532" s="251"/>
      <c r="P532" s="251"/>
      <c r="Q532" s="251"/>
      <c r="R532" s="251"/>
      <c r="S532" s="251"/>
      <c r="T532" s="251"/>
      <c r="U532" s="251"/>
      <c r="V532" s="251"/>
      <c r="W532" s="251"/>
      <c r="X532" s="251"/>
      <c r="Y532" s="251"/>
      <c r="Z532" s="251"/>
    </row>
    <row r="533" spans="1:26" ht="14.25" customHeight="1" x14ac:dyDescent="0.35">
      <c r="A533" s="251"/>
      <c r="B533" s="251"/>
      <c r="C533" s="251"/>
      <c r="D533" s="251"/>
      <c r="E533" s="251"/>
      <c r="F533" s="251"/>
      <c r="G533" s="251"/>
      <c r="H533" s="251"/>
      <c r="I533" s="251"/>
      <c r="J533" s="251"/>
      <c r="K533" s="251"/>
      <c r="L533" s="251"/>
      <c r="M533" s="251"/>
      <c r="N533" s="251"/>
      <c r="O533" s="251"/>
      <c r="P533" s="251"/>
      <c r="Q533" s="251"/>
      <c r="R533" s="251"/>
      <c r="S533" s="251"/>
      <c r="T533" s="251"/>
      <c r="U533" s="251"/>
      <c r="V533" s="251"/>
      <c r="W533" s="251"/>
      <c r="X533" s="251"/>
      <c r="Y533" s="251"/>
      <c r="Z533" s="251"/>
    </row>
    <row r="534" spans="1:26" ht="14.25" customHeight="1" x14ac:dyDescent="0.35">
      <c r="A534" s="251"/>
      <c r="B534" s="251"/>
      <c r="C534" s="251"/>
      <c r="D534" s="251"/>
      <c r="E534" s="251"/>
      <c r="F534" s="251"/>
      <c r="G534" s="251"/>
      <c r="H534" s="251"/>
      <c r="I534" s="251"/>
      <c r="J534" s="251"/>
      <c r="K534" s="251"/>
      <c r="L534" s="251"/>
      <c r="M534" s="251"/>
      <c r="N534" s="251"/>
      <c r="O534" s="251"/>
      <c r="P534" s="251"/>
      <c r="Q534" s="251"/>
      <c r="R534" s="251"/>
      <c r="S534" s="251"/>
      <c r="T534" s="251"/>
      <c r="U534" s="251"/>
      <c r="V534" s="251"/>
      <c r="W534" s="251"/>
      <c r="X534" s="251"/>
      <c r="Y534" s="251"/>
      <c r="Z534" s="251"/>
    </row>
    <row r="535" spans="1:26" ht="14.25" customHeight="1" x14ac:dyDescent="0.35">
      <c r="A535" s="251"/>
      <c r="B535" s="251"/>
      <c r="C535" s="251"/>
      <c r="D535" s="251"/>
      <c r="E535" s="251"/>
      <c r="F535" s="251"/>
      <c r="G535" s="251"/>
      <c r="H535" s="251"/>
      <c r="I535" s="251"/>
      <c r="J535" s="251"/>
      <c r="K535" s="251"/>
      <c r="L535" s="251"/>
      <c r="M535" s="251"/>
      <c r="N535" s="251"/>
      <c r="O535" s="251"/>
      <c r="P535" s="251"/>
      <c r="Q535" s="251"/>
      <c r="R535" s="251"/>
      <c r="S535" s="251"/>
      <c r="T535" s="251"/>
      <c r="U535" s="251"/>
      <c r="V535" s="251"/>
      <c r="W535" s="251"/>
      <c r="X535" s="251"/>
      <c r="Y535" s="251"/>
      <c r="Z535" s="251"/>
    </row>
    <row r="536" spans="1:26" ht="14.25" customHeight="1" x14ac:dyDescent="0.35">
      <c r="A536" s="251"/>
      <c r="B536" s="251"/>
      <c r="C536" s="251"/>
      <c r="D536" s="251"/>
      <c r="E536" s="251"/>
      <c r="F536" s="251"/>
      <c r="G536" s="251"/>
      <c r="H536" s="251"/>
      <c r="I536" s="251"/>
      <c r="J536" s="251"/>
      <c r="K536" s="251"/>
      <c r="L536" s="251"/>
      <c r="M536" s="251"/>
      <c r="N536" s="251"/>
      <c r="O536" s="251"/>
      <c r="P536" s="251"/>
      <c r="Q536" s="251"/>
      <c r="R536" s="251"/>
      <c r="S536" s="251"/>
      <c r="T536" s="251"/>
      <c r="U536" s="251"/>
      <c r="V536" s="251"/>
      <c r="W536" s="251"/>
      <c r="X536" s="251"/>
      <c r="Y536" s="251"/>
      <c r="Z536" s="251"/>
    </row>
    <row r="537" spans="1:26" ht="14.25" customHeight="1" x14ac:dyDescent="0.35">
      <c r="A537" s="251"/>
      <c r="B537" s="251"/>
      <c r="C537" s="251"/>
      <c r="D537" s="251"/>
      <c r="E537" s="251"/>
      <c r="F537" s="251"/>
      <c r="G537" s="251"/>
      <c r="H537" s="251"/>
      <c r="I537" s="251"/>
      <c r="J537" s="251"/>
      <c r="K537" s="251"/>
      <c r="L537" s="251"/>
      <c r="M537" s="251"/>
      <c r="N537" s="251"/>
      <c r="O537" s="251"/>
      <c r="P537" s="251"/>
      <c r="Q537" s="251"/>
      <c r="R537" s="251"/>
      <c r="S537" s="251"/>
      <c r="T537" s="251"/>
      <c r="U537" s="251"/>
      <c r="V537" s="251"/>
      <c r="W537" s="251"/>
      <c r="X537" s="251"/>
      <c r="Y537" s="251"/>
      <c r="Z537" s="251"/>
    </row>
    <row r="538" spans="1:26" ht="14.25" customHeight="1" x14ac:dyDescent="0.35">
      <c r="A538" s="251"/>
      <c r="B538" s="251"/>
      <c r="C538" s="251"/>
      <c r="D538" s="251"/>
      <c r="E538" s="251"/>
      <c r="F538" s="251"/>
      <c r="G538" s="251"/>
      <c r="H538" s="251"/>
      <c r="I538" s="251"/>
      <c r="J538" s="251"/>
      <c r="K538" s="251"/>
      <c r="L538" s="251"/>
      <c r="M538" s="251"/>
      <c r="N538" s="251"/>
      <c r="O538" s="251"/>
      <c r="P538" s="251"/>
      <c r="Q538" s="251"/>
      <c r="R538" s="251"/>
      <c r="S538" s="251"/>
      <c r="T538" s="251"/>
      <c r="U538" s="251"/>
      <c r="V538" s="251"/>
      <c r="W538" s="251"/>
      <c r="X538" s="251"/>
      <c r="Y538" s="251"/>
      <c r="Z538" s="251"/>
    </row>
    <row r="539" spans="1:26" ht="14.25" customHeight="1" x14ac:dyDescent="0.35">
      <c r="A539" s="251"/>
      <c r="B539" s="251"/>
      <c r="C539" s="251"/>
      <c r="D539" s="251"/>
      <c r="E539" s="251"/>
      <c r="F539" s="251"/>
      <c r="G539" s="251"/>
      <c r="H539" s="251"/>
      <c r="I539" s="251"/>
      <c r="J539" s="251"/>
      <c r="K539" s="251"/>
      <c r="L539" s="251"/>
      <c r="M539" s="251"/>
      <c r="N539" s="251"/>
      <c r="O539" s="251"/>
      <c r="P539" s="251"/>
      <c r="Q539" s="251"/>
      <c r="R539" s="251"/>
      <c r="S539" s="251"/>
      <c r="T539" s="251"/>
      <c r="U539" s="251"/>
      <c r="V539" s="251"/>
      <c r="W539" s="251"/>
      <c r="X539" s="251"/>
      <c r="Y539" s="251"/>
      <c r="Z539" s="251"/>
    </row>
    <row r="540" spans="1:26" ht="14.25" customHeight="1" x14ac:dyDescent="0.35">
      <c r="A540" s="251"/>
      <c r="B540" s="251"/>
      <c r="C540" s="251"/>
      <c r="D540" s="251"/>
      <c r="E540" s="251"/>
      <c r="F540" s="251"/>
      <c r="G540" s="251"/>
      <c r="H540" s="251"/>
      <c r="I540" s="251"/>
      <c r="J540" s="251"/>
      <c r="K540" s="251"/>
      <c r="L540" s="251"/>
      <c r="M540" s="251"/>
      <c r="N540" s="251"/>
      <c r="O540" s="251"/>
      <c r="P540" s="251"/>
      <c r="Q540" s="251"/>
      <c r="R540" s="251"/>
      <c r="S540" s="251"/>
      <c r="T540" s="251"/>
      <c r="U540" s="251"/>
      <c r="V540" s="251"/>
      <c r="W540" s="251"/>
      <c r="X540" s="251"/>
      <c r="Y540" s="251"/>
      <c r="Z540" s="251"/>
    </row>
    <row r="541" spans="1:26" ht="14.25" customHeight="1" x14ac:dyDescent="0.35">
      <c r="A541" s="251"/>
      <c r="B541" s="251"/>
      <c r="C541" s="251"/>
      <c r="D541" s="251"/>
      <c r="E541" s="251"/>
      <c r="F541" s="251"/>
      <c r="G541" s="251"/>
      <c r="H541" s="251"/>
      <c r="I541" s="251"/>
      <c r="J541" s="251"/>
      <c r="K541" s="251"/>
      <c r="L541" s="251"/>
      <c r="M541" s="251"/>
      <c r="N541" s="251"/>
      <c r="O541" s="251"/>
      <c r="P541" s="251"/>
      <c r="Q541" s="251"/>
      <c r="R541" s="251"/>
      <c r="S541" s="251"/>
      <c r="T541" s="251"/>
      <c r="U541" s="251"/>
      <c r="V541" s="251"/>
      <c r="W541" s="251"/>
      <c r="X541" s="251"/>
      <c r="Y541" s="251"/>
      <c r="Z541" s="251"/>
    </row>
    <row r="542" spans="1:26" ht="14.25" customHeight="1" x14ac:dyDescent="0.35">
      <c r="A542" s="251"/>
      <c r="B542" s="251"/>
      <c r="C542" s="251"/>
      <c r="D542" s="251"/>
      <c r="E542" s="251"/>
      <c r="F542" s="251"/>
      <c r="G542" s="251"/>
      <c r="H542" s="251"/>
      <c r="I542" s="251"/>
      <c r="J542" s="251"/>
      <c r="K542" s="251"/>
      <c r="L542" s="251"/>
      <c r="M542" s="251"/>
      <c r="N542" s="251"/>
      <c r="O542" s="251"/>
      <c r="P542" s="251"/>
      <c r="Q542" s="251"/>
      <c r="R542" s="251"/>
      <c r="S542" s="251"/>
      <c r="T542" s="251"/>
      <c r="U542" s="251"/>
      <c r="V542" s="251"/>
      <c r="W542" s="251"/>
      <c r="X542" s="251"/>
      <c r="Y542" s="251"/>
      <c r="Z542" s="251"/>
    </row>
    <row r="543" spans="1:26" ht="14.25" customHeight="1" x14ac:dyDescent="0.35">
      <c r="A543" s="251"/>
      <c r="B543" s="251"/>
      <c r="C543" s="251"/>
      <c r="D543" s="251"/>
      <c r="E543" s="251"/>
      <c r="F543" s="251"/>
      <c r="G543" s="251"/>
      <c r="H543" s="251"/>
      <c r="I543" s="251"/>
      <c r="J543" s="251"/>
      <c r="K543" s="251"/>
      <c r="L543" s="251"/>
      <c r="M543" s="251"/>
      <c r="N543" s="251"/>
      <c r="O543" s="251"/>
      <c r="P543" s="251"/>
      <c r="Q543" s="251"/>
      <c r="R543" s="251"/>
      <c r="S543" s="251"/>
      <c r="T543" s="251"/>
      <c r="U543" s="251"/>
      <c r="V543" s="251"/>
      <c r="W543" s="251"/>
      <c r="X543" s="251"/>
      <c r="Y543" s="251"/>
      <c r="Z543" s="251"/>
    </row>
    <row r="544" spans="1:26" ht="14.25" customHeight="1" x14ac:dyDescent="0.35">
      <c r="A544" s="251"/>
      <c r="B544" s="251"/>
      <c r="C544" s="251"/>
      <c r="D544" s="251"/>
      <c r="E544" s="251"/>
      <c r="F544" s="251"/>
      <c r="G544" s="251"/>
      <c r="H544" s="251"/>
      <c r="I544" s="251"/>
      <c r="J544" s="251"/>
      <c r="K544" s="251"/>
      <c r="L544" s="251"/>
      <c r="M544" s="251"/>
      <c r="N544" s="251"/>
      <c r="O544" s="251"/>
      <c r="P544" s="251"/>
      <c r="Q544" s="251"/>
      <c r="R544" s="251"/>
      <c r="S544" s="251"/>
      <c r="T544" s="251"/>
      <c r="U544" s="251"/>
      <c r="V544" s="251"/>
      <c r="W544" s="251"/>
      <c r="X544" s="251"/>
      <c r="Y544" s="251"/>
      <c r="Z544" s="251"/>
    </row>
    <row r="545" spans="1:26" ht="14.25" customHeight="1" x14ac:dyDescent="0.35">
      <c r="A545" s="251"/>
      <c r="B545" s="251"/>
      <c r="C545" s="251"/>
      <c r="D545" s="251"/>
      <c r="E545" s="251"/>
      <c r="F545" s="251"/>
      <c r="G545" s="251"/>
      <c r="H545" s="251"/>
      <c r="I545" s="251"/>
      <c r="J545" s="251"/>
      <c r="K545" s="251"/>
      <c r="L545" s="251"/>
      <c r="M545" s="251"/>
      <c r="N545" s="251"/>
      <c r="O545" s="251"/>
      <c r="P545" s="251"/>
      <c r="Q545" s="251"/>
      <c r="R545" s="251"/>
      <c r="S545" s="251"/>
      <c r="T545" s="251"/>
      <c r="U545" s="251"/>
      <c r="V545" s="251"/>
      <c r="W545" s="251"/>
      <c r="X545" s="251"/>
      <c r="Y545" s="251"/>
      <c r="Z545" s="251"/>
    </row>
    <row r="546" spans="1:26" ht="14.25" customHeight="1" x14ac:dyDescent="0.35">
      <c r="A546" s="251"/>
      <c r="B546" s="251"/>
      <c r="C546" s="251"/>
      <c r="D546" s="251"/>
      <c r="E546" s="251"/>
      <c r="F546" s="251"/>
      <c r="G546" s="251"/>
      <c r="H546" s="251"/>
      <c r="I546" s="251"/>
      <c r="J546" s="251"/>
      <c r="K546" s="251"/>
      <c r="L546" s="251"/>
      <c r="M546" s="251"/>
      <c r="N546" s="251"/>
      <c r="O546" s="251"/>
      <c r="P546" s="251"/>
      <c r="Q546" s="251"/>
      <c r="R546" s="251"/>
      <c r="S546" s="251"/>
      <c r="T546" s="251"/>
      <c r="U546" s="251"/>
      <c r="V546" s="251"/>
      <c r="W546" s="251"/>
      <c r="X546" s="251"/>
      <c r="Y546" s="251"/>
      <c r="Z546" s="251"/>
    </row>
    <row r="547" spans="1:26" ht="14.25" customHeight="1" x14ac:dyDescent="0.35">
      <c r="A547" s="251"/>
      <c r="B547" s="251"/>
      <c r="C547" s="251"/>
      <c r="D547" s="251"/>
      <c r="E547" s="251"/>
      <c r="F547" s="251"/>
      <c r="G547" s="251"/>
      <c r="H547" s="251"/>
      <c r="I547" s="251"/>
      <c r="J547" s="251"/>
      <c r="K547" s="251"/>
      <c r="L547" s="251"/>
      <c r="M547" s="251"/>
      <c r="N547" s="251"/>
      <c r="O547" s="251"/>
      <c r="P547" s="251"/>
      <c r="Q547" s="251"/>
      <c r="R547" s="251"/>
      <c r="S547" s="251"/>
      <c r="T547" s="251"/>
      <c r="U547" s="251"/>
      <c r="V547" s="251"/>
      <c r="W547" s="251"/>
      <c r="X547" s="251"/>
      <c r="Y547" s="251"/>
      <c r="Z547" s="251"/>
    </row>
    <row r="548" spans="1:26" ht="14.25" customHeight="1" x14ac:dyDescent="0.35">
      <c r="A548" s="251"/>
      <c r="B548" s="251"/>
      <c r="C548" s="251"/>
      <c r="D548" s="251"/>
      <c r="E548" s="251"/>
      <c r="F548" s="251"/>
      <c r="G548" s="251"/>
      <c r="H548" s="251"/>
      <c r="I548" s="251"/>
      <c r="J548" s="251"/>
      <c r="K548" s="251"/>
      <c r="L548" s="251"/>
      <c r="M548" s="251"/>
      <c r="N548" s="251"/>
      <c r="O548" s="251"/>
      <c r="P548" s="251"/>
      <c r="Q548" s="251"/>
      <c r="R548" s="251"/>
      <c r="S548" s="251"/>
      <c r="T548" s="251"/>
      <c r="U548" s="251"/>
      <c r="V548" s="251"/>
      <c r="W548" s="251"/>
      <c r="X548" s="251"/>
      <c r="Y548" s="251"/>
      <c r="Z548" s="251"/>
    </row>
    <row r="549" spans="1:26" ht="14.25" customHeight="1" x14ac:dyDescent="0.35">
      <c r="A549" s="251"/>
      <c r="B549" s="251"/>
      <c r="C549" s="251"/>
      <c r="D549" s="251"/>
      <c r="E549" s="251"/>
      <c r="F549" s="251"/>
      <c r="G549" s="251"/>
      <c r="H549" s="251"/>
      <c r="I549" s="251"/>
      <c r="J549" s="251"/>
      <c r="K549" s="251"/>
      <c r="L549" s="251"/>
      <c r="M549" s="251"/>
      <c r="N549" s="251"/>
      <c r="O549" s="251"/>
      <c r="P549" s="251"/>
      <c r="Q549" s="251"/>
      <c r="R549" s="251"/>
      <c r="S549" s="251"/>
      <c r="T549" s="251"/>
      <c r="U549" s="251"/>
      <c r="V549" s="251"/>
      <c r="W549" s="251"/>
      <c r="X549" s="251"/>
      <c r="Y549" s="251"/>
      <c r="Z549" s="251"/>
    </row>
    <row r="550" spans="1:26" ht="14.25" customHeight="1" x14ac:dyDescent="0.35">
      <c r="A550" s="251"/>
      <c r="B550" s="251"/>
      <c r="C550" s="251"/>
      <c r="D550" s="251"/>
      <c r="E550" s="251"/>
      <c r="F550" s="251"/>
      <c r="G550" s="251"/>
      <c r="H550" s="251"/>
      <c r="I550" s="251"/>
      <c r="J550" s="251"/>
      <c r="K550" s="251"/>
      <c r="L550" s="251"/>
      <c r="M550" s="251"/>
      <c r="N550" s="251"/>
      <c r="O550" s="251"/>
      <c r="P550" s="251"/>
      <c r="Q550" s="251"/>
      <c r="R550" s="251"/>
      <c r="S550" s="251"/>
      <c r="T550" s="251"/>
      <c r="U550" s="251"/>
      <c r="V550" s="251"/>
      <c r="W550" s="251"/>
      <c r="X550" s="251"/>
      <c r="Y550" s="251"/>
      <c r="Z550" s="251"/>
    </row>
    <row r="551" spans="1:26" ht="14.25" customHeight="1" x14ac:dyDescent="0.35">
      <c r="A551" s="251"/>
      <c r="B551" s="251"/>
      <c r="C551" s="251"/>
      <c r="D551" s="251"/>
      <c r="E551" s="251"/>
      <c r="F551" s="251"/>
      <c r="G551" s="251"/>
      <c r="H551" s="251"/>
      <c r="I551" s="251"/>
      <c r="J551" s="251"/>
      <c r="K551" s="251"/>
      <c r="L551" s="251"/>
      <c r="M551" s="251"/>
      <c r="N551" s="251"/>
      <c r="O551" s="251"/>
      <c r="P551" s="251"/>
      <c r="Q551" s="251"/>
      <c r="R551" s="251"/>
      <c r="S551" s="251"/>
      <c r="T551" s="251"/>
      <c r="U551" s="251"/>
      <c r="V551" s="251"/>
      <c r="W551" s="251"/>
      <c r="X551" s="251"/>
      <c r="Y551" s="251"/>
      <c r="Z551" s="251"/>
    </row>
    <row r="552" spans="1:26" ht="14.25" customHeight="1" x14ac:dyDescent="0.35">
      <c r="A552" s="251"/>
      <c r="B552" s="251"/>
      <c r="C552" s="251"/>
      <c r="D552" s="251"/>
      <c r="E552" s="251"/>
      <c r="F552" s="251"/>
      <c r="G552" s="251"/>
      <c r="H552" s="251"/>
      <c r="I552" s="251"/>
      <c r="J552" s="251"/>
      <c r="K552" s="251"/>
      <c r="L552" s="251"/>
      <c r="M552" s="251"/>
      <c r="N552" s="251"/>
      <c r="O552" s="251"/>
      <c r="P552" s="251"/>
      <c r="Q552" s="251"/>
      <c r="R552" s="251"/>
      <c r="S552" s="251"/>
      <c r="T552" s="251"/>
      <c r="U552" s="251"/>
      <c r="V552" s="251"/>
      <c r="W552" s="251"/>
      <c r="X552" s="251"/>
      <c r="Y552" s="251"/>
      <c r="Z552" s="251"/>
    </row>
    <row r="553" spans="1:26" ht="14.25" customHeight="1" x14ac:dyDescent="0.35">
      <c r="A553" s="251"/>
      <c r="B553" s="251"/>
      <c r="C553" s="251"/>
      <c r="D553" s="251"/>
      <c r="E553" s="251"/>
      <c r="F553" s="251"/>
      <c r="G553" s="251"/>
      <c r="H553" s="251"/>
      <c r="I553" s="251"/>
      <c r="J553" s="251"/>
      <c r="K553" s="251"/>
      <c r="L553" s="251"/>
      <c r="M553" s="251"/>
      <c r="N553" s="251"/>
      <c r="O553" s="251"/>
      <c r="P553" s="251"/>
      <c r="Q553" s="251"/>
      <c r="R553" s="251"/>
      <c r="S553" s="251"/>
      <c r="T553" s="251"/>
      <c r="U553" s="251"/>
      <c r="V553" s="251"/>
      <c r="W553" s="251"/>
      <c r="X553" s="251"/>
      <c r="Y553" s="251"/>
      <c r="Z553" s="251"/>
    </row>
    <row r="554" spans="1:26" ht="14.25" customHeight="1" x14ac:dyDescent="0.35">
      <c r="A554" s="251"/>
      <c r="B554" s="251"/>
      <c r="C554" s="251"/>
      <c r="D554" s="251"/>
      <c r="E554" s="251"/>
      <c r="F554" s="251"/>
      <c r="G554" s="251"/>
      <c r="H554" s="251"/>
      <c r="I554" s="251"/>
      <c r="J554" s="251"/>
      <c r="K554" s="251"/>
      <c r="L554" s="251"/>
      <c r="M554" s="251"/>
      <c r="N554" s="251"/>
      <c r="O554" s="251"/>
      <c r="P554" s="251"/>
      <c r="Q554" s="251"/>
      <c r="R554" s="251"/>
      <c r="S554" s="251"/>
      <c r="T554" s="251"/>
      <c r="U554" s="251"/>
      <c r="V554" s="251"/>
      <c r="W554" s="251"/>
      <c r="X554" s="251"/>
      <c r="Y554" s="251"/>
      <c r="Z554" s="251"/>
    </row>
    <row r="555" spans="1:26" ht="14.25" customHeight="1" x14ac:dyDescent="0.35">
      <c r="A555" s="251"/>
      <c r="B555" s="251"/>
      <c r="C555" s="251"/>
      <c r="D555" s="251"/>
      <c r="E555" s="251"/>
      <c r="F555" s="251"/>
      <c r="G555" s="251"/>
      <c r="H555" s="251"/>
      <c r="I555" s="251"/>
      <c r="J555" s="251"/>
      <c r="K555" s="251"/>
      <c r="L555" s="251"/>
      <c r="M555" s="251"/>
      <c r="N555" s="251"/>
      <c r="O555" s="251"/>
      <c r="P555" s="251"/>
      <c r="Q555" s="251"/>
      <c r="R555" s="251"/>
      <c r="S555" s="251"/>
      <c r="T555" s="251"/>
      <c r="U555" s="251"/>
      <c r="V555" s="251"/>
      <c r="W555" s="251"/>
      <c r="X555" s="251"/>
      <c r="Y555" s="251"/>
      <c r="Z555" s="251"/>
    </row>
    <row r="556" spans="1:26" ht="14.25" customHeight="1" x14ac:dyDescent="0.35">
      <c r="A556" s="251"/>
      <c r="B556" s="251"/>
      <c r="C556" s="251"/>
      <c r="D556" s="251"/>
      <c r="E556" s="251"/>
      <c r="F556" s="251"/>
      <c r="G556" s="251"/>
      <c r="H556" s="251"/>
      <c r="I556" s="251"/>
      <c r="J556" s="251"/>
      <c r="K556" s="251"/>
      <c r="L556" s="251"/>
      <c r="M556" s="251"/>
      <c r="N556" s="251"/>
      <c r="O556" s="251"/>
      <c r="P556" s="251"/>
      <c r="Q556" s="251"/>
      <c r="R556" s="251"/>
      <c r="S556" s="251"/>
      <c r="T556" s="251"/>
      <c r="U556" s="251"/>
      <c r="V556" s="251"/>
      <c r="W556" s="251"/>
      <c r="X556" s="251"/>
      <c r="Y556" s="251"/>
      <c r="Z556" s="251"/>
    </row>
    <row r="557" spans="1:26" ht="14.25" customHeight="1" x14ac:dyDescent="0.35">
      <c r="A557" s="251"/>
      <c r="B557" s="251"/>
      <c r="C557" s="251"/>
      <c r="D557" s="251"/>
      <c r="E557" s="251"/>
      <c r="F557" s="251"/>
      <c r="G557" s="251"/>
      <c r="H557" s="251"/>
      <c r="I557" s="251"/>
      <c r="J557" s="251"/>
      <c r="K557" s="251"/>
      <c r="L557" s="251"/>
      <c r="M557" s="251"/>
      <c r="N557" s="251"/>
      <c r="O557" s="251"/>
      <c r="P557" s="251"/>
      <c r="Q557" s="251"/>
      <c r="R557" s="251"/>
      <c r="S557" s="251"/>
      <c r="T557" s="251"/>
      <c r="U557" s="251"/>
      <c r="V557" s="251"/>
      <c r="W557" s="251"/>
      <c r="X557" s="251"/>
      <c r="Y557" s="251"/>
      <c r="Z557" s="251"/>
    </row>
    <row r="558" spans="1:26" ht="14.25" customHeight="1" x14ac:dyDescent="0.35">
      <c r="A558" s="251"/>
      <c r="B558" s="251"/>
      <c r="C558" s="251"/>
      <c r="D558" s="251"/>
      <c r="E558" s="251"/>
      <c r="F558" s="251"/>
      <c r="G558" s="251"/>
      <c r="H558" s="251"/>
      <c r="I558" s="251"/>
      <c r="J558" s="251"/>
      <c r="K558" s="251"/>
      <c r="L558" s="251"/>
      <c r="M558" s="251"/>
      <c r="N558" s="251"/>
      <c r="O558" s="251"/>
      <c r="P558" s="251"/>
      <c r="Q558" s="251"/>
      <c r="R558" s="251"/>
      <c r="S558" s="251"/>
      <c r="T558" s="251"/>
      <c r="U558" s="251"/>
      <c r="V558" s="251"/>
      <c r="W558" s="251"/>
      <c r="X558" s="251"/>
      <c r="Y558" s="251"/>
      <c r="Z558" s="251"/>
    </row>
    <row r="559" spans="1:26" ht="14.25" customHeight="1" x14ac:dyDescent="0.35">
      <c r="A559" s="251"/>
      <c r="B559" s="251"/>
      <c r="C559" s="251"/>
      <c r="D559" s="251"/>
      <c r="E559" s="251"/>
      <c r="F559" s="251"/>
      <c r="G559" s="251"/>
      <c r="H559" s="251"/>
      <c r="I559" s="251"/>
      <c r="J559" s="251"/>
      <c r="K559" s="251"/>
      <c r="L559" s="251"/>
      <c r="M559" s="251"/>
      <c r="N559" s="251"/>
      <c r="O559" s="251"/>
      <c r="P559" s="251"/>
      <c r="Q559" s="251"/>
      <c r="R559" s="251"/>
      <c r="S559" s="251"/>
      <c r="T559" s="251"/>
      <c r="U559" s="251"/>
      <c r="V559" s="251"/>
      <c r="W559" s="251"/>
      <c r="X559" s="251"/>
      <c r="Y559" s="251"/>
      <c r="Z559" s="251"/>
    </row>
    <row r="560" spans="1:26" ht="14.25" customHeight="1" x14ac:dyDescent="0.35">
      <c r="A560" s="251"/>
      <c r="B560" s="251"/>
      <c r="C560" s="251"/>
      <c r="D560" s="251"/>
      <c r="E560" s="251"/>
      <c r="F560" s="251"/>
      <c r="G560" s="251"/>
      <c r="H560" s="251"/>
      <c r="I560" s="251"/>
      <c r="J560" s="251"/>
      <c r="K560" s="251"/>
      <c r="L560" s="251"/>
      <c r="M560" s="251"/>
      <c r="N560" s="251"/>
      <c r="O560" s="251"/>
      <c r="P560" s="251"/>
      <c r="Q560" s="251"/>
      <c r="R560" s="251"/>
      <c r="S560" s="251"/>
      <c r="T560" s="251"/>
      <c r="U560" s="251"/>
      <c r="V560" s="251"/>
      <c r="W560" s="251"/>
      <c r="X560" s="251"/>
      <c r="Y560" s="251"/>
      <c r="Z560" s="251"/>
    </row>
    <row r="561" spans="1:26" ht="14.25" customHeight="1" x14ac:dyDescent="0.35">
      <c r="A561" s="251"/>
      <c r="B561" s="251"/>
      <c r="C561" s="251"/>
      <c r="D561" s="251"/>
      <c r="E561" s="251"/>
      <c r="F561" s="251"/>
      <c r="G561" s="251"/>
      <c r="H561" s="251"/>
      <c r="I561" s="251"/>
      <c r="J561" s="251"/>
      <c r="K561" s="251"/>
      <c r="L561" s="251"/>
      <c r="M561" s="251"/>
      <c r="N561" s="251"/>
      <c r="O561" s="251"/>
      <c r="P561" s="251"/>
      <c r="Q561" s="251"/>
      <c r="R561" s="251"/>
      <c r="S561" s="251"/>
      <c r="T561" s="251"/>
      <c r="U561" s="251"/>
      <c r="V561" s="251"/>
      <c r="W561" s="251"/>
      <c r="X561" s="251"/>
      <c r="Y561" s="251"/>
      <c r="Z561" s="251"/>
    </row>
    <row r="562" spans="1:26" ht="14.25" customHeight="1" x14ac:dyDescent="0.35">
      <c r="A562" s="251"/>
      <c r="B562" s="251"/>
      <c r="C562" s="251"/>
      <c r="D562" s="251"/>
      <c r="E562" s="251"/>
      <c r="F562" s="251"/>
      <c r="G562" s="251"/>
      <c r="H562" s="251"/>
      <c r="I562" s="251"/>
      <c r="J562" s="251"/>
      <c r="K562" s="251"/>
      <c r="L562" s="251"/>
      <c r="M562" s="251"/>
      <c r="N562" s="251"/>
      <c r="O562" s="251"/>
      <c r="P562" s="251"/>
      <c r="Q562" s="251"/>
      <c r="R562" s="251"/>
      <c r="S562" s="251"/>
      <c r="T562" s="251"/>
      <c r="U562" s="251"/>
      <c r="V562" s="251"/>
      <c r="W562" s="251"/>
      <c r="X562" s="251"/>
      <c r="Y562" s="251"/>
      <c r="Z562" s="251"/>
    </row>
    <row r="563" spans="1:26" ht="14.25" customHeight="1" x14ac:dyDescent="0.35">
      <c r="A563" s="251"/>
      <c r="B563" s="251"/>
      <c r="C563" s="251"/>
      <c r="D563" s="251"/>
      <c r="E563" s="251"/>
      <c r="F563" s="251"/>
      <c r="G563" s="251"/>
      <c r="H563" s="251"/>
      <c r="I563" s="251"/>
      <c r="J563" s="251"/>
      <c r="K563" s="251"/>
      <c r="L563" s="251"/>
      <c r="M563" s="251"/>
      <c r="N563" s="251"/>
      <c r="O563" s="251"/>
      <c r="P563" s="251"/>
      <c r="Q563" s="251"/>
      <c r="R563" s="251"/>
      <c r="S563" s="251"/>
      <c r="T563" s="251"/>
      <c r="U563" s="251"/>
      <c r="V563" s="251"/>
      <c r="W563" s="251"/>
      <c r="X563" s="251"/>
      <c r="Y563" s="251"/>
      <c r="Z563" s="251"/>
    </row>
    <row r="564" spans="1:26" ht="14.25" customHeight="1" x14ac:dyDescent="0.35">
      <c r="A564" s="251"/>
      <c r="B564" s="251"/>
      <c r="C564" s="251"/>
      <c r="D564" s="251"/>
      <c r="E564" s="251"/>
      <c r="F564" s="251"/>
      <c r="G564" s="251"/>
      <c r="H564" s="251"/>
      <c r="I564" s="251"/>
      <c r="J564" s="251"/>
      <c r="K564" s="251"/>
      <c r="L564" s="251"/>
      <c r="M564" s="251"/>
      <c r="N564" s="251"/>
      <c r="O564" s="251"/>
      <c r="P564" s="251"/>
      <c r="Q564" s="251"/>
      <c r="R564" s="251"/>
      <c r="S564" s="251"/>
      <c r="T564" s="251"/>
      <c r="U564" s="251"/>
      <c r="V564" s="251"/>
      <c r="W564" s="251"/>
      <c r="X564" s="251"/>
      <c r="Y564" s="251"/>
      <c r="Z564" s="251"/>
    </row>
    <row r="565" spans="1:26" ht="14.25" customHeight="1" x14ac:dyDescent="0.35">
      <c r="A565" s="251"/>
      <c r="B565" s="251"/>
      <c r="C565" s="251"/>
      <c r="D565" s="251"/>
      <c r="E565" s="251"/>
      <c r="F565" s="251"/>
      <c r="G565" s="251"/>
      <c r="H565" s="251"/>
      <c r="I565" s="251"/>
      <c r="J565" s="251"/>
      <c r="K565" s="251"/>
      <c r="L565" s="251"/>
      <c r="M565" s="251"/>
      <c r="N565" s="251"/>
      <c r="O565" s="251"/>
      <c r="P565" s="251"/>
      <c r="Q565" s="251"/>
      <c r="R565" s="251"/>
      <c r="S565" s="251"/>
      <c r="T565" s="251"/>
      <c r="U565" s="251"/>
      <c r="V565" s="251"/>
      <c r="W565" s="251"/>
      <c r="X565" s="251"/>
      <c r="Y565" s="251"/>
      <c r="Z565" s="251"/>
    </row>
    <row r="566" spans="1:26" ht="14.25" customHeight="1" x14ac:dyDescent="0.35">
      <c r="A566" s="251"/>
      <c r="B566" s="251"/>
      <c r="C566" s="251"/>
      <c r="D566" s="251"/>
      <c r="E566" s="251"/>
      <c r="F566" s="251"/>
      <c r="G566" s="251"/>
      <c r="H566" s="251"/>
      <c r="I566" s="251"/>
      <c r="J566" s="251"/>
      <c r="K566" s="251"/>
      <c r="L566" s="251"/>
      <c r="M566" s="251"/>
      <c r="N566" s="251"/>
      <c r="O566" s="251"/>
      <c r="P566" s="251"/>
      <c r="Q566" s="251"/>
      <c r="R566" s="251"/>
      <c r="S566" s="251"/>
      <c r="T566" s="251"/>
      <c r="U566" s="251"/>
      <c r="V566" s="251"/>
      <c r="W566" s="251"/>
      <c r="X566" s="251"/>
      <c r="Y566" s="251"/>
      <c r="Z566" s="251"/>
    </row>
    <row r="567" spans="1:26" ht="14.25" customHeight="1" x14ac:dyDescent="0.35">
      <c r="A567" s="251"/>
      <c r="B567" s="251"/>
      <c r="C567" s="251"/>
      <c r="D567" s="251"/>
      <c r="E567" s="251"/>
      <c r="F567" s="251"/>
      <c r="G567" s="251"/>
      <c r="H567" s="251"/>
      <c r="I567" s="251"/>
      <c r="J567" s="251"/>
      <c r="K567" s="251"/>
      <c r="L567" s="251"/>
      <c r="M567" s="251"/>
      <c r="N567" s="251"/>
      <c r="O567" s="251"/>
      <c r="P567" s="251"/>
      <c r="Q567" s="251"/>
      <c r="R567" s="251"/>
      <c r="S567" s="251"/>
      <c r="T567" s="251"/>
      <c r="U567" s="251"/>
      <c r="V567" s="251"/>
      <c r="W567" s="251"/>
      <c r="X567" s="251"/>
      <c r="Y567" s="251"/>
      <c r="Z567" s="251"/>
    </row>
    <row r="568" spans="1:26" ht="14.25" customHeight="1" x14ac:dyDescent="0.35">
      <c r="A568" s="251"/>
      <c r="B568" s="251"/>
      <c r="C568" s="251"/>
      <c r="D568" s="251"/>
      <c r="E568" s="251"/>
      <c r="F568" s="251"/>
      <c r="G568" s="251"/>
      <c r="H568" s="251"/>
      <c r="I568" s="251"/>
      <c r="J568" s="251"/>
      <c r="K568" s="251"/>
      <c r="L568" s="251"/>
      <c r="M568" s="251"/>
      <c r="N568" s="251"/>
      <c r="O568" s="251"/>
      <c r="P568" s="251"/>
      <c r="Q568" s="251"/>
      <c r="R568" s="251"/>
      <c r="S568" s="251"/>
      <c r="T568" s="251"/>
      <c r="U568" s="251"/>
      <c r="V568" s="251"/>
      <c r="W568" s="251"/>
      <c r="X568" s="251"/>
      <c r="Y568" s="251"/>
      <c r="Z568" s="251"/>
    </row>
    <row r="569" spans="1:26" ht="14.25" customHeight="1" x14ac:dyDescent="0.35">
      <c r="A569" s="251"/>
      <c r="B569" s="251"/>
      <c r="C569" s="251"/>
      <c r="D569" s="251"/>
      <c r="E569" s="251"/>
      <c r="F569" s="251"/>
      <c r="G569" s="251"/>
      <c r="H569" s="251"/>
      <c r="I569" s="251"/>
      <c r="J569" s="251"/>
      <c r="K569" s="251"/>
      <c r="L569" s="251"/>
      <c r="M569" s="251"/>
      <c r="N569" s="251"/>
      <c r="O569" s="251"/>
      <c r="P569" s="251"/>
      <c r="Q569" s="251"/>
      <c r="R569" s="251"/>
      <c r="S569" s="251"/>
      <c r="T569" s="251"/>
      <c r="U569" s="251"/>
      <c r="V569" s="251"/>
      <c r="W569" s="251"/>
      <c r="X569" s="251"/>
      <c r="Y569" s="251"/>
      <c r="Z569" s="251"/>
    </row>
    <row r="570" spans="1:26" ht="14.25" customHeight="1" x14ac:dyDescent="0.35">
      <c r="A570" s="251"/>
      <c r="B570" s="251"/>
      <c r="C570" s="251"/>
      <c r="D570" s="251"/>
      <c r="E570" s="251"/>
      <c r="F570" s="251"/>
      <c r="G570" s="251"/>
      <c r="H570" s="251"/>
      <c r="I570" s="251"/>
      <c r="J570" s="251"/>
      <c r="K570" s="251"/>
      <c r="L570" s="251"/>
      <c r="M570" s="251"/>
      <c r="N570" s="251"/>
      <c r="O570" s="251"/>
      <c r="P570" s="251"/>
      <c r="Q570" s="251"/>
      <c r="R570" s="251"/>
      <c r="S570" s="251"/>
      <c r="T570" s="251"/>
      <c r="U570" s="251"/>
      <c r="V570" s="251"/>
      <c r="W570" s="251"/>
      <c r="X570" s="251"/>
      <c r="Y570" s="251"/>
      <c r="Z570" s="251"/>
    </row>
    <row r="571" spans="1:26" ht="14.25" customHeight="1" x14ac:dyDescent="0.35">
      <c r="A571" s="251"/>
      <c r="B571" s="251"/>
      <c r="C571" s="251"/>
      <c r="D571" s="251"/>
      <c r="E571" s="251"/>
      <c r="F571" s="251"/>
      <c r="G571" s="251"/>
      <c r="H571" s="251"/>
      <c r="I571" s="251"/>
      <c r="J571" s="251"/>
      <c r="K571" s="251"/>
      <c r="L571" s="251"/>
      <c r="M571" s="251"/>
      <c r="N571" s="251"/>
      <c r="O571" s="251"/>
      <c r="P571" s="251"/>
      <c r="Q571" s="251"/>
      <c r="R571" s="251"/>
      <c r="S571" s="251"/>
      <c r="T571" s="251"/>
      <c r="U571" s="251"/>
      <c r="V571" s="251"/>
      <c r="W571" s="251"/>
      <c r="X571" s="251"/>
      <c r="Y571" s="251"/>
      <c r="Z571" s="251"/>
    </row>
    <row r="572" spans="1:26" ht="14.25" customHeight="1" x14ac:dyDescent="0.35">
      <c r="A572" s="251"/>
      <c r="B572" s="251"/>
      <c r="C572" s="251"/>
      <c r="D572" s="251"/>
      <c r="E572" s="251"/>
      <c r="F572" s="251"/>
      <c r="G572" s="251"/>
      <c r="H572" s="251"/>
      <c r="I572" s="251"/>
      <c r="J572" s="251"/>
      <c r="K572" s="251"/>
      <c r="L572" s="251"/>
      <c r="M572" s="251"/>
      <c r="N572" s="251"/>
      <c r="O572" s="251"/>
      <c r="P572" s="251"/>
      <c r="Q572" s="251"/>
      <c r="R572" s="251"/>
      <c r="S572" s="251"/>
      <c r="T572" s="251"/>
      <c r="U572" s="251"/>
      <c r="V572" s="251"/>
      <c r="W572" s="251"/>
      <c r="X572" s="251"/>
      <c r="Y572" s="251"/>
      <c r="Z572" s="251"/>
    </row>
    <row r="573" spans="1:26" ht="14.25" customHeight="1" x14ac:dyDescent="0.35">
      <c r="A573" s="251"/>
      <c r="B573" s="251"/>
      <c r="C573" s="251"/>
      <c r="D573" s="251"/>
      <c r="E573" s="251"/>
      <c r="F573" s="251"/>
      <c r="G573" s="251"/>
      <c r="H573" s="251"/>
      <c r="I573" s="251"/>
      <c r="J573" s="251"/>
      <c r="K573" s="251"/>
      <c r="L573" s="251"/>
      <c r="M573" s="251"/>
      <c r="N573" s="251"/>
      <c r="O573" s="251"/>
      <c r="P573" s="251"/>
      <c r="Q573" s="251"/>
      <c r="R573" s="251"/>
      <c r="S573" s="251"/>
      <c r="T573" s="251"/>
      <c r="U573" s="251"/>
      <c r="V573" s="251"/>
      <c r="W573" s="251"/>
      <c r="X573" s="251"/>
      <c r="Y573" s="251"/>
      <c r="Z573" s="251"/>
    </row>
    <row r="574" spans="1:26" ht="14.25" customHeight="1" x14ac:dyDescent="0.35">
      <c r="A574" s="251"/>
      <c r="B574" s="251"/>
      <c r="C574" s="251"/>
      <c r="D574" s="251"/>
      <c r="E574" s="251"/>
      <c r="F574" s="251"/>
      <c r="G574" s="251"/>
      <c r="H574" s="251"/>
      <c r="I574" s="251"/>
      <c r="J574" s="251"/>
      <c r="K574" s="251"/>
      <c r="L574" s="251"/>
      <c r="M574" s="251"/>
      <c r="N574" s="251"/>
      <c r="O574" s="251"/>
      <c r="P574" s="251"/>
      <c r="Q574" s="251"/>
      <c r="R574" s="251"/>
      <c r="S574" s="251"/>
      <c r="T574" s="251"/>
      <c r="U574" s="251"/>
      <c r="V574" s="251"/>
      <c r="W574" s="251"/>
      <c r="X574" s="251"/>
      <c r="Y574" s="251"/>
      <c r="Z574" s="251"/>
    </row>
    <row r="575" spans="1:26" ht="14.25" customHeight="1" x14ac:dyDescent="0.35">
      <c r="A575" s="251"/>
      <c r="B575" s="251"/>
      <c r="C575" s="251"/>
      <c r="D575" s="251"/>
      <c r="E575" s="251"/>
      <c r="F575" s="251"/>
      <c r="G575" s="251"/>
      <c r="H575" s="251"/>
      <c r="I575" s="251"/>
      <c r="J575" s="251"/>
      <c r="K575" s="251"/>
      <c r="L575" s="251"/>
      <c r="M575" s="251"/>
      <c r="N575" s="251"/>
      <c r="O575" s="251"/>
      <c r="P575" s="251"/>
      <c r="Q575" s="251"/>
      <c r="R575" s="251"/>
      <c r="S575" s="251"/>
      <c r="T575" s="251"/>
      <c r="U575" s="251"/>
      <c r="V575" s="251"/>
      <c r="W575" s="251"/>
      <c r="X575" s="251"/>
      <c r="Y575" s="251"/>
      <c r="Z575" s="251"/>
    </row>
    <row r="576" spans="1:26" ht="14.25" customHeight="1" x14ac:dyDescent="0.35">
      <c r="A576" s="251"/>
      <c r="B576" s="251"/>
      <c r="C576" s="251"/>
      <c r="D576" s="251"/>
      <c r="E576" s="251"/>
      <c r="F576" s="251"/>
      <c r="G576" s="251"/>
      <c r="H576" s="251"/>
      <c r="I576" s="251"/>
      <c r="J576" s="251"/>
      <c r="K576" s="251"/>
      <c r="L576" s="251"/>
      <c r="M576" s="251"/>
      <c r="N576" s="251"/>
      <c r="O576" s="251"/>
      <c r="P576" s="251"/>
      <c r="Q576" s="251"/>
      <c r="R576" s="251"/>
      <c r="S576" s="251"/>
      <c r="T576" s="251"/>
      <c r="U576" s="251"/>
      <c r="V576" s="251"/>
      <c r="W576" s="251"/>
      <c r="X576" s="251"/>
      <c r="Y576" s="251"/>
      <c r="Z576" s="251"/>
    </row>
    <row r="577" spans="1:26" ht="14.25" customHeight="1" x14ac:dyDescent="0.35">
      <c r="A577" s="251"/>
      <c r="B577" s="251"/>
      <c r="C577" s="251"/>
      <c r="D577" s="251"/>
      <c r="E577" s="251"/>
      <c r="F577" s="251"/>
      <c r="G577" s="251"/>
      <c r="H577" s="251"/>
      <c r="I577" s="251"/>
      <c r="J577" s="251"/>
      <c r="K577" s="251"/>
      <c r="L577" s="251"/>
      <c r="M577" s="251"/>
      <c r="N577" s="251"/>
      <c r="O577" s="251"/>
      <c r="P577" s="251"/>
      <c r="Q577" s="251"/>
      <c r="R577" s="251"/>
      <c r="S577" s="251"/>
      <c r="T577" s="251"/>
      <c r="U577" s="251"/>
      <c r="V577" s="251"/>
      <c r="W577" s="251"/>
      <c r="X577" s="251"/>
      <c r="Y577" s="251"/>
      <c r="Z577" s="251"/>
    </row>
    <row r="578" spans="1:26" ht="14.25" customHeight="1" x14ac:dyDescent="0.35">
      <c r="A578" s="251"/>
      <c r="B578" s="251"/>
      <c r="C578" s="251"/>
      <c r="D578" s="251"/>
      <c r="E578" s="251"/>
      <c r="F578" s="251"/>
      <c r="G578" s="251"/>
      <c r="H578" s="251"/>
      <c r="I578" s="251"/>
      <c r="J578" s="251"/>
      <c r="K578" s="251"/>
      <c r="L578" s="251"/>
      <c r="M578" s="251"/>
      <c r="N578" s="251"/>
      <c r="O578" s="251"/>
      <c r="P578" s="251"/>
      <c r="Q578" s="251"/>
      <c r="R578" s="251"/>
      <c r="S578" s="251"/>
      <c r="T578" s="251"/>
      <c r="U578" s="251"/>
      <c r="V578" s="251"/>
      <c r="W578" s="251"/>
      <c r="X578" s="251"/>
      <c r="Y578" s="251"/>
      <c r="Z578" s="251"/>
    </row>
    <row r="579" spans="1:26" ht="14.25" customHeight="1" x14ac:dyDescent="0.35">
      <c r="A579" s="251"/>
      <c r="B579" s="251"/>
      <c r="C579" s="251"/>
      <c r="D579" s="251"/>
      <c r="E579" s="251"/>
      <c r="F579" s="251"/>
      <c r="G579" s="251"/>
      <c r="H579" s="251"/>
      <c r="I579" s="251"/>
      <c r="J579" s="251"/>
      <c r="K579" s="251"/>
      <c r="L579" s="251"/>
      <c r="M579" s="251"/>
      <c r="N579" s="251"/>
      <c r="O579" s="251"/>
      <c r="P579" s="251"/>
      <c r="Q579" s="251"/>
      <c r="R579" s="251"/>
      <c r="S579" s="251"/>
      <c r="T579" s="251"/>
      <c r="U579" s="251"/>
      <c r="V579" s="251"/>
      <c r="W579" s="251"/>
      <c r="X579" s="251"/>
      <c r="Y579" s="251"/>
      <c r="Z579" s="251"/>
    </row>
    <row r="580" spans="1:26" ht="14.25" customHeight="1" x14ac:dyDescent="0.35">
      <c r="A580" s="251"/>
      <c r="B580" s="251"/>
      <c r="C580" s="251"/>
      <c r="D580" s="251"/>
      <c r="E580" s="251"/>
      <c r="F580" s="251"/>
      <c r="G580" s="251"/>
      <c r="H580" s="251"/>
      <c r="I580" s="251"/>
      <c r="J580" s="251"/>
      <c r="K580" s="251"/>
      <c r="L580" s="251"/>
      <c r="M580" s="251"/>
      <c r="N580" s="251"/>
      <c r="O580" s="251"/>
      <c r="P580" s="251"/>
      <c r="Q580" s="251"/>
      <c r="R580" s="251"/>
      <c r="S580" s="251"/>
      <c r="T580" s="251"/>
      <c r="U580" s="251"/>
      <c r="V580" s="251"/>
      <c r="W580" s="251"/>
      <c r="X580" s="251"/>
      <c r="Y580" s="251"/>
      <c r="Z580" s="251"/>
    </row>
    <row r="581" spans="1:26" ht="14.25" customHeight="1" x14ac:dyDescent="0.35">
      <c r="A581" s="251"/>
      <c r="B581" s="251"/>
      <c r="C581" s="251"/>
      <c r="D581" s="251"/>
      <c r="E581" s="251"/>
      <c r="F581" s="251"/>
      <c r="G581" s="251"/>
      <c r="H581" s="251"/>
      <c r="I581" s="251"/>
      <c r="J581" s="251"/>
      <c r="K581" s="251"/>
      <c r="L581" s="251"/>
      <c r="M581" s="251"/>
      <c r="N581" s="251"/>
      <c r="O581" s="251"/>
      <c r="P581" s="251"/>
      <c r="Q581" s="251"/>
      <c r="R581" s="251"/>
      <c r="S581" s="251"/>
      <c r="T581" s="251"/>
      <c r="U581" s="251"/>
      <c r="V581" s="251"/>
      <c r="W581" s="251"/>
      <c r="X581" s="251"/>
      <c r="Y581" s="251"/>
      <c r="Z581" s="251"/>
    </row>
    <row r="582" spans="1:26" ht="14.25" customHeight="1" x14ac:dyDescent="0.35">
      <c r="A582" s="251"/>
      <c r="B582" s="251"/>
      <c r="C582" s="251"/>
      <c r="D582" s="251"/>
      <c r="E582" s="251"/>
      <c r="F582" s="251"/>
      <c r="G582" s="251"/>
      <c r="H582" s="251"/>
      <c r="I582" s="251"/>
      <c r="J582" s="251"/>
      <c r="K582" s="251"/>
      <c r="L582" s="251"/>
      <c r="M582" s="251"/>
      <c r="N582" s="251"/>
      <c r="O582" s="251"/>
      <c r="P582" s="251"/>
      <c r="Q582" s="251"/>
      <c r="R582" s="251"/>
      <c r="S582" s="251"/>
      <c r="T582" s="251"/>
      <c r="U582" s="251"/>
      <c r="V582" s="251"/>
      <c r="W582" s="251"/>
      <c r="X582" s="251"/>
      <c r="Y582" s="251"/>
      <c r="Z582" s="251"/>
    </row>
    <row r="583" spans="1:26" ht="14.25" customHeight="1" x14ac:dyDescent="0.35">
      <c r="A583" s="251"/>
      <c r="B583" s="251"/>
      <c r="C583" s="251"/>
      <c r="D583" s="251"/>
      <c r="E583" s="251"/>
      <c r="F583" s="251"/>
      <c r="G583" s="251"/>
      <c r="H583" s="251"/>
      <c r="I583" s="251"/>
      <c r="J583" s="251"/>
      <c r="K583" s="251"/>
      <c r="L583" s="251"/>
      <c r="M583" s="251"/>
      <c r="N583" s="251"/>
      <c r="O583" s="251"/>
      <c r="P583" s="251"/>
      <c r="Q583" s="251"/>
      <c r="R583" s="251"/>
      <c r="S583" s="251"/>
      <c r="T583" s="251"/>
      <c r="U583" s="251"/>
      <c r="V583" s="251"/>
      <c r="W583" s="251"/>
      <c r="X583" s="251"/>
      <c r="Y583" s="251"/>
      <c r="Z583" s="251"/>
    </row>
    <row r="584" spans="1:26" ht="14.25" customHeight="1" x14ac:dyDescent="0.35">
      <c r="A584" s="251"/>
      <c r="B584" s="251"/>
      <c r="C584" s="251"/>
      <c r="D584" s="251"/>
      <c r="E584" s="251"/>
      <c r="F584" s="251"/>
      <c r="G584" s="251"/>
      <c r="H584" s="251"/>
      <c r="I584" s="251"/>
      <c r="J584" s="251"/>
      <c r="K584" s="251"/>
      <c r="L584" s="251"/>
      <c r="M584" s="251"/>
      <c r="N584" s="251"/>
      <c r="O584" s="251"/>
      <c r="P584" s="251"/>
      <c r="Q584" s="251"/>
      <c r="R584" s="251"/>
      <c r="S584" s="251"/>
      <c r="T584" s="251"/>
      <c r="U584" s="251"/>
      <c r="V584" s="251"/>
      <c r="W584" s="251"/>
      <c r="X584" s="251"/>
      <c r="Y584" s="251"/>
      <c r="Z584" s="251"/>
    </row>
    <row r="585" spans="1:26" ht="14.25" customHeight="1" x14ac:dyDescent="0.35">
      <c r="A585" s="251"/>
      <c r="B585" s="251"/>
      <c r="C585" s="251"/>
      <c r="D585" s="251"/>
      <c r="E585" s="251"/>
      <c r="F585" s="251"/>
      <c r="G585" s="251"/>
      <c r="H585" s="251"/>
      <c r="I585" s="251"/>
      <c r="J585" s="251"/>
      <c r="K585" s="251"/>
      <c r="L585" s="251"/>
      <c r="M585" s="251"/>
      <c r="N585" s="251"/>
      <c r="O585" s="251"/>
      <c r="P585" s="251"/>
      <c r="Q585" s="251"/>
      <c r="R585" s="251"/>
      <c r="S585" s="251"/>
      <c r="T585" s="251"/>
      <c r="U585" s="251"/>
      <c r="V585" s="251"/>
      <c r="W585" s="251"/>
      <c r="X585" s="251"/>
      <c r="Y585" s="251"/>
      <c r="Z585" s="251"/>
    </row>
    <row r="586" spans="1:26" ht="14.25" customHeight="1" x14ac:dyDescent="0.35">
      <c r="A586" s="251"/>
      <c r="B586" s="251"/>
      <c r="C586" s="251"/>
      <c r="D586" s="251"/>
      <c r="E586" s="251"/>
      <c r="F586" s="251"/>
      <c r="G586" s="251"/>
      <c r="H586" s="251"/>
      <c r="I586" s="251"/>
      <c r="J586" s="251"/>
      <c r="K586" s="251"/>
      <c r="L586" s="251"/>
      <c r="M586" s="251"/>
      <c r="N586" s="251"/>
      <c r="O586" s="251"/>
      <c r="P586" s="251"/>
      <c r="Q586" s="251"/>
      <c r="R586" s="251"/>
      <c r="S586" s="251"/>
      <c r="T586" s="251"/>
      <c r="U586" s="251"/>
      <c r="V586" s="251"/>
      <c r="W586" s="251"/>
      <c r="X586" s="251"/>
      <c r="Y586" s="251"/>
      <c r="Z586" s="251"/>
    </row>
    <row r="587" spans="1:26" ht="14.25" customHeight="1" x14ac:dyDescent="0.35">
      <c r="A587" s="251"/>
      <c r="B587" s="251"/>
      <c r="C587" s="251"/>
      <c r="D587" s="251"/>
      <c r="E587" s="251"/>
      <c r="F587" s="251"/>
      <c r="G587" s="251"/>
      <c r="H587" s="251"/>
      <c r="I587" s="251"/>
      <c r="J587" s="251"/>
      <c r="K587" s="251"/>
      <c r="L587" s="251"/>
      <c r="M587" s="251"/>
      <c r="N587" s="251"/>
      <c r="O587" s="251"/>
      <c r="P587" s="251"/>
      <c r="Q587" s="251"/>
      <c r="R587" s="251"/>
      <c r="S587" s="251"/>
      <c r="T587" s="251"/>
      <c r="U587" s="251"/>
      <c r="V587" s="251"/>
      <c r="W587" s="251"/>
      <c r="X587" s="251"/>
      <c r="Y587" s="251"/>
      <c r="Z587" s="251"/>
    </row>
    <row r="588" spans="1:26" ht="14.25" customHeight="1" x14ac:dyDescent="0.35">
      <c r="A588" s="251"/>
      <c r="B588" s="251"/>
      <c r="C588" s="251"/>
      <c r="D588" s="251"/>
      <c r="E588" s="251"/>
      <c r="F588" s="251"/>
      <c r="G588" s="251"/>
      <c r="H588" s="251"/>
      <c r="I588" s="251"/>
      <c r="J588" s="251"/>
      <c r="K588" s="251"/>
      <c r="L588" s="251"/>
      <c r="M588" s="251"/>
      <c r="N588" s="251"/>
      <c r="O588" s="251"/>
      <c r="P588" s="251"/>
      <c r="Q588" s="251"/>
      <c r="R588" s="251"/>
      <c r="S588" s="251"/>
      <c r="T588" s="251"/>
      <c r="U588" s="251"/>
      <c r="V588" s="251"/>
      <c r="W588" s="251"/>
      <c r="X588" s="251"/>
      <c r="Y588" s="251"/>
      <c r="Z588" s="251"/>
    </row>
    <row r="589" spans="1:26" ht="14.25" customHeight="1" x14ac:dyDescent="0.35">
      <c r="A589" s="251"/>
      <c r="B589" s="251"/>
      <c r="C589" s="251"/>
      <c r="D589" s="251"/>
      <c r="E589" s="251"/>
      <c r="F589" s="251"/>
      <c r="G589" s="251"/>
      <c r="H589" s="251"/>
      <c r="I589" s="251"/>
      <c r="J589" s="251"/>
      <c r="K589" s="251"/>
      <c r="L589" s="251"/>
      <c r="M589" s="251"/>
      <c r="N589" s="251"/>
      <c r="O589" s="251"/>
      <c r="P589" s="251"/>
      <c r="Q589" s="251"/>
      <c r="R589" s="251"/>
      <c r="S589" s="251"/>
      <c r="T589" s="251"/>
      <c r="U589" s="251"/>
      <c r="V589" s="251"/>
      <c r="W589" s="251"/>
      <c r="X589" s="251"/>
      <c r="Y589" s="251"/>
      <c r="Z589" s="251"/>
    </row>
    <row r="590" spans="1:26" ht="14.25" customHeight="1" x14ac:dyDescent="0.35">
      <c r="A590" s="251"/>
      <c r="B590" s="251"/>
      <c r="C590" s="251"/>
      <c r="D590" s="251"/>
      <c r="E590" s="251"/>
      <c r="F590" s="251"/>
      <c r="G590" s="251"/>
      <c r="H590" s="251"/>
      <c r="I590" s="251"/>
      <c r="J590" s="251"/>
      <c r="K590" s="251"/>
      <c r="L590" s="251"/>
      <c r="M590" s="251"/>
      <c r="N590" s="251"/>
      <c r="O590" s="251"/>
      <c r="P590" s="251"/>
      <c r="Q590" s="251"/>
      <c r="R590" s="251"/>
      <c r="S590" s="251"/>
      <c r="T590" s="251"/>
      <c r="U590" s="251"/>
      <c r="V590" s="251"/>
      <c r="W590" s="251"/>
      <c r="X590" s="251"/>
      <c r="Y590" s="251"/>
      <c r="Z590" s="251"/>
    </row>
    <row r="591" spans="1:26" ht="14.25" customHeight="1" x14ac:dyDescent="0.35">
      <c r="A591" s="251"/>
      <c r="B591" s="251"/>
      <c r="C591" s="251"/>
      <c r="D591" s="251"/>
      <c r="E591" s="251"/>
      <c r="F591" s="251"/>
      <c r="G591" s="251"/>
      <c r="H591" s="251"/>
      <c r="I591" s="251"/>
      <c r="J591" s="251"/>
      <c r="K591" s="251"/>
      <c r="L591" s="251"/>
      <c r="M591" s="251"/>
      <c r="N591" s="251"/>
      <c r="O591" s="251"/>
      <c r="P591" s="251"/>
      <c r="Q591" s="251"/>
      <c r="R591" s="251"/>
      <c r="S591" s="251"/>
      <c r="T591" s="251"/>
      <c r="U591" s="251"/>
      <c r="V591" s="251"/>
      <c r="W591" s="251"/>
      <c r="X591" s="251"/>
      <c r="Y591" s="251"/>
      <c r="Z591" s="251"/>
    </row>
    <row r="592" spans="1:26" ht="14.25" customHeight="1" x14ac:dyDescent="0.35">
      <c r="A592" s="251"/>
      <c r="B592" s="251"/>
      <c r="C592" s="251"/>
      <c r="D592" s="251"/>
      <c r="E592" s="251"/>
      <c r="F592" s="251"/>
      <c r="G592" s="251"/>
      <c r="H592" s="251"/>
      <c r="I592" s="251"/>
      <c r="J592" s="251"/>
      <c r="K592" s="251"/>
      <c r="L592" s="251"/>
      <c r="M592" s="251"/>
      <c r="N592" s="251"/>
      <c r="O592" s="251"/>
      <c r="P592" s="251"/>
      <c r="Q592" s="251"/>
      <c r="R592" s="251"/>
      <c r="S592" s="251"/>
      <c r="T592" s="251"/>
      <c r="U592" s="251"/>
      <c r="V592" s="251"/>
      <c r="W592" s="251"/>
      <c r="X592" s="251"/>
      <c r="Y592" s="251"/>
      <c r="Z592" s="251"/>
    </row>
    <row r="593" spans="1:26" ht="14.25" customHeight="1" x14ac:dyDescent="0.35">
      <c r="A593" s="251"/>
      <c r="B593" s="251"/>
      <c r="C593" s="251"/>
      <c r="D593" s="251"/>
      <c r="E593" s="251"/>
      <c r="F593" s="251"/>
      <c r="G593" s="251"/>
      <c r="H593" s="251"/>
      <c r="I593" s="251"/>
      <c r="J593" s="251"/>
      <c r="K593" s="251"/>
      <c r="L593" s="251"/>
      <c r="M593" s="251"/>
      <c r="N593" s="251"/>
      <c r="O593" s="251"/>
      <c r="P593" s="251"/>
      <c r="Q593" s="251"/>
      <c r="R593" s="251"/>
      <c r="S593" s="251"/>
      <c r="T593" s="251"/>
      <c r="U593" s="251"/>
      <c r="V593" s="251"/>
      <c r="W593" s="251"/>
      <c r="X593" s="251"/>
      <c r="Y593" s="251"/>
      <c r="Z593" s="251"/>
    </row>
    <row r="594" spans="1:26" ht="14.25" customHeight="1" x14ac:dyDescent="0.35">
      <c r="A594" s="251"/>
      <c r="B594" s="251"/>
      <c r="C594" s="251"/>
      <c r="D594" s="251"/>
      <c r="E594" s="251"/>
      <c r="F594" s="251"/>
      <c r="G594" s="251"/>
      <c r="H594" s="251"/>
      <c r="I594" s="251"/>
      <c r="J594" s="251"/>
      <c r="K594" s="251"/>
      <c r="L594" s="251"/>
      <c r="M594" s="251"/>
      <c r="N594" s="251"/>
      <c r="O594" s="251"/>
      <c r="P594" s="251"/>
      <c r="Q594" s="251"/>
      <c r="R594" s="251"/>
      <c r="S594" s="251"/>
      <c r="T594" s="251"/>
      <c r="U594" s="251"/>
      <c r="V594" s="251"/>
      <c r="W594" s="251"/>
      <c r="X594" s="251"/>
      <c r="Y594" s="251"/>
      <c r="Z594" s="251"/>
    </row>
    <row r="595" spans="1:26" ht="14.25" customHeight="1" x14ac:dyDescent="0.35">
      <c r="A595" s="251"/>
      <c r="B595" s="251"/>
      <c r="C595" s="251"/>
      <c r="D595" s="251"/>
      <c r="E595" s="251"/>
      <c r="F595" s="251"/>
      <c r="G595" s="251"/>
      <c r="H595" s="251"/>
      <c r="I595" s="251"/>
      <c r="J595" s="251"/>
      <c r="K595" s="251"/>
      <c r="L595" s="251"/>
      <c r="M595" s="251"/>
      <c r="N595" s="251"/>
      <c r="O595" s="251"/>
      <c r="P595" s="251"/>
      <c r="Q595" s="251"/>
      <c r="R595" s="251"/>
      <c r="S595" s="251"/>
      <c r="T595" s="251"/>
      <c r="U595" s="251"/>
      <c r="V595" s="251"/>
      <c r="W595" s="251"/>
      <c r="X595" s="251"/>
      <c r="Y595" s="251"/>
      <c r="Z595" s="251"/>
    </row>
    <row r="596" spans="1:26" ht="14.25" customHeight="1" x14ac:dyDescent="0.35">
      <c r="A596" s="251"/>
      <c r="B596" s="251"/>
      <c r="C596" s="251"/>
      <c r="D596" s="251"/>
      <c r="E596" s="251"/>
      <c r="F596" s="251"/>
      <c r="G596" s="251"/>
      <c r="H596" s="251"/>
      <c r="I596" s="251"/>
      <c r="J596" s="251"/>
      <c r="K596" s="251"/>
      <c r="L596" s="251"/>
      <c r="M596" s="251"/>
      <c r="N596" s="251"/>
      <c r="O596" s="251"/>
      <c r="P596" s="251"/>
      <c r="Q596" s="251"/>
      <c r="R596" s="251"/>
      <c r="S596" s="251"/>
      <c r="T596" s="251"/>
      <c r="U596" s="251"/>
      <c r="V596" s="251"/>
      <c r="W596" s="251"/>
      <c r="X596" s="251"/>
      <c r="Y596" s="251"/>
      <c r="Z596" s="251"/>
    </row>
    <row r="597" spans="1:26" ht="14.25" customHeight="1" x14ac:dyDescent="0.35">
      <c r="A597" s="251"/>
      <c r="B597" s="251"/>
      <c r="C597" s="251"/>
      <c r="D597" s="251"/>
      <c r="E597" s="251"/>
      <c r="F597" s="251"/>
      <c r="G597" s="251"/>
      <c r="H597" s="251"/>
      <c r="I597" s="251"/>
      <c r="J597" s="251"/>
      <c r="K597" s="251"/>
      <c r="L597" s="251"/>
      <c r="M597" s="251"/>
      <c r="N597" s="251"/>
      <c r="O597" s="251"/>
      <c r="P597" s="251"/>
      <c r="Q597" s="251"/>
      <c r="R597" s="251"/>
      <c r="S597" s="251"/>
      <c r="T597" s="251"/>
      <c r="U597" s="251"/>
      <c r="V597" s="251"/>
      <c r="W597" s="251"/>
      <c r="X597" s="251"/>
      <c r="Y597" s="251"/>
      <c r="Z597" s="251"/>
    </row>
    <row r="598" spans="1:26" ht="14.25" customHeight="1" x14ac:dyDescent="0.35">
      <c r="A598" s="251"/>
      <c r="B598" s="251"/>
      <c r="C598" s="251"/>
      <c r="D598" s="251"/>
      <c r="E598" s="251"/>
      <c r="F598" s="251"/>
      <c r="G598" s="251"/>
      <c r="H598" s="251"/>
      <c r="I598" s="251"/>
      <c r="J598" s="251"/>
      <c r="K598" s="251"/>
      <c r="L598" s="251"/>
      <c r="M598" s="251"/>
      <c r="N598" s="251"/>
      <c r="O598" s="251"/>
      <c r="P598" s="251"/>
      <c r="Q598" s="251"/>
      <c r="R598" s="251"/>
      <c r="S598" s="251"/>
      <c r="T598" s="251"/>
      <c r="U598" s="251"/>
      <c r="V598" s="251"/>
      <c r="W598" s="251"/>
      <c r="X598" s="251"/>
      <c r="Y598" s="251"/>
      <c r="Z598" s="251"/>
    </row>
    <row r="599" spans="1:26" ht="14.25" customHeight="1" x14ac:dyDescent="0.35">
      <c r="A599" s="251"/>
      <c r="B599" s="251"/>
      <c r="C599" s="251"/>
      <c r="D599" s="251"/>
      <c r="E599" s="251"/>
      <c r="F599" s="251"/>
      <c r="G599" s="251"/>
      <c r="H599" s="251"/>
      <c r="I599" s="251"/>
      <c r="J599" s="251"/>
      <c r="K599" s="251"/>
      <c r="L599" s="251"/>
      <c r="M599" s="251"/>
      <c r="N599" s="251"/>
      <c r="O599" s="251"/>
      <c r="P599" s="251"/>
      <c r="Q599" s="251"/>
      <c r="R599" s="251"/>
      <c r="S599" s="251"/>
      <c r="T599" s="251"/>
      <c r="U599" s="251"/>
      <c r="V599" s="251"/>
      <c r="W599" s="251"/>
      <c r="X599" s="251"/>
      <c r="Y599" s="251"/>
      <c r="Z599" s="251"/>
    </row>
    <row r="600" spans="1:26" ht="14.25" customHeight="1" x14ac:dyDescent="0.35">
      <c r="A600" s="251"/>
      <c r="B600" s="251"/>
      <c r="C600" s="251"/>
      <c r="D600" s="251"/>
      <c r="E600" s="251"/>
      <c r="F600" s="251"/>
      <c r="G600" s="251"/>
      <c r="H600" s="251"/>
      <c r="I600" s="251"/>
      <c r="J600" s="251"/>
      <c r="K600" s="251"/>
      <c r="L600" s="251"/>
      <c r="M600" s="251"/>
      <c r="N600" s="251"/>
      <c r="O600" s="251"/>
      <c r="P600" s="251"/>
      <c r="Q600" s="251"/>
      <c r="R600" s="251"/>
      <c r="S600" s="251"/>
      <c r="T600" s="251"/>
      <c r="U600" s="251"/>
      <c r="V600" s="251"/>
      <c r="W600" s="251"/>
      <c r="X600" s="251"/>
      <c r="Y600" s="251"/>
      <c r="Z600" s="251"/>
    </row>
    <row r="601" spans="1:26" ht="14.25" customHeight="1" x14ac:dyDescent="0.35">
      <c r="A601" s="251"/>
      <c r="B601" s="251"/>
      <c r="C601" s="251"/>
      <c r="D601" s="251"/>
      <c r="E601" s="251"/>
      <c r="F601" s="251"/>
      <c r="G601" s="251"/>
      <c r="H601" s="251"/>
      <c r="I601" s="251"/>
      <c r="J601" s="251"/>
      <c r="K601" s="251"/>
      <c r="L601" s="251"/>
      <c r="M601" s="251"/>
      <c r="N601" s="251"/>
      <c r="O601" s="251"/>
      <c r="P601" s="251"/>
      <c r="Q601" s="251"/>
      <c r="R601" s="251"/>
      <c r="S601" s="251"/>
      <c r="T601" s="251"/>
      <c r="U601" s="251"/>
      <c r="V601" s="251"/>
      <c r="W601" s="251"/>
      <c r="X601" s="251"/>
      <c r="Y601" s="251"/>
      <c r="Z601" s="251"/>
    </row>
    <row r="602" spans="1:26" ht="14.25" customHeight="1" x14ac:dyDescent="0.35">
      <c r="A602" s="251"/>
      <c r="B602" s="251"/>
      <c r="C602" s="251"/>
      <c r="D602" s="251"/>
      <c r="E602" s="251"/>
      <c r="F602" s="251"/>
      <c r="G602" s="251"/>
      <c r="H602" s="251"/>
      <c r="I602" s="251"/>
      <c r="J602" s="251"/>
      <c r="K602" s="251"/>
      <c r="L602" s="251"/>
      <c r="M602" s="251"/>
      <c r="N602" s="251"/>
      <c r="O602" s="251"/>
      <c r="P602" s="251"/>
      <c r="Q602" s="251"/>
      <c r="R602" s="251"/>
      <c r="S602" s="251"/>
      <c r="T602" s="251"/>
      <c r="U602" s="251"/>
      <c r="V602" s="251"/>
      <c r="W602" s="251"/>
      <c r="X602" s="251"/>
      <c r="Y602" s="251"/>
      <c r="Z602" s="251"/>
    </row>
    <row r="603" spans="1:26" ht="14.25" customHeight="1" x14ac:dyDescent="0.35">
      <c r="A603" s="251"/>
      <c r="B603" s="251"/>
      <c r="C603" s="251"/>
      <c r="D603" s="251"/>
      <c r="E603" s="251"/>
      <c r="F603" s="251"/>
      <c r="G603" s="251"/>
      <c r="H603" s="251"/>
      <c r="I603" s="251"/>
      <c r="J603" s="251"/>
      <c r="K603" s="251"/>
      <c r="L603" s="251"/>
      <c r="M603" s="251"/>
      <c r="N603" s="251"/>
      <c r="O603" s="251"/>
      <c r="P603" s="251"/>
      <c r="Q603" s="251"/>
      <c r="R603" s="251"/>
      <c r="S603" s="251"/>
      <c r="T603" s="251"/>
      <c r="U603" s="251"/>
      <c r="V603" s="251"/>
      <c r="W603" s="251"/>
      <c r="X603" s="251"/>
      <c r="Y603" s="251"/>
      <c r="Z603" s="251"/>
    </row>
    <row r="604" spans="1:26" ht="14.25" customHeight="1" x14ac:dyDescent="0.35">
      <c r="A604" s="251"/>
      <c r="B604" s="251"/>
      <c r="C604" s="251"/>
      <c r="D604" s="251"/>
      <c r="E604" s="251"/>
      <c r="F604" s="251"/>
      <c r="G604" s="251"/>
      <c r="H604" s="251"/>
      <c r="I604" s="251"/>
      <c r="J604" s="251"/>
      <c r="K604" s="251"/>
      <c r="L604" s="251"/>
      <c r="M604" s="251"/>
      <c r="N604" s="251"/>
      <c r="O604" s="251"/>
      <c r="P604" s="251"/>
      <c r="Q604" s="251"/>
      <c r="R604" s="251"/>
      <c r="S604" s="251"/>
      <c r="T604" s="251"/>
      <c r="U604" s="251"/>
      <c r="V604" s="251"/>
      <c r="W604" s="251"/>
      <c r="X604" s="251"/>
      <c r="Y604" s="251"/>
      <c r="Z604" s="251"/>
    </row>
    <row r="605" spans="1:26" ht="14.25" customHeight="1" x14ac:dyDescent="0.35">
      <c r="A605" s="251"/>
      <c r="B605" s="251"/>
      <c r="C605" s="251"/>
      <c r="D605" s="251"/>
      <c r="E605" s="251"/>
      <c r="F605" s="251"/>
      <c r="G605" s="251"/>
      <c r="H605" s="251"/>
      <c r="I605" s="251"/>
      <c r="J605" s="251"/>
      <c r="K605" s="251"/>
      <c r="L605" s="251"/>
      <c r="M605" s="251"/>
      <c r="N605" s="251"/>
      <c r="O605" s="251"/>
      <c r="P605" s="251"/>
      <c r="Q605" s="251"/>
      <c r="R605" s="251"/>
      <c r="S605" s="251"/>
      <c r="T605" s="251"/>
      <c r="U605" s="251"/>
      <c r="V605" s="251"/>
      <c r="W605" s="251"/>
      <c r="X605" s="251"/>
      <c r="Y605" s="251"/>
      <c r="Z605" s="251"/>
    </row>
    <row r="606" spans="1:26" ht="14.25" customHeight="1" x14ac:dyDescent="0.35">
      <c r="A606" s="251"/>
      <c r="B606" s="251"/>
      <c r="C606" s="251"/>
      <c r="D606" s="251"/>
      <c r="E606" s="251"/>
      <c r="F606" s="251"/>
      <c r="G606" s="251"/>
      <c r="H606" s="251"/>
      <c r="I606" s="251"/>
      <c r="J606" s="251"/>
      <c r="K606" s="251"/>
      <c r="L606" s="251"/>
      <c r="M606" s="251"/>
      <c r="N606" s="251"/>
      <c r="O606" s="251"/>
      <c r="P606" s="251"/>
      <c r="Q606" s="251"/>
      <c r="R606" s="251"/>
      <c r="S606" s="251"/>
      <c r="T606" s="251"/>
      <c r="U606" s="251"/>
      <c r="V606" s="251"/>
      <c r="W606" s="251"/>
      <c r="X606" s="251"/>
      <c r="Y606" s="251"/>
      <c r="Z606" s="251"/>
    </row>
    <row r="607" spans="1:26" ht="14.25" customHeight="1" x14ac:dyDescent="0.35">
      <c r="A607" s="251"/>
      <c r="B607" s="251"/>
      <c r="C607" s="251"/>
      <c r="D607" s="251"/>
      <c r="E607" s="251"/>
      <c r="F607" s="251"/>
      <c r="G607" s="251"/>
      <c r="H607" s="251"/>
      <c r="I607" s="251"/>
      <c r="J607" s="251"/>
      <c r="K607" s="251"/>
      <c r="L607" s="251"/>
      <c r="M607" s="251"/>
      <c r="N607" s="251"/>
      <c r="O607" s="251"/>
      <c r="P607" s="251"/>
      <c r="Q607" s="251"/>
      <c r="R607" s="251"/>
      <c r="S607" s="251"/>
      <c r="T607" s="251"/>
      <c r="U607" s="251"/>
      <c r="V607" s="251"/>
      <c r="W607" s="251"/>
      <c r="X607" s="251"/>
      <c r="Y607" s="251"/>
      <c r="Z607" s="251"/>
    </row>
    <row r="608" spans="1:26" ht="14.25" customHeight="1" x14ac:dyDescent="0.35">
      <c r="A608" s="251"/>
      <c r="B608" s="251"/>
      <c r="C608" s="251"/>
      <c r="D608" s="251"/>
      <c r="E608" s="251"/>
      <c r="F608" s="251"/>
      <c r="G608" s="251"/>
      <c r="H608" s="251"/>
      <c r="I608" s="251"/>
      <c r="J608" s="251"/>
      <c r="K608" s="251"/>
      <c r="L608" s="251"/>
      <c r="M608" s="251"/>
      <c r="N608" s="251"/>
      <c r="O608" s="251"/>
      <c r="P608" s="251"/>
      <c r="Q608" s="251"/>
      <c r="R608" s="251"/>
      <c r="S608" s="251"/>
      <c r="T608" s="251"/>
      <c r="U608" s="251"/>
      <c r="V608" s="251"/>
      <c r="W608" s="251"/>
      <c r="X608" s="251"/>
      <c r="Y608" s="251"/>
      <c r="Z608" s="251"/>
    </row>
    <row r="609" spans="1:26" ht="14.25" customHeight="1" x14ac:dyDescent="0.35">
      <c r="A609" s="251"/>
      <c r="B609" s="251"/>
      <c r="C609" s="251"/>
      <c r="D609" s="251"/>
      <c r="E609" s="251"/>
      <c r="F609" s="251"/>
      <c r="G609" s="251"/>
      <c r="H609" s="251"/>
      <c r="I609" s="251"/>
      <c r="J609" s="251"/>
      <c r="K609" s="251"/>
      <c r="L609" s="251"/>
      <c r="M609" s="251"/>
      <c r="N609" s="251"/>
      <c r="O609" s="251"/>
      <c r="P609" s="251"/>
      <c r="Q609" s="251"/>
      <c r="R609" s="251"/>
      <c r="S609" s="251"/>
      <c r="T609" s="251"/>
      <c r="U609" s="251"/>
      <c r="V609" s="251"/>
      <c r="W609" s="251"/>
      <c r="X609" s="251"/>
      <c r="Y609" s="251"/>
      <c r="Z609" s="251"/>
    </row>
    <row r="610" spans="1:26" ht="14.25" customHeight="1" x14ac:dyDescent="0.35">
      <c r="A610" s="251"/>
      <c r="B610" s="251"/>
      <c r="C610" s="251"/>
      <c r="D610" s="251"/>
      <c r="E610" s="251"/>
      <c r="F610" s="251"/>
      <c r="G610" s="251"/>
      <c r="H610" s="251"/>
      <c r="I610" s="251"/>
      <c r="J610" s="251"/>
      <c r="K610" s="251"/>
      <c r="L610" s="251"/>
      <c r="M610" s="251"/>
      <c r="N610" s="251"/>
      <c r="O610" s="251"/>
      <c r="P610" s="251"/>
      <c r="Q610" s="251"/>
      <c r="R610" s="251"/>
      <c r="S610" s="251"/>
      <c r="T610" s="251"/>
      <c r="U610" s="251"/>
      <c r="V610" s="251"/>
      <c r="W610" s="251"/>
      <c r="X610" s="251"/>
      <c r="Y610" s="251"/>
      <c r="Z610" s="251"/>
    </row>
    <row r="611" spans="1:26" ht="14.25" customHeight="1" x14ac:dyDescent="0.35">
      <c r="A611" s="251"/>
      <c r="B611" s="251"/>
      <c r="C611" s="251"/>
      <c r="D611" s="251"/>
      <c r="E611" s="251"/>
      <c r="F611" s="251"/>
      <c r="G611" s="251"/>
      <c r="H611" s="251"/>
      <c r="I611" s="251"/>
      <c r="J611" s="251"/>
      <c r="K611" s="251"/>
      <c r="L611" s="251"/>
      <c r="M611" s="251"/>
      <c r="N611" s="251"/>
      <c r="O611" s="251"/>
      <c r="P611" s="251"/>
      <c r="Q611" s="251"/>
      <c r="R611" s="251"/>
      <c r="S611" s="251"/>
      <c r="T611" s="251"/>
      <c r="U611" s="251"/>
      <c r="V611" s="251"/>
      <c r="W611" s="251"/>
      <c r="X611" s="251"/>
      <c r="Y611" s="251"/>
      <c r="Z611" s="251"/>
    </row>
    <row r="612" spans="1:26" ht="14.25" customHeight="1" x14ac:dyDescent="0.35">
      <c r="A612" s="251"/>
      <c r="B612" s="251"/>
      <c r="C612" s="251"/>
      <c r="D612" s="251"/>
      <c r="E612" s="251"/>
      <c r="F612" s="251"/>
      <c r="G612" s="251"/>
      <c r="H612" s="251"/>
      <c r="I612" s="251"/>
      <c r="J612" s="251"/>
      <c r="K612" s="251"/>
      <c r="L612" s="251"/>
      <c r="M612" s="251"/>
      <c r="N612" s="251"/>
      <c r="O612" s="251"/>
      <c r="P612" s="251"/>
      <c r="Q612" s="251"/>
      <c r="R612" s="251"/>
      <c r="S612" s="251"/>
      <c r="T612" s="251"/>
      <c r="U612" s="251"/>
      <c r="V612" s="251"/>
      <c r="W612" s="251"/>
      <c r="X612" s="251"/>
      <c r="Y612" s="251"/>
      <c r="Z612" s="251"/>
    </row>
    <row r="613" spans="1:26" ht="14.25" customHeight="1" x14ac:dyDescent="0.35">
      <c r="A613" s="251"/>
      <c r="B613" s="251"/>
      <c r="C613" s="251"/>
      <c r="D613" s="251"/>
      <c r="E613" s="251"/>
      <c r="F613" s="251"/>
      <c r="G613" s="251"/>
      <c r="H613" s="251"/>
      <c r="I613" s="251"/>
      <c r="J613" s="251"/>
      <c r="K613" s="251"/>
      <c r="L613" s="251"/>
      <c r="M613" s="251"/>
      <c r="N613" s="251"/>
      <c r="O613" s="251"/>
      <c r="P613" s="251"/>
      <c r="Q613" s="251"/>
      <c r="R613" s="251"/>
      <c r="S613" s="251"/>
      <c r="T613" s="251"/>
      <c r="U613" s="251"/>
      <c r="V613" s="251"/>
      <c r="W613" s="251"/>
      <c r="X613" s="251"/>
      <c r="Y613" s="251"/>
      <c r="Z613" s="251"/>
    </row>
    <row r="614" spans="1:26" ht="14.25" customHeight="1" x14ac:dyDescent="0.35">
      <c r="A614" s="251"/>
      <c r="B614" s="251"/>
      <c r="C614" s="251"/>
      <c r="D614" s="251"/>
      <c r="E614" s="251"/>
      <c r="F614" s="251"/>
      <c r="G614" s="251"/>
      <c r="H614" s="251"/>
      <c r="I614" s="251"/>
      <c r="J614" s="251"/>
      <c r="K614" s="251"/>
      <c r="L614" s="251"/>
      <c r="M614" s="251"/>
      <c r="N614" s="251"/>
      <c r="O614" s="251"/>
      <c r="P614" s="251"/>
      <c r="Q614" s="251"/>
      <c r="R614" s="251"/>
      <c r="S614" s="251"/>
      <c r="T614" s="251"/>
      <c r="U614" s="251"/>
      <c r="V614" s="251"/>
      <c r="W614" s="251"/>
      <c r="X614" s="251"/>
      <c r="Y614" s="251"/>
      <c r="Z614" s="251"/>
    </row>
    <row r="615" spans="1:26" ht="14.25" customHeight="1" x14ac:dyDescent="0.35">
      <c r="A615" s="251"/>
      <c r="B615" s="251"/>
      <c r="C615" s="251"/>
      <c r="D615" s="251"/>
      <c r="E615" s="251"/>
      <c r="F615" s="251"/>
      <c r="G615" s="251"/>
      <c r="H615" s="251"/>
      <c r="I615" s="251"/>
      <c r="J615" s="251"/>
      <c r="K615" s="251"/>
      <c r="L615" s="251"/>
      <c r="M615" s="251"/>
      <c r="N615" s="251"/>
      <c r="O615" s="251"/>
      <c r="P615" s="251"/>
      <c r="Q615" s="251"/>
      <c r="R615" s="251"/>
      <c r="S615" s="251"/>
      <c r="T615" s="251"/>
      <c r="U615" s="251"/>
      <c r="V615" s="251"/>
      <c r="W615" s="251"/>
      <c r="X615" s="251"/>
      <c r="Y615" s="251"/>
      <c r="Z615" s="251"/>
    </row>
    <row r="616" spans="1:26" ht="14.25" customHeight="1" x14ac:dyDescent="0.35">
      <c r="A616" s="251"/>
      <c r="B616" s="251"/>
      <c r="C616" s="251"/>
      <c r="D616" s="251"/>
      <c r="E616" s="251"/>
      <c r="F616" s="251"/>
      <c r="G616" s="251"/>
      <c r="H616" s="251"/>
      <c r="I616" s="251"/>
      <c r="J616" s="251"/>
      <c r="K616" s="251"/>
      <c r="L616" s="251"/>
      <c r="M616" s="251"/>
      <c r="N616" s="251"/>
      <c r="O616" s="251"/>
      <c r="P616" s="251"/>
      <c r="Q616" s="251"/>
      <c r="R616" s="251"/>
      <c r="S616" s="251"/>
      <c r="T616" s="251"/>
      <c r="U616" s="251"/>
      <c r="V616" s="251"/>
      <c r="W616" s="251"/>
      <c r="X616" s="251"/>
      <c r="Y616" s="251"/>
      <c r="Z616" s="251"/>
    </row>
    <row r="617" spans="1:26" ht="14.25" customHeight="1" x14ac:dyDescent="0.35">
      <c r="A617" s="251"/>
      <c r="B617" s="251"/>
      <c r="C617" s="251"/>
      <c r="D617" s="251"/>
      <c r="E617" s="251"/>
      <c r="F617" s="251"/>
      <c r="G617" s="251"/>
      <c r="H617" s="251"/>
      <c r="I617" s="251"/>
      <c r="J617" s="251"/>
      <c r="K617" s="251"/>
      <c r="L617" s="251"/>
      <c r="M617" s="251"/>
      <c r="N617" s="251"/>
      <c r="O617" s="251"/>
      <c r="P617" s="251"/>
      <c r="Q617" s="251"/>
      <c r="R617" s="251"/>
      <c r="S617" s="251"/>
      <c r="T617" s="251"/>
      <c r="U617" s="251"/>
      <c r="V617" s="251"/>
      <c r="W617" s="251"/>
      <c r="X617" s="251"/>
      <c r="Y617" s="251"/>
      <c r="Z617" s="251"/>
    </row>
    <row r="618" spans="1:26" ht="14.25" customHeight="1" x14ac:dyDescent="0.35">
      <c r="A618" s="251"/>
      <c r="B618" s="251"/>
      <c r="C618" s="251"/>
      <c r="D618" s="251"/>
      <c r="E618" s="251"/>
      <c r="F618" s="251"/>
      <c r="G618" s="251"/>
      <c r="H618" s="251"/>
      <c r="I618" s="251"/>
      <c r="J618" s="251"/>
      <c r="K618" s="251"/>
      <c r="L618" s="251"/>
      <c r="M618" s="251"/>
      <c r="N618" s="251"/>
      <c r="O618" s="251"/>
      <c r="P618" s="251"/>
      <c r="Q618" s="251"/>
      <c r="R618" s="251"/>
      <c r="S618" s="251"/>
      <c r="T618" s="251"/>
      <c r="U618" s="251"/>
      <c r="V618" s="251"/>
      <c r="W618" s="251"/>
      <c r="X618" s="251"/>
      <c r="Y618" s="251"/>
      <c r="Z618" s="251"/>
    </row>
    <row r="619" spans="1:26" ht="14.25" customHeight="1" x14ac:dyDescent="0.35">
      <c r="A619" s="251"/>
      <c r="B619" s="251"/>
      <c r="C619" s="251"/>
      <c r="D619" s="251"/>
      <c r="E619" s="251"/>
      <c r="F619" s="251"/>
      <c r="G619" s="251"/>
      <c r="H619" s="251"/>
      <c r="I619" s="251"/>
      <c r="J619" s="251"/>
      <c r="K619" s="251"/>
      <c r="L619" s="251"/>
      <c r="M619" s="251"/>
      <c r="N619" s="251"/>
      <c r="O619" s="251"/>
      <c r="P619" s="251"/>
      <c r="Q619" s="251"/>
      <c r="R619" s="251"/>
      <c r="S619" s="251"/>
      <c r="T619" s="251"/>
      <c r="U619" s="251"/>
      <c r="V619" s="251"/>
      <c r="W619" s="251"/>
      <c r="X619" s="251"/>
      <c r="Y619" s="251"/>
      <c r="Z619" s="251"/>
    </row>
    <row r="620" spans="1:26" ht="14.25" customHeight="1" x14ac:dyDescent="0.35">
      <c r="A620" s="251"/>
      <c r="B620" s="251"/>
      <c r="C620" s="251"/>
      <c r="D620" s="251"/>
      <c r="E620" s="251"/>
      <c r="F620" s="251"/>
      <c r="G620" s="251"/>
      <c r="H620" s="251"/>
      <c r="I620" s="251"/>
      <c r="J620" s="251"/>
      <c r="K620" s="251"/>
      <c r="L620" s="251"/>
      <c r="M620" s="251"/>
      <c r="N620" s="251"/>
      <c r="O620" s="251"/>
      <c r="P620" s="251"/>
      <c r="Q620" s="251"/>
      <c r="R620" s="251"/>
      <c r="S620" s="251"/>
      <c r="T620" s="251"/>
      <c r="U620" s="251"/>
      <c r="V620" s="251"/>
      <c r="W620" s="251"/>
      <c r="X620" s="251"/>
      <c r="Y620" s="251"/>
      <c r="Z620" s="251"/>
    </row>
    <row r="621" spans="1:26" ht="14.25" customHeight="1" x14ac:dyDescent="0.35">
      <c r="A621" s="251"/>
      <c r="B621" s="251"/>
      <c r="C621" s="251"/>
      <c r="D621" s="251"/>
      <c r="E621" s="251"/>
      <c r="F621" s="251"/>
      <c r="G621" s="251"/>
      <c r="H621" s="251"/>
      <c r="I621" s="251"/>
      <c r="J621" s="251"/>
      <c r="K621" s="251"/>
      <c r="L621" s="251"/>
      <c r="M621" s="251"/>
      <c r="N621" s="251"/>
      <c r="O621" s="251"/>
      <c r="P621" s="251"/>
      <c r="Q621" s="251"/>
      <c r="R621" s="251"/>
      <c r="S621" s="251"/>
      <c r="T621" s="251"/>
      <c r="U621" s="251"/>
      <c r="V621" s="251"/>
      <c r="W621" s="251"/>
      <c r="X621" s="251"/>
      <c r="Y621" s="251"/>
      <c r="Z621" s="251"/>
    </row>
    <row r="622" spans="1:26" ht="14.25" customHeight="1" x14ac:dyDescent="0.35">
      <c r="A622" s="251"/>
      <c r="B622" s="251"/>
      <c r="C622" s="251"/>
      <c r="D622" s="251"/>
      <c r="E622" s="251"/>
      <c r="F622" s="251"/>
      <c r="G622" s="251"/>
      <c r="H622" s="251"/>
      <c r="I622" s="251"/>
      <c r="J622" s="251"/>
      <c r="K622" s="251"/>
      <c r="L622" s="251"/>
      <c r="M622" s="251"/>
      <c r="N622" s="251"/>
      <c r="O622" s="251"/>
      <c r="P622" s="251"/>
      <c r="Q622" s="251"/>
      <c r="R622" s="251"/>
      <c r="S622" s="251"/>
      <c r="T622" s="251"/>
      <c r="U622" s="251"/>
      <c r="V622" s="251"/>
      <c r="W622" s="251"/>
      <c r="X622" s="251"/>
      <c r="Y622" s="251"/>
      <c r="Z622" s="251"/>
    </row>
    <row r="623" spans="1:26" ht="14.25" customHeight="1" x14ac:dyDescent="0.35">
      <c r="A623" s="251"/>
      <c r="B623" s="251"/>
      <c r="C623" s="251"/>
      <c r="D623" s="251"/>
      <c r="E623" s="251"/>
      <c r="F623" s="251"/>
      <c r="G623" s="251"/>
      <c r="H623" s="251"/>
      <c r="I623" s="251"/>
      <c r="J623" s="251"/>
      <c r="K623" s="251"/>
      <c r="L623" s="251"/>
      <c r="M623" s="251"/>
      <c r="N623" s="251"/>
      <c r="O623" s="251"/>
      <c r="P623" s="251"/>
      <c r="Q623" s="251"/>
      <c r="R623" s="251"/>
      <c r="S623" s="251"/>
      <c r="T623" s="251"/>
      <c r="U623" s="251"/>
      <c r="V623" s="251"/>
      <c r="W623" s="251"/>
      <c r="X623" s="251"/>
      <c r="Y623" s="251"/>
      <c r="Z623" s="251"/>
    </row>
    <row r="624" spans="1:26" ht="14.25" customHeight="1" x14ac:dyDescent="0.35">
      <c r="A624" s="251"/>
      <c r="B624" s="251"/>
      <c r="C624" s="251"/>
      <c r="D624" s="251"/>
      <c r="E624" s="251"/>
      <c r="F624" s="251"/>
      <c r="G624" s="251"/>
      <c r="H624" s="251"/>
      <c r="I624" s="251"/>
      <c r="J624" s="251"/>
      <c r="K624" s="251"/>
      <c r="L624" s="251"/>
      <c r="M624" s="251"/>
      <c r="N624" s="251"/>
      <c r="O624" s="251"/>
      <c r="P624" s="251"/>
      <c r="Q624" s="251"/>
      <c r="R624" s="251"/>
      <c r="S624" s="251"/>
      <c r="T624" s="251"/>
      <c r="U624" s="251"/>
      <c r="V624" s="251"/>
      <c r="W624" s="251"/>
      <c r="X624" s="251"/>
      <c r="Y624" s="251"/>
      <c r="Z624" s="251"/>
    </row>
    <row r="625" spans="1:26" ht="14.25" customHeight="1" x14ac:dyDescent="0.35">
      <c r="A625" s="251"/>
      <c r="B625" s="251"/>
      <c r="C625" s="251"/>
      <c r="D625" s="251"/>
      <c r="E625" s="251"/>
      <c r="F625" s="251"/>
      <c r="G625" s="251"/>
      <c r="H625" s="251"/>
      <c r="I625" s="251"/>
      <c r="J625" s="251"/>
      <c r="K625" s="251"/>
      <c r="L625" s="251"/>
      <c r="M625" s="251"/>
      <c r="N625" s="251"/>
      <c r="O625" s="251"/>
      <c r="P625" s="251"/>
      <c r="Q625" s="251"/>
      <c r="R625" s="251"/>
      <c r="S625" s="251"/>
      <c r="T625" s="251"/>
      <c r="U625" s="251"/>
      <c r="V625" s="251"/>
      <c r="W625" s="251"/>
      <c r="X625" s="251"/>
      <c r="Y625" s="251"/>
      <c r="Z625" s="251"/>
    </row>
    <row r="626" spans="1:26" ht="14.25" customHeight="1" x14ac:dyDescent="0.35">
      <c r="A626" s="251"/>
      <c r="B626" s="251"/>
      <c r="C626" s="251"/>
      <c r="D626" s="251"/>
      <c r="E626" s="251"/>
      <c r="F626" s="251"/>
      <c r="G626" s="251"/>
      <c r="H626" s="251"/>
      <c r="I626" s="251"/>
      <c r="J626" s="251"/>
      <c r="K626" s="251"/>
      <c r="L626" s="251"/>
      <c r="M626" s="251"/>
      <c r="N626" s="251"/>
      <c r="O626" s="251"/>
      <c r="P626" s="251"/>
      <c r="Q626" s="251"/>
      <c r="R626" s="251"/>
      <c r="S626" s="251"/>
      <c r="T626" s="251"/>
      <c r="U626" s="251"/>
      <c r="V626" s="251"/>
      <c r="W626" s="251"/>
      <c r="X626" s="251"/>
      <c r="Y626" s="251"/>
      <c r="Z626" s="251"/>
    </row>
    <row r="627" spans="1:26" ht="14.25" customHeight="1" x14ac:dyDescent="0.35">
      <c r="A627" s="251"/>
      <c r="B627" s="251"/>
      <c r="C627" s="251"/>
      <c r="D627" s="251"/>
      <c r="E627" s="251"/>
      <c r="F627" s="251"/>
      <c r="G627" s="251"/>
      <c r="H627" s="251"/>
      <c r="I627" s="251"/>
      <c r="J627" s="251"/>
      <c r="K627" s="251"/>
      <c r="L627" s="251"/>
      <c r="M627" s="251"/>
      <c r="N627" s="251"/>
      <c r="O627" s="251"/>
      <c r="P627" s="251"/>
      <c r="Q627" s="251"/>
      <c r="R627" s="251"/>
      <c r="S627" s="251"/>
      <c r="T627" s="251"/>
      <c r="U627" s="251"/>
      <c r="V627" s="251"/>
      <c r="W627" s="251"/>
      <c r="X627" s="251"/>
      <c r="Y627" s="251"/>
      <c r="Z627" s="251"/>
    </row>
    <row r="628" spans="1:26" ht="14.25" customHeight="1" x14ac:dyDescent="0.35">
      <c r="A628" s="251"/>
      <c r="B628" s="251"/>
      <c r="C628" s="251"/>
      <c r="D628" s="251"/>
      <c r="E628" s="251"/>
      <c r="F628" s="251"/>
      <c r="G628" s="251"/>
      <c r="H628" s="251"/>
      <c r="I628" s="251"/>
      <c r="J628" s="251"/>
      <c r="K628" s="251"/>
      <c r="L628" s="251"/>
      <c r="M628" s="251"/>
      <c r="N628" s="251"/>
      <c r="O628" s="251"/>
      <c r="P628" s="251"/>
      <c r="Q628" s="251"/>
      <c r="R628" s="251"/>
      <c r="S628" s="251"/>
      <c r="T628" s="251"/>
      <c r="U628" s="251"/>
      <c r="V628" s="251"/>
      <c r="W628" s="251"/>
      <c r="X628" s="251"/>
      <c r="Y628" s="251"/>
      <c r="Z628" s="251"/>
    </row>
    <row r="629" spans="1:26" ht="14.25" customHeight="1" x14ac:dyDescent="0.35">
      <c r="A629" s="251"/>
      <c r="B629" s="251"/>
      <c r="C629" s="251"/>
      <c r="D629" s="251"/>
      <c r="E629" s="251"/>
      <c r="F629" s="251"/>
      <c r="G629" s="251"/>
      <c r="H629" s="251"/>
      <c r="I629" s="251"/>
      <c r="J629" s="251"/>
      <c r="K629" s="251"/>
      <c r="L629" s="251"/>
      <c r="M629" s="251"/>
      <c r="N629" s="251"/>
      <c r="O629" s="251"/>
      <c r="P629" s="251"/>
      <c r="Q629" s="251"/>
      <c r="R629" s="251"/>
      <c r="S629" s="251"/>
      <c r="T629" s="251"/>
      <c r="U629" s="251"/>
      <c r="V629" s="251"/>
      <c r="W629" s="251"/>
      <c r="X629" s="251"/>
      <c r="Y629" s="251"/>
      <c r="Z629" s="251"/>
    </row>
    <row r="630" spans="1:26" ht="14.25" customHeight="1" x14ac:dyDescent="0.35">
      <c r="A630" s="251"/>
      <c r="B630" s="251"/>
      <c r="C630" s="251"/>
      <c r="D630" s="251"/>
      <c r="E630" s="251"/>
      <c r="F630" s="251"/>
      <c r="G630" s="251"/>
      <c r="H630" s="251"/>
      <c r="I630" s="251"/>
      <c r="J630" s="251"/>
      <c r="K630" s="251"/>
      <c r="L630" s="251"/>
      <c r="M630" s="251"/>
      <c r="N630" s="251"/>
      <c r="O630" s="251"/>
      <c r="P630" s="251"/>
      <c r="Q630" s="251"/>
      <c r="R630" s="251"/>
      <c r="S630" s="251"/>
      <c r="T630" s="251"/>
      <c r="U630" s="251"/>
      <c r="V630" s="251"/>
      <c r="W630" s="251"/>
      <c r="X630" s="251"/>
      <c r="Y630" s="251"/>
      <c r="Z630" s="251"/>
    </row>
    <row r="631" spans="1:26" ht="14.25" customHeight="1" x14ac:dyDescent="0.35">
      <c r="A631" s="251"/>
      <c r="B631" s="251"/>
      <c r="C631" s="251"/>
      <c r="D631" s="251"/>
      <c r="E631" s="251"/>
      <c r="F631" s="251"/>
      <c r="G631" s="251"/>
      <c r="H631" s="251"/>
      <c r="I631" s="251"/>
      <c r="J631" s="251"/>
      <c r="K631" s="251"/>
      <c r="L631" s="251"/>
      <c r="M631" s="251"/>
      <c r="N631" s="251"/>
      <c r="O631" s="251"/>
      <c r="P631" s="251"/>
      <c r="Q631" s="251"/>
      <c r="R631" s="251"/>
      <c r="S631" s="251"/>
      <c r="T631" s="251"/>
      <c r="U631" s="251"/>
      <c r="V631" s="251"/>
      <c r="W631" s="251"/>
      <c r="X631" s="251"/>
      <c r="Y631" s="251"/>
      <c r="Z631" s="251"/>
    </row>
    <row r="632" spans="1:26" ht="14.25" customHeight="1" x14ac:dyDescent="0.35">
      <c r="A632" s="251"/>
      <c r="B632" s="251"/>
      <c r="C632" s="251"/>
      <c r="D632" s="251"/>
      <c r="E632" s="251"/>
      <c r="F632" s="251"/>
      <c r="G632" s="251"/>
      <c r="H632" s="251"/>
      <c r="I632" s="251"/>
      <c r="J632" s="251"/>
      <c r="K632" s="251"/>
      <c r="L632" s="251"/>
      <c r="M632" s="251"/>
      <c r="N632" s="251"/>
      <c r="O632" s="251"/>
      <c r="P632" s="251"/>
      <c r="Q632" s="251"/>
      <c r="R632" s="251"/>
      <c r="S632" s="251"/>
      <c r="T632" s="251"/>
      <c r="U632" s="251"/>
      <c r="V632" s="251"/>
      <c r="W632" s="251"/>
      <c r="X632" s="251"/>
      <c r="Y632" s="251"/>
      <c r="Z632" s="251"/>
    </row>
    <row r="633" spans="1:26" ht="14.25" customHeight="1" x14ac:dyDescent="0.35">
      <c r="A633" s="251"/>
      <c r="B633" s="251"/>
      <c r="C633" s="251"/>
      <c r="D633" s="251"/>
      <c r="E633" s="251"/>
      <c r="F633" s="251"/>
      <c r="G633" s="251"/>
      <c r="H633" s="251"/>
      <c r="I633" s="251"/>
      <c r="J633" s="251"/>
      <c r="K633" s="251"/>
      <c r="L633" s="251"/>
      <c r="M633" s="251"/>
      <c r="N633" s="251"/>
      <c r="O633" s="251"/>
      <c r="P633" s="251"/>
      <c r="Q633" s="251"/>
      <c r="R633" s="251"/>
      <c r="S633" s="251"/>
      <c r="T633" s="251"/>
      <c r="U633" s="251"/>
      <c r="V633" s="251"/>
      <c r="W633" s="251"/>
      <c r="X633" s="251"/>
      <c r="Y633" s="251"/>
      <c r="Z633" s="251"/>
    </row>
    <row r="634" spans="1:26" ht="14.25" customHeight="1" x14ac:dyDescent="0.35">
      <c r="A634" s="251"/>
      <c r="B634" s="251"/>
      <c r="C634" s="251"/>
      <c r="D634" s="251"/>
      <c r="E634" s="251"/>
      <c r="F634" s="251"/>
      <c r="G634" s="251"/>
      <c r="H634" s="251"/>
      <c r="I634" s="251"/>
      <c r="J634" s="251"/>
      <c r="K634" s="251"/>
      <c r="L634" s="251"/>
      <c r="M634" s="251"/>
      <c r="N634" s="251"/>
      <c r="O634" s="251"/>
      <c r="P634" s="251"/>
      <c r="Q634" s="251"/>
      <c r="R634" s="251"/>
      <c r="S634" s="251"/>
      <c r="T634" s="251"/>
      <c r="U634" s="251"/>
      <c r="V634" s="251"/>
      <c r="W634" s="251"/>
      <c r="X634" s="251"/>
      <c r="Y634" s="251"/>
      <c r="Z634" s="251"/>
    </row>
    <row r="635" spans="1:26" ht="14.25" customHeight="1" x14ac:dyDescent="0.35">
      <c r="A635" s="251"/>
      <c r="B635" s="251"/>
      <c r="C635" s="251"/>
      <c r="D635" s="251"/>
      <c r="E635" s="251"/>
      <c r="F635" s="251"/>
      <c r="G635" s="251"/>
      <c r="H635" s="251"/>
      <c r="I635" s="251"/>
      <c r="J635" s="251"/>
      <c r="K635" s="251"/>
      <c r="L635" s="251"/>
      <c r="M635" s="251"/>
      <c r="N635" s="251"/>
      <c r="O635" s="251"/>
      <c r="P635" s="251"/>
      <c r="Q635" s="251"/>
      <c r="R635" s="251"/>
      <c r="S635" s="251"/>
      <c r="T635" s="251"/>
      <c r="U635" s="251"/>
      <c r="V635" s="251"/>
      <c r="W635" s="251"/>
      <c r="X635" s="251"/>
      <c r="Y635" s="251"/>
      <c r="Z635" s="251"/>
    </row>
    <row r="636" spans="1:26" ht="14.25" customHeight="1" x14ac:dyDescent="0.35">
      <c r="A636" s="251"/>
      <c r="B636" s="251"/>
      <c r="C636" s="251"/>
      <c r="D636" s="251"/>
      <c r="E636" s="251"/>
      <c r="F636" s="251"/>
      <c r="G636" s="251"/>
      <c r="H636" s="251"/>
      <c r="I636" s="251"/>
      <c r="J636" s="251"/>
      <c r="K636" s="251"/>
      <c r="L636" s="251"/>
      <c r="M636" s="251"/>
      <c r="N636" s="251"/>
      <c r="O636" s="251"/>
      <c r="P636" s="251"/>
      <c r="Q636" s="251"/>
      <c r="R636" s="251"/>
      <c r="S636" s="251"/>
      <c r="T636" s="251"/>
      <c r="U636" s="251"/>
      <c r="V636" s="251"/>
      <c r="W636" s="251"/>
      <c r="X636" s="251"/>
      <c r="Y636" s="251"/>
      <c r="Z636" s="251"/>
    </row>
    <row r="637" spans="1:26" ht="14.25" customHeight="1" x14ac:dyDescent="0.35">
      <c r="A637" s="251"/>
      <c r="B637" s="251"/>
      <c r="C637" s="251"/>
      <c r="D637" s="251"/>
      <c r="E637" s="251"/>
      <c r="F637" s="251"/>
      <c r="G637" s="251"/>
      <c r="H637" s="251"/>
      <c r="I637" s="251"/>
      <c r="J637" s="251"/>
      <c r="K637" s="251"/>
      <c r="L637" s="251"/>
      <c r="M637" s="251"/>
      <c r="N637" s="251"/>
      <c r="O637" s="251"/>
      <c r="P637" s="251"/>
      <c r="Q637" s="251"/>
      <c r="R637" s="251"/>
      <c r="S637" s="251"/>
      <c r="T637" s="251"/>
      <c r="U637" s="251"/>
      <c r="V637" s="251"/>
      <c r="W637" s="251"/>
      <c r="X637" s="251"/>
      <c r="Y637" s="251"/>
      <c r="Z637" s="251"/>
    </row>
    <row r="638" spans="1:26" ht="14.25" customHeight="1" x14ac:dyDescent="0.35">
      <c r="A638" s="251"/>
      <c r="B638" s="251"/>
      <c r="C638" s="251"/>
      <c r="D638" s="251"/>
      <c r="E638" s="251"/>
      <c r="F638" s="251"/>
      <c r="G638" s="251"/>
      <c r="H638" s="251"/>
      <c r="I638" s="251"/>
      <c r="J638" s="251"/>
      <c r="K638" s="251"/>
      <c r="L638" s="251"/>
      <c r="M638" s="251"/>
      <c r="N638" s="251"/>
      <c r="O638" s="251"/>
      <c r="P638" s="251"/>
      <c r="Q638" s="251"/>
      <c r="R638" s="251"/>
      <c r="S638" s="251"/>
      <c r="T638" s="251"/>
      <c r="U638" s="251"/>
      <c r="V638" s="251"/>
      <c r="W638" s="251"/>
      <c r="X638" s="251"/>
      <c r="Y638" s="251"/>
      <c r="Z638" s="251"/>
    </row>
    <row r="639" spans="1:26" ht="14.25" customHeight="1" x14ac:dyDescent="0.35">
      <c r="A639" s="251"/>
      <c r="B639" s="251"/>
      <c r="C639" s="251"/>
      <c r="D639" s="251"/>
      <c r="E639" s="251"/>
      <c r="F639" s="251"/>
      <c r="G639" s="251"/>
      <c r="H639" s="251"/>
      <c r="I639" s="251"/>
      <c r="J639" s="251"/>
      <c r="K639" s="251"/>
      <c r="L639" s="251"/>
      <c r="M639" s="251"/>
      <c r="N639" s="251"/>
      <c r="O639" s="251"/>
      <c r="P639" s="251"/>
      <c r="Q639" s="251"/>
      <c r="R639" s="251"/>
      <c r="S639" s="251"/>
      <c r="T639" s="251"/>
      <c r="U639" s="251"/>
      <c r="V639" s="251"/>
      <c r="W639" s="251"/>
      <c r="X639" s="251"/>
      <c r="Y639" s="251"/>
      <c r="Z639" s="251"/>
    </row>
    <row r="640" spans="1:26" ht="14.25" customHeight="1" x14ac:dyDescent="0.35">
      <c r="A640" s="251"/>
      <c r="B640" s="251"/>
      <c r="C640" s="251"/>
      <c r="D640" s="251"/>
      <c r="E640" s="251"/>
      <c r="F640" s="251"/>
      <c r="G640" s="251"/>
      <c r="H640" s="251"/>
      <c r="I640" s="251"/>
      <c r="J640" s="251"/>
      <c r="K640" s="251"/>
      <c r="L640" s="251"/>
      <c r="M640" s="251"/>
      <c r="N640" s="251"/>
      <c r="O640" s="251"/>
      <c r="P640" s="251"/>
      <c r="Q640" s="251"/>
      <c r="R640" s="251"/>
      <c r="S640" s="251"/>
      <c r="T640" s="251"/>
      <c r="U640" s="251"/>
      <c r="V640" s="251"/>
      <c r="W640" s="251"/>
      <c r="X640" s="251"/>
      <c r="Y640" s="251"/>
      <c r="Z640" s="251"/>
    </row>
    <row r="641" spans="1:26" ht="14.25" customHeight="1" x14ac:dyDescent="0.35">
      <c r="A641" s="251"/>
      <c r="B641" s="251"/>
      <c r="C641" s="251"/>
      <c r="D641" s="251"/>
      <c r="E641" s="251"/>
      <c r="F641" s="251"/>
      <c r="G641" s="251"/>
      <c r="H641" s="251"/>
      <c r="I641" s="251"/>
      <c r="J641" s="251"/>
      <c r="K641" s="251"/>
      <c r="L641" s="251"/>
      <c r="M641" s="251"/>
      <c r="N641" s="251"/>
      <c r="O641" s="251"/>
      <c r="P641" s="251"/>
      <c r="Q641" s="251"/>
      <c r="R641" s="251"/>
      <c r="S641" s="251"/>
      <c r="T641" s="251"/>
      <c r="U641" s="251"/>
      <c r="V641" s="251"/>
      <c r="W641" s="251"/>
      <c r="X641" s="251"/>
      <c r="Y641" s="251"/>
      <c r="Z641" s="251"/>
    </row>
    <row r="642" spans="1:26" ht="14.25" customHeight="1" x14ac:dyDescent="0.35">
      <c r="A642" s="251"/>
      <c r="B642" s="251"/>
      <c r="C642" s="251"/>
      <c r="D642" s="251"/>
      <c r="E642" s="251"/>
      <c r="F642" s="251"/>
      <c r="G642" s="251"/>
      <c r="H642" s="251"/>
      <c r="I642" s="251"/>
      <c r="J642" s="251"/>
      <c r="K642" s="251"/>
      <c r="L642" s="251"/>
      <c r="M642" s="251"/>
      <c r="N642" s="251"/>
      <c r="O642" s="251"/>
      <c r="P642" s="251"/>
      <c r="Q642" s="251"/>
      <c r="R642" s="251"/>
      <c r="S642" s="251"/>
      <c r="T642" s="251"/>
      <c r="U642" s="251"/>
      <c r="V642" s="251"/>
      <c r="W642" s="251"/>
      <c r="X642" s="251"/>
      <c r="Y642" s="251"/>
      <c r="Z642" s="251"/>
    </row>
    <row r="643" spans="1:26" ht="14.25" customHeight="1" x14ac:dyDescent="0.35">
      <c r="A643" s="251"/>
      <c r="B643" s="251"/>
      <c r="C643" s="251"/>
      <c r="D643" s="251"/>
      <c r="E643" s="251"/>
      <c r="F643" s="251"/>
      <c r="G643" s="251"/>
      <c r="H643" s="251"/>
      <c r="I643" s="251"/>
      <c r="J643" s="251"/>
      <c r="K643" s="251"/>
      <c r="L643" s="251"/>
      <c r="M643" s="251"/>
      <c r="N643" s="251"/>
      <c r="O643" s="251"/>
      <c r="P643" s="251"/>
      <c r="Q643" s="251"/>
      <c r="R643" s="251"/>
      <c r="S643" s="251"/>
      <c r="T643" s="251"/>
      <c r="U643" s="251"/>
      <c r="V643" s="251"/>
      <c r="W643" s="251"/>
      <c r="X643" s="251"/>
      <c r="Y643" s="251"/>
      <c r="Z643" s="251"/>
    </row>
    <row r="644" spans="1:26" ht="14.25" customHeight="1" x14ac:dyDescent="0.35">
      <c r="A644" s="251"/>
      <c r="B644" s="251"/>
      <c r="C644" s="251"/>
      <c r="D644" s="251"/>
      <c r="E644" s="251"/>
      <c r="F644" s="251"/>
      <c r="G644" s="251"/>
      <c r="H644" s="251"/>
      <c r="I644" s="251"/>
      <c r="J644" s="251"/>
      <c r="K644" s="251"/>
      <c r="L644" s="251"/>
      <c r="M644" s="251"/>
      <c r="N644" s="251"/>
      <c r="O644" s="251"/>
      <c r="P644" s="251"/>
      <c r="Q644" s="251"/>
      <c r="R644" s="251"/>
      <c r="S644" s="251"/>
      <c r="T644" s="251"/>
      <c r="U644" s="251"/>
      <c r="V644" s="251"/>
      <c r="W644" s="251"/>
      <c r="X644" s="251"/>
      <c r="Y644" s="251"/>
      <c r="Z644" s="251"/>
    </row>
    <row r="645" spans="1:26" ht="14.25" customHeight="1" x14ac:dyDescent="0.35">
      <c r="A645" s="251"/>
      <c r="B645" s="251"/>
      <c r="C645" s="251"/>
      <c r="D645" s="251"/>
      <c r="E645" s="251"/>
      <c r="F645" s="251"/>
      <c r="G645" s="251"/>
      <c r="H645" s="251"/>
      <c r="I645" s="251"/>
      <c r="J645" s="251"/>
      <c r="K645" s="251"/>
      <c r="L645" s="251"/>
      <c r="M645" s="251"/>
      <c r="N645" s="251"/>
      <c r="O645" s="251"/>
      <c r="P645" s="251"/>
      <c r="Q645" s="251"/>
      <c r="R645" s="251"/>
      <c r="S645" s="251"/>
      <c r="T645" s="251"/>
      <c r="U645" s="251"/>
      <c r="V645" s="251"/>
      <c r="W645" s="251"/>
      <c r="X645" s="251"/>
      <c r="Y645" s="251"/>
      <c r="Z645" s="251"/>
    </row>
    <row r="646" spans="1:26" ht="14.25" customHeight="1" x14ac:dyDescent="0.35">
      <c r="A646" s="251"/>
      <c r="B646" s="251"/>
      <c r="C646" s="251"/>
      <c r="D646" s="251"/>
      <c r="E646" s="251"/>
      <c r="F646" s="251"/>
      <c r="G646" s="251"/>
      <c r="H646" s="251"/>
      <c r="I646" s="251"/>
      <c r="J646" s="251"/>
      <c r="K646" s="251"/>
      <c r="L646" s="251"/>
      <c r="M646" s="251"/>
      <c r="N646" s="251"/>
      <c r="O646" s="251"/>
      <c r="P646" s="251"/>
      <c r="Q646" s="251"/>
      <c r="R646" s="251"/>
      <c r="S646" s="251"/>
      <c r="T646" s="251"/>
      <c r="U646" s="251"/>
      <c r="V646" s="251"/>
      <c r="W646" s="251"/>
      <c r="X646" s="251"/>
      <c r="Y646" s="251"/>
      <c r="Z646" s="251"/>
    </row>
    <row r="647" spans="1:26" ht="14.25" customHeight="1" x14ac:dyDescent="0.35">
      <c r="A647" s="251"/>
      <c r="B647" s="251"/>
      <c r="C647" s="251"/>
      <c r="D647" s="251"/>
      <c r="E647" s="251"/>
      <c r="F647" s="251"/>
      <c r="G647" s="251"/>
      <c r="H647" s="251"/>
      <c r="I647" s="251"/>
      <c r="J647" s="251"/>
      <c r="K647" s="251"/>
      <c r="L647" s="251"/>
      <c r="M647" s="251"/>
      <c r="N647" s="251"/>
      <c r="O647" s="251"/>
      <c r="P647" s="251"/>
      <c r="Q647" s="251"/>
      <c r="R647" s="251"/>
      <c r="S647" s="251"/>
      <c r="T647" s="251"/>
      <c r="U647" s="251"/>
      <c r="V647" s="251"/>
      <c r="W647" s="251"/>
      <c r="X647" s="251"/>
      <c r="Y647" s="251"/>
      <c r="Z647" s="251"/>
    </row>
    <row r="648" spans="1:26" ht="14.25" customHeight="1" x14ac:dyDescent="0.35">
      <c r="A648" s="251"/>
      <c r="B648" s="251"/>
      <c r="C648" s="251"/>
      <c r="D648" s="251"/>
      <c r="E648" s="251"/>
      <c r="F648" s="251"/>
      <c r="G648" s="251"/>
      <c r="H648" s="251"/>
      <c r="I648" s="251"/>
      <c r="J648" s="251"/>
      <c r="K648" s="251"/>
      <c r="L648" s="251"/>
      <c r="M648" s="251"/>
      <c r="N648" s="251"/>
      <c r="O648" s="251"/>
      <c r="P648" s="251"/>
      <c r="Q648" s="251"/>
      <c r="R648" s="251"/>
      <c r="S648" s="251"/>
      <c r="T648" s="251"/>
      <c r="U648" s="251"/>
      <c r="V648" s="251"/>
      <c r="W648" s="251"/>
      <c r="X648" s="251"/>
      <c r="Y648" s="251"/>
      <c r="Z648" s="251"/>
    </row>
    <row r="649" spans="1:26" ht="14.25" customHeight="1" x14ac:dyDescent="0.35">
      <c r="A649" s="251"/>
      <c r="B649" s="251"/>
      <c r="C649" s="251"/>
      <c r="D649" s="251"/>
      <c r="E649" s="251"/>
      <c r="F649" s="251"/>
      <c r="G649" s="251"/>
      <c r="H649" s="251"/>
      <c r="I649" s="251"/>
      <c r="J649" s="251"/>
      <c r="K649" s="251"/>
      <c r="L649" s="251"/>
      <c r="M649" s="251"/>
      <c r="N649" s="251"/>
      <c r="O649" s="251"/>
      <c r="P649" s="251"/>
      <c r="Q649" s="251"/>
      <c r="R649" s="251"/>
      <c r="S649" s="251"/>
      <c r="T649" s="251"/>
      <c r="U649" s="251"/>
      <c r="V649" s="251"/>
      <c r="W649" s="251"/>
      <c r="X649" s="251"/>
      <c r="Y649" s="251"/>
      <c r="Z649" s="251"/>
    </row>
    <row r="650" spans="1:26" ht="14.25" customHeight="1" x14ac:dyDescent="0.35">
      <c r="A650" s="251"/>
      <c r="B650" s="251"/>
      <c r="C650" s="251"/>
      <c r="D650" s="251"/>
      <c r="E650" s="251"/>
      <c r="F650" s="251"/>
      <c r="G650" s="251"/>
      <c r="H650" s="251"/>
      <c r="I650" s="251"/>
      <c r="J650" s="251"/>
      <c r="K650" s="251"/>
      <c r="L650" s="251"/>
      <c r="M650" s="251"/>
      <c r="N650" s="251"/>
      <c r="O650" s="251"/>
      <c r="P650" s="251"/>
      <c r="Q650" s="251"/>
      <c r="R650" s="251"/>
      <c r="S650" s="251"/>
      <c r="T650" s="251"/>
      <c r="U650" s="251"/>
      <c r="V650" s="251"/>
      <c r="W650" s="251"/>
      <c r="X650" s="251"/>
      <c r="Y650" s="251"/>
      <c r="Z650" s="251"/>
    </row>
    <row r="651" spans="1:26" ht="14.25" customHeight="1" x14ac:dyDescent="0.35">
      <c r="A651" s="251"/>
      <c r="B651" s="251"/>
      <c r="C651" s="251"/>
      <c r="D651" s="251"/>
      <c r="E651" s="251"/>
      <c r="F651" s="251"/>
      <c r="G651" s="251"/>
      <c r="H651" s="251"/>
      <c r="I651" s="251"/>
      <c r="J651" s="251"/>
      <c r="K651" s="251"/>
      <c r="L651" s="251"/>
      <c r="M651" s="251"/>
      <c r="N651" s="251"/>
      <c r="O651" s="251"/>
      <c r="P651" s="251"/>
      <c r="Q651" s="251"/>
      <c r="R651" s="251"/>
      <c r="S651" s="251"/>
      <c r="T651" s="251"/>
      <c r="U651" s="251"/>
      <c r="V651" s="251"/>
      <c r="W651" s="251"/>
      <c r="X651" s="251"/>
      <c r="Y651" s="251"/>
      <c r="Z651" s="251"/>
    </row>
    <row r="652" spans="1:26" ht="14.25" customHeight="1" x14ac:dyDescent="0.35">
      <c r="A652" s="251"/>
      <c r="B652" s="251"/>
      <c r="C652" s="251"/>
      <c r="D652" s="251"/>
      <c r="E652" s="251"/>
      <c r="F652" s="251"/>
      <c r="G652" s="251"/>
      <c r="H652" s="251"/>
      <c r="I652" s="251"/>
      <c r="J652" s="251"/>
      <c r="K652" s="251"/>
      <c r="L652" s="251"/>
      <c r="M652" s="251"/>
      <c r="N652" s="251"/>
      <c r="O652" s="251"/>
      <c r="P652" s="251"/>
      <c r="Q652" s="251"/>
      <c r="R652" s="251"/>
      <c r="S652" s="251"/>
      <c r="T652" s="251"/>
      <c r="U652" s="251"/>
      <c r="V652" s="251"/>
      <c r="W652" s="251"/>
      <c r="X652" s="251"/>
      <c r="Y652" s="251"/>
      <c r="Z652" s="251"/>
    </row>
    <row r="653" spans="1:26" ht="14.25" customHeight="1" x14ac:dyDescent="0.35">
      <c r="A653" s="251"/>
      <c r="B653" s="251"/>
      <c r="C653" s="251"/>
      <c r="D653" s="251"/>
      <c r="E653" s="251"/>
      <c r="F653" s="251"/>
      <c r="G653" s="251"/>
      <c r="H653" s="251"/>
      <c r="I653" s="251"/>
      <c r="J653" s="251"/>
      <c r="K653" s="251"/>
      <c r="L653" s="251"/>
      <c r="M653" s="251"/>
      <c r="N653" s="251"/>
      <c r="O653" s="251"/>
      <c r="P653" s="251"/>
      <c r="Q653" s="251"/>
      <c r="R653" s="251"/>
      <c r="S653" s="251"/>
      <c r="T653" s="251"/>
      <c r="U653" s="251"/>
      <c r="V653" s="251"/>
      <c r="W653" s="251"/>
      <c r="X653" s="251"/>
      <c r="Y653" s="251"/>
      <c r="Z653" s="251"/>
    </row>
    <row r="654" spans="1:26" ht="14.25" customHeight="1" x14ac:dyDescent="0.35">
      <c r="A654" s="251"/>
      <c r="B654" s="251"/>
      <c r="C654" s="251"/>
      <c r="D654" s="251"/>
      <c r="E654" s="251"/>
      <c r="F654" s="251"/>
      <c r="G654" s="251"/>
      <c r="H654" s="251"/>
      <c r="I654" s="251"/>
      <c r="J654" s="251"/>
      <c r="K654" s="251"/>
      <c r="L654" s="251"/>
      <c r="M654" s="251"/>
      <c r="N654" s="251"/>
      <c r="O654" s="251"/>
      <c r="P654" s="251"/>
      <c r="Q654" s="251"/>
      <c r="R654" s="251"/>
      <c r="S654" s="251"/>
      <c r="T654" s="251"/>
      <c r="U654" s="251"/>
      <c r="V654" s="251"/>
      <c r="W654" s="251"/>
      <c r="X654" s="251"/>
      <c r="Y654" s="251"/>
      <c r="Z654" s="251"/>
    </row>
    <row r="655" spans="1:26" ht="14.25" customHeight="1" x14ac:dyDescent="0.35">
      <c r="A655" s="251"/>
      <c r="B655" s="251"/>
      <c r="C655" s="251"/>
      <c r="D655" s="251"/>
      <c r="E655" s="251"/>
      <c r="F655" s="251"/>
      <c r="G655" s="251"/>
      <c r="H655" s="251"/>
      <c r="I655" s="251"/>
      <c r="J655" s="251"/>
      <c r="K655" s="251"/>
      <c r="L655" s="251"/>
      <c r="M655" s="251"/>
      <c r="N655" s="251"/>
      <c r="O655" s="251"/>
      <c r="P655" s="251"/>
      <c r="Q655" s="251"/>
      <c r="R655" s="251"/>
      <c r="S655" s="251"/>
      <c r="T655" s="251"/>
      <c r="U655" s="251"/>
      <c r="V655" s="251"/>
      <c r="W655" s="251"/>
      <c r="X655" s="251"/>
      <c r="Y655" s="251"/>
      <c r="Z655" s="251"/>
    </row>
    <row r="656" spans="1:26" ht="14.25" customHeight="1" x14ac:dyDescent="0.35">
      <c r="A656" s="251"/>
      <c r="B656" s="251"/>
      <c r="C656" s="251"/>
      <c r="D656" s="251"/>
      <c r="E656" s="251"/>
      <c r="F656" s="251"/>
      <c r="G656" s="251"/>
      <c r="H656" s="251"/>
      <c r="I656" s="251"/>
      <c r="J656" s="251"/>
      <c r="K656" s="251"/>
      <c r="L656" s="251"/>
      <c r="M656" s="251"/>
      <c r="N656" s="251"/>
      <c r="O656" s="251"/>
      <c r="P656" s="251"/>
      <c r="Q656" s="251"/>
      <c r="R656" s="251"/>
      <c r="S656" s="251"/>
      <c r="T656" s="251"/>
      <c r="U656" s="251"/>
      <c r="V656" s="251"/>
      <c r="W656" s="251"/>
      <c r="X656" s="251"/>
      <c r="Y656" s="251"/>
      <c r="Z656" s="251"/>
    </row>
    <row r="657" spans="1:26" ht="14.25" customHeight="1" x14ac:dyDescent="0.35">
      <c r="A657" s="251"/>
      <c r="B657" s="251"/>
      <c r="C657" s="251"/>
      <c r="D657" s="251"/>
      <c r="E657" s="251"/>
      <c r="F657" s="251"/>
      <c r="G657" s="251"/>
      <c r="H657" s="251"/>
      <c r="I657" s="251"/>
      <c r="J657" s="251"/>
      <c r="K657" s="251"/>
      <c r="L657" s="251"/>
      <c r="M657" s="251"/>
      <c r="N657" s="251"/>
      <c r="O657" s="251"/>
      <c r="P657" s="251"/>
      <c r="Q657" s="251"/>
      <c r="R657" s="251"/>
      <c r="S657" s="251"/>
      <c r="T657" s="251"/>
      <c r="U657" s="251"/>
      <c r="V657" s="251"/>
      <c r="W657" s="251"/>
      <c r="X657" s="251"/>
      <c r="Y657" s="251"/>
      <c r="Z657" s="251"/>
    </row>
    <row r="658" spans="1:26" ht="14.25" customHeight="1" x14ac:dyDescent="0.35">
      <c r="A658" s="251"/>
      <c r="B658" s="251"/>
      <c r="C658" s="251"/>
      <c r="D658" s="251"/>
      <c r="E658" s="251"/>
      <c r="F658" s="251"/>
      <c r="G658" s="251"/>
      <c r="H658" s="251"/>
      <c r="I658" s="251"/>
      <c r="J658" s="251"/>
      <c r="K658" s="251"/>
      <c r="L658" s="251"/>
      <c r="M658" s="251"/>
      <c r="N658" s="251"/>
      <c r="O658" s="251"/>
      <c r="P658" s="251"/>
      <c r="Q658" s="251"/>
      <c r="R658" s="251"/>
      <c r="S658" s="251"/>
      <c r="T658" s="251"/>
      <c r="U658" s="251"/>
      <c r="V658" s="251"/>
      <c r="W658" s="251"/>
      <c r="X658" s="251"/>
      <c r="Y658" s="251"/>
      <c r="Z658" s="251"/>
    </row>
    <row r="659" spans="1:26" ht="14.25" customHeight="1" x14ac:dyDescent="0.35">
      <c r="A659" s="251"/>
      <c r="B659" s="251"/>
      <c r="C659" s="251"/>
      <c r="D659" s="251"/>
      <c r="E659" s="251"/>
      <c r="F659" s="251"/>
      <c r="G659" s="251"/>
      <c r="H659" s="251"/>
      <c r="I659" s="251"/>
      <c r="J659" s="251"/>
      <c r="K659" s="251"/>
      <c r="L659" s="251"/>
      <c r="M659" s="251"/>
      <c r="N659" s="251"/>
      <c r="O659" s="251"/>
      <c r="P659" s="251"/>
      <c r="Q659" s="251"/>
      <c r="R659" s="251"/>
      <c r="S659" s="251"/>
      <c r="T659" s="251"/>
      <c r="U659" s="251"/>
      <c r="V659" s="251"/>
      <c r="W659" s="251"/>
      <c r="X659" s="251"/>
      <c r="Y659" s="251"/>
      <c r="Z659" s="251"/>
    </row>
    <row r="660" spans="1:26" ht="14.25" customHeight="1" x14ac:dyDescent="0.35">
      <c r="A660" s="251"/>
      <c r="B660" s="251"/>
      <c r="C660" s="251"/>
      <c r="D660" s="251"/>
      <c r="E660" s="251"/>
      <c r="F660" s="251"/>
      <c r="G660" s="251"/>
      <c r="H660" s="251"/>
      <c r="I660" s="251"/>
      <c r="J660" s="251"/>
      <c r="K660" s="251"/>
      <c r="L660" s="251"/>
      <c r="M660" s="251"/>
      <c r="N660" s="251"/>
      <c r="O660" s="251"/>
      <c r="P660" s="251"/>
      <c r="Q660" s="251"/>
      <c r="R660" s="251"/>
      <c r="S660" s="251"/>
      <c r="T660" s="251"/>
      <c r="U660" s="251"/>
      <c r="V660" s="251"/>
      <c r="W660" s="251"/>
      <c r="X660" s="251"/>
      <c r="Y660" s="251"/>
      <c r="Z660" s="251"/>
    </row>
    <row r="661" spans="1:26" ht="14.25" customHeight="1" x14ac:dyDescent="0.35">
      <c r="A661" s="251"/>
      <c r="B661" s="251"/>
      <c r="C661" s="251"/>
      <c r="D661" s="251"/>
      <c r="E661" s="251"/>
      <c r="F661" s="251"/>
      <c r="G661" s="251"/>
      <c r="H661" s="251"/>
      <c r="I661" s="251"/>
      <c r="J661" s="251"/>
      <c r="K661" s="251"/>
      <c r="L661" s="251"/>
      <c r="M661" s="251"/>
      <c r="N661" s="251"/>
      <c r="O661" s="251"/>
      <c r="P661" s="251"/>
      <c r="Q661" s="251"/>
      <c r="R661" s="251"/>
      <c r="S661" s="251"/>
      <c r="T661" s="251"/>
      <c r="U661" s="251"/>
      <c r="V661" s="251"/>
      <c r="W661" s="251"/>
      <c r="X661" s="251"/>
      <c r="Y661" s="251"/>
      <c r="Z661" s="251"/>
    </row>
    <row r="662" spans="1:26" ht="14.25" customHeight="1" x14ac:dyDescent="0.35">
      <c r="A662" s="251"/>
      <c r="B662" s="251"/>
      <c r="C662" s="251"/>
      <c r="D662" s="251"/>
      <c r="E662" s="251"/>
      <c r="F662" s="251"/>
      <c r="G662" s="251"/>
      <c r="H662" s="251"/>
      <c r="I662" s="251"/>
      <c r="J662" s="251"/>
      <c r="K662" s="251"/>
      <c r="L662" s="251"/>
      <c r="M662" s="251"/>
      <c r="N662" s="251"/>
      <c r="O662" s="251"/>
      <c r="P662" s="251"/>
      <c r="Q662" s="251"/>
      <c r="R662" s="251"/>
      <c r="S662" s="251"/>
      <c r="T662" s="251"/>
      <c r="U662" s="251"/>
      <c r="V662" s="251"/>
      <c r="W662" s="251"/>
      <c r="X662" s="251"/>
      <c r="Y662" s="251"/>
      <c r="Z662" s="251"/>
    </row>
    <row r="663" spans="1:26" ht="14.25" customHeight="1" x14ac:dyDescent="0.35">
      <c r="A663" s="251"/>
      <c r="B663" s="251"/>
      <c r="C663" s="251"/>
      <c r="D663" s="251"/>
      <c r="E663" s="251"/>
      <c r="F663" s="251"/>
      <c r="G663" s="251"/>
      <c r="H663" s="251"/>
      <c r="I663" s="251"/>
      <c r="J663" s="251"/>
      <c r="K663" s="251"/>
      <c r="L663" s="251"/>
      <c r="M663" s="251"/>
      <c r="N663" s="251"/>
      <c r="O663" s="251"/>
      <c r="P663" s="251"/>
      <c r="Q663" s="251"/>
      <c r="R663" s="251"/>
      <c r="S663" s="251"/>
      <c r="T663" s="251"/>
      <c r="U663" s="251"/>
      <c r="V663" s="251"/>
      <c r="W663" s="251"/>
      <c r="X663" s="251"/>
      <c r="Y663" s="251"/>
      <c r="Z663" s="251"/>
    </row>
    <row r="664" spans="1:26" ht="14.25" customHeight="1" x14ac:dyDescent="0.35">
      <c r="A664" s="251"/>
      <c r="B664" s="251"/>
      <c r="C664" s="251"/>
      <c r="D664" s="251"/>
      <c r="E664" s="251"/>
      <c r="F664" s="251"/>
      <c r="G664" s="251"/>
      <c r="H664" s="251"/>
      <c r="I664" s="251"/>
      <c r="J664" s="251"/>
      <c r="K664" s="251"/>
      <c r="L664" s="251"/>
      <c r="M664" s="251"/>
      <c r="N664" s="251"/>
      <c r="O664" s="251"/>
      <c r="P664" s="251"/>
      <c r="Q664" s="251"/>
      <c r="R664" s="251"/>
      <c r="S664" s="251"/>
      <c r="T664" s="251"/>
      <c r="U664" s="251"/>
      <c r="V664" s="251"/>
      <c r="W664" s="251"/>
      <c r="X664" s="251"/>
      <c r="Y664" s="251"/>
      <c r="Z664" s="251"/>
    </row>
    <row r="665" spans="1:26" ht="14.25" customHeight="1" x14ac:dyDescent="0.35">
      <c r="A665" s="251"/>
      <c r="B665" s="251"/>
      <c r="C665" s="251"/>
      <c r="D665" s="251"/>
      <c r="E665" s="251"/>
      <c r="F665" s="251"/>
      <c r="G665" s="251"/>
      <c r="H665" s="251"/>
      <c r="I665" s="251"/>
      <c r="J665" s="251"/>
      <c r="K665" s="251"/>
      <c r="L665" s="251"/>
      <c r="M665" s="251"/>
      <c r="N665" s="251"/>
      <c r="O665" s="251"/>
      <c r="P665" s="251"/>
      <c r="Q665" s="251"/>
      <c r="R665" s="251"/>
      <c r="S665" s="251"/>
      <c r="T665" s="251"/>
      <c r="U665" s="251"/>
      <c r="V665" s="251"/>
      <c r="W665" s="251"/>
      <c r="X665" s="251"/>
      <c r="Y665" s="251"/>
      <c r="Z665" s="251"/>
    </row>
    <row r="666" spans="1:26" ht="14.25" customHeight="1" x14ac:dyDescent="0.35">
      <c r="A666" s="251"/>
      <c r="B666" s="251"/>
      <c r="C666" s="251"/>
      <c r="D666" s="251"/>
      <c r="E666" s="251"/>
      <c r="F666" s="251"/>
      <c r="G666" s="251"/>
      <c r="H666" s="251"/>
      <c r="I666" s="251"/>
      <c r="J666" s="251"/>
      <c r="K666" s="251"/>
      <c r="L666" s="251"/>
      <c r="M666" s="251"/>
      <c r="N666" s="251"/>
      <c r="O666" s="251"/>
      <c r="P666" s="251"/>
      <c r="Q666" s="251"/>
      <c r="R666" s="251"/>
      <c r="S666" s="251"/>
      <c r="T666" s="251"/>
      <c r="U666" s="251"/>
      <c r="V666" s="251"/>
      <c r="W666" s="251"/>
      <c r="X666" s="251"/>
      <c r="Y666" s="251"/>
      <c r="Z666" s="251"/>
    </row>
    <row r="667" spans="1:26" ht="14.25" customHeight="1" x14ac:dyDescent="0.35">
      <c r="A667" s="251"/>
      <c r="B667" s="251"/>
      <c r="C667" s="251"/>
      <c r="D667" s="251"/>
      <c r="E667" s="251"/>
      <c r="F667" s="251"/>
      <c r="G667" s="251"/>
      <c r="H667" s="251"/>
      <c r="I667" s="251"/>
      <c r="J667" s="251"/>
      <c r="K667" s="251"/>
      <c r="L667" s="251"/>
      <c r="M667" s="251"/>
      <c r="N667" s="251"/>
      <c r="O667" s="251"/>
      <c r="P667" s="251"/>
      <c r="Q667" s="251"/>
      <c r="R667" s="251"/>
      <c r="S667" s="251"/>
      <c r="T667" s="251"/>
      <c r="U667" s="251"/>
      <c r="V667" s="251"/>
      <c r="W667" s="251"/>
      <c r="X667" s="251"/>
      <c r="Y667" s="251"/>
      <c r="Z667" s="251"/>
    </row>
    <row r="668" spans="1:26" ht="14.25" customHeight="1" x14ac:dyDescent="0.35">
      <c r="A668" s="251"/>
      <c r="B668" s="251"/>
      <c r="C668" s="251"/>
      <c r="D668" s="251"/>
      <c r="E668" s="251"/>
      <c r="F668" s="251"/>
      <c r="G668" s="251"/>
      <c r="H668" s="251"/>
      <c r="I668" s="251"/>
      <c r="J668" s="251"/>
      <c r="K668" s="251"/>
      <c r="L668" s="251"/>
      <c r="M668" s="251"/>
      <c r="N668" s="251"/>
      <c r="O668" s="251"/>
      <c r="P668" s="251"/>
      <c r="Q668" s="251"/>
      <c r="R668" s="251"/>
      <c r="S668" s="251"/>
      <c r="T668" s="251"/>
      <c r="U668" s="251"/>
      <c r="V668" s="251"/>
      <c r="W668" s="251"/>
      <c r="X668" s="251"/>
      <c r="Y668" s="251"/>
      <c r="Z668" s="251"/>
    </row>
    <row r="669" spans="1:26" ht="14.25" customHeight="1" x14ac:dyDescent="0.35">
      <c r="A669" s="251"/>
      <c r="B669" s="251"/>
      <c r="C669" s="251"/>
      <c r="D669" s="251"/>
      <c r="E669" s="251"/>
      <c r="F669" s="251"/>
      <c r="G669" s="251"/>
      <c r="H669" s="251"/>
      <c r="I669" s="251"/>
      <c r="J669" s="251"/>
      <c r="K669" s="251"/>
      <c r="L669" s="251"/>
      <c r="M669" s="251"/>
      <c r="N669" s="251"/>
      <c r="O669" s="251"/>
      <c r="P669" s="251"/>
      <c r="Q669" s="251"/>
      <c r="R669" s="251"/>
      <c r="S669" s="251"/>
      <c r="T669" s="251"/>
      <c r="U669" s="251"/>
      <c r="V669" s="251"/>
      <c r="W669" s="251"/>
      <c r="X669" s="251"/>
      <c r="Y669" s="251"/>
      <c r="Z669" s="251"/>
    </row>
    <row r="670" spans="1:26" ht="14.25" customHeight="1" x14ac:dyDescent="0.35">
      <c r="A670" s="251"/>
      <c r="B670" s="251"/>
      <c r="C670" s="251"/>
      <c r="D670" s="251"/>
      <c r="E670" s="251"/>
      <c r="F670" s="251"/>
      <c r="G670" s="251"/>
      <c r="H670" s="251"/>
      <c r="I670" s="251"/>
      <c r="J670" s="251"/>
      <c r="K670" s="251"/>
      <c r="L670" s="251"/>
      <c r="M670" s="251"/>
      <c r="N670" s="251"/>
      <c r="O670" s="251"/>
      <c r="P670" s="251"/>
      <c r="Q670" s="251"/>
      <c r="R670" s="251"/>
      <c r="S670" s="251"/>
      <c r="T670" s="251"/>
      <c r="U670" s="251"/>
      <c r="V670" s="251"/>
      <c r="W670" s="251"/>
      <c r="X670" s="251"/>
      <c r="Y670" s="251"/>
      <c r="Z670" s="251"/>
    </row>
    <row r="671" spans="1:26" ht="14.25" customHeight="1" x14ac:dyDescent="0.35">
      <c r="A671" s="251"/>
      <c r="B671" s="251"/>
      <c r="C671" s="251"/>
      <c r="D671" s="251"/>
      <c r="E671" s="251"/>
      <c r="F671" s="251"/>
      <c r="G671" s="251"/>
      <c r="H671" s="251"/>
      <c r="I671" s="251"/>
      <c r="J671" s="251"/>
      <c r="K671" s="251"/>
      <c r="L671" s="251"/>
      <c r="M671" s="251"/>
      <c r="N671" s="251"/>
      <c r="O671" s="251"/>
      <c r="P671" s="251"/>
      <c r="Q671" s="251"/>
      <c r="R671" s="251"/>
      <c r="S671" s="251"/>
      <c r="T671" s="251"/>
      <c r="U671" s="251"/>
      <c r="V671" s="251"/>
      <c r="W671" s="251"/>
      <c r="X671" s="251"/>
      <c r="Y671" s="251"/>
      <c r="Z671" s="251"/>
    </row>
    <row r="672" spans="1:26" ht="14.25" customHeight="1" x14ac:dyDescent="0.35">
      <c r="A672" s="251"/>
      <c r="B672" s="251"/>
      <c r="C672" s="251"/>
      <c r="D672" s="251"/>
      <c r="E672" s="251"/>
      <c r="F672" s="251"/>
      <c r="G672" s="251"/>
      <c r="H672" s="251"/>
      <c r="I672" s="251"/>
      <c r="J672" s="251"/>
      <c r="K672" s="251"/>
      <c r="L672" s="251"/>
      <c r="M672" s="251"/>
      <c r="N672" s="251"/>
      <c r="O672" s="251"/>
      <c r="P672" s="251"/>
      <c r="Q672" s="251"/>
      <c r="R672" s="251"/>
      <c r="S672" s="251"/>
      <c r="T672" s="251"/>
      <c r="U672" s="251"/>
      <c r="V672" s="251"/>
      <c r="W672" s="251"/>
      <c r="X672" s="251"/>
      <c r="Y672" s="251"/>
      <c r="Z672" s="251"/>
    </row>
    <row r="673" spans="1:26" ht="14.25" customHeight="1" x14ac:dyDescent="0.35">
      <c r="A673" s="251"/>
      <c r="B673" s="251"/>
      <c r="C673" s="251"/>
      <c r="D673" s="251"/>
      <c r="E673" s="251"/>
      <c r="F673" s="251"/>
      <c r="G673" s="251"/>
      <c r="H673" s="251"/>
      <c r="I673" s="251"/>
      <c r="J673" s="251"/>
      <c r="K673" s="251"/>
      <c r="L673" s="251"/>
      <c r="M673" s="251"/>
      <c r="N673" s="251"/>
      <c r="O673" s="251"/>
      <c r="P673" s="251"/>
      <c r="Q673" s="251"/>
      <c r="R673" s="251"/>
      <c r="S673" s="251"/>
      <c r="T673" s="251"/>
      <c r="U673" s="251"/>
      <c r="V673" s="251"/>
      <c r="W673" s="251"/>
      <c r="X673" s="251"/>
      <c r="Y673" s="251"/>
      <c r="Z673" s="251"/>
    </row>
    <row r="674" spans="1:26" ht="14.25" customHeight="1" x14ac:dyDescent="0.35">
      <c r="A674" s="251"/>
      <c r="B674" s="251"/>
      <c r="C674" s="251"/>
      <c r="D674" s="251"/>
      <c r="E674" s="251"/>
      <c r="F674" s="251"/>
      <c r="G674" s="251"/>
      <c r="H674" s="251"/>
      <c r="I674" s="251"/>
      <c r="J674" s="251"/>
      <c r="K674" s="251"/>
      <c r="L674" s="251"/>
      <c r="M674" s="251"/>
      <c r="N674" s="251"/>
      <c r="O674" s="251"/>
      <c r="P674" s="251"/>
      <c r="Q674" s="251"/>
      <c r="R674" s="251"/>
      <c r="S674" s="251"/>
      <c r="T674" s="251"/>
      <c r="U674" s="251"/>
      <c r="V674" s="251"/>
      <c r="W674" s="251"/>
      <c r="X674" s="251"/>
      <c r="Y674" s="251"/>
      <c r="Z674" s="251"/>
    </row>
    <row r="675" spans="1:26" ht="14.25" customHeight="1" x14ac:dyDescent="0.35">
      <c r="A675" s="251"/>
      <c r="B675" s="251"/>
      <c r="C675" s="251"/>
      <c r="D675" s="251"/>
      <c r="E675" s="251"/>
      <c r="F675" s="251"/>
      <c r="G675" s="251"/>
      <c r="H675" s="251"/>
      <c r="I675" s="251"/>
      <c r="J675" s="251"/>
      <c r="K675" s="251"/>
      <c r="L675" s="251"/>
      <c r="M675" s="251"/>
      <c r="N675" s="251"/>
      <c r="O675" s="251"/>
      <c r="P675" s="251"/>
      <c r="Q675" s="251"/>
      <c r="R675" s="251"/>
      <c r="S675" s="251"/>
      <c r="T675" s="251"/>
      <c r="U675" s="251"/>
      <c r="V675" s="251"/>
      <c r="W675" s="251"/>
      <c r="X675" s="251"/>
      <c r="Y675" s="251"/>
      <c r="Z675" s="251"/>
    </row>
    <row r="676" spans="1:26" ht="14.25" customHeight="1" x14ac:dyDescent="0.35">
      <c r="A676" s="251"/>
      <c r="B676" s="251"/>
      <c r="C676" s="251"/>
      <c r="D676" s="251"/>
      <c r="E676" s="251"/>
      <c r="F676" s="251"/>
      <c r="G676" s="251"/>
      <c r="H676" s="251"/>
      <c r="I676" s="251"/>
      <c r="J676" s="251"/>
      <c r="K676" s="251"/>
      <c r="L676" s="251"/>
      <c r="M676" s="251"/>
      <c r="N676" s="251"/>
      <c r="O676" s="251"/>
      <c r="P676" s="251"/>
      <c r="Q676" s="251"/>
      <c r="R676" s="251"/>
      <c r="S676" s="251"/>
      <c r="T676" s="251"/>
      <c r="U676" s="251"/>
      <c r="V676" s="251"/>
      <c r="W676" s="251"/>
      <c r="X676" s="251"/>
      <c r="Y676" s="251"/>
      <c r="Z676" s="251"/>
    </row>
    <row r="677" spans="1:26" ht="14.25" customHeight="1" x14ac:dyDescent="0.35">
      <c r="A677" s="251"/>
      <c r="B677" s="251"/>
      <c r="C677" s="251"/>
      <c r="D677" s="251"/>
      <c r="E677" s="251"/>
      <c r="F677" s="251"/>
      <c r="G677" s="251"/>
      <c r="H677" s="251"/>
      <c r="I677" s="251"/>
      <c r="J677" s="251"/>
      <c r="K677" s="251"/>
      <c r="L677" s="251"/>
      <c r="M677" s="251"/>
      <c r="N677" s="251"/>
      <c r="O677" s="251"/>
      <c r="P677" s="251"/>
      <c r="Q677" s="251"/>
      <c r="R677" s="251"/>
      <c r="S677" s="251"/>
      <c r="T677" s="251"/>
      <c r="U677" s="251"/>
      <c r="V677" s="251"/>
      <c r="W677" s="251"/>
      <c r="X677" s="251"/>
      <c r="Y677" s="251"/>
      <c r="Z677" s="251"/>
    </row>
    <row r="678" spans="1:26" ht="14.25" customHeight="1" x14ac:dyDescent="0.35">
      <c r="A678" s="251"/>
      <c r="B678" s="251"/>
      <c r="C678" s="251"/>
      <c r="D678" s="251"/>
      <c r="E678" s="251"/>
      <c r="F678" s="251"/>
      <c r="G678" s="251"/>
      <c r="H678" s="251"/>
      <c r="I678" s="251"/>
      <c r="J678" s="251"/>
      <c r="K678" s="251"/>
      <c r="L678" s="251"/>
      <c r="M678" s="251"/>
      <c r="N678" s="251"/>
      <c r="O678" s="251"/>
      <c r="P678" s="251"/>
      <c r="Q678" s="251"/>
      <c r="R678" s="251"/>
      <c r="S678" s="251"/>
      <c r="T678" s="251"/>
      <c r="U678" s="251"/>
      <c r="V678" s="251"/>
      <c r="W678" s="251"/>
      <c r="X678" s="251"/>
      <c r="Y678" s="251"/>
      <c r="Z678" s="251"/>
    </row>
    <row r="679" spans="1:26" ht="14.25" customHeight="1" x14ac:dyDescent="0.35">
      <c r="A679" s="251"/>
      <c r="B679" s="251"/>
      <c r="C679" s="251"/>
      <c r="D679" s="251"/>
      <c r="E679" s="251"/>
      <c r="F679" s="251"/>
      <c r="G679" s="251"/>
      <c r="H679" s="251"/>
      <c r="I679" s="251"/>
      <c r="J679" s="251"/>
      <c r="K679" s="251"/>
      <c r="L679" s="251"/>
      <c r="M679" s="251"/>
      <c r="N679" s="251"/>
      <c r="O679" s="251"/>
      <c r="P679" s="251"/>
      <c r="Q679" s="251"/>
      <c r="R679" s="251"/>
      <c r="S679" s="251"/>
      <c r="T679" s="251"/>
      <c r="U679" s="251"/>
      <c r="V679" s="251"/>
      <c r="W679" s="251"/>
      <c r="X679" s="251"/>
      <c r="Y679" s="251"/>
      <c r="Z679" s="251"/>
    </row>
    <row r="680" spans="1:26" ht="14.25" customHeight="1" x14ac:dyDescent="0.35">
      <c r="A680" s="251"/>
      <c r="B680" s="251"/>
      <c r="C680" s="251"/>
      <c r="D680" s="251"/>
      <c r="E680" s="251"/>
      <c r="F680" s="251"/>
      <c r="G680" s="251"/>
      <c r="H680" s="251"/>
      <c r="I680" s="251"/>
      <c r="J680" s="251"/>
      <c r="K680" s="251"/>
      <c r="L680" s="251"/>
      <c r="M680" s="251"/>
      <c r="N680" s="251"/>
      <c r="O680" s="251"/>
      <c r="P680" s="251"/>
      <c r="Q680" s="251"/>
      <c r="R680" s="251"/>
      <c r="S680" s="251"/>
      <c r="T680" s="251"/>
      <c r="U680" s="251"/>
      <c r="V680" s="251"/>
      <c r="W680" s="251"/>
      <c r="X680" s="251"/>
      <c r="Y680" s="251"/>
      <c r="Z680" s="251"/>
    </row>
    <row r="681" spans="1:26" ht="14.25" customHeight="1" x14ac:dyDescent="0.35">
      <c r="A681" s="251"/>
      <c r="B681" s="251"/>
      <c r="C681" s="251"/>
      <c r="D681" s="251"/>
      <c r="E681" s="251"/>
      <c r="F681" s="251"/>
      <c r="G681" s="251"/>
      <c r="H681" s="251"/>
      <c r="I681" s="251"/>
      <c r="J681" s="251"/>
      <c r="K681" s="251"/>
      <c r="L681" s="251"/>
      <c r="M681" s="251"/>
      <c r="N681" s="251"/>
      <c r="O681" s="251"/>
      <c r="P681" s="251"/>
      <c r="Q681" s="251"/>
      <c r="R681" s="251"/>
      <c r="S681" s="251"/>
      <c r="T681" s="251"/>
      <c r="U681" s="251"/>
      <c r="V681" s="251"/>
      <c r="W681" s="251"/>
      <c r="X681" s="251"/>
      <c r="Y681" s="251"/>
      <c r="Z681" s="251"/>
    </row>
    <row r="682" spans="1:26" ht="14.25" customHeight="1" x14ac:dyDescent="0.35">
      <c r="A682" s="251"/>
      <c r="B682" s="251"/>
      <c r="C682" s="251"/>
      <c r="D682" s="251"/>
      <c r="E682" s="251"/>
      <c r="F682" s="251"/>
      <c r="G682" s="251"/>
      <c r="H682" s="251"/>
      <c r="I682" s="251"/>
      <c r="J682" s="251"/>
      <c r="K682" s="251"/>
      <c r="L682" s="251"/>
      <c r="M682" s="251"/>
      <c r="N682" s="251"/>
      <c r="O682" s="251"/>
      <c r="P682" s="251"/>
      <c r="Q682" s="251"/>
      <c r="R682" s="251"/>
      <c r="S682" s="251"/>
      <c r="T682" s="251"/>
      <c r="U682" s="251"/>
      <c r="V682" s="251"/>
      <c r="W682" s="251"/>
      <c r="X682" s="251"/>
      <c r="Y682" s="251"/>
      <c r="Z682" s="251"/>
    </row>
    <row r="683" spans="1:26" ht="14.25" customHeight="1" x14ac:dyDescent="0.35">
      <c r="A683" s="251"/>
      <c r="B683" s="251"/>
      <c r="C683" s="251"/>
      <c r="D683" s="251"/>
      <c r="E683" s="251"/>
      <c r="F683" s="251"/>
      <c r="G683" s="251"/>
      <c r="H683" s="251"/>
      <c r="I683" s="251"/>
      <c r="J683" s="251"/>
      <c r="K683" s="251"/>
      <c r="L683" s="251"/>
      <c r="M683" s="251"/>
      <c r="N683" s="251"/>
      <c r="O683" s="251"/>
      <c r="P683" s="251"/>
      <c r="Q683" s="251"/>
      <c r="R683" s="251"/>
      <c r="S683" s="251"/>
      <c r="T683" s="251"/>
      <c r="U683" s="251"/>
      <c r="V683" s="251"/>
      <c r="W683" s="251"/>
      <c r="X683" s="251"/>
      <c r="Y683" s="251"/>
      <c r="Z683" s="251"/>
    </row>
    <row r="684" spans="1:26" ht="14.25" customHeight="1" x14ac:dyDescent="0.35">
      <c r="A684" s="251"/>
      <c r="B684" s="251"/>
      <c r="C684" s="251"/>
      <c r="D684" s="251"/>
      <c r="E684" s="251"/>
      <c r="F684" s="251"/>
      <c r="G684" s="251"/>
      <c r="H684" s="251"/>
      <c r="I684" s="251"/>
      <c r="J684" s="251"/>
      <c r="K684" s="251"/>
      <c r="L684" s="251"/>
      <c r="M684" s="251"/>
      <c r="N684" s="251"/>
      <c r="O684" s="251"/>
      <c r="P684" s="251"/>
      <c r="Q684" s="251"/>
      <c r="R684" s="251"/>
      <c r="S684" s="251"/>
      <c r="T684" s="251"/>
      <c r="U684" s="251"/>
      <c r="V684" s="251"/>
      <c r="W684" s="251"/>
      <c r="X684" s="251"/>
      <c r="Y684" s="251"/>
      <c r="Z684" s="251"/>
    </row>
    <row r="685" spans="1:26" ht="14.25" customHeight="1" x14ac:dyDescent="0.35">
      <c r="A685" s="251"/>
      <c r="B685" s="251"/>
      <c r="C685" s="251"/>
      <c r="D685" s="251"/>
      <c r="E685" s="251"/>
      <c r="F685" s="251"/>
      <c r="G685" s="251"/>
      <c r="H685" s="251"/>
      <c r="I685" s="251"/>
      <c r="J685" s="251"/>
      <c r="K685" s="251"/>
      <c r="L685" s="251"/>
      <c r="M685" s="251"/>
      <c r="N685" s="251"/>
      <c r="O685" s="251"/>
      <c r="P685" s="251"/>
      <c r="Q685" s="251"/>
      <c r="R685" s="251"/>
      <c r="S685" s="251"/>
      <c r="T685" s="251"/>
      <c r="U685" s="251"/>
      <c r="V685" s="251"/>
      <c r="W685" s="251"/>
      <c r="X685" s="251"/>
      <c r="Y685" s="251"/>
      <c r="Z685" s="251"/>
    </row>
    <row r="686" spans="1:26" ht="14.25" customHeight="1" x14ac:dyDescent="0.35">
      <c r="A686" s="251"/>
      <c r="B686" s="251"/>
      <c r="C686" s="251"/>
      <c r="D686" s="251"/>
      <c r="E686" s="251"/>
      <c r="F686" s="251"/>
      <c r="G686" s="251"/>
      <c r="H686" s="251"/>
      <c r="I686" s="251"/>
      <c r="J686" s="251"/>
      <c r="K686" s="251"/>
      <c r="L686" s="251"/>
      <c r="M686" s="251"/>
      <c r="N686" s="251"/>
      <c r="O686" s="251"/>
      <c r="P686" s="251"/>
      <c r="Q686" s="251"/>
      <c r="R686" s="251"/>
      <c r="S686" s="251"/>
      <c r="T686" s="251"/>
      <c r="U686" s="251"/>
      <c r="V686" s="251"/>
      <c r="W686" s="251"/>
      <c r="X686" s="251"/>
      <c r="Y686" s="251"/>
      <c r="Z686" s="251"/>
    </row>
    <row r="687" spans="1:26" ht="14.25" customHeight="1" x14ac:dyDescent="0.35">
      <c r="A687" s="251"/>
      <c r="B687" s="251"/>
      <c r="C687" s="251"/>
      <c r="D687" s="251"/>
      <c r="E687" s="251"/>
      <c r="F687" s="251"/>
      <c r="G687" s="251"/>
      <c r="H687" s="251"/>
      <c r="I687" s="251"/>
      <c r="J687" s="251"/>
      <c r="K687" s="251"/>
      <c r="L687" s="251"/>
      <c r="M687" s="251"/>
      <c r="N687" s="251"/>
      <c r="O687" s="251"/>
      <c r="P687" s="251"/>
      <c r="Q687" s="251"/>
      <c r="R687" s="251"/>
      <c r="S687" s="251"/>
      <c r="T687" s="251"/>
      <c r="U687" s="251"/>
      <c r="V687" s="251"/>
      <c r="W687" s="251"/>
      <c r="X687" s="251"/>
      <c r="Y687" s="251"/>
      <c r="Z687" s="251"/>
    </row>
    <row r="688" spans="1:26" ht="14.25" customHeight="1" x14ac:dyDescent="0.35">
      <c r="A688" s="251"/>
      <c r="B688" s="251"/>
      <c r="C688" s="251"/>
      <c r="D688" s="251"/>
      <c r="E688" s="251"/>
      <c r="F688" s="251"/>
      <c r="G688" s="251"/>
      <c r="H688" s="251"/>
      <c r="I688" s="251"/>
      <c r="J688" s="251"/>
      <c r="K688" s="251"/>
      <c r="L688" s="251"/>
      <c r="M688" s="251"/>
      <c r="N688" s="251"/>
      <c r="O688" s="251"/>
      <c r="P688" s="251"/>
      <c r="Q688" s="251"/>
      <c r="R688" s="251"/>
      <c r="S688" s="251"/>
      <c r="T688" s="251"/>
      <c r="U688" s="251"/>
      <c r="V688" s="251"/>
      <c r="W688" s="251"/>
      <c r="X688" s="251"/>
      <c r="Y688" s="251"/>
      <c r="Z688" s="251"/>
    </row>
    <row r="689" spans="1:26" ht="14.25" customHeight="1" x14ac:dyDescent="0.35">
      <c r="A689" s="251"/>
      <c r="B689" s="251"/>
      <c r="C689" s="251"/>
      <c r="D689" s="251"/>
      <c r="E689" s="251"/>
      <c r="F689" s="251"/>
      <c r="G689" s="251"/>
      <c r="H689" s="251"/>
      <c r="I689" s="251"/>
      <c r="J689" s="251"/>
      <c r="K689" s="251"/>
      <c r="L689" s="251"/>
      <c r="M689" s="251"/>
      <c r="N689" s="251"/>
      <c r="O689" s="251"/>
      <c r="P689" s="251"/>
      <c r="Q689" s="251"/>
      <c r="R689" s="251"/>
      <c r="S689" s="251"/>
      <c r="T689" s="251"/>
      <c r="U689" s="251"/>
      <c r="V689" s="251"/>
      <c r="W689" s="251"/>
      <c r="X689" s="251"/>
      <c r="Y689" s="251"/>
      <c r="Z689" s="251"/>
    </row>
    <row r="690" spans="1:26" ht="14.25" customHeight="1" x14ac:dyDescent="0.35">
      <c r="A690" s="251"/>
      <c r="B690" s="251"/>
      <c r="C690" s="251"/>
      <c r="D690" s="251"/>
      <c r="E690" s="251"/>
      <c r="F690" s="251"/>
      <c r="G690" s="251"/>
      <c r="H690" s="251"/>
      <c r="I690" s="251"/>
      <c r="J690" s="251"/>
      <c r="K690" s="251"/>
      <c r="L690" s="251"/>
      <c r="M690" s="251"/>
      <c r="N690" s="251"/>
      <c r="O690" s="251"/>
      <c r="P690" s="251"/>
      <c r="Q690" s="251"/>
      <c r="R690" s="251"/>
      <c r="S690" s="251"/>
      <c r="T690" s="251"/>
      <c r="U690" s="251"/>
      <c r="V690" s="251"/>
      <c r="W690" s="251"/>
      <c r="X690" s="251"/>
      <c r="Y690" s="251"/>
      <c r="Z690" s="251"/>
    </row>
    <row r="691" spans="1:26" ht="14.25" customHeight="1" x14ac:dyDescent="0.35">
      <c r="A691" s="251"/>
      <c r="B691" s="251"/>
      <c r="C691" s="251"/>
      <c r="D691" s="251"/>
      <c r="E691" s="251"/>
      <c r="F691" s="251"/>
      <c r="G691" s="251"/>
      <c r="H691" s="251"/>
      <c r="I691" s="251"/>
      <c r="J691" s="251"/>
      <c r="K691" s="251"/>
      <c r="L691" s="251"/>
      <c r="M691" s="251"/>
      <c r="N691" s="251"/>
      <c r="O691" s="251"/>
      <c r="P691" s="251"/>
      <c r="Q691" s="251"/>
      <c r="R691" s="251"/>
      <c r="S691" s="251"/>
      <c r="T691" s="251"/>
      <c r="U691" s="251"/>
      <c r="V691" s="251"/>
      <c r="W691" s="251"/>
      <c r="X691" s="251"/>
      <c r="Y691" s="251"/>
      <c r="Z691" s="251"/>
    </row>
    <row r="692" spans="1:26" ht="14.25" customHeight="1" x14ac:dyDescent="0.35">
      <c r="A692" s="251"/>
      <c r="B692" s="251"/>
      <c r="C692" s="251"/>
      <c r="D692" s="251"/>
      <c r="E692" s="251"/>
      <c r="F692" s="251"/>
      <c r="G692" s="251"/>
      <c r="H692" s="251"/>
      <c r="I692" s="251"/>
      <c r="J692" s="251"/>
      <c r="K692" s="251"/>
      <c r="L692" s="251"/>
      <c r="M692" s="251"/>
      <c r="N692" s="251"/>
      <c r="O692" s="251"/>
      <c r="P692" s="251"/>
      <c r="Q692" s="251"/>
      <c r="R692" s="251"/>
      <c r="S692" s="251"/>
      <c r="T692" s="251"/>
      <c r="U692" s="251"/>
      <c r="V692" s="251"/>
      <c r="W692" s="251"/>
      <c r="X692" s="251"/>
      <c r="Y692" s="251"/>
      <c r="Z692" s="251"/>
    </row>
    <row r="693" spans="1:26" ht="14.25" customHeight="1" x14ac:dyDescent="0.35">
      <c r="A693" s="251"/>
      <c r="B693" s="251"/>
      <c r="C693" s="251"/>
      <c r="D693" s="251"/>
      <c r="E693" s="251"/>
      <c r="F693" s="251"/>
      <c r="G693" s="251"/>
      <c r="H693" s="251"/>
      <c r="I693" s="251"/>
      <c r="J693" s="251"/>
      <c r="K693" s="251"/>
      <c r="L693" s="251"/>
      <c r="M693" s="251"/>
      <c r="N693" s="251"/>
      <c r="O693" s="251"/>
      <c r="P693" s="251"/>
      <c r="Q693" s="251"/>
      <c r="R693" s="251"/>
      <c r="S693" s="251"/>
      <c r="T693" s="251"/>
      <c r="U693" s="251"/>
      <c r="V693" s="251"/>
      <c r="W693" s="251"/>
      <c r="X693" s="251"/>
      <c r="Y693" s="251"/>
      <c r="Z693" s="251"/>
    </row>
    <row r="694" spans="1:26" ht="14.25" customHeight="1" x14ac:dyDescent="0.35">
      <c r="A694" s="251"/>
      <c r="B694" s="251"/>
      <c r="C694" s="251"/>
      <c r="D694" s="251"/>
      <c r="E694" s="251"/>
      <c r="F694" s="251"/>
      <c r="G694" s="251"/>
      <c r="H694" s="251"/>
      <c r="I694" s="251"/>
      <c r="J694" s="251"/>
      <c r="K694" s="251"/>
      <c r="L694" s="251"/>
      <c r="M694" s="251"/>
      <c r="N694" s="251"/>
      <c r="O694" s="251"/>
      <c r="P694" s="251"/>
      <c r="Q694" s="251"/>
      <c r="R694" s="251"/>
      <c r="S694" s="251"/>
      <c r="T694" s="251"/>
      <c r="U694" s="251"/>
      <c r="V694" s="251"/>
      <c r="W694" s="251"/>
      <c r="X694" s="251"/>
      <c r="Y694" s="251"/>
      <c r="Z694" s="251"/>
    </row>
    <row r="695" spans="1:26" ht="14.25" customHeight="1" x14ac:dyDescent="0.35">
      <c r="A695" s="251"/>
      <c r="B695" s="251"/>
      <c r="C695" s="251"/>
      <c r="D695" s="251"/>
      <c r="E695" s="251"/>
      <c r="F695" s="251"/>
      <c r="G695" s="251"/>
      <c r="H695" s="251"/>
      <c r="I695" s="251"/>
      <c r="J695" s="251"/>
      <c r="K695" s="251"/>
      <c r="L695" s="251"/>
      <c r="M695" s="251"/>
      <c r="N695" s="251"/>
      <c r="O695" s="251"/>
      <c r="P695" s="251"/>
      <c r="Q695" s="251"/>
      <c r="R695" s="251"/>
      <c r="S695" s="251"/>
      <c r="T695" s="251"/>
      <c r="U695" s="251"/>
      <c r="V695" s="251"/>
      <c r="W695" s="251"/>
      <c r="X695" s="251"/>
      <c r="Y695" s="251"/>
      <c r="Z695" s="251"/>
    </row>
    <row r="696" spans="1:26" ht="14.25" customHeight="1" x14ac:dyDescent="0.35">
      <c r="A696" s="251"/>
      <c r="B696" s="251"/>
      <c r="C696" s="251"/>
      <c r="D696" s="251"/>
      <c r="E696" s="251"/>
      <c r="F696" s="251"/>
      <c r="G696" s="251"/>
      <c r="H696" s="251"/>
      <c r="I696" s="251"/>
      <c r="J696" s="251"/>
      <c r="K696" s="251"/>
      <c r="L696" s="251"/>
      <c r="M696" s="251"/>
      <c r="N696" s="251"/>
      <c r="O696" s="251"/>
      <c r="P696" s="251"/>
      <c r="Q696" s="251"/>
      <c r="R696" s="251"/>
      <c r="S696" s="251"/>
      <c r="T696" s="251"/>
      <c r="U696" s="251"/>
      <c r="V696" s="251"/>
      <c r="W696" s="251"/>
      <c r="X696" s="251"/>
      <c r="Y696" s="251"/>
      <c r="Z696" s="251"/>
    </row>
    <row r="697" spans="1:26" ht="14.25" customHeight="1" x14ac:dyDescent="0.35">
      <c r="A697" s="251"/>
      <c r="B697" s="251"/>
      <c r="C697" s="251"/>
      <c r="D697" s="251"/>
      <c r="E697" s="251"/>
      <c r="F697" s="251"/>
      <c r="G697" s="251"/>
      <c r="H697" s="251"/>
      <c r="I697" s="251"/>
      <c r="J697" s="251"/>
      <c r="K697" s="251"/>
      <c r="L697" s="251"/>
      <c r="M697" s="251"/>
      <c r="N697" s="251"/>
      <c r="O697" s="251"/>
      <c r="P697" s="251"/>
      <c r="Q697" s="251"/>
      <c r="R697" s="251"/>
      <c r="S697" s="251"/>
      <c r="T697" s="251"/>
      <c r="U697" s="251"/>
      <c r="V697" s="251"/>
      <c r="W697" s="251"/>
      <c r="X697" s="251"/>
      <c r="Y697" s="251"/>
      <c r="Z697" s="251"/>
    </row>
    <row r="698" spans="1:26" ht="14.25" customHeight="1" x14ac:dyDescent="0.35">
      <c r="A698" s="251"/>
      <c r="B698" s="251"/>
      <c r="C698" s="251"/>
      <c r="D698" s="251"/>
      <c r="E698" s="251"/>
      <c r="F698" s="251"/>
      <c r="G698" s="251"/>
      <c r="H698" s="251"/>
      <c r="I698" s="251"/>
      <c r="J698" s="251"/>
      <c r="K698" s="251"/>
      <c r="L698" s="251"/>
      <c r="M698" s="251"/>
      <c r="N698" s="251"/>
      <c r="O698" s="251"/>
      <c r="P698" s="251"/>
      <c r="Q698" s="251"/>
      <c r="R698" s="251"/>
      <c r="S698" s="251"/>
      <c r="T698" s="251"/>
      <c r="U698" s="251"/>
      <c r="V698" s="251"/>
      <c r="W698" s="251"/>
      <c r="X698" s="251"/>
      <c r="Y698" s="251"/>
      <c r="Z698" s="251"/>
    </row>
    <row r="699" spans="1:26" ht="14.25" customHeight="1" x14ac:dyDescent="0.35">
      <c r="A699" s="251"/>
      <c r="B699" s="251"/>
      <c r="C699" s="251"/>
      <c r="D699" s="251"/>
      <c r="E699" s="251"/>
      <c r="F699" s="251"/>
      <c r="G699" s="251"/>
      <c r="H699" s="251"/>
      <c r="I699" s="251"/>
      <c r="J699" s="251"/>
      <c r="K699" s="251"/>
      <c r="L699" s="251"/>
      <c r="M699" s="251"/>
      <c r="N699" s="251"/>
      <c r="O699" s="251"/>
      <c r="P699" s="251"/>
      <c r="Q699" s="251"/>
      <c r="R699" s="251"/>
      <c r="S699" s="251"/>
      <c r="T699" s="251"/>
      <c r="U699" s="251"/>
      <c r="V699" s="251"/>
      <c r="W699" s="251"/>
      <c r="X699" s="251"/>
      <c r="Y699" s="251"/>
      <c r="Z699" s="251"/>
    </row>
    <row r="700" spans="1:26" ht="14.25" customHeight="1" x14ac:dyDescent="0.35">
      <c r="A700" s="251"/>
      <c r="B700" s="251"/>
      <c r="C700" s="251"/>
      <c r="D700" s="251"/>
      <c r="E700" s="251"/>
      <c r="F700" s="251"/>
      <c r="G700" s="251"/>
      <c r="H700" s="251"/>
      <c r="I700" s="251"/>
      <c r="J700" s="251"/>
      <c r="K700" s="251"/>
      <c r="L700" s="251"/>
      <c r="M700" s="251"/>
      <c r="N700" s="251"/>
      <c r="O700" s="251"/>
      <c r="P700" s="251"/>
      <c r="Q700" s="251"/>
      <c r="R700" s="251"/>
      <c r="S700" s="251"/>
      <c r="T700" s="251"/>
      <c r="U700" s="251"/>
      <c r="V700" s="251"/>
      <c r="W700" s="251"/>
      <c r="X700" s="251"/>
      <c r="Y700" s="251"/>
      <c r="Z700" s="251"/>
    </row>
    <row r="701" spans="1:26" ht="14.25" customHeight="1" x14ac:dyDescent="0.35">
      <c r="A701" s="251"/>
      <c r="B701" s="251"/>
      <c r="C701" s="251"/>
      <c r="D701" s="251"/>
      <c r="E701" s="251"/>
      <c r="F701" s="251"/>
      <c r="G701" s="251"/>
      <c r="H701" s="251"/>
      <c r="I701" s="251"/>
      <c r="J701" s="251"/>
      <c r="K701" s="251"/>
      <c r="L701" s="251"/>
      <c r="M701" s="251"/>
      <c r="N701" s="251"/>
      <c r="O701" s="251"/>
      <c r="P701" s="251"/>
      <c r="Q701" s="251"/>
      <c r="R701" s="251"/>
      <c r="S701" s="251"/>
      <c r="T701" s="251"/>
      <c r="U701" s="251"/>
      <c r="V701" s="251"/>
      <c r="W701" s="251"/>
      <c r="X701" s="251"/>
      <c r="Y701" s="251"/>
      <c r="Z701" s="251"/>
    </row>
    <row r="702" spans="1:26" ht="14.25" customHeight="1" x14ac:dyDescent="0.35">
      <c r="A702" s="251"/>
      <c r="B702" s="251"/>
      <c r="C702" s="251"/>
      <c r="D702" s="251"/>
      <c r="E702" s="251"/>
      <c r="F702" s="251"/>
      <c r="G702" s="251"/>
      <c r="H702" s="251"/>
      <c r="I702" s="251"/>
      <c r="J702" s="251"/>
      <c r="K702" s="251"/>
      <c r="L702" s="251"/>
      <c r="M702" s="251"/>
      <c r="N702" s="251"/>
      <c r="O702" s="251"/>
      <c r="P702" s="251"/>
      <c r="Q702" s="251"/>
      <c r="R702" s="251"/>
      <c r="S702" s="251"/>
      <c r="T702" s="251"/>
      <c r="U702" s="251"/>
      <c r="V702" s="251"/>
      <c r="W702" s="251"/>
      <c r="X702" s="251"/>
      <c r="Y702" s="251"/>
      <c r="Z702" s="251"/>
    </row>
    <row r="703" spans="1:26" ht="14.25" customHeight="1" x14ac:dyDescent="0.35">
      <c r="A703" s="251"/>
      <c r="B703" s="251"/>
      <c r="C703" s="251"/>
      <c r="D703" s="251"/>
      <c r="E703" s="251"/>
      <c r="F703" s="251"/>
      <c r="G703" s="251"/>
      <c r="H703" s="251"/>
      <c r="I703" s="251"/>
      <c r="J703" s="251"/>
      <c r="K703" s="251"/>
      <c r="L703" s="251"/>
      <c r="M703" s="251"/>
      <c r="N703" s="251"/>
      <c r="O703" s="251"/>
      <c r="P703" s="251"/>
      <c r="Q703" s="251"/>
      <c r="R703" s="251"/>
      <c r="S703" s="251"/>
      <c r="T703" s="251"/>
      <c r="U703" s="251"/>
      <c r="V703" s="251"/>
      <c r="W703" s="251"/>
      <c r="X703" s="251"/>
      <c r="Y703" s="251"/>
      <c r="Z703" s="251"/>
    </row>
    <row r="704" spans="1:26" ht="14.25" customHeight="1" x14ac:dyDescent="0.35">
      <c r="A704" s="251"/>
      <c r="B704" s="251"/>
      <c r="C704" s="251"/>
      <c r="D704" s="251"/>
      <c r="E704" s="251"/>
      <c r="F704" s="251"/>
      <c r="G704" s="251"/>
      <c r="H704" s="251"/>
      <c r="I704" s="251"/>
      <c r="J704" s="251"/>
      <c r="K704" s="251"/>
      <c r="L704" s="251"/>
      <c r="M704" s="251"/>
      <c r="N704" s="251"/>
      <c r="O704" s="251"/>
      <c r="P704" s="251"/>
      <c r="Q704" s="251"/>
      <c r="R704" s="251"/>
      <c r="S704" s="251"/>
      <c r="T704" s="251"/>
      <c r="U704" s="251"/>
      <c r="V704" s="251"/>
      <c r="W704" s="251"/>
      <c r="X704" s="251"/>
      <c r="Y704" s="251"/>
      <c r="Z704" s="251"/>
    </row>
    <row r="705" spans="1:26" ht="14.25" customHeight="1" x14ac:dyDescent="0.35">
      <c r="A705" s="251"/>
      <c r="B705" s="251"/>
      <c r="C705" s="251"/>
      <c r="D705" s="251"/>
      <c r="E705" s="251"/>
      <c r="F705" s="251"/>
      <c r="G705" s="251"/>
      <c r="H705" s="251"/>
      <c r="I705" s="251"/>
      <c r="J705" s="251"/>
      <c r="K705" s="251"/>
      <c r="L705" s="251"/>
      <c r="M705" s="251"/>
      <c r="N705" s="251"/>
      <c r="O705" s="251"/>
      <c r="P705" s="251"/>
      <c r="Q705" s="251"/>
      <c r="R705" s="251"/>
      <c r="S705" s="251"/>
      <c r="T705" s="251"/>
      <c r="U705" s="251"/>
      <c r="V705" s="251"/>
      <c r="W705" s="251"/>
      <c r="X705" s="251"/>
      <c r="Y705" s="251"/>
      <c r="Z705" s="251"/>
    </row>
    <row r="706" spans="1:26" ht="14.25" customHeight="1" x14ac:dyDescent="0.35">
      <c r="A706" s="251"/>
      <c r="B706" s="251"/>
      <c r="C706" s="251"/>
      <c r="D706" s="251"/>
      <c r="E706" s="251"/>
      <c r="F706" s="251"/>
      <c r="G706" s="251"/>
      <c r="H706" s="251"/>
      <c r="I706" s="251"/>
      <c r="J706" s="251"/>
      <c r="K706" s="251"/>
      <c r="L706" s="251"/>
      <c r="M706" s="251"/>
      <c r="N706" s="251"/>
      <c r="O706" s="251"/>
      <c r="P706" s="251"/>
      <c r="Q706" s="251"/>
      <c r="R706" s="251"/>
      <c r="S706" s="251"/>
      <c r="T706" s="251"/>
      <c r="U706" s="251"/>
      <c r="V706" s="251"/>
      <c r="W706" s="251"/>
      <c r="X706" s="251"/>
      <c r="Y706" s="251"/>
      <c r="Z706" s="251"/>
    </row>
    <row r="707" spans="1:26" ht="14.25" customHeight="1" x14ac:dyDescent="0.35">
      <c r="A707" s="251"/>
      <c r="B707" s="251"/>
      <c r="C707" s="251"/>
      <c r="D707" s="251"/>
      <c r="E707" s="251"/>
      <c r="F707" s="251"/>
      <c r="G707" s="251"/>
      <c r="H707" s="251"/>
      <c r="I707" s="251"/>
      <c r="J707" s="251"/>
      <c r="K707" s="251"/>
      <c r="L707" s="251"/>
      <c r="M707" s="251"/>
      <c r="N707" s="251"/>
      <c r="O707" s="251"/>
      <c r="P707" s="251"/>
      <c r="Q707" s="251"/>
      <c r="R707" s="251"/>
      <c r="S707" s="251"/>
      <c r="T707" s="251"/>
      <c r="U707" s="251"/>
      <c r="V707" s="251"/>
      <c r="W707" s="251"/>
      <c r="X707" s="251"/>
      <c r="Y707" s="251"/>
      <c r="Z707" s="251"/>
    </row>
    <row r="708" spans="1:26" ht="14.25" customHeight="1" x14ac:dyDescent="0.35">
      <c r="A708" s="251"/>
      <c r="B708" s="251"/>
      <c r="C708" s="251"/>
      <c r="D708" s="251"/>
      <c r="E708" s="251"/>
      <c r="F708" s="251"/>
      <c r="G708" s="251"/>
      <c r="H708" s="251"/>
      <c r="I708" s="251"/>
      <c r="J708" s="251"/>
      <c r="K708" s="251"/>
      <c r="L708" s="251"/>
      <c r="M708" s="251"/>
      <c r="N708" s="251"/>
      <c r="O708" s="251"/>
      <c r="P708" s="251"/>
      <c r="Q708" s="251"/>
      <c r="R708" s="251"/>
      <c r="S708" s="251"/>
      <c r="T708" s="251"/>
      <c r="U708" s="251"/>
      <c r="V708" s="251"/>
      <c r="W708" s="251"/>
      <c r="X708" s="251"/>
      <c r="Y708" s="251"/>
      <c r="Z708" s="251"/>
    </row>
    <row r="709" spans="1:26" ht="14.25" customHeight="1" x14ac:dyDescent="0.35">
      <c r="A709" s="251"/>
      <c r="B709" s="251"/>
      <c r="C709" s="251"/>
      <c r="D709" s="251"/>
      <c r="E709" s="251"/>
      <c r="F709" s="251"/>
      <c r="G709" s="251"/>
      <c r="H709" s="251"/>
      <c r="I709" s="251"/>
      <c r="J709" s="251"/>
      <c r="K709" s="251"/>
      <c r="L709" s="251"/>
      <c r="M709" s="251"/>
      <c r="N709" s="251"/>
      <c r="O709" s="251"/>
      <c r="P709" s="251"/>
      <c r="Q709" s="251"/>
      <c r="R709" s="251"/>
      <c r="S709" s="251"/>
      <c r="T709" s="251"/>
      <c r="U709" s="251"/>
      <c r="V709" s="251"/>
      <c r="W709" s="251"/>
      <c r="X709" s="251"/>
      <c r="Y709" s="251"/>
      <c r="Z709" s="251"/>
    </row>
    <row r="710" spans="1:26" ht="14.25" customHeight="1" x14ac:dyDescent="0.35">
      <c r="A710" s="251"/>
      <c r="B710" s="251"/>
      <c r="C710" s="251"/>
      <c r="D710" s="251"/>
      <c r="E710" s="251"/>
      <c r="F710" s="251"/>
      <c r="G710" s="251"/>
      <c r="H710" s="251"/>
      <c r="I710" s="251"/>
      <c r="J710" s="251"/>
      <c r="K710" s="251"/>
      <c r="L710" s="251"/>
      <c r="M710" s="251"/>
      <c r="N710" s="251"/>
      <c r="O710" s="251"/>
      <c r="P710" s="251"/>
      <c r="Q710" s="251"/>
      <c r="R710" s="251"/>
      <c r="S710" s="251"/>
      <c r="T710" s="251"/>
      <c r="U710" s="251"/>
      <c r="V710" s="251"/>
      <c r="W710" s="251"/>
      <c r="X710" s="251"/>
      <c r="Y710" s="251"/>
      <c r="Z710" s="251"/>
    </row>
    <row r="711" spans="1:26" ht="14.25" customHeight="1" x14ac:dyDescent="0.35">
      <c r="A711" s="251"/>
      <c r="B711" s="251"/>
      <c r="C711" s="251"/>
      <c r="D711" s="251"/>
      <c r="E711" s="251"/>
      <c r="F711" s="251"/>
      <c r="G711" s="251"/>
      <c r="H711" s="251"/>
      <c r="I711" s="251"/>
      <c r="J711" s="251"/>
      <c r="K711" s="251"/>
      <c r="L711" s="251"/>
      <c r="M711" s="251"/>
      <c r="N711" s="251"/>
      <c r="O711" s="251"/>
      <c r="P711" s="251"/>
      <c r="Q711" s="251"/>
      <c r="R711" s="251"/>
      <c r="S711" s="251"/>
      <c r="T711" s="251"/>
      <c r="U711" s="251"/>
      <c r="V711" s="251"/>
      <c r="W711" s="251"/>
      <c r="X711" s="251"/>
      <c r="Y711" s="251"/>
      <c r="Z711" s="251"/>
    </row>
    <row r="712" spans="1:26" ht="14.25" customHeight="1" x14ac:dyDescent="0.35">
      <c r="A712" s="251"/>
      <c r="B712" s="251"/>
      <c r="C712" s="251"/>
      <c r="D712" s="251"/>
      <c r="E712" s="251"/>
      <c r="F712" s="251"/>
      <c r="G712" s="251"/>
      <c r="H712" s="251"/>
      <c r="I712" s="251"/>
      <c r="J712" s="251"/>
      <c r="K712" s="251"/>
      <c r="L712" s="251"/>
      <c r="M712" s="251"/>
      <c r="N712" s="251"/>
      <c r="O712" s="251"/>
      <c r="P712" s="251"/>
      <c r="Q712" s="251"/>
      <c r="R712" s="251"/>
      <c r="S712" s="251"/>
      <c r="T712" s="251"/>
      <c r="U712" s="251"/>
      <c r="V712" s="251"/>
      <c r="W712" s="251"/>
      <c r="X712" s="251"/>
      <c r="Y712" s="251"/>
      <c r="Z712" s="251"/>
    </row>
    <row r="713" spans="1:26" ht="14.25" customHeight="1" x14ac:dyDescent="0.35">
      <c r="A713" s="251"/>
      <c r="B713" s="251"/>
      <c r="C713" s="251"/>
      <c r="D713" s="251"/>
      <c r="E713" s="251"/>
      <c r="F713" s="251"/>
      <c r="G713" s="251"/>
      <c r="H713" s="251"/>
      <c r="I713" s="251"/>
      <c r="J713" s="251"/>
      <c r="K713" s="251"/>
      <c r="L713" s="251"/>
      <c r="M713" s="251"/>
      <c r="N713" s="251"/>
      <c r="O713" s="251"/>
      <c r="P713" s="251"/>
      <c r="Q713" s="251"/>
      <c r="R713" s="251"/>
      <c r="S713" s="251"/>
      <c r="T713" s="251"/>
      <c r="U713" s="251"/>
      <c r="V713" s="251"/>
      <c r="W713" s="251"/>
      <c r="X713" s="251"/>
      <c r="Y713" s="251"/>
      <c r="Z713" s="251"/>
    </row>
    <row r="714" spans="1:26" ht="14.25" customHeight="1" x14ac:dyDescent="0.35">
      <c r="A714" s="251"/>
      <c r="B714" s="251"/>
      <c r="C714" s="251"/>
      <c r="D714" s="251"/>
      <c r="E714" s="251"/>
      <c r="F714" s="251"/>
      <c r="G714" s="251"/>
      <c r="H714" s="251"/>
      <c r="I714" s="251"/>
      <c r="J714" s="251"/>
      <c r="K714" s="251"/>
      <c r="L714" s="251"/>
      <c r="M714" s="251"/>
      <c r="N714" s="251"/>
      <c r="O714" s="251"/>
      <c r="P714" s="251"/>
      <c r="Q714" s="251"/>
      <c r="R714" s="251"/>
      <c r="S714" s="251"/>
      <c r="T714" s="251"/>
      <c r="U714" s="251"/>
      <c r="V714" s="251"/>
      <c r="W714" s="251"/>
      <c r="X714" s="251"/>
      <c r="Y714" s="251"/>
      <c r="Z714" s="251"/>
    </row>
    <row r="715" spans="1:26" ht="14.25" customHeight="1" x14ac:dyDescent="0.35">
      <c r="A715" s="251"/>
      <c r="B715" s="251"/>
      <c r="C715" s="251"/>
      <c r="D715" s="251"/>
      <c r="E715" s="251"/>
      <c r="F715" s="251"/>
      <c r="G715" s="251"/>
      <c r="H715" s="251"/>
      <c r="I715" s="251"/>
      <c r="J715" s="251"/>
      <c r="K715" s="251"/>
      <c r="L715" s="251"/>
      <c r="M715" s="251"/>
      <c r="N715" s="251"/>
      <c r="O715" s="251"/>
      <c r="P715" s="251"/>
      <c r="Q715" s="251"/>
      <c r="R715" s="251"/>
      <c r="S715" s="251"/>
      <c r="T715" s="251"/>
      <c r="U715" s="251"/>
      <c r="V715" s="251"/>
      <c r="W715" s="251"/>
      <c r="X715" s="251"/>
      <c r="Y715" s="251"/>
      <c r="Z715" s="251"/>
    </row>
    <row r="716" spans="1:26" ht="14.25" customHeight="1" x14ac:dyDescent="0.35">
      <c r="A716" s="251"/>
      <c r="B716" s="251"/>
      <c r="C716" s="251"/>
      <c r="D716" s="251"/>
      <c r="E716" s="251"/>
      <c r="F716" s="251"/>
      <c r="G716" s="251"/>
      <c r="H716" s="251"/>
      <c r="I716" s="251"/>
      <c r="J716" s="251"/>
      <c r="K716" s="251"/>
      <c r="L716" s="251"/>
      <c r="M716" s="251"/>
      <c r="N716" s="251"/>
      <c r="O716" s="251"/>
      <c r="P716" s="251"/>
      <c r="Q716" s="251"/>
      <c r="R716" s="251"/>
      <c r="S716" s="251"/>
      <c r="T716" s="251"/>
      <c r="U716" s="251"/>
      <c r="V716" s="251"/>
      <c r="W716" s="251"/>
      <c r="X716" s="251"/>
      <c r="Y716" s="251"/>
      <c r="Z716" s="251"/>
    </row>
    <row r="717" spans="1:26" ht="14.25" customHeight="1" x14ac:dyDescent="0.35">
      <c r="A717" s="251"/>
      <c r="B717" s="251"/>
      <c r="C717" s="251"/>
      <c r="D717" s="251"/>
      <c r="E717" s="251"/>
      <c r="F717" s="251"/>
      <c r="G717" s="251"/>
      <c r="H717" s="251"/>
      <c r="I717" s="251"/>
      <c r="J717" s="251"/>
      <c r="K717" s="251"/>
      <c r="L717" s="251"/>
      <c r="M717" s="251"/>
      <c r="N717" s="251"/>
      <c r="O717" s="251"/>
      <c r="P717" s="251"/>
      <c r="Q717" s="251"/>
      <c r="R717" s="251"/>
      <c r="S717" s="251"/>
      <c r="T717" s="251"/>
      <c r="U717" s="251"/>
      <c r="V717" s="251"/>
      <c r="W717" s="251"/>
      <c r="X717" s="251"/>
      <c r="Y717" s="251"/>
      <c r="Z717" s="251"/>
    </row>
    <row r="718" spans="1:26" ht="14.25" customHeight="1" x14ac:dyDescent="0.35">
      <c r="A718" s="251"/>
      <c r="B718" s="251"/>
      <c r="C718" s="251"/>
      <c r="D718" s="251"/>
      <c r="E718" s="251"/>
      <c r="F718" s="251"/>
      <c r="G718" s="251"/>
      <c r="H718" s="251"/>
      <c r="I718" s="251"/>
      <c r="J718" s="251"/>
      <c r="K718" s="251"/>
      <c r="L718" s="251"/>
      <c r="M718" s="251"/>
      <c r="N718" s="251"/>
      <c r="O718" s="251"/>
      <c r="P718" s="251"/>
      <c r="Q718" s="251"/>
      <c r="R718" s="251"/>
      <c r="S718" s="251"/>
      <c r="T718" s="251"/>
      <c r="U718" s="251"/>
      <c r="V718" s="251"/>
      <c r="W718" s="251"/>
      <c r="X718" s="251"/>
      <c r="Y718" s="251"/>
      <c r="Z718" s="251"/>
    </row>
    <row r="719" spans="1:26" ht="14.25" customHeight="1" x14ac:dyDescent="0.35">
      <c r="A719" s="251"/>
      <c r="B719" s="251"/>
      <c r="C719" s="251"/>
      <c r="D719" s="251"/>
      <c r="E719" s="251"/>
      <c r="F719" s="251"/>
      <c r="G719" s="251"/>
      <c r="H719" s="251"/>
      <c r="I719" s="251"/>
      <c r="J719" s="251"/>
      <c r="K719" s="251"/>
      <c r="L719" s="251"/>
      <c r="M719" s="251"/>
      <c r="N719" s="251"/>
      <c r="O719" s="251"/>
      <c r="P719" s="251"/>
      <c r="Q719" s="251"/>
      <c r="R719" s="251"/>
      <c r="S719" s="251"/>
      <c r="T719" s="251"/>
      <c r="U719" s="251"/>
      <c r="V719" s="251"/>
      <c r="W719" s="251"/>
      <c r="X719" s="251"/>
      <c r="Y719" s="251"/>
      <c r="Z719" s="251"/>
    </row>
    <row r="720" spans="1:26" ht="14.25" customHeight="1" x14ac:dyDescent="0.35">
      <c r="A720" s="251"/>
      <c r="B720" s="251"/>
      <c r="C720" s="251"/>
      <c r="D720" s="251"/>
      <c r="E720" s="251"/>
      <c r="F720" s="251"/>
      <c r="G720" s="251"/>
      <c r="H720" s="251"/>
      <c r="I720" s="251"/>
      <c r="J720" s="251"/>
      <c r="K720" s="251"/>
      <c r="L720" s="251"/>
      <c r="M720" s="251"/>
      <c r="N720" s="251"/>
      <c r="O720" s="251"/>
      <c r="P720" s="251"/>
      <c r="Q720" s="251"/>
      <c r="R720" s="251"/>
      <c r="S720" s="251"/>
      <c r="T720" s="251"/>
      <c r="U720" s="251"/>
      <c r="V720" s="251"/>
      <c r="W720" s="251"/>
      <c r="X720" s="251"/>
      <c r="Y720" s="251"/>
      <c r="Z720" s="251"/>
    </row>
    <row r="721" spans="1:26" ht="14.25" customHeight="1" x14ac:dyDescent="0.35">
      <c r="A721" s="251"/>
      <c r="B721" s="251"/>
      <c r="C721" s="251"/>
      <c r="D721" s="251"/>
      <c r="E721" s="251"/>
      <c r="F721" s="251"/>
      <c r="G721" s="251"/>
      <c r="H721" s="251"/>
      <c r="I721" s="251"/>
      <c r="J721" s="251"/>
      <c r="K721" s="251"/>
      <c r="L721" s="251"/>
      <c r="M721" s="251"/>
      <c r="N721" s="251"/>
      <c r="O721" s="251"/>
      <c r="P721" s="251"/>
      <c r="Q721" s="251"/>
      <c r="R721" s="251"/>
      <c r="S721" s="251"/>
      <c r="T721" s="251"/>
      <c r="U721" s="251"/>
      <c r="V721" s="251"/>
      <c r="W721" s="251"/>
      <c r="X721" s="251"/>
      <c r="Y721" s="251"/>
      <c r="Z721" s="251"/>
    </row>
    <row r="722" spans="1:26" ht="14.25" customHeight="1" x14ac:dyDescent="0.35">
      <c r="A722" s="251"/>
      <c r="B722" s="251"/>
      <c r="C722" s="251"/>
      <c r="D722" s="251"/>
      <c r="E722" s="251"/>
      <c r="F722" s="251"/>
      <c r="G722" s="251"/>
      <c r="H722" s="251"/>
      <c r="I722" s="251"/>
      <c r="J722" s="251"/>
      <c r="K722" s="251"/>
      <c r="L722" s="251"/>
      <c r="M722" s="251"/>
      <c r="N722" s="251"/>
      <c r="O722" s="251"/>
      <c r="P722" s="251"/>
      <c r="Q722" s="251"/>
      <c r="R722" s="251"/>
      <c r="S722" s="251"/>
      <c r="T722" s="251"/>
      <c r="U722" s="251"/>
      <c r="V722" s="251"/>
      <c r="W722" s="251"/>
      <c r="X722" s="251"/>
      <c r="Y722" s="251"/>
      <c r="Z722" s="251"/>
    </row>
    <row r="723" spans="1:26" ht="14.25" customHeight="1" x14ac:dyDescent="0.35">
      <c r="A723" s="251"/>
      <c r="B723" s="251"/>
      <c r="C723" s="251"/>
      <c r="D723" s="251"/>
      <c r="E723" s="251"/>
      <c r="F723" s="251"/>
      <c r="G723" s="251"/>
      <c r="H723" s="251"/>
      <c r="I723" s="251"/>
      <c r="J723" s="251"/>
      <c r="K723" s="251"/>
      <c r="L723" s="251"/>
      <c r="M723" s="251"/>
      <c r="N723" s="251"/>
      <c r="O723" s="251"/>
      <c r="P723" s="251"/>
      <c r="Q723" s="251"/>
      <c r="R723" s="251"/>
      <c r="S723" s="251"/>
      <c r="T723" s="251"/>
      <c r="U723" s="251"/>
      <c r="V723" s="251"/>
      <c r="W723" s="251"/>
      <c r="X723" s="251"/>
      <c r="Y723" s="251"/>
      <c r="Z723" s="251"/>
    </row>
    <row r="724" spans="1:26" ht="14.25" customHeight="1" x14ac:dyDescent="0.35">
      <c r="A724" s="251"/>
      <c r="B724" s="251"/>
      <c r="C724" s="251"/>
      <c r="D724" s="251"/>
      <c r="E724" s="251"/>
      <c r="F724" s="251"/>
      <c r="G724" s="251"/>
      <c r="H724" s="251"/>
      <c r="I724" s="251"/>
      <c r="J724" s="251"/>
      <c r="K724" s="251"/>
      <c r="L724" s="251"/>
      <c r="M724" s="251"/>
      <c r="N724" s="251"/>
      <c r="O724" s="251"/>
      <c r="P724" s="251"/>
      <c r="Q724" s="251"/>
      <c r="R724" s="251"/>
      <c r="S724" s="251"/>
      <c r="T724" s="251"/>
      <c r="U724" s="251"/>
      <c r="V724" s="251"/>
      <c r="W724" s="251"/>
      <c r="X724" s="251"/>
      <c r="Y724" s="251"/>
      <c r="Z724" s="251"/>
    </row>
    <row r="725" spans="1:26" ht="14.25" customHeight="1" x14ac:dyDescent="0.35">
      <c r="A725" s="251"/>
      <c r="B725" s="251"/>
      <c r="C725" s="251"/>
      <c r="D725" s="251"/>
      <c r="E725" s="251"/>
      <c r="F725" s="251"/>
      <c r="G725" s="251"/>
      <c r="H725" s="251"/>
      <c r="I725" s="251"/>
      <c r="J725" s="251"/>
      <c r="K725" s="251"/>
      <c r="L725" s="251"/>
      <c r="M725" s="251"/>
      <c r="N725" s="251"/>
      <c r="O725" s="251"/>
      <c r="P725" s="251"/>
      <c r="Q725" s="251"/>
      <c r="R725" s="251"/>
      <c r="S725" s="251"/>
      <c r="T725" s="251"/>
      <c r="U725" s="251"/>
      <c r="V725" s="251"/>
      <c r="W725" s="251"/>
      <c r="X725" s="251"/>
      <c r="Y725" s="251"/>
      <c r="Z725" s="251"/>
    </row>
    <row r="726" spans="1:26" ht="14.25" customHeight="1" x14ac:dyDescent="0.35">
      <c r="A726" s="251"/>
      <c r="B726" s="251"/>
      <c r="C726" s="251"/>
      <c r="D726" s="251"/>
      <c r="E726" s="251"/>
      <c r="F726" s="251"/>
      <c r="G726" s="251"/>
      <c r="H726" s="251"/>
      <c r="I726" s="251"/>
      <c r="J726" s="251"/>
      <c r="K726" s="251"/>
      <c r="L726" s="251"/>
      <c r="M726" s="251"/>
      <c r="N726" s="251"/>
      <c r="O726" s="251"/>
      <c r="P726" s="251"/>
      <c r="Q726" s="251"/>
      <c r="R726" s="251"/>
      <c r="S726" s="251"/>
      <c r="T726" s="251"/>
      <c r="U726" s="251"/>
      <c r="V726" s="251"/>
      <c r="W726" s="251"/>
      <c r="X726" s="251"/>
      <c r="Y726" s="251"/>
      <c r="Z726" s="251"/>
    </row>
    <row r="727" spans="1:26" ht="14.25" customHeight="1" x14ac:dyDescent="0.35">
      <c r="A727" s="251"/>
      <c r="B727" s="251"/>
      <c r="C727" s="251"/>
      <c r="D727" s="251"/>
      <c r="E727" s="251"/>
      <c r="F727" s="251"/>
      <c r="G727" s="251"/>
      <c r="H727" s="251"/>
      <c r="I727" s="251"/>
      <c r="J727" s="251"/>
      <c r="K727" s="251"/>
      <c r="L727" s="251"/>
      <c r="M727" s="251"/>
      <c r="N727" s="251"/>
      <c r="O727" s="251"/>
      <c r="P727" s="251"/>
      <c r="Q727" s="251"/>
      <c r="R727" s="251"/>
      <c r="S727" s="251"/>
      <c r="T727" s="251"/>
      <c r="U727" s="251"/>
      <c r="V727" s="251"/>
      <c r="W727" s="251"/>
      <c r="X727" s="251"/>
      <c r="Y727" s="251"/>
      <c r="Z727" s="251"/>
    </row>
    <row r="728" spans="1:26" ht="14.25" customHeight="1" x14ac:dyDescent="0.35">
      <c r="A728" s="251"/>
      <c r="B728" s="251"/>
      <c r="C728" s="251"/>
      <c r="D728" s="251"/>
      <c r="E728" s="251"/>
      <c r="F728" s="251"/>
      <c r="G728" s="251"/>
      <c r="H728" s="251"/>
      <c r="I728" s="251"/>
      <c r="J728" s="251"/>
      <c r="K728" s="251"/>
      <c r="L728" s="251"/>
      <c r="M728" s="251"/>
      <c r="N728" s="251"/>
      <c r="O728" s="251"/>
      <c r="P728" s="251"/>
      <c r="Q728" s="251"/>
      <c r="R728" s="251"/>
      <c r="S728" s="251"/>
      <c r="T728" s="251"/>
      <c r="U728" s="251"/>
      <c r="V728" s="251"/>
      <c r="W728" s="251"/>
      <c r="X728" s="251"/>
      <c r="Y728" s="251"/>
      <c r="Z728" s="251"/>
    </row>
    <row r="729" spans="1:26" ht="14.25" customHeight="1" x14ac:dyDescent="0.35">
      <c r="A729" s="251"/>
      <c r="B729" s="251"/>
      <c r="C729" s="251"/>
      <c r="D729" s="251"/>
      <c r="E729" s="251"/>
      <c r="F729" s="251"/>
      <c r="G729" s="251"/>
      <c r="H729" s="251"/>
      <c r="I729" s="251"/>
      <c r="J729" s="251"/>
      <c r="K729" s="251"/>
      <c r="L729" s="251"/>
      <c r="M729" s="251"/>
      <c r="N729" s="251"/>
      <c r="O729" s="251"/>
      <c r="P729" s="251"/>
      <c r="Q729" s="251"/>
      <c r="R729" s="251"/>
      <c r="S729" s="251"/>
      <c r="T729" s="251"/>
      <c r="U729" s="251"/>
      <c r="V729" s="251"/>
      <c r="W729" s="251"/>
      <c r="X729" s="251"/>
      <c r="Y729" s="251"/>
      <c r="Z729" s="251"/>
    </row>
    <row r="730" spans="1:26" ht="14.25" customHeight="1" x14ac:dyDescent="0.35">
      <c r="A730" s="251"/>
      <c r="B730" s="251"/>
      <c r="C730" s="251"/>
      <c r="D730" s="251"/>
      <c r="E730" s="251"/>
      <c r="F730" s="251"/>
      <c r="G730" s="251"/>
      <c r="H730" s="251"/>
      <c r="I730" s="251"/>
      <c r="J730" s="251"/>
      <c r="K730" s="251"/>
      <c r="L730" s="251"/>
      <c r="M730" s="251"/>
      <c r="N730" s="251"/>
      <c r="O730" s="251"/>
      <c r="P730" s="251"/>
      <c r="Q730" s="251"/>
      <c r="R730" s="251"/>
      <c r="S730" s="251"/>
      <c r="T730" s="251"/>
      <c r="U730" s="251"/>
      <c r="V730" s="251"/>
      <c r="W730" s="251"/>
      <c r="X730" s="251"/>
      <c r="Y730" s="251"/>
      <c r="Z730" s="251"/>
    </row>
    <row r="731" spans="1:26" ht="14.25" customHeight="1" x14ac:dyDescent="0.35">
      <c r="A731" s="251"/>
      <c r="B731" s="251"/>
      <c r="C731" s="251"/>
      <c r="D731" s="251"/>
      <c r="E731" s="251"/>
      <c r="F731" s="251"/>
      <c r="G731" s="251"/>
      <c r="H731" s="251"/>
      <c r="I731" s="251"/>
      <c r="J731" s="251"/>
      <c r="K731" s="251"/>
      <c r="L731" s="251"/>
      <c r="M731" s="251"/>
      <c r="N731" s="251"/>
      <c r="O731" s="251"/>
      <c r="P731" s="251"/>
      <c r="Q731" s="251"/>
      <c r="R731" s="251"/>
      <c r="S731" s="251"/>
      <c r="T731" s="251"/>
      <c r="U731" s="251"/>
      <c r="V731" s="251"/>
      <c r="W731" s="251"/>
      <c r="X731" s="251"/>
      <c r="Y731" s="251"/>
      <c r="Z731" s="251"/>
    </row>
    <row r="732" spans="1:26" ht="14.25" customHeight="1" x14ac:dyDescent="0.35">
      <c r="A732" s="251"/>
      <c r="B732" s="251"/>
      <c r="C732" s="251"/>
      <c r="D732" s="251"/>
      <c r="E732" s="251"/>
      <c r="F732" s="251"/>
      <c r="G732" s="251"/>
      <c r="H732" s="251"/>
      <c r="I732" s="251"/>
      <c r="J732" s="251"/>
      <c r="K732" s="251"/>
      <c r="L732" s="251"/>
      <c r="M732" s="251"/>
      <c r="N732" s="251"/>
      <c r="O732" s="251"/>
      <c r="P732" s="251"/>
      <c r="Q732" s="251"/>
      <c r="R732" s="251"/>
      <c r="S732" s="251"/>
      <c r="T732" s="251"/>
      <c r="U732" s="251"/>
      <c r="V732" s="251"/>
      <c r="W732" s="251"/>
      <c r="X732" s="251"/>
      <c r="Y732" s="251"/>
      <c r="Z732" s="251"/>
    </row>
    <row r="733" spans="1:26" ht="14.25" customHeight="1" x14ac:dyDescent="0.35">
      <c r="A733" s="251"/>
      <c r="B733" s="251"/>
      <c r="C733" s="251"/>
      <c r="D733" s="251"/>
      <c r="E733" s="251"/>
      <c r="F733" s="251"/>
      <c r="G733" s="251"/>
      <c r="H733" s="251"/>
      <c r="I733" s="251"/>
      <c r="J733" s="251"/>
      <c r="K733" s="251"/>
      <c r="L733" s="251"/>
      <c r="M733" s="251"/>
      <c r="N733" s="251"/>
      <c r="O733" s="251"/>
      <c r="P733" s="251"/>
      <c r="Q733" s="251"/>
      <c r="R733" s="251"/>
      <c r="S733" s="251"/>
      <c r="T733" s="251"/>
      <c r="U733" s="251"/>
      <c r="V733" s="251"/>
      <c r="W733" s="251"/>
      <c r="X733" s="251"/>
      <c r="Y733" s="251"/>
      <c r="Z733" s="251"/>
    </row>
    <row r="734" spans="1:26" ht="14.25" customHeight="1" x14ac:dyDescent="0.35">
      <c r="A734" s="251"/>
      <c r="B734" s="251"/>
      <c r="C734" s="251"/>
      <c r="D734" s="251"/>
      <c r="E734" s="251"/>
      <c r="F734" s="251"/>
      <c r="G734" s="251"/>
      <c r="H734" s="251"/>
      <c r="I734" s="251"/>
      <c r="J734" s="251"/>
      <c r="K734" s="251"/>
      <c r="L734" s="251"/>
      <c r="M734" s="251"/>
      <c r="N734" s="251"/>
      <c r="O734" s="251"/>
      <c r="P734" s="251"/>
      <c r="Q734" s="251"/>
      <c r="R734" s="251"/>
      <c r="S734" s="251"/>
      <c r="T734" s="251"/>
      <c r="U734" s="251"/>
      <c r="V734" s="251"/>
      <c r="W734" s="251"/>
      <c r="X734" s="251"/>
      <c r="Y734" s="251"/>
      <c r="Z734" s="251"/>
    </row>
    <row r="735" spans="1:26" ht="14.25" customHeight="1" x14ac:dyDescent="0.35">
      <c r="A735" s="251"/>
      <c r="B735" s="251"/>
      <c r="C735" s="251"/>
      <c r="D735" s="251"/>
      <c r="E735" s="251"/>
      <c r="F735" s="251"/>
      <c r="G735" s="251"/>
      <c r="H735" s="251"/>
      <c r="I735" s="251"/>
      <c r="J735" s="251"/>
      <c r="K735" s="251"/>
      <c r="L735" s="251"/>
      <c r="M735" s="251"/>
      <c r="N735" s="251"/>
      <c r="O735" s="251"/>
      <c r="P735" s="251"/>
      <c r="Q735" s="251"/>
      <c r="R735" s="251"/>
      <c r="S735" s="251"/>
      <c r="T735" s="251"/>
      <c r="U735" s="251"/>
      <c r="V735" s="251"/>
      <c r="W735" s="251"/>
      <c r="X735" s="251"/>
      <c r="Y735" s="251"/>
      <c r="Z735" s="251"/>
    </row>
    <row r="736" spans="1:26" ht="14.25" customHeight="1" x14ac:dyDescent="0.35">
      <c r="A736" s="251"/>
      <c r="B736" s="251"/>
      <c r="C736" s="251"/>
      <c r="D736" s="251"/>
      <c r="E736" s="251"/>
      <c r="F736" s="251"/>
      <c r="G736" s="251"/>
      <c r="H736" s="251"/>
      <c r="I736" s="251"/>
      <c r="J736" s="251"/>
      <c r="K736" s="251"/>
      <c r="L736" s="251"/>
      <c r="M736" s="251"/>
      <c r="N736" s="251"/>
      <c r="O736" s="251"/>
      <c r="P736" s="251"/>
      <c r="Q736" s="251"/>
      <c r="R736" s="251"/>
      <c r="S736" s="251"/>
      <c r="T736" s="251"/>
      <c r="U736" s="251"/>
      <c r="V736" s="251"/>
      <c r="W736" s="251"/>
      <c r="X736" s="251"/>
      <c r="Y736" s="251"/>
      <c r="Z736" s="251"/>
    </row>
    <row r="737" spans="1:26" ht="14.25" customHeight="1" x14ac:dyDescent="0.35">
      <c r="A737" s="251"/>
      <c r="B737" s="251"/>
      <c r="C737" s="251"/>
      <c r="D737" s="251"/>
      <c r="E737" s="251"/>
      <c r="F737" s="251"/>
      <c r="G737" s="251"/>
      <c r="H737" s="251"/>
      <c r="I737" s="251"/>
      <c r="J737" s="251"/>
      <c r="K737" s="251"/>
      <c r="L737" s="251"/>
      <c r="M737" s="251"/>
      <c r="N737" s="251"/>
      <c r="O737" s="251"/>
      <c r="P737" s="251"/>
      <c r="Q737" s="251"/>
      <c r="R737" s="251"/>
      <c r="S737" s="251"/>
      <c r="T737" s="251"/>
      <c r="U737" s="251"/>
      <c r="V737" s="251"/>
      <c r="W737" s="251"/>
      <c r="X737" s="251"/>
      <c r="Y737" s="251"/>
      <c r="Z737" s="251"/>
    </row>
    <row r="738" spans="1:26" ht="14.25" customHeight="1" x14ac:dyDescent="0.35">
      <c r="A738" s="251"/>
      <c r="B738" s="251"/>
      <c r="C738" s="251"/>
      <c r="D738" s="251"/>
      <c r="E738" s="251"/>
      <c r="F738" s="251"/>
      <c r="G738" s="251"/>
      <c r="H738" s="251"/>
      <c r="I738" s="251"/>
      <c r="J738" s="251"/>
      <c r="K738" s="251"/>
      <c r="L738" s="251"/>
      <c r="M738" s="251"/>
      <c r="N738" s="251"/>
      <c r="O738" s="251"/>
      <c r="P738" s="251"/>
      <c r="Q738" s="251"/>
      <c r="R738" s="251"/>
      <c r="S738" s="251"/>
      <c r="T738" s="251"/>
      <c r="U738" s="251"/>
      <c r="V738" s="251"/>
      <c r="W738" s="251"/>
      <c r="X738" s="251"/>
      <c r="Y738" s="251"/>
      <c r="Z738" s="251"/>
    </row>
    <row r="739" spans="1:26" ht="14.25" customHeight="1" x14ac:dyDescent="0.35">
      <c r="A739" s="251"/>
      <c r="B739" s="251"/>
      <c r="C739" s="251"/>
      <c r="D739" s="251"/>
      <c r="E739" s="251"/>
      <c r="F739" s="251"/>
      <c r="G739" s="251"/>
      <c r="H739" s="251"/>
      <c r="I739" s="251"/>
      <c r="J739" s="251"/>
      <c r="K739" s="251"/>
      <c r="L739" s="251"/>
      <c r="M739" s="251"/>
      <c r="N739" s="251"/>
      <c r="O739" s="251"/>
      <c r="P739" s="251"/>
      <c r="Q739" s="251"/>
      <c r="R739" s="251"/>
      <c r="S739" s="251"/>
      <c r="T739" s="251"/>
      <c r="U739" s="251"/>
      <c r="V739" s="251"/>
      <c r="W739" s="251"/>
      <c r="X739" s="251"/>
      <c r="Y739" s="251"/>
      <c r="Z739" s="251"/>
    </row>
    <row r="740" spans="1:26" ht="14.25" customHeight="1" x14ac:dyDescent="0.35">
      <c r="A740" s="251"/>
      <c r="B740" s="251"/>
      <c r="C740" s="251"/>
      <c r="D740" s="251"/>
      <c r="E740" s="251"/>
      <c r="F740" s="251"/>
      <c r="G740" s="251"/>
      <c r="H740" s="251"/>
      <c r="I740" s="251"/>
      <c r="J740" s="251"/>
      <c r="K740" s="251"/>
      <c r="L740" s="251"/>
      <c r="M740" s="251"/>
      <c r="N740" s="251"/>
      <c r="O740" s="251"/>
      <c r="P740" s="251"/>
      <c r="Q740" s="251"/>
      <c r="R740" s="251"/>
      <c r="S740" s="251"/>
      <c r="T740" s="251"/>
      <c r="U740" s="251"/>
      <c r="V740" s="251"/>
      <c r="W740" s="251"/>
      <c r="X740" s="251"/>
      <c r="Y740" s="251"/>
      <c r="Z740" s="251"/>
    </row>
    <row r="741" spans="1:26" ht="14.25" customHeight="1" x14ac:dyDescent="0.35">
      <c r="A741" s="251"/>
      <c r="B741" s="251"/>
      <c r="C741" s="251"/>
      <c r="D741" s="251"/>
      <c r="E741" s="251"/>
      <c r="F741" s="251"/>
      <c r="G741" s="251"/>
      <c r="H741" s="251"/>
      <c r="I741" s="251"/>
      <c r="J741" s="251"/>
      <c r="K741" s="251"/>
      <c r="L741" s="251"/>
      <c r="M741" s="251"/>
      <c r="N741" s="251"/>
      <c r="O741" s="251"/>
      <c r="P741" s="251"/>
      <c r="Q741" s="251"/>
      <c r="R741" s="251"/>
      <c r="S741" s="251"/>
      <c r="T741" s="251"/>
      <c r="U741" s="251"/>
      <c r="V741" s="251"/>
      <c r="W741" s="251"/>
      <c r="X741" s="251"/>
      <c r="Y741" s="251"/>
      <c r="Z741" s="251"/>
    </row>
    <row r="742" spans="1:26" ht="14.25" customHeight="1" x14ac:dyDescent="0.35">
      <c r="A742" s="251"/>
      <c r="B742" s="251"/>
      <c r="C742" s="251"/>
      <c r="D742" s="251"/>
      <c r="E742" s="251"/>
      <c r="F742" s="251"/>
      <c r="G742" s="251"/>
      <c r="H742" s="251"/>
      <c r="I742" s="251"/>
      <c r="J742" s="251"/>
      <c r="K742" s="251"/>
      <c r="L742" s="251"/>
      <c r="M742" s="251"/>
      <c r="N742" s="251"/>
      <c r="O742" s="251"/>
      <c r="P742" s="251"/>
      <c r="Q742" s="251"/>
      <c r="R742" s="251"/>
      <c r="S742" s="251"/>
      <c r="T742" s="251"/>
      <c r="U742" s="251"/>
      <c r="V742" s="251"/>
      <c r="W742" s="251"/>
      <c r="X742" s="251"/>
      <c r="Y742" s="251"/>
      <c r="Z742" s="251"/>
    </row>
    <row r="743" spans="1:26" ht="14.25" customHeight="1" x14ac:dyDescent="0.35">
      <c r="A743" s="251"/>
      <c r="B743" s="251"/>
      <c r="C743" s="251"/>
      <c r="D743" s="251"/>
      <c r="E743" s="251"/>
      <c r="F743" s="251"/>
      <c r="G743" s="251"/>
      <c r="H743" s="251"/>
      <c r="I743" s="251"/>
      <c r="J743" s="251"/>
      <c r="K743" s="251"/>
      <c r="L743" s="251"/>
      <c r="M743" s="251"/>
      <c r="N743" s="251"/>
      <c r="O743" s="251"/>
      <c r="P743" s="251"/>
      <c r="Q743" s="251"/>
      <c r="R743" s="251"/>
      <c r="S743" s="251"/>
      <c r="T743" s="251"/>
      <c r="U743" s="251"/>
      <c r="V743" s="251"/>
      <c r="W743" s="251"/>
      <c r="X743" s="251"/>
      <c r="Y743" s="251"/>
      <c r="Z743" s="251"/>
    </row>
    <row r="744" spans="1:26" ht="14.25" customHeight="1" x14ac:dyDescent="0.35">
      <c r="A744" s="251"/>
      <c r="B744" s="251"/>
      <c r="C744" s="251"/>
      <c r="D744" s="251"/>
      <c r="E744" s="251"/>
      <c r="F744" s="251"/>
      <c r="G744" s="251"/>
      <c r="H744" s="251"/>
      <c r="I744" s="251"/>
      <c r="J744" s="251"/>
      <c r="K744" s="251"/>
      <c r="L744" s="251"/>
      <c r="M744" s="251"/>
      <c r="N744" s="251"/>
      <c r="O744" s="251"/>
      <c r="P744" s="251"/>
      <c r="Q744" s="251"/>
      <c r="R744" s="251"/>
      <c r="S744" s="251"/>
      <c r="T744" s="251"/>
      <c r="U744" s="251"/>
      <c r="V744" s="251"/>
      <c r="W744" s="251"/>
      <c r="X744" s="251"/>
      <c r="Y744" s="251"/>
      <c r="Z744" s="251"/>
    </row>
    <row r="745" spans="1:26" ht="14.25" customHeight="1" x14ac:dyDescent="0.35">
      <c r="A745" s="251"/>
      <c r="B745" s="251"/>
      <c r="C745" s="251"/>
      <c r="D745" s="251"/>
      <c r="E745" s="251"/>
      <c r="F745" s="251"/>
      <c r="G745" s="251"/>
      <c r="H745" s="251"/>
      <c r="I745" s="251"/>
      <c r="J745" s="251"/>
      <c r="K745" s="251"/>
      <c r="L745" s="251"/>
      <c r="M745" s="251"/>
      <c r="N745" s="251"/>
      <c r="O745" s="251"/>
      <c r="P745" s="251"/>
      <c r="Q745" s="251"/>
      <c r="R745" s="251"/>
      <c r="S745" s="251"/>
      <c r="T745" s="251"/>
      <c r="U745" s="251"/>
      <c r="V745" s="251"/>
      <c r="W745" s="251"/>
      <c r="X745" s="251"/>
      <c r="Y745" s="251"/>
      <c r="Z745" s="251"/>
    </row>
    <row r="746" spans="1:26" ht="14.25" customHeight="1" x14ac:dyDescent="0.35">
      <c r="A746" s="251"/>
      <c r="B746" s="251"/>
      <c r="C746" s="251"/>
      <c r="D746" s="251"/>
      <c r="E746" s="251"/>
      <c r="F746" s="251"/>
      <c r="G746" s="251"/>
      <c r="H746" s="251"/>
      <c r="I746" s="251"/>
      <c r="J746" s="251"/>
      <c r="K746" s="251"/>
      <c r="L746" s="251"/>
      <c r="M746" s="251"/>
      <c r="N746" s="251"/>
      <c r="O746" s="251"/>
      <c r="P746" s="251"/>
      <c r="Q746" s="251"/>
      <c r="R746" s="251"/>
      <c r="S746" s="251"/>
      <c r="T746" s="251"/>
      <c r="U746" s="251"/>
      <c r="V746" s="251"/>
      <c r="W746" s="251"/>
      <c r="X746" s="251"/>
      <c r="Y746" s="251"/>
      <c r="Z746" s="251"/>
    </row>
    <row r="747" spans="1:26" ht="14.25" customHeight="1" x14ac:dyDescent="0.35">
      <c r="A747" s="251"/>
      <c r="B747" s="251"/>
      <c r="C747" s="251"/>
      <c r="D747" s="251"/>
      <c r="E747" s="251"/>
      <c r="F747" s="251"/>
      <c r="G747" s="251"/>
      <c r="H747" s="251"/>
      <c r="I747" s="251"/>
      <c r="J747" s="251"/>
      <c r="K747" s="251"/>
      <c r="L747" s="251"/>
      <c r="M747" s="251"/>
      <c r="N747" s="251"/>
      <c r="O747" s="251"/>
      <c r="P747" s="251"/>
      <c r="Q747" s="251"/>
      <c r="R747" s="251"/>
      <c r="S747" s="251"/>
      <c r="T747" s="251"/>
      <c r="U747" s="251"/>
      <c r="V747" s="251"/>
      <c r="W747" s="251"/>
      <c r="X747" s="251"/>
      <c r="Y747" s="251"/>
      <c r="Z747" s="251"/>
    </row>
    <row r="748" spans="1:26" ht="14.25" customHeight="1" x14ac:dyDescent="0.35">
      <c r="A748" s="251"/>
      <c r="B748" s="251"/>
      <c r="C748" s="251"/>
      <c r="D748" s="251"/>
      <c r="E748" s="251"/>
      <c r="F748" s="251"/>
      <c r="G748" s="251"/>
      <c r="H748" s="251"/>
      <c r="I748" s="251"/>
      <c r="J748" s="251"/>
      <c r="K748" s="251"/>
      <c r="L748" s="251"/>
      <c r="M748" s="251"/>
      <c r="N748" s="251"/>
      <c r="O748" s="251"/>
      <c r="P748" s="251"/>
      <c r="Q748" s="251"/>
      <c r="R748" s="251"/>
      <c r="S748" s="251"/>
      <c r="T748" s="251"/>
      <c r="U748" s="251"/>
      <c r="V748" s="251"/>
      <c r="W748" s="251"/>
      <c r="X748" s="251"/>
      <c r="Y748" s="251"/>
      <c r="Z748" s="251"/>
    </row>
    <row r="749" spans="1:26" ht="14.25" customHeight="1" x14ac:dyDescent="0.35">
      <c r="A749" s="251"/>
      <c r="B749" s="251"/>
      <c r="C749" s="251"/>
      <c r="D749" s="251"/>
      <c r="E749" s="251"/>
      <c r="F749" s="251"/>
      <c r="G749" s="251"/>
      <c r="H749" s="251"/>
      <c r="I749" s="251"/>
      <c r="J749" s="251"/>
      <c r="K749" s="251"/>
      <c r="L749" s="251"/>
      <c r="M749" s="251"/>
      <c r="N749" s="251"/>
      <c r="O749" s="251"/>
      <c r="P749" s="251"/>
      <c r="Q749" s="251"/>
      <c r="R749" s="251"/>
      <c r="S749" s="251"/>
      <c r="T749" s="251"/>
      <c r="U749" s="251"/>
      <c r="V749" s="251"/>
      <c r="W749" s="251"/>
      <c r="X749" s="251"/>
      <c r="Y749" s="251"/>
      <c r="Z749" s="251"/>
    </row>
    <row r="750" spans="1:26" ht="14.25" customHeight="1" x14ac:dyDescent="0.35">
      <c r="A750" s="251"/>
      <c r="B750" s="251"/>
      <c r="C750" s="251"/>
      <c r="D750" s="251"/>
      <c r="E750" s="251"/>
      <c r="F750" s="251"/>
      <c r="G750" s="251"/>
      <c r="H750" s="251"/>
      <c r="I750" s="251"/>
      <c r="J750" s="251"/>
      <c r="K750" s="251"/>
      <c r="L750" s="251"/>
      <c r="M750" s="251"/>
      <c r="N750" s="251"/>
      <c r="O750" s="251"/>
      <c r="P750" s="251"/>
      <c r="Q750" s="251"/>
      <c r="R750" s="251"/>
      <c r="S750" s="251"/>
      <c r="T750" s="251"/>
      <c r="U750" s="251"/>
      <c r="V750" s="251"/>
      <c r="W750" s="251"/>
      <c r="X750" s="251"/>
      <c r="Y750" s="251"/>
      <c r="Z750" s="251"/>
    </row>
    <row r="751" spans="1:26" ht="14.25" customHeight="1" x14ac:dyDescent="0.35">
      <c r="A751" s="251"/>
      <c r="B751" s="251"/>
      <c r="C751" s="251"/>
      <c r="D751" s="251"/>
      <c r="E751" s="251"/>
      <c r="F751" s="251"/>
      <c r="G751" s="251"/>
      <c r="H751" s="251"/>
      <c r="I751" s="251"/>
      <c r="J751" s="251"/>
      <c r="K751" s="251"/>
      <c r="L751" s="251"/>
      <c r="M751" s="251"/>
      <c r="N751" s="251"/>
      <c r="O751" s="251"/>
      <c r="P751" s="251"/>
      <c r="Q751" s="251"/>
      <c r="R751" s="251"/>
      <c r="S751" s="251"/>
      <c r="T751" s="251"/>
      <c r="U751" s="251"/>
      <c r="V751" s="251"/>
      <c r="W751" s="251"/>
      <c r="X751" s="251"/>
      <c r="Y751" s="251"/>
      <c r="Z751" s="251"/>
    </row>
    <row r="752" spans="1:26" ht="14.25" customHeight="1" x14ac:dyDescent="0.35">
      <c r="A752" s="251"/>
      <c r="B752" s="251"/>
      <c r="C752" s="251"/>
      <c r="D752" s="251"/>
      <c r="E752" s="251"/>
      <c r="F752" s="251"/>
      <c r="G752" s="251"/>
      <c r="H752" s="251"/>
      <c r="I752" s="251"/>
      <c r="J752" s="251"/>
      <c r="K752" s="251"/>
      <c r="L752" s="251"/>
      <c r="M752" s="251"/>
      <c r="N752" s="251"/>
      <c r="O752" s="251"/>
      <c r="P752" s="251"/>
      <c r="Q752" s="251"/>
      <c r="R752" s="251"/>
      <c r="S752" s="251"/>
      <c r="T752" s="251"/>
      <c r="U752" s="251"/>
      <c r="V752" s="251"/>
      <c r="W752" s="251"/>
      <c r="X752" s="251"/>
      <c r="Y752" s="251"/>
      <c r="Z752" s="251"/>
    </row>
    <row r="753" spans="1:26" ht="14.25" customHeight="1" x14ac:dyDescent="0.35">
      <c r="A753" s="251"/>
      <c r="B753" s="251"/>
      <c r="C753" s="251"/>
      <c r="D753" s="251"/>
      <c r="E753" s="251"/>
      <c r="F753" s="251"/>
      <c r="G753" s="251"/>
      <c r="H753" s="251"/>
      <c r="I753" s="251"/>
      <c r="J753" s="251"/>
      <c r="K753" s="251"/>
      <c r="L753" s="251"/>
      <c r="M753" s="251"/>
      <c r="N753" s="251"/>
      <c r="O753" s="251"/>
      <c r="P753" s="251"/>
      <c r="Q753" s="251"/>
      <c r="R753" s="251"/>
      <c r="S753" s="251"/>
      <c r="T753" s="251"/>
      <c r="U753" s="251"/>
      <c r="V753" s="251"/>
      <c r="W753" s="251"/>
      <c r="X753" s="251"/>
      <c r="Y753" s="251"/>
      <c r="Z753" s="251"/>
    </row>
    <row r="754" spans="1:26" ht="14.25" customHeight="1" x14ac:dyDescent="0.35">
      <c r="A754" s="251"/>
      <c r="B754" s="251"/>
      <c r="C754" s="251"/>
      <c r="D754" s="251"/>
      <c r="E754" s="251"/>
      <c r="F754" s="251"/>
      <c r="G754" s="251"/>
      <c r="H754" s="251"/>
      <c r="I754" s="251"/>
      <c r="J754" s="251"/>
      <c r="K754" s="251"/>
      <c r="L754" s="251"/>
      <c r="M754" s="251"/>
      <c r="N754" s="251"/>
      <c r="O754" s="251"/>
      <c r="P754" s="251"/>
      <c r="Q754" s="251"/>
      <c r="R754" s="251"/>
      <c r="S754" s="251"/>
      <c r="T754" s="251"/>
      <c r="U754" s="251"/>
      <c r="V754" s="251"/>
      <c r="W754" s="251"/>
      <c r="X754" s="251"/>
      <c r="Y754" s="251"/>
      <c r="Z754" s="251"/>
    </row>
    <row r="755" spans="1:26" ht="14.25" customHeight="1" x14ac:dyDescent="0.35">
      <c r="A755" s="251"/>
      <c r="B755" s="251"/>
      <c r="C755" s="251"/>
      <c r="D755" s="251"/>
      <c r="E755" s="251"/>
      <c r="F755" s="251"/>
      <c r="G755" s="251"/>
      <c r="H755" s="251"/>
      <c r="I755" s="251"/>
      <c r="J755" s="251"/>
      <c r="K755" s="251"/>
      <c r="L755" s="251"/>
      <c r="M755" s="251"/>
      <c r="N755" s="251"/>
      <c r="O755" s="251"/>
      <c r="P755" s="251"/>
      <c r="Q755" s="251"/>
      <c r="R755" s="251"/>
      <c r="S755" s="251"/>
      <c r="T755" s="251"/>
      <c r="U755" s="251"/>
      <c r="V755" s="251"/>
      <c r="W755" s="251"/>
      <c r="X755" s="251"/>
      <c r="Y755" s="251"/>
      <c r="Z755" s="251"/>
    </row>
    <row r="756" spans="1:26" ht="14.25" customHeight="1" x14ac:dyDescent="0.35">
      <c r="A756" s="251"/>
      <c r="B756" s="251"/>
      <c r="C756" s="251"/>
      <c r="D756" s="251"/>
      <c r="E756" s="251"/>
      <c r="F756" s="251"/>
      <c r="G756" s="251"/>
      <c r="H756" s="251"/>
      <c r="I756" s="251"/>
      <c r="J756" s="251"/>
      <c r="K756" s="251"/>
      <c r="L756" s="251"/>
      <c r="M756" s="251"/>
      <c r="N756" s="251"/>
      <c r="O756" s="251"/>
      <c r="P756" s="251"/>
      <c r="Q756" s="251"/>
      <c r="R756" s="251"/>
      <c r="S756" s="251"/>
      <c r="T756" s="251"/>
      <c r="U756" s="251"/>
      <c r="V756" s="251"/>
      <c r="W756" s="251"/>
      <c r="X756" s="251"/>
      <c r="Y756" s="251"/>
      <c r="Z756" s="251"/>
    </row>
    <row r="757" spans="1:26" ht="14.25" customHeight="1" x14ac:dyDescent="0.35">
      <c r="A757" s="251"/>
      <c r="B757" s="251"/>
      <c r="C757" s="251"/>
      <c r="D757" s="251"/>
      <c r="E757" s="251"/>
      <c r="F757" s="251"/>
      <c r="G757" s="251"/>
      <c r="H757" s="251"/>
      <c r="I757" s="251"/>
      <c r="J757" s="251"/>
      <c r="K757" s="251"/>
      <c r="L757" s="251"/>
      <c r="M757" s="251"/>
      <c r="N757" s="251"/>
      <c r="O757" s="251"/>
      <c r="P757" s="251"/>
      <c r="Q757" s="251"/>
      <c r="R757" s="251"/>
      <c r="S757" s="251"/>
      <c r="T757" s="251"/>
      <c r="U757" s="251"/>
      <c r="V757" s="251"/>
      <c r="W757" s="251"/>
      <c r="X757" s="251"/>
      <c r="Y757" s="251"/>
      <c r="Z757" s="251"/>
    </row>
    <row r="758" spans="1:26" ht="14.25" customHeight="1" x14ac:dyDescent="0.35">
      <c r="A758" s="251"/>
      <c r="B758" s="251"/>
      <c r="C758" s="251"/>
      <c r="D758" s="251"/>
      <c r="E758" s="251"/>
      <c r="F758" s="251"/>
      <c r="G758" s="251"/>
      <c r="H758" s="251"/>
      <c r="I758" s="251"/>
      <c r="J758" s="251"/>
      <c r="K758" s="251"/>
      <c r="L758" s="251"/>
      <c r="M758" s="251"/>
      <c r="N758" s="251"/>
      <c r="O758" s="251"/>
      <c r="P758" s="251"/>
      <c r="Q758" s="251"/>
      <c r="R758" s="251"/>
      <c r="S758" s="251"/>
      <c r="T758" s="251"/>
      <c r="U758" s="251"/>
      <c r="V758" s="251"/>
      <c r="W758" s="251"/>
      <c r="X758" s="251"/>
      <c r="Y758" s="251"/>
      <c r="Z758" s="251"/>
    </row>
    <row r="759" spans="1:26" ht="14.25" customHeight="1" x14ac:dyDescent="0.35">
      <c r="A759" s="251"/>
      <c r="B759" s="251"/>
      <c r="C759" s="251"/>
      <c r="D759" s="251"/>
      <c r="E759" s="251"/>
      <c r="F759" s="251"/>
      <c r="G759" s="251"/>
      <c r="H759" s="251"/>
      <c r="I759" s="251"/>
      <c r="J759" s="251"/>
      <c r="K759" s="251"/>
      <c r="L759" s="251"/>
      <c r="M759" s="251"/>
      <c r="N759" s="251"/>
      <c r="O759" s="251"/>
      <c r="P759" s="251"/>
      <c r="Q759" s="251"/>
      <c r="R759" s="251"/>
      <c r="S759" s="251"/>
      <c r="T759" s="251"/>
      <c r="U759" s="251"/>
      <c r="V759" s="251"/>
      <c r="W759" s="251"/>
      <c r="X759" s="251"/>
      <c r="Y759" s="251"/>
      <c r="Z759" s="251"/>
    </row>
    <row r="760" spans="1:26" ht="14.25" customHeight="1" x14ac:dyDescent="0.35">
      <c r="A760" s="251"/>
      <c r="B760" s="251"/>
      <c r="C760" s="251"/>
      <c r="D760" s="251"/>
      <c r="E760" s="251"/>
      <c r="F760" s="251"/>
      <c r="G760" s="251"/>
      <c r="H760" s="251"/>
      <c r="I760" s="251"/>
      <c r="J760" s="251"/>
      <c r="K760" s="251"/>
      <c r="L760" s="251"/>
      <c r="M760" s="251"/>
      <c r="N760" s="251"/>
      <c r="O760" s="251"/>
      <c r="P760" s="251"/>
      <c r="Q760" s="251"/>
      <c r="R760" s="251"/>
      <c r="S760" s="251"/>
      <c r="T760" s="251"/>
      <c r="U760" s="251"/>
      <c r="V760" s="251"/>
      <c r="W760" s="251"/>
      <c r="X760" s="251"/>
      <c r="Y760" s="251"/>
      <c r="Z760" s="251"/>
    </row>
    <row r="761" spans="1:26" ht="14.25" customHeight="1" x14ac:dyDescent="0.35">
      <c r="A761" s="251"/>
      <c r="B761" s="251"/>
      <c r="C761" s="251"/>
      <c r="D761" s="251"/>
      <c r="E761" s="251"/>
      <c r="F761" s="251"/>
      <c r="G761" s="251"/>
      <c r="H761" s="251"/>
      <c r="I761" s="251"/>
      <c r="J761" s="251"/>
      <c r="K761" s="251"/>
      <c r="L761" s="251"/>
      <c r="M761" s="251"/>
      <c r="N761" s="251"/>
      <c r="O761" s="251"/>
      <c r="P761" s="251"/>
      <c r="Q761" s="251"/>
      <c r="R761" s="251"/>
      <c r="S761" s="251"/>
      <c r="T761" s="251"/>
      <c r="U761" s="251"/>
      <c r="V761" s="251"/>
      <c r="W761" s="251"/>
      <c r="X761" s="251"/>
      <c r="Y761" s="251"/>
      <c r="Z761" s="251"/>
    </row>
    <row r="762" spans="1:26" ht="14.25" customHeight="1" x14ac:dyDescent="0.35">
      <c r="A762" s="251"/>
      <c r="B762" s="251"/>
      <c r="C762" s="251"/>
      <c r="D762" s="251"/>
      <c r="E762" s="251"/>
      <c r="F762" s="251"/>
      <c r="G762" s="251"/>
      <c r="H762" s="251"/>
      <c r="I762" s="251"/>
      <c r="J762" s="251"/>
      <c r="K762" s="251"/>
      <c r="L762" s="251"/>
      <c r="M762" s="251"/>
      <c r="N762" s="251"/>
      <c r="O762" s="251"/>
      <c r="P762" s="251"/>
      <c r="Q762" s="251"/>
      <c r="R762" s="251"/>
      <c r="S762" s="251"/>
      <c r="T762" s="251"/>
      <c r="U762" s="251"/>
      <c r="V762" s="251"/>
      <c r="W762" s="251"/>
      <c r="X762" s="251"/>
      <c r="Y762" s="251"/>
      <c r="Z762" s="251"/>
    </row>
    <row r="763" spans="1:26" ht="14.25" customHeight="1" x14ac:dyDescent="0.35">
      <c r="A763" s="251"/>
      <c r="B763" s="251"/>
      <c r="C763" s="251"/>
      <c r="D763" s="251"/>
      <c r="E763" s="251"/>
      <c r="F763" s="251"/>
      <c r="G763" s="251"/>
      <c r="H763" s="251"/>
      <c r="I763" s="251"/>
      <c r="J763" s="251"/>
      <c r="K763" s="251"/>
      <c r="L763" s="251"/>
      <c r="M763" s="251"/>
      <c r="N763" s="251"/>
      <c r="O763" s="251"/>
      <c r="P763" s="251"/>
      <c r="Q763" s="251"/>
      <c r="R763" s="251"/>
      <c r="S763" s="251"/>
      <c r="T763" s="251"/>
      <c r="U763" s="251"/>
      <c r="V763" s="251"/>
      <c r="W763" s="251"/>
      <c r="X763" s="251"/>
      <c r="Y763" s="251"/>
      <c r="Z763" s="251"/>
    </row>
    <row r="764" spans="1:26" ht="14.25" customHeight="1" x14ac:dyDescent="0.35">
      <c r="A764" s="251"/>
      <c r="B764" s="251"/>
      <c r="C764" s="251"/>
      <c r="D764" s="251"/>
      <c r="E764" s="251"/>
      <c r="F764" s="251"/>
      <c r="G764" s="251"/>
      <c r="H764" s="251"/>
      <c r="I764" s="251"/>
      <c r="J764" s="251"/>
      <c r="K764" s="251"/>
      <c r="L764" s="251"/>
      <c r="M764" s="251"/>
      <c r="N764" s="251"/>
      <c r="O764" s="251"/>
      <c r="P764" s="251"/>
      <c r="Q764" s="251"/>
      <c r="R764" s="251"/>
      <c r="S764" s="251"/>
      <c r="T764" s="251"/>
      <c r="U764" s="251"/>
      <c r="V764" s="251"/>
      <c r="W764" s="251"/>
      <c r="X764" s="251"/>
      <c r="Y764" s="251"/>
      <c r="Z764" s="251"/>
    </row>
    <row r="765" spans="1:26" ht="14.25" customHeight="1" x14ac:dyDescent="0.35">
      <c r="A765" s="251"/>
      <c r="B765" s="251"/>
      <c r="C765" s="251"/>
      <c r="D765" s="251"/>
      <c r="E765" s="251"/>
      <c r="F765" s="251"/>
      <c r="G765" s="251"/>
      <c r="H765" s="251"/>
      <c r="I765" s="251"/>
      <c r="J765" s="251"/>
      <c r="K765" s="251"/>
      <c r="L765" s="251"/>
      <c r="M765" s="251"/>
      <c r="N765" s="251"/>
      <c r="O765" s="251"/>
      <c r="P765" s="251"/>
      <c r="Q765" s="251"/>
      <c r="R765" s="251"/>
      <c r="S765" s="251"/>
      <c r="T765" s="251"/>
      <c r="U765" s="251"/>
      <c r="V765" s="251"/>
      <c r="W765" s="251"/>
      <c r="X765" s="251"/>
      <c r="Y765" s="251"/>
      <c r="Z765" s="251"/>
    </row>
    <row r="766" spans="1:26" ht="14.25" customHeight="1" x14ac:dyDescent="0.35">
      <c r="A766" s="251"/>
      <c r="B766" s="251"/>
      <c r="C766" s="251"/>
      <c r="D766" s="251"/>
      <c r="E766" s="251"/>
      <c r="F766" s="251"/>
      <c r="G766" s="251"/>
      <c r="H766" s="251"/>
      <c r="I766" s="251"/>
      <c r="J766" s="251"/>
      <c r="K766" s="251"/>
      <c r="L766" s="251"/>
      <c r="M766" s="251"/>
      <c r="N766" s="251"/>
      <c r="O766" s="251"/>
      <c r="P766" s="251"/>
      <c r="Q766" s="251"/>
      <c r="R766" s="251"/>
      <c r="S766" s="251"/>
      <c r="T766" s="251"/>
      <c r="U766" s="251"/>
      <c r="V766" s="251"/>
      <c r="W766" s="251"/>
      <c r="X766" s="251"/>
      <c r="Y766" s="251"/>
      <c r="Z766" s="251"/>
    </row>
    <row r="767" spans="1:26" ht="14.25" customHeight="1" x14ac:dyDescent="0.35">
      <c r="A767" s="251"/>
      <c r="B767" s="251"/>
      <c r="C767" s="251"/>
      <c r="D767" s="251"/>
      <c r="E767" s="251"/>
      <c r="F767" s="251"/>
      <c r="G767" s="251"/>
      <c r="H767" s="251"/>
      <c r="I767" s="251"/>
      <c r="J767" s="251"/>
      <c r="K767" s="251"/>
      <c r="L767" s="251"/>
      <c r="M767" s="251"/>
      <c r="N767" s="251"/>
      <c r="O767" s="251"/>
      <c r="P767" s="251"/>
      <c r="Q767" s="251"/>
      <c r="R767" s="251"/>
      <c r="S767" s="251"/>
      <c r="T767" s="251"/>
      <c r="U767" s="251"/>
      <c r="V767" s="251"/>
      <c r="W767" s="251"/>
      <c r="X767" s="251"/>
      <c r="Y767" s="251"/>
      <c r="Z767" s="251"/>
    </row>
    <row r="768" spans="1:26" ht="14.25" customHeight="1" x14ac:dyDescent="0.35">
      <c r="A768" s="251"/>
      <c r="B768" s="251"/>
      <c r="C768" s="251"/>
      <c r="D768" s="251"/>
      <c r="E768" s="251"/>
      <c r="F768" s="251"/>
      <c r="G768" s="251"/>
      <c r="H768" s="251"/>
      <c r="I768" s="251"/>
      <c r="J768" s="251"/>
      <c r="K768" s="251"/>
      <c r="L768" s="251"/>
      <c r="M768" s="251"/>
      <c r="N768" s="251"/>
      <c r="O768" s="251"/>
      <c r="P768" s="251"/>
      <c r="Q768" s="251"/>
      <c r="R768" s="251"/>
      <c r="S768" s="251"/>
      <c r="T768" s="251"/>
      <c r="U768" s="251"/>
      <c r="V768" s="251"/>
      <c r="W768" s="251"/>
      <c r="X768" s="251"/>
      <c r="Y768" s="251"/>
      <c r="Z768" s="251"/>
    </row>
    <row r="769" spans="1:26" ht="14.25" customHeight="1" x14ac:dyDescent="0.35">
      <c r="A769" s="251"/>
      <c r="B769" s="251"/>
      <c r="C769" s="251"/>
      <c r="D769" s="251"/>
      <c r="E769" s="251"/>
      <c r="F769" s="251"/>
      <c r="G769" s="251"/>
      <c r="H769" s="251"/>
      <c r="I769" s="251"/>
      <c r="J769" s="251"/>
      <c r="K769" s="251"/>
      <c r="L769" s="251"/>
      <c r="M769" s="251"/>
      <c r="N769" s="251"/>
      <c r="O769" s="251"/>
      <c r="P769" s="251"/>
      <c r="Q769" s="251"/>
      <c r="R769" s="251"/>
      <c r="S769" s="251"/>
      <c r="T769" s="251"/>
      <c r="U769" s="251"/>
      <c r="V769" s="251"/>
      <c r="W769" s="251"/>
      <c r="X769" s="251"/>
      <c r="Y769" s="251"/>
      <c r="Z769" s="251"/>
    </row>
    <row r="770" spans="1:26" ht="14.25" customHeight="1" x14ac:dyDescent="0.35">
      <c r="A770" s="251"/>
      <c r="B770" s="251"/>
      <c r="C770" s="251"/>
      <c r="D770" s="251"/>
      <c r="E770" s="251"/>
      <c r="F770" s="251"/>
      <c r="G770" s="251"/>
      <c r="H770" s="251"/>
      <c r="I770" s="251"/>
      <c r="J770" s="251"/>
      <c r="K770" s="251"/>
      <c r="L770" s="251"/>
      <c r="M770" s="251"/>
      <c r="N770" s="251"/>
      <c r="O770" s="251"/>
      <c r="P770" s="251"/>
      <c r="Q770" s="251"/>
      <c r="R770" s="251"/>
      <c r="S770" s="251"/>
      <c r="T770" s="251"/>
      <c r="U770" s="251"/>
      <c r="V770" s="251"/>
      <c r="W770" s="251"/>
      <c r="X770" s="251"/>
      <c r="Y770" s="251"/>
      <c r="Z770" s="251"/>
    </row>
    <row r="771" spans="1:26" ht="14.25" customHeight="1" x14ac:dyDescent="0.35">
      <c r="A771" s="251"/>
      <c r="B771" s="251"/>
      <c r="C771" s="251"/>
      <c r="D771" s="251"/>
      <c r="E771" s="251"/>
      <c r="F771" s="251"/>
      <c r="G771" s="251"/>
      <c r="H771" s="251"/>
      <c r="I771" s="251"/>
      <c r="J771" s="251"/>
      <c r="K771" s="251"/>
      <c r="L771" s="251"/>
      <c r="M771" s="251"/>
      <c r="N771" s="251"/>
      <c r="O771" s="251"/>
      <c r="P771" s="251"/>
      <c r="Q771" s="251"/>
      <c r="R771" s="251"/>
      <c r="S771" s="251"/>
      <c r="T771" s="251"/>
      <c r="U771" s="251"/>
      <c r="V771" s="251"/>
      <c r="W771" s="251"/>
      <c r="X771" s="251"/>
      <c r="Y771" s="251"/>
      <c r="Z771" s="251"/>
    </row>
    <row r="772" spans="1:26" ht="14.25" customHeight="1" x14ac:dyDescent="0.35">
      <c r="A772" s="251"/>
      <c r="B772" s="251"/>
      <c r="C772" s="251"/>
      <c r="D772" s="251"/>
      <c r="E772" s="251"/>
      <c r="F772" s="251"/>
      <c r="G772" s="251"/>
      <c r="H772" s="251"/>
      <c r="I772" s="251"/>
      <c r="J772" s="251"/>
      <c r="K772" s="251"/>
      <c r="L772" s="251"/>
      <c r="M772" s="251"/>
      <c r="N772" s="251"/>
      <c r="O772" s="251"/>
      <c r="P772" s="251"/>
      <c r="Q772" s="251"/>
      <c r="R772" s="251"/>
      <c r="S772" s="251"/>
      <c r="T772" s="251"/>
      <c r="U772" s="251"/>
      <c r="V772" s="251"/>
      <c r="W772" s="251"/>
      <c r="X772" s="251"/>
      <c r="Y772" s="251"/>
      <c r="Z772" s="251"/>
    </row>
    <row r="773" spans="1:26" ht="14.25" customHeight="1" x14ac:dyDescent="0.35">
      <c r="A773" s="251"/>
      <c r="B773" s="251"/>
      <c r="C773" s="251"/>
      <c r="D773" s="251"/>
      <c r="E773" s="251"/>
      <c r="F773" s="251"/>
      <c r="G773" s="251"/>
      <c r="H773" s="251"/>
      <c r="I773" s="251"/>
      <c r="J773" s="251"/>
      <c r="K773" s="251"/>
      <c r="L773" s="251"/>
      <c r="M773" s="251"/>
      <c r="N773" s="251"/>
      <c r="O773" s="251"/>
      <c r="P773" s="251"/>
      <c r="Q773" s="251"/>
      <c r="R773" s="251"/>
      <c r="S773" s="251"/>
      <c r="T773" s="251"/>
      <c r="U773" s="251"/>
      <c r="V773" s="251"/>
      <c r="W773" s="251"/>
      <c r="X773" s="251"/>
      <c r="Y773" s="251"/>
      <c r="Z773" s="251"/>
    </row>
    <row r="774" spans="1:26" ht="14.25" customHeight="1" x14ac:dyDescent="0.35">
      <c r="A774" s="251"/>
      <c r="B774" s="251"/>
      <c r="C774" s="251"/>
      <c r="D774" s="251"/>
      <c r="E774" s="251"/>
      <c r="F774" s="251"/>
      <c r="G774" s="251"/>
      <c r="H774" s="251"/>
      <c r="I774" s="251"/>
      <c r="J774" s="251"/>
      <c r="K774" s="251"/>
      <c r="L774" s="251"/>
      <c r="M774" s="251"/>
      <c r="N774" s="251"/>
      <c r="O774" s="251"/>
      <c r="P774" s="251"/>
      <c r="Q774" s="251"/>
      <c r="R774" s="251"/>
      <c r="S774" s="251"/>
      <c r="T774" s="251"/>
      <c r="U774" s="251"/>
      <c r="V774" s="251"/>
      <c r="W774" s="251"/>
      <c r="X774" s="251"/>
      <c r="Y774" s="251"/>
      <c r="Z774" s="251"/>
    </row>
    <row r="775" spans="1:26" ht="14.25" customHeight="1" x14ac:dyDescent="0.35">
      <c r="A775" s="251"/>
      <c r="B775" s="251"/>
      <c r="C775" s="251"/>
      <c r="D775" s="251"/>
      <c r="E775" s="251"/>
      <c r="F775" s="251"/>
      <c r="G775" s="251"/>
      <c r="H775" s="251"/>
      <c r="I775" s="251"/>
      <c r="J775" s="251"/>
      <c r="K775" s="251"/>
      <c r="L775" s="251"/>
      <c r="M775" s="251"/>
      <c r="N775" s="251"/>
      <c r="O775" s="251"/>
      <c r="P775" s="251"/>
      <c r="Q775" s="251"/>
      <c r="R775" s="251"/>
      <c r="S775" s="251"/>
      <c r="T775" s="251"/>
      <c r="U775" s="251"/>
      <c r="V775" s="251"/>
      <c r="W775" s="251"/>
      <c r="X775" s="251"/>
      <c r="Y775" s="251"/>
      <c r="Z775" s="251"/>
    </row>
    <row r="776" spans="1:26" ht="14.25" customHeight="1" x14ac:dyDescent="0.35">
      <c r="A776" s="251"/>
      <c r="B776" s="251"/>
      <c r="C776" s="251"/>
      <c r="D776" s="251"/>
      <c r="E776" s="251"/>
      <c r="F776" s="251"/>
      <c r="G776" s="251"/>
      <c r="H776" s="251"/>
      <c r="I776" s="251"/>
      <c r="J776" s="251"/>
      <c r="K776" s="251"/>
      <c r="L776" s="251"/>
      <c r="M776" s="251"/>
      <c r="N776" s="251"/>
      <c r="O776" s="251"/>
      <c r="P776" s="251"/>
      <c r="Q776" s="251"/>
      <c r="R776" s="251"/>
      <c r="S776" s="251"/>
      <c r="T776" s="251"/>
      <c r="U776" s="251"/>
      <c r="V776" s="251"/>
      <c r="W776" s="251"/>
      <c r="X776" s="251"/>
      <c r="Y776" s="251"/>
      <c r="Z776" s="251"/>
    </row>
    <row r="777" spans="1:26" ht="14.25" customHeight="1" x14ac:dyDescent="0.35">
      <c r="A777" s="251"/>
      <c r="B777" s="251"/>
      <c r="C777" s="251"/>
      <c r="D777" s="251"/>
      <c r="E777" s="251"/>
      <c r="F777" s="251"/>
      <c r="G777" s="251"/>
      <c r="H777" s="251"/>
      <c r="I777" s="251"/>
      <c r="J777" s="251"/>
      <c r="K777" s="251"/>
      <c r="L777" s="251"/>
      <c r="M777" s="251"/>
      <c r="N777" s="251"/>
      <c r="O777" s="251"/>
      <c r="P777" s="251"/>
      <c r="Q777" s="251"/>
      <c r="R777" s="251"/>
      <c r="S777" s="251"/>
      <c r="T777" s="251"/>
      <c r="U777" s="251"/>
      <c r="V777" s="251"/>
      <c r="W777" s="251"/>
      <c r="X777" s="251"/>
      <c r="Y777" s="251"/>
      <c r="Z777" s="251"/>
    </row>
    <row r="778" spans="1:26" ht="14.25" customHeight="1" x14ac:dyDescent="0.35">
      <c r="A778" s="251"/>
      <c r="B778" s="251"/>
      <c r="C778" s="251"/>
      <c r="D778" s="251"/>
      <c r="E778" s="251"/>
      <c r="F778" s="251"/>
      <c r="G778" s="251"/>
      <c r="H778" s="251"/>
      <c r="I778" s="251"/>
      <c r="J778" s="251"/>
      <c r="K778" s="251"/>
      <c r="L778" s="251"/>
      <c r="M778" s="251"/>
      <c r="N778" s="251"/>
      <c r="O778" s="251"/>
      <c r="P778" s="251"/>
      <c r="Q778" s="251"/>
      <c r="R778" s="251"/>
      <c r="S778" s="251"/>
      <c r="T778" s="251"/>
      <c r="U778" s="251"/>
      <c r="V778" s="251"/>
      <c r="W778" s="251"/>
      <c r="X778" s="251"/>
      <c r="Y778" s="251"/>
      <c r="Z778" s="251"/>
    </row>
    <row r="779" spans="1:26" ht="14.25" customHeight="1" x14ac:dyDescent="0.35">
      <c r="A779" s="251"/>
      <c r="B779" s="251"/>
      <c r="C779" s="251"/>
      <c r="D779" s="251"/>
      <c r="E779" s="251"/>
      <c r="F779" s="251"/>
      <c r="G779" s="251"/>
      <c r="H779" s="251"/>
      <c r="I779" s="251"/>
      <c r="J779" s="251"/>
      <c r="K779" s="251"/>
      <c r="L779" s="251"/>
      <c r="M779" s="251"/>
      <c r="N779" s="251"/>
      <c r="O779" s="251"/>
      <c r="P779" s="251"/>
      <c r="Q779" s="251"/>
      <c r="R779" s="251"/>
      <c r="S779" s="251"/>
      <c r="T779" s="251"/>
      <c r="U779" s="251"/>
      <c r="V779" s="251"/>
      <c r="W779" s="251"/>
      <c r="X779" s="251"/>
      <c r="Y779" s="251"/>
      <c r="Z779" s="251"/>
    </row>
    <row r="780" spans="1:26" ht="14.25" customHeight="1" x14ac:dyDescent="0.35">
      <c r="A780" s="251"/>
      <c r="B780" s="251"/>
      <c r="C780" s="251"/>
      <c r="D780" s="251"/>
      <c r="E780" s="251"/>
      <c r="F780" s="251"/>
      <c r="G780" s="251"/>
      <c r="H780" s="251"/>
      <c r="I780" s="251"/>
      <c r="J780" s="251"/>
      <c r="K780" s="251"/>
      <c r="L780" s="251"/>
      <c r="M780" s="251"/>
      <c r="N780" s="251"/>
      <c r="O780" s="251"/>
      <c r="P780" s="251"/>
      <c r="Q780" s="251"/>
      <c r="R780" s="251"/>
      <c r="S780" s="251"/>
      <c r="T780" s="251"/>
      <c r="U780" s="251"/>
      <c r="V780" s="251"/>
      <c r="W780" s="251"/>
      <c r="X780" s="251"/>
      <c r="Y780" s="251"/>
      <c r="Z780" s="251"/>
    </row>
    <row r="781" spans="1:26" ht="14.25" customHeight="1" x14ac:dyDescent="0.35">
      <c r="A781" s="251"/>
      <c r="B781" s="251"/>
      <c r="C781" s="251"/>
      <c r="D781" s="251"/>
      <c r="E781" s="251"/>
      <c r="F781" s="251"/>
      <c r="G781" s="251"/>
      <c r="H781" s="251"/>
      <c r="I781" s="251"/>
      <c r="J781" s="251"/>
      <c r="K781" s="251"/>
      <c r="L781" s="251"/>
      <c r="M781" s="251"/>
      <c r="N781" s="251"/>
      <c r="O781" s="251"/>
      <c r="P781" s="251"/>
      <c r="Q781" s="251"/>
      <c r="R781" s="251"/>
      <c r="S781" s="251"/>
      <c r="T781" s="251"/>
      <c r="U781" s="251"/>
      <c r="V781" s="251"/>
      <c r="W781" s="251"/>
      <c r="X781" s="251"/>
      <c r="Y781" s="251"/>
      <c r="Z781" s="251"/>
    </row>
    <row r="782" spans="1:26" ht="14.25" customHeight="1" x14ac:dyDescent="0.35">
      <c r="A782" s="251"/>
      <c r="B782" s="251"/>
      <c r="C782" s="251"/>
      <c r="D782" s="251"/>
      <c r="E782" s="251"/>
      <c r="F782" s="251"/>
      <c r="G782" s="251"/>
      <c r="H782" s="251"/>
      <c r="I782" s="251"/>
      <c r="J782" s="251"/>
      <c r="K782" s="251"/>
      <c r="L782" s="251"/>
      <c r="M782" s="251"/>
      <c r="N782" s="251"/>
      <c r="O782" s="251"/>
      <c r="P782" s="251"/>
      <c r="Q782" s="251"/>
      <c r="R782" s="251"/>
      <c r="S782" s="251"/>
      <c r="T782" s="251"/>
      <c r="U782" s="251"/>
      <c r="V782" s="251"/>
      <c r="W782" s="251"/>
      <c r="X782" s="251"/>
      <c r="Y782" s="251"/>
      <c r="Z782" s="251"/>
    </row>
    <row r="783" spans="1:26" ht="14.25" customHeight="1" x14ac:dyDescent="0.35">
      <c r="A783" s="251"/>
      <c r="B783" s="251"/>
      <c r="C783" s="251"/>
      <c r="D783" s="251"/>
      <c r="E783" s="251"/>
      <c r="F783" s="251"/>
      <c r="G783" s="251"/>
      <c r="H783" s="251"/>
      <c r="I783" s="251"/>
      <c r="J783" s="251"/>
      <c r="K783" s="251"/>
      <c r="L783" s="251"/>
      <c r="M783" s="251"/>
      <c r="N783" s="251"/>
      <c r="O783" s="251"/>
      <c r="P783" s="251"/>
      <c r="Q783" s="251"/>
      <c r="R783" s="251"/>
      <c r="S783" s="251"/>
      <c r="T783" s="251"/>
      <c r="U783" s="251"/>
      <c r="V783" s="251"/>
      <c r="W783" s="251"/>
      <c r="X783" s="251"/>
      <c r="Y783" s="251"/>
      <c r="Z783" s="251"/>
    </row>
    <row r="784" spans="1:26" ht="14.25" customHeight="1" x14ac:dyDescent="0.35">
      <c r="A784" s="251"/>
      <c r="B784" s="251"/>
      <c r="C784" s="251"/>
      <c r="D784" s="251"/>
      <c r="E784" s="251"/>
      <c r="F784" s="251"/>
      <c r="G784" s="251"/>
      <c r="H784" s="251"/>
      <c r="I784" s="251"/>
      <c r="J784" s="251"/>
      <c r="K784" s="251"/>
      <c r="L784" s="251"/>
      <c r="M784" s="251"/>
      <c r="N784" s="251"/>
      <c r="O784" s="251"/>
      <c r="P784" s="251"/>
      <c r="Q784" s="251"/>
      <c r="R784" s="251"/>
      <c r="S784" s="251"/>
      <c r="T784" s="251"/>
      <c r="U784" s="251"/>
      <c r="V784" s="251"/>
      <c r="W784" s="251"/>
      <c r="X784" s="251"/>
      <c r="Y784" s="251"/>
      <c r="Z784" s="251"/>
    </row>
    <row r="785" spans="1:26" ht="14.25" customHeight="1" x14ac:dyDescent="0.35">
      <c r="A785" s="251"/>
      <c r="B785" s="251"/>
      <c r="C785" s="251"/>
      <c r="D785" s="251"/>
      <c r="E785" s="251"/>
      <c r="F785" s="251"/>
      <c r="G785" s="251"/>
      <c r="H785" s="251"/>
      <c r="I785" s="251"/>
      <c r="J785" s="251"/>
      <c r="K785" s="251"/>
      <c r="L785" s="251"/>
      <c r="M785" s="251"/>
      <c r="N785" s="251"/>
      <c r="O785" s="251"/>
      <c r="P785" s="251"/>
      <c r="Q785" s="251"/>
      <c r="R785" s="251"/>
      <c r="S785" s="251"/>
      <c r="T785" s="251"/>
      <c r="U785" s="251"/>
      <c r="V785" s="251"/>
      <c r="W785" s="251"/>
      <c r="X785" s="251"/>
      <c r="Y785" s="251"/>
      <c r="Z785" s="251"/>
    </row>
    <row r="786" spans="1:26" ht="14.25" customHeight="1" x14ac:dyDescent="0.35">
      <c r="A786" s="251"/>
      <c r="B786" s="251"/>
      <c r="C786" s="251"/>
      <c r="D786" s="251"/>
      <c r="E786" s="251"/>
      <c r="F786" s="251"/>
      <c r="G786" s="251"/>
      <c r="H786" s="251"/>
      <c r="I786" s="251"/>
      <c r="J786" s="251"/>
      <c r="K786" s="251"/>
      <c r="L786" s="251"/>
      <c r="M786" s="251"/>
      <c r="N786" s="251"/>
      <c r="O786" s="251"/>
      <c r="P786" s="251"/>
      <c r="Q786" s="251"/>
      <c r="R786" s="251"/>
      <c r="S786" s="251"/>
      <c r="T786" s="251"/>
      <c r="U786" s="251"/>
      <c r="V786" s="251"/>
      <c r="W786" s="251"/>
      <c r="X786" s="251"/>
      <c r="Y786" s="251"/>
      <c r="Z786" s="251"/>
    </row>
    <row r="787" spans="1:26" ht="14.25" customHeight="1" x14ac:dyDescent="0.35">
      <c r="A787" s="251"/>
      <c r="B787" s="251"/>
      <c r="C787" s="251"/>
      <c r="D787" s="251"/>
      <c r="E787" s="251"/>
      <c r="F787" s="251"/>
      <c r="G787" s="251"/>
      <c r="H787" s="251"/>
      <c r="I787" s="251"/>
      <c r="J787" s="251"/>
      <c r="K787" s="251"/>
      <c r="L787" s="251"/>
      <c r="M787" s="251"/>
      <c r="N787" s="251"/>
      <c r="O787" s="251"/>
      <c r="P787" s="251"/>
      <c r="Q787" s="251"/>
      <c r="R787" s="251"/>
      <c r="S787" s="251"/>
      <c r="T787" s="251"/>
      <c r="U787" s="251"/>
      <c r="V787" s="251"/>
      <c r="W787" s="251"/>
      <c r="X787" s="251"/>
      <c r="Y787" s="251"/>
      <c r="Z787" s="251"/>
    </row>
    <row r="788" spans="1:26" ht="14.25" customHeight="1" x14ac:dyDescent="0.35">
      <c r="A788" s="251"/>
      <c r="B788" s="251"/>
      <c r="C788" s="251"/>
      <c r="D788" s="251"/>
      <c r="E788" s="251"/>
      <c r="F788" s="251"/>
      <c r="G788" s="251"/>
      <c r="H788" s="251"/>
      <c r="I788" s="251"/>
      <c r="J788" s="251"/>
      <c r="K788" s="251"/>
      <c r="L788" s="251"/>
      <c r="M788" s="251"/>
      <c r="N788" s="251"/>
      <c r="O788" s="251"/>
      <c r="P788" s="251"/>
      <c r="Q788" s="251"/>
      <c r="R788" s="251"/>
      <c r="S788" s="251"/>
      <c r="T788" s="251"/>
      <c r="U788" s="251"/>
      <c r="V788" s="251"/>
      <c r="W788" s="251"/>
      <c r="X788" s="251"/>
      <c r="Y788" s="251"/>
      <c r="Z788" s="251"/>
    </row>
    <row r="789" spans="1:26" ht="14.25" customHeight="1" x14ac:dyDescent="0.35">
      <c r="A789" s="251"/>
      <c r="B789" s="251"/>
      <c r="C789" s="251"/>
      <c r="D789" s="251"/>
      <c r="E789" s="251"/>
      <c r="F789" s="251"/>
      <c r="G789" s="251"/>
      <c r="H789" s="251"/>
      <c r="I789" s="251"/>
      <c r="J789" s="251"/>
      <c r="K789" s="251"/>
      <c r="L789" s="251"/>
      <c r="M789" s="251"/>
      <c r="N789" s="251"/>
      <c r="O789" s="251"/>
      <c r="P789" s="251"/>
      <c r="Q789" s="251"/>
      <c r="R789" s="251"/>
      <c r="S789" s="251"/>
      <c r="T789" s="251"/>
      <c r="U789" s="251"/>
      <c r="V789" s="251"/>
      <c r="W789" s="251"/>
      <c r="X789" s="251"/>
      <c r="Y789" s="251"/>
      <c r="Z789" s="251"/>
    </row>
    <row r="790" spans="1:26" ht="14.25" customHeight="1" x14ac:dyDescent="0.35">
      <c r="A790" s="251"/>
      <c r="B790" s="251"/>
      <c r="C790" s="251"/>
      <c r="D790" s="251"/>
      <c r="E790" s="251"/>
      <c r="F790" s="251"/>
      <c r="G790" s="251"/>
      <c r="H790" s="251"/>
      <c r="I790" s="251"/>
      <c r="J790" s="251"/>
      <c r="K790" s="251"/>
      <c r="L790" s="251"/>
      <c r="M790" s="251"/>
      <c r="N790" s="251"/>
      <c r="O790" s="251"/>
      <c r="P790" s="251"/>
      <c r="Q790" s="251"/>
      <c r="R790" s="251"/>
      <c r="S790" s="251"/>
      <c r="T790" s="251"/>
      <c r="U790" s="251"/>
      <c r="V790" s="251"/>
      <c r="W790" s="251"/>
      <c r="X790" s="251"/>
      <c r="Y790" s="251"/>
      <c r="Z790" s="251"/>
    </row>
    <row r="791" spans="1:26" ht="14.25" customHeight="1" x14ac:dyDescent="0.35">
      <c r="A791" s="251"/>
      <c r="B791" s="251"/>
      <c r="C791" s="251"/>
      <c r="D791" s="251"/>
      <c r="E791" s="251"/>
      <c r="F791" s="251"/>
      <c r="G791" s="251"/>
      <c r="H791" s="251"/>
      <c r="I791" s="251"/>
      <c r="J791" s="251"/>
      <c r="K791" s="251"/>
      <c r="L791" s="251"/>
      <c r="M791" s="251"/>
      <c r="N791" s="251"/>
      <c r="O791" s="251"/>
      <c r="P791" s="251"/>
      <c r="Q791" s="251"/>
      <c r="R791" s="251"/>
      <c r="S791" s="251"/>
      <c r="T791" s="251"/>
      <c r="U791" s="251"/>
      <c r="V791" s="251"/>
      <c r="W791" s="251"/>
      <c r="X791" s="251"/>
      <c r="Y791" s="251"/>
      <c r="Z791" s="251"/>
    </row>
    <row r="792" spans="1:26" ht="14.25" customHeight="1" x14ac:dyDescent="0.35">
      <c r="A792" s="251"/>
      <c r="B792" s="251"/>
      <c r="C792" s="251"/>
      <c r="D792" s="251"/>
      <c r="E792" s="251"/>
      <c r="F792" s="251"/>
      <c r="G792" s="251"/>
      <c r="H792" s="251"/>
      <c r="I792" s="251"/>
      <c r="J792" s="251"/>
      <c r="K792" s="251"/>
      <c r="L792" s="251"/>
      <c r="M792" s="251"/>
      <c r="N792" s="251"/>
      <c r="O792" s="251"/>
      <c r="P792" s="251"/>
      <c r="Q792" s="251"/>
      <c r="R792" s="251"/>
      <c r="S792" s="251"/>
      <c r="T792" s="251"/>
      <c r="U792" s="251"/>
      <c r="V792" s="251"/>
      <c r="W792" s="251"/>
      <c r="X792" s="251"/>
      <c r="Y792" s="251"/>
      <c r="Z792" s="251"/>
    </row>
    <row r="793" spans="1:26" ht="14.25" customHeight="1" x14ac:dyDescent="0.35">
      <c r="A793" s="251"/>
      <c r="B793" s="251"/>
      <c r="C793" s="251"/>
      <c r="D793" s="251"/>
      <c r="E793" s="251"/>
      <c r="F793" s="251"/>
      <c r="G793" s="251"/>
      <c r="H793" s="251"/>
      <c r="I793" s="251"/>
      <c r="J793" s="251"/>
      <c r="K793" s="251"/>
      <c r="L793" s="251"/>
      <c r="M793" s="251"/>
      <c r="N793" s="251"/>
      <c r="O793" s="251"/>
      <c r="P793" s="251"/>
      <c r="Q793" s="251"/>
      <c r="R793" s="251"/>
      <c r="S793" s="251"/>
      <c r="T793" s="251"/>
      <c r="U793" s="251"/>
      <c r="V793" s="251"/>
      <c r="W793" s="251"/>
      <c r="X793" s="251"/>
      <c r="Y793" s="251"/>
      <c r="Z793" s="251"/>
    </row>
    <row r="794" spans="1:26" ht="14.25" customHeight="1" x14ac:dyDescent="0.35">
      <c r="A794" s="251"/>
      <c r="B794" s="251"/>
      <c r="C794" s="251"/>
      <c r="D794" s="251"/>
      <c r="E794" s="251"/>
      <c r="F794" s="251"/>
      <c r="G794" s="251"/>
      <c r="H794" s="251"/>
      <c r="I794" s="251"/>
      <c r="J794" s="251"/>
      <c r="K794" s="251"/>
      <c r="L794" s="251"/>
      <c r="M794" s="251"/>
      <c r="N794" s="251"/>
      <c r="O794" s="251"/>
      <c r="P794" s="251"/>
      <c r="Q794" s="251"/>
      <c r="R794" s="251"/>
      <c r="S794" s="251"/>
      <c r="T794" s="251"/>
      <c r="U794" s="251"/>
      <c r="V794" s="251"/>
      <c r="W794" s="251"/>
      <c r="X794" s="251"/>
      <c r="Y794" s="251"/>
      <c r="Z794" s="251"/>
    </row>
    <row r="795" spans="1:26" ht="14.25" customHeight="1" x14ac:dyDescent="0.35">
      <c r="A795" s="251"/>
      <c r="B795" s="251"/>
      <c r="C795" s="251"/>
      <c r="D795" s="251"/>
      <c r="E795" s="251"/>
      <c r="F795" s="251"/>
      <c r="G795" s="251"/>
      <c r="H795" s="251"/>
      <c r="I795" s="251"/>
      <c r="J795" s="251"/>
      <c r="K795" s="251"/>
      <c r="L795" s="251"/>
      <c r="M795" s="251"/>
      <c r="N795" s="251"/>
      <c r="O795" s="251"/>
      <c r="P795" s="251"/>
      <c r="Q795" s="251"/>
      <c r="R795" s="251"/>
      <c r="S795" s="251"/>
      <c r="T795" s="251"/>
      <c r="U795" s="251"/>
      <c r="V795" s="251"/>
      <c r="W795" s="251"/>
      <c r="X795" s="251"/>
      <c r="Y795" s="251"/>
      <c r="Z795" s="251"/>
    </row>
    <row r="796" spans="1:26" ht="14.25" customHeight="1" x14ac:dyDescent="0.35">
      <c r="A796" s="251"/>
      <c r="B796" s="251"/>
      <c r="C796" s="251"/>
      <c r="D796" s="251"/>
      <c r="E796" s="251"/>
      <c r="F796" s="251"/>
      <c r="G796" s="251"/>
      <c r="H796" s="251"/>
      <c r="I796" s="251"/>
      <c r="J796" s="251"/>
      <c r="K796" s="251"/>
      <c r="L796" s="251"/>
      <c r="M796" s="251"/>
      <c r="N796" s="251"/>
      <c r="O796" s="251"/>
      <c r="P796" s="251"/>
      <c r="Q796" s="251"/>
      <c r="R796" s="251"/>
      <c r="S796" s="251"/>
      <c r="T796" s="251"/>
      <c r="U796" s="251"/>
      <c r="V796" s="251"/>
      <c r="W796" s="251"/>
      <c r="X796" s="251"/>
      <c r="Y796" s="251"/>
      <c r="Z796" s="251"/>
    </row>
    <row r="797" spans="1:26" ht="14.25" customHeight="1" x14ac:dyDescent="0.35">
      <c r="A797" s="251"/>
      <c r="B797" s="251"/>
      <c r="C797" s="251"/>
      <c r="D797" s="251"/>
      <c r="E797" s="251"/>
      <c r="F797" s="251"/>
      <c r="G797" s="251"/>
      <c r="H797" s="251"/>
      <c r="I797" s="251"/>
      <c r="J797" s="251"/>
      <c r="K797" s="251"/>
      <c r="L797" s="251"/>
      <c r="M797" s="251"/>
      <c r="N797" s="251"/>
      <c r="O797" s="251"/>
      <c r="P797" s="251"/>
      <c r="Q797" s="251"/>
      <c r="R797" s="251"/>
      <c r="S797" s="251"/>
      <c r="T797" s="251"/>
      <c r="U797" s="251"/>
      <c r="V797" s="251"/>
      <c r="W797" s="251"/>
      <c r="X797" s="251"/>
      <c r="Y797" s="251"/>
      <c r="Z797" s="251"/>
    </row>
    <row r="798" spans="1:26" ht="14.25" customHeight="1" x14ac:dyDescent="0.35">
      <c r="A798" s="251"/>
      <c r="B798" s="251"/>
      <c r="C798" s="251"/>
      <c r="D798" s="251"/>
      <c r="E798" s="251"/>
      <c r="F798" s="251"/>
      <c r="G798" s="251"/>
      <c r="H798" s="251"/>
      <c r="I798" s="251"/>
      <c r="J798" s="251"/>
      <c r="K798" s="251"/>
      <c r="L798" s="251"/>
      <c r="M798" s="251"/>
      <c r="N798" s="251"/>
      <c r="O798" s="251"/>
      <c r="P798" s="251"/>
      <c r="Q798" s="251"/>
      <c r="R798" s="251"/>
      <c r="S798" s="251"/>
      <c r="T798" s="251"/>
      <c r="U798" s="251"/>
      <c r="V798" s="251"/>
      <c r="W798" s="251"/>
      <c r="X798" s="251"/>
      <c r="Y798" s="251"/>
      <c r="Z798" s="251"/>
    </row>
    <row r="799" spans="1:26" ht="14.25" customHeight="1" x14ac:dyDescent="0.35">
      <c r="A799" s="251"/>
      <c r="B799" s="251"/>
      <c r="C799" s="251"/>
      <c r="D799" s="251"/>
      <c r="E799" s="251"/>
      <c r="F799" s="251"/>
      <c r="G799" s="251"/>
      <c r="H799" s="251"/>
      <c r="I799" s="251"/>
      <c r="J799" s="251"/>
      <c r="K799" s="251"/>
      <c r="L799" s="251"/>
      <c r="M799" s="251"/>
      <c r="N799" s="251"/>
      <c r="O799" s="251"/>
      <c r="P799" s="251"/>
      <c r="Q799" s="251"/>
      <c r="R799" s="251"/>
      <c r="S799" s="251"/>
      <c r="T799" s="251"/>
      <c r="U799" s="251"/>
      <c r="V799" s="251"/>
      <c r="W799" s="251"/>
      <c r="X799" s="251"/>
      <c r="Y799" s="251"/>
      <c r="Z799" s="251"/>
    </row>
    <row r="800" spans="1:26" ht="14.25" customHeight="1" x14ac:dyDescent="0.35">
      <c r="A800" s="251"/>
      <c r="B800" s="251"/>
      <c r="C800" s="251"/>
      <c r="D800" s="251"/>
      <c r="E800" s="251"/>
      <c r="F800" s="251"/>
      <c r="G800" s="251"/>
      <c r="H800" s="251"/>
      <c r="I800" s="251"/>
      <c r="J800" s="251"/>
      <c r="K800" s="251"/>
      <c r="L800" s="251"/>
      <c r="M800" s="251"/>
      <c r="N800" s="251"/>
      <c r="O800" s="251"/>
      <c r="P800" s="251"/>
      <c r="Q800" s="251"/>
      <c r="R800" s="251"/>
      <c r="S800" s="251"/>
      <c r="T800" s="251"/>
      <c r="U800" s="251"/>
      <c r="V800" s="251"/>
      <c r="W800" s="251"/>
      <c r="X800" s="251"/>
      <c r="Y800" s="251"/>
      <c r="Z800" s="251"/>
    </row>
    <row r="801" spans="1:26" ht="14.25" customHeight="1" x14ac:dyDescent="0.35">
      <c r="A801" s="251"/>
      <c r="B801" s="251"/>
      <c r="C801" s="251"/>
      <c r="D801" s="251"/>
      <c r="E801" s="251"/>
      <c r="F801" s="251"/>
      <c r="G801" s="251"/>
      <c r="H801" s="251"/>
      <c r="I801" s="251"/>
      <c r="J801" s="251"/>
      <c r="K801" s="251"/>
      <c r="L801" s="251"/>
      <c r="M801" s="251"/>
      <c r="N801" s="251"/>
      <c r="O801" s="251"/>
      <c r="P801" s="251"/>
      <c r="Q801" s="251"/>
      <c r="R801" s="251"/>
      <c r="S801" s="251"/>
      <c r="T801" s="251"/>
      <c r="U801" s="251"/>
      <c r="V801" s="251"/>
      <c r="W801" s="251"/>
      <c r="X801" s="251"/>
      <c r="Y801" s="251"/>
      <c r="Z801" s="251"/>
    </row>
    <row r="802" spans="1:26" ht="14.25" customHeight="1" x14ac:dyDescent="0.35">
      <c r="A802" s="251"/>
      <c r="B802" s="251"/>
      <c r="C802" s="251"/>
      <c r="D802" s="251"/>
      <c r="E802" s="251"/>
      <c r="F802" s="251"/>
      <c r="G802" s="251"/>
      <c r="H802" s="251"/>
      <c r="I802" s="251"/>
      <c r="J802" s="251"/>
      <c r="K802" s="251"/>
      <c r="L802" s="251"/>
      <c r="M802" s="251"/>
      <c r="N802" s="251"/>
      <c r="O802" s="251"/>
      <c r="P802" s="251"/>
      <c r="Q802" s="251"/>
      <c r="R802" s="251"/>
      <c r="S802" s="251"/>
      <c r="T802" s="251"/>
      <c r="U802" s="251"/>
      <c r="V802" s="251"/>
      <c r="W802" s="251"/>
      <c r="X802" s="251"/>
      <c r="Y802" s="251"/>
      <c r="Z802" s="251"/>
    </row>
    <row r="803" spans="1:26" ht="14.25" customHeight="1" x14ac:dyDescent="0.35">
      <c r="A803" s="251"/>
      <c r="B803" s="251"/>
      <c r="C803" s="251"/>
      <c r="D803" s="251"/>
      <c r="E803" s="251"/>
      <c r="F803" s="251"/>
      <c r="G803" s="251"/>
      <c r="H803" s="251"/>
      <c r="I803" s="251"/>
      <c r="J803" s="251"/>
      <c r="K803" s="251"/>
      <c r="L803" s="251"/>
      <c r="M803" s="251"/>
      <c r="N803" s="251"/>
      <c r="O803" s="251"/>
      <c r="P803" s="251"/>
      <c r="Q803" s="251"/>
      <c r="R803" s="251"/>
      <c r="S803" s="251"/>
      <c r="T803" s="251"/>
      <c r="U803" s="251"/>
      <c r="V803" s="251"/>
      <c r="W803" s="251"/>
      <c r="X803" s="251"/>
      <c r="Y803" s="251"/>
      <c r="Z803" s="251"/>
    </row>
    <row r="804" spans="1:26" ht="14.25" customHeight="1" x14ac:dyDescent="0.35">
      <c r="A804" s="251"/>
      <c r="B804" s="251"/>
      <c r="C804" s="251"/>
      <c r="D804" s="251"/>
      <c r="E804" s="251"/>
      <c r="F804" s="251"/>
      <c r="G804" s="251"/>
      <c r="H804" s="251"/>
      <c r="I804" s="251"/>
      <c r="J804" s="251"/>
      <c r="K804" s="251"/>
      <c r="L804" s="251"/>
      <c r="M804" s="251"/>
      <c r="N804" s="251"/>
      <c r="O804" s="251"/>
      <c r="P804" s="251"/>
      <c r="Q804" s="251"/>
      <c r="R804" s="251"/>
      <c r="S804" s="251"/>
      <c r="T804" s="251"/>
      <c r="U804" s="251"/>
      <c r="V804" s="251"/>
      <c r="W804" s="251"/>
      <c r="X804" s="251"/>
      <c r="Y804" s="251"/>
      <c r="Z804" s="251"/>
    </row>
    <row r="805" spans="1:26" ht="14.25" customHeight="1" x14ac:dyDescent="0.35">
      <c r="A805" s="251"/>
      <c r="B805" s="251"/>
      <c r="C805" s="251"/>
      <c r="D805" s="251"/>
      <c r="E805" s="251"/>
      <c r="F805" s="251"/>
      <c r="G805" s="251"/>
      <c r="H805" s="251"/>
      <c r="I805" s="251"/>
      <c r="J805" s="251"/>
      <c r="K805" s="251"/>
      <c r="L805" s="251"/>
      <c r="M805" s="251"/>
      <c r="N805" s="251"/>
      <c r="O805" s="251"/>
      <c r="P805" s="251"/>
      <c r="Q805" s="251"/>
      <c r="R805" s="251"/>
      <c r="S805" s="251"/>
      <c r="T805" s="251"/>
      <c r="U805" s="251"/>
      <c r="V805" s="251"/>
      <c r="W805" s="251"/>
      <c r="X805" s="251"/>
      <c r="Y805" s="251"/>
      <c r="Z805" s="251"/>
    </row>
    <row r="806" spans="1:26" ht="14.25" customHeight="1" x14ac:dyDescent="0.35">
      <c r="A806" s="251"/>
      <c r="B806" s="251"/>
      <c r="C806" s="251"/>
      <c r="D806" s="251"/>
      <c r="E806" s="251"/>
      <c r="F806" s="251"/>
      <c r="G806" s="251"/>
      <c r="H806" s="251"/>
      <c r="I806" s="251"/>
      <c r="J806" s="251"/>
      <c r="K806" s="251"/>
      <c r="L806" s="251"/>
      <c r="M806" s="251"/>
      <c r="N806" s="251"/>
      <c r="O806" s="251"/>
      <c r="P806" s="251"/>
      <c r="Q806" s="251"/>
      <c r="R806" s="251"/>
      <c r="S806" s="251"/>
      <c r="T806" s="251"/>
      <c r="U806" s="251"/>
      <c r="V806" s="251"/>
      <c r="W806" s="251"/>
      <c r="X806" s="251"/>
      <c r="Y806" s="251"/>
      <c r="Z806" s="251"/>
    </row>
    <row r="807" spans="1:26" ht="14.25" customHeight="1" x14ac:dyDescent="0.35">
      <c r="A807" s="251"/>
      <c r="B807" s="251"/>
      <c r="C807" s="251"/>
      <c r="D807" s="251"/>
      <c r="E807" s="251"/>
      <c r="F807" s="251"/>
      <c r="G807" s="251"/>
      <c r="H807" s="251"/>
      <c r="I807" s="251"/>
      <c r="J807" s="251"/>
      <c r="K807" s="251"/>
      <c r="L807" s="251"/>
      <c r="M807" s="251"/>
      <c r="N807" s="251"/>
      <c r="O807" s="251"/>
      <c r="P807" s="251"/>
      <c r="Q807" s="251"/>
      <c r="R807" s="251"/>
      <c r="S807" s="251"/>
      <c r="T807" s="251"/>
      <c r="U807" s="251"/>
      <c r="V807" s="251"/>
      <c r="W807" s="251"/>
      <c r="X807" s="251"/>
      <c r="Y807" s="251"/>
      <c r="Z807" s="251"/>
    </row>
    <row r="808" spans="1:26" ht="14.25" customHeight="1" x14ac:dyDescent="0.35">
      <c r="A808" s="251"/>
      <c r="B808" s="251"/>
      <c r="C808" s="251"/>
      <c r="D808" s="251"/>
      <c r="E808" s="251"/>
      <c r="F808" s="251"/>
      <c r="G808" s="251"/>
      <c r="H808" s="251"/>
      <c r="I808" s="251"/>
      <c r="J808" s="251"/>
      <c r="K808" s="251"/>
      <c r="L808" s="251"/>
      <c r="M808" s="251"/>
      <c r="N808" s="251"/>
      <c r="O808" s="251"/>
      <c r="P808" s="251"/>
      <c r="Q808" s="251"/>
      <c r="R808" s="251"/>
      <c r="S808" s="251"/>
      <c r="T808" s="251"/>
      <c r="U808" s="251"/>
      <c r="V808" s="251"/>
      <c r="W808" s="251"/>
      <c r="X808" s="251"/>
      <c r="Y808" s="251"/>
      <c r="Z808" s="251"/>
    </row>
    <row r="809" spans="1:26" ht="14.25" customHeight="1" x14ac:dyDescent="0.35">
      <c r="A809" s="251"/>
      <c r="B809" s="251"/>
      <c r="C809" s="251"/>
      <c r="D809" s="251"/>
      <c r="E809" s="251"/>
      <c r="F809" s="251"/>
      <c r="G809" s="251"/>
      <c r="H809" s="251"/>
      <c r="I809" s="251"/>
      <c r="J809" s="251"/>
      <c r="K809" s="251"/>
      <c r="L809" s="251"/>
      <c r="M809" s="251"/>
      <c r="N809" s="251"/>
      <c r="O809" s="251"/>
      <c r="P809" s="251"/>
      <c r="Q809" s="251"/>
      <c r="R809" s="251"/>
      <c r="S809" s="251"/>
      <c r="T809" s="251"/>
      <c r="U809" s="251"/>
      <c r="V809" s="251"/>
      <c r="W809" s="251"/>
      <c r="X809" s="251"/>
      <c r="Y809" s="251"/>
      <c r="Z809" s="251"/>
    </row>
    <row r="810" spans="1:26" ht="14.25" customHeight="1" x14ac:dyDescent="0.35">
      <c r="A810" s="251"/>
      <c r="B810" s="251"/>
      <c r="C810" s="251"/>
      <c r="D810" s="251"/>
      <c r="E810" s="251"/>
      <c r="F810" s="251"/>
      <c r="G810" s="251"/>
      <c r="H810" s="251"/>
      <c r="I810" s="251"/>
      <c r="J810" s="251"/>
      <c r="K810" s="251"/>
      <c r="L810" s="251"/>
      <c r="M810" s="251"/>
      <c r="N810" s="251"/>
      <c r="O810" s="251"/>
      <c r="P810" s="251"/>
      <c r="Q810" s="251"/>
      <c r="R810" s="251"/>
      <c r="S810" s="251"/>
      <c r="T810" s="251"/>
      <c r="U810" s="251"/>
      <c r="V810" s="251"/>
      <c r="W810" s="251"/>
      <c r="X810" s="251"/>
      <c r="Y810" s="251"/>
      <c r="Z810" s="251"/>
    </row>
    <row r="811" spans="1:26" ht="14.25" customHeight="1" x14ac:dyDescent="0.35">
      <c r="A811" s="251"/>
      <c r="B811" s="251"/>
      <c r="C811" s="251"/>
      <c r="D811" s="251"/>
      <c r="E811" s="251"/>
      <c r="F811" s="251"/>
      <c r="G811" s="251"/>
      <c r="H811" s="251"/>
      <c r="I811" s="251"/>
      <c r="J811" s="251"/>
      <c r="K811" s="251"/>
      <c r="L811" s="251"/>
      <c r="M811" s="251"/>
      <c r="N811" s="251"/>
      <c r="O811" s="251"/>
      <c r="P811" s="251"/>
      <c r="Q811" s="251"/>
      <c r="R811" s="251"/>
      <c r="S811" s="251"/>
      <c r="T811" s="251"/>
      <c r="U811" s="251"/>
      <c r="V811" s="251"/>
      <c r="W811" s="251"/>
      <c r="X811" s="251"/>
      <c r="Y811" s="251"/>
      <c r="Z811" s="251"/>
    </row>
    <row r="812" spans="1:26" ht="14.25" customHeight="1" x14ac:dyDescent="0.35">
      <c r="A812" s="251"/>
      <c r="B812" s="251"/>
      <c r="C812" s="251"/>
      <c r="D812" s="251"/>
      <c r="E812" s="251"/>
      <c r="F812" s="251"/>
      <c r="G812" s="251"/>
      <c r="H812" s="251"/>
      <c r="I812" s="251"/>
      <c r="J812" s="251"/>
      <c r="K812" s="251"/>
      <c r="L812" s="251"/>
      <c r="M812" s="251"/>
      <c r="N812" s="251"/>
      <c r="O812" s="251"/>
      <c r="P812" s="251"/>
      <c r="Q812" s="251"/>
      <c r="R812" s="251"/>
      <c r="S812" s="251"/>
      <c r="T812" s="251"/>
      <c r="U812" s="251"/>
      <c r="V812" s="251"/>
      <c r="W812" s="251"/>
      <c r="X812" s="251"/>
      <c r="Y812" s="251"/>
      <c r="Z812" s="251"/>
    </row>
    <row r="813" spans="1:26" ht="14.25" customHeight="1" x14ac:dyDescent="0.35">
      <c r="A813" s="251"/>
      <c r="B813" s="251"/>
      <c r="C813" s="251"/>
      <c r="D813" s="251"/>
      <c r="E813" s="251"/>
      <c r="F813" s="251"/>
      <c r="G813" s="251"/>
      <c r="H813" s="251"/>
      <c r="I813" s="251"/>
      <c r="J813" s="251"/>
      <c r="K813" s="251"/>
      <c r="L813" s="251"/>
      <c r="M813" s="251"/>
      <c r="N813" s="251"/>
      <c r="O813" s="251"/>
      <c r="P813" s="251"/>
      <c r="Q813" s="251"/>
      <c r="R813" s="251"/>
      <c r="S813" s="251"/>
      <c r="T813" s="251"/>
      <c r="U813" s="251"/>
      <c r="V813" s="251"/>
      <c r="W813" s="251"/>
      <c r="X813" s="251"/>
      <c r="Y813" s="251"/>
      <c r="Z813" s="251"/>
    </row>
    <row r="814" spans="1:26" ht="14.25" customHeight="1" x14ac:dyDescent="0.35">
      <c r="A814" s="251"/>
      <c r="B814" s="251"/>
      <c r="C814" s="251"/>
      <c r="D814" s="251"/>
      <c r="E814" s="251"/>
      <c r="F814" s="251"/>
      <c r="G814" s="251"/>
      <c r="H814" s="251"/>
      <c r="I814" s="251"/>
      <c r="J814" s="251"/>
      <c r="K814" s="251"/>
      <c r="L814" s="251"/>
      <c r="M814" s="251"/>
      <c r="N814" s="251"/>
      <c r="O814" s="251"/>
      <c r="P814" s="251"/>
      <c r="Q814" s="251"/>
      <c r="R814" s="251"/>
      <c r="S814" s="251"/>
      <c r="T814" s="251"/>
      <c r="U814" s="251"/>
      <c r="V814" s="251"/>
      <c r="W814" s="251"/>
      <c r="X814" s="251"/>
      <c r="Y814" s="251"/>
      <c r="Z814" s="251"/>
    </row>
    <row r="815" spans="1:26" ht="14.25" customHeight="1" x14ac:dyDescent="0.35">
      <c r="A815" s="251"/>
      <c r="B815" s="251"/>
      <c r="C815" s="251"/>
      <c r="D815" s="251"/>
      <c r="E815" s="251"/>
      <c r="F815" s="251"/>
      <c r="G815" s="251"/>
      <c r="H815" s="251"/>
      <c r="I815" s="251"/>
      <c r="J815" s="251"/>
      <c r="K815" s="251"/>
      <c r="L815" s="251"/>
      <c r="M815" s="251"/>
      <c r="N815" s="251"/>
      <c r="O815" s="251"/>
      <c r="P815" s="251"/>
      <c r="Q815" s="251"/>
      <c r="R815" s="251"/>
      <c r="S815" s="251"/>
      <c r="T815" s="251"/>
      <c r="U815" s="251"/>
      <c r="V815" s="251"/>
      <c r="W815" s="251"/>
      <c r="X815" s="251"/>
      <c r="Y815" s="251"/>
      <c r="Z815" s="251"/>
    </row>
    <row r="816" spans="1:26" ht="14.25" customHeight="1" x14ac:dyDescent="0.35">
      <c r="A816" s="251"/>
      <c r="B816" s="251"/>
      <c r="C816" s="251"/>
      <c r="D816" s="251"/>
      <c r="E816" s="251"/>
      <c r="F816" s="251"/>
      <c r="G816" s="251"/>
      <c r="H816" s="251"/>
      <c r="I816" s="251"/>
      <c r="J816" s="251"/>
      <c r="K816" s="251"/>
      <c r="L816" s="251"/>
      <c r="M816" s="251"/>
      <c r="N816" s="251"/>
      <c r="O816" s="251"/>
      <c r="P816" s="251"/>
      <c r="Q816" s="251"/>
      <c r="R816" s="251"/>
      <c r="S816" s="251"/>
      <c r="T816" s="251"/>
      <c r="U816" s="251"/>
      <c r="V816" s="251"/>
      <c r="W816" s="251"/>
      <c r="X816" s="251"/>
      <c r="Y816" s="251"/>
      <c r="Z816" s="251"/>
    </row>
    <row r="817" spans="1:26" ht="14.25" customHeight="1" x14ac:dyDescent="0.35">
      <c r="A817" s="251"/>
      <c r="B817" s="251"/>
      <c r="C817" s="251"/>
      <c r="D817" s="251"/>
      <c r="E817" s="251"/>
      <c r="F817" s="251"/>
      <c r="G817" s="251"/>
      <c r="H817" s="251"/>
      <c r="I817" s="251"/>
      <c r="J817" s="251"/>
      <c r="K817" s="251"/>
      <c r="L817" s="251"/>
      <c r="M817" s="251"/>
      <c r="N817" s="251"/>
      <c r="O817" s="251"/>
      <c r="P817" s="251"/>
      <c r="Q817" s="251"/>
      <c r="R817" s="251"/>
      <c r="S817" s="251"/>
      <c r="T817" s="251"/>
      <c r="U817" s="251"/>
      <c r="V817" s="251"/>
      <c r="W817" s="251"/>
      <c r="X817" s="251"/>
      <c r="Y817" s="251"/>
      <c r="Z817" s="251"/>
    </row>
    <row r="818" spans="1:26" ht="14.25" customHeight="1" x14ac:dyDescent="0.35">
      <c r="A818" s="251"/>
      <c r="B818" s="251"/>
      <c r="C818" s="251"/>
      <c r="D818" s="251"/>
      <c r="E818" s="251"/>
      <c r="F818" s="251"/>
      <c r="G818" s="251"/>
      <c r="H818" s="251"/>
      <c r="I818" s="251"/>
      <c r="J818" s="251"/>
      <c r="K818" s="251"/>
      <c r="L818" s="251"/>
      <c r="M818" s="251"/>
      <c r="N818" s="251"/>
      <c r="O818" s="251"/>
      <c r="P818" s="251"/>
      <c r="Q818" s="251"/>
      <c r="R818" s="251"/>
      <c r="S818" s="251"/>
      <c r="T818" s="251"/>
      <c r="U818" s="251"/>
      <c r="V818" s="251"/>
      <c r="W818" s="251"/>
      <c r="X818" s="251"/>
      <c r="Y818" s="251"/>
      <c r="Z818" s="251"/>
    </row>
    <row r="819" spans="1:26" ht="14.25" customHeight="1" x14ac:dyDescent="0.35">
      <c r="A819" s="251"/>
      <c r="B819" s="251"/>
      <c r="C819" s="251"/>
      <c r="D819" s="251"/>
      <c r="E819" s="251"/>
      <c r="F819" s="251"/>
      <c r="G819" s="251"/>
      <c r="H819" s="251"/>
      <c r="I819" s="251"/>
      <c r="J819" s="251"/>
      <c r="K819" s="251"/>
      <c r="L819" s="251"/>
      <c r="M819" s="251"/>
      <c r="N819" s="251"/>
      <c r="O819" s="251"/>
      <c r="P819" s="251"/>
      <c r="Q819" s="251"/>
      <c r="R819" s="251"/>
      <c r="S819" s="251"/>
      <c r="T819" s="251"/>
      <c r="U819" s="251"/>
      <c r="V819" s="251"/>
      <c r="W819" s="251"/>
      <c r="X819" s="251"/>
      <c r="Y819" s="251"/>
      <c r="Z819" s="251"/>
    </row>
    <row r="820" spans="1:26" ht="14.25" customHeight="1" x14ac:dyDescent="0.35">
      <c r="A820" s="251"/>
      <c r="B820" s="251"/>
      <c r="C820" s="251"/>
      <c r="D820" s="251"/>
      <c r="E820" s="251"/>
      <c r="F820" s="251"/>
      <c r="G820" s="251"/>
      <c r="H820" s="251"/>
      <c r="I820" s="251"/>
      <c r="J820" s="251"/>
      <c r="K820" s="251"/>
      <c r="L820" s="251"/>
      <c r="M820" s="251"/>
      <c r="N820" s="251"/>
      <c r="O820" s="251"/>
      <c r="P820" s="251"/>
      <c r="Q820" s="251"/>
      <c r="R820" s="251"/>
      <c r="S820" s="251"/>
      <c r="T820" s="251"/>
      <c r="U820" s="251"/>
      <c r="V820" s="251"/>
      <c r="W820" s="251"/>
      <c r="X820" s="251"/>
      <c r="Y820" s="251"/>
      <c r="Z820" s="251"/>
    </row>
    <row r="821" spans="1:26" ht="14.25" customHeight="1" x14ac:dyDescent="0.35">
      <c r="A821" s="251"/>
      <c r="B821" s="251"/>
      <c r="C821" s="251"/>
      <c r="D821" s="251"/>
      <c r="E821" s="251"/>
      <c r="F821" s="251"/>
      <c r="G821" s="251"/>
      <c r="H821" s="251"/>
      <c r="I821" s="251"/>
      <c r="J821" s="251"/>
      <c r="K821" s="251"/>
      <c r="L821" s="251"/>
      <c r="M821" s="251"/>
      <c r="N821" s="251"/>
      <c r="O821" s="251"/>
      <c r="P821" s="251"/>
      <c r="Q821" s="251"/>
      <c r="R821" s="251"/>
      <c r="S821" s="251"/>
      <c r="T821" s="251"/>
      <c r="U821" s="251"/>
      <c r="V821" s="251"/>
      <c r="W821" s="251"/>
      <c r="X821" s="251"/>
      <c r="Y821" s="251"/>
      <c r="Z821" s="251"/>
    </row>
    <row r="822" spans="1:26" ht="14.25" customHeight="1" x14ac:dyDescent="0.35">
      <c r="A822" s="251"/>
      <c r="B822" s="251"/>
      <c r="C822" s="251"/>
      <c r="D822" s="251"/>
      <c r="E822" s="251"/>
      <c r="F822" s="251"/>
      <c r="G822" s="251"/>
      <c r="H822" s="251"/>
      <c r="I822" s="251"/>
      <c r="J822" s="251"/>
      <c r="K822" s="251"/>
      <c r="L822" s="251"/>
      <c r="M822" s="251"/>
      <c r="N822" s="251"/>
      <c r="O822" s="251"/>
      <c r="P822" s="251"/>
      <c r="Q822" s="251"/>
      <c r="R822" s="251"/>
      <c r="S822" s="251"/>
      <c r="T822" s="251"/>
      <c r="U822" s="251"/>
      <c r="V822" s="251"/>
      <c r="W822" s="251"/>
      <c r="X822" s="251"/>
      <c r="Y822" s="251"/>
      <c r="Z822" s="251"/>
    </row>
    <row r="823" spans="1:26" ht="14.25" customHeight="1" x14ac:dyDescent="0.35">
      <c r="A823" s="251"/>
      <c r="B823" s="251"/>
      <c r="C823" s="251"/>
      <c r="D823" s="251"/>
      <c r="E823" s="251"/>
      <c r="F823" s="251"/>
      <c r="G823" s="251"/>
      <c r="H823" s="251"/>
      <c r="I823" s="251"/>
      <c r="J823" s="251"/>
      <c r="K823" s="251"/>
      <c r="L823" s="251"/>
      <c r="M823" s="251"/>
      <c r="N823" s="251"/>
      <c r="O823" s="251"/>
      <c r="P823" s="251"/>
      <c r="Q823" s="251"/>
      <c r="R823" s="251"/>
      <c r="S823" s="251"/>
      <c r="T823" s="251"/>
      <c r="U823" s="251"/>
      <c r="V823" s="251"/>
      <c r="W823" s="251"/>
      <c r="X823" s="251"/>
      <c r="Y823" s="251"/>
      <c r="Z823" s="251"/>
    </row>
    <row r="824" spans="1:26" ht="14.25" customHeight="1" x14ac:dyDescent="0.35">
      <c r="A824" s="251"/>
      <c r="B824" s="251"/>
      <c r="C824" s="251"/>
      <c r="D824" s="251"/>
      <c r="E824" s="251"/>
      <c r="F824" s="251"/>
      <c r="G824" s="251"/>
      <c r="H824" s="251"/>
      <c r="I824" s="251"/>
      <c r="J824" s="251"/>
      <c r="K824" s="251"/>
      <c r="L824" s="251"/>
      <c r="M824" s="251"/>
      <c r="N824" s="251"/>
      <c r="O824" s="251"/>
      <c r="P824" s="251"/>
      <c r="Q824" s="251"/>
      <c r="R824" s="251"/>
      <c r="S824" s="251"/>
      <c r="T824" s="251"/>
      <c r="U824" s="251"/>
      <c r="V824" s="251"/>
      <c r="W824" s="251"/>
      <c r="X824" s="251"/>
      <c r="Y824" s="251"/>
      <c r="Z824" s="251"/>
    </row>
    <row r="825" spans="1:26" ht="14.25" customHeight="1" x14ac:dyDescent="0.35">
      <c r="A825" s="251"/>
      <c r="B825" s="251"/>
      <c r="C825" s="251"/>
      <c r="D825" s="251"/>
      <c r="E825" s="251"/>
      <c r="F825" s="251"/>
      <c r="G825" s="251"/>
      <c r="H825" s="251"/>
      <c r="I825" s="251"/>
      <c r="J825" s="251"/>
      <c r="K825" s="251"/>
      <c r="L825" s="251"/>
      <c r="M825" s="251"/>
      <c r="N825" s="251"/>
      <c r="O825" s="251"/>
      <c r="P825" s="251"/>
      <c r="Q825" s="251"/>
      <c r="R825" s="251"/>
      <c r="S825" s="251"/>
      <c r="T825" s="251"/>
      <c r="U825" s="251"/>
      <c r="V825" s="251"/>
      <c r="W825" s="251"/>
      <c r="X825" s="251"/>
      <c r="Y825" s="251"/>
      <c r="Z825" s="251"/>
    </row>
    <row r="826" spans="1:26" ht="14.25" customHeight="1" x14ac:dyDescent="0.35">
      <c r="A826" s="251"/>
      <c r="B826" s="251"/>
      <c r="C826" s="251"/>
      <c r="D826" s="251"/>
      <c r="E826" s="251"/>
      <c r="F826" s="251"/>
      <c r="G826" s="251"/>
      <c r="H826" s="251"/>
      <c r="I826" s="251"/>
      <c r="J826" s="251"/>
      <c r="K826" s="251"/>
      <c r="L826" s="251"/>
      <c r="M826" s="251"/>
      <c r="N826" s="251"/>
      <c r="O826" s="251"/>
      <c r="P826" s="251"/>
      <c r="Q826" s="251"/>
      <c r="R826" s="251"/>
      <c r="S826" s="251"/>
      <c r="T826" s="251"/>
      <c r="U826" s="251"/>
      <c r="V826" s="251"/>
      <c r="W826" s="251"/>
      <c r="X826" s="251"/>
      <c r="Y826" s="251"/>
      <c r="Z826" s="251"/>
    </row>
    <row r="827" spans="1:26" ht="14.25" customHeight="1" x14ac:dyDescent="0.35">
      <c r="A827" s="251"/>
      <c r="B827" s="251"/>
      <c r="C827" s="251"/>
      <c r="D827" s="251"/>
      <c r="E827" s="251"/>
      <c r="F827" s="251"/>
      <c r="G827" s="251"/>
      <c r="H827" s="251"/>
      <c r="I827" s="251"/>
      <c r="J827" s="251"/>
      <c r="K827" s="251"/>
      <c r="L827" s="251"/>
      <c r="M827" s="251"/>
      <c r="N827" s="251"/>
      <c r="O827" s="251"/>
      <c r="P827" s="251"/>
      <c r="Q827" s="251"/>
      <c r="R827" s="251"/>
      <c r="S827" s="251"/>
      <c r="T827" s="251"/>
      <c r="U827" s="251"/>
      <c r="V827" s="251"/>
      <c r="W827" s="251"/>
      <c r="X827" s="251"/>
      <c r="Y827" s="251"/>
      <c r="Z827" s="251"/>
    </row>
    <row r="828" spans="1:26" ht="14.25" customHeight="1" x14ac:dyDescent="0.35">
      <c r="A828" s="251"/>
      <c r="B828" s="251"/>
      <c r="C828" s="251"/>
      <c r="D828" s="251"/>
      <c r="E828" s="251"/>
      <c r="F828" s="251"/>
      <c r="G828" s="251"/>
      <c r="H828" s="251"/>
      <c r="I828" s="251"/>
      <c r="J828" s="251"/>
      <c r="K828" s="251"/>
      <c r="L828" s="251"/>
      <c r="M828" s="251"/>
      <c r="N828" s="251"/>
      <c r="O828" s="251"/>
      <c r="P828" s="251"/>
      <c r="Q828" s="251"/>
      <c r="R828" s="251"/>
      <c r="S828" s="251"/>
      <c r="T828" s="251"/>
      <c r="U828" s="251"/>
      <c r="V828" s="251"/>
      <c r="W828" s="251"/>
      <c r="X828" s="251"/>
      <c r="Y828" s="251"/>
      <c r="Z828" s="251"/>
    </row>
    <row r="829" spans="1:26" ht="14.25" customHeight="1" x14ac:dyDescent="0.35">
      <c r="A829" s="251"/>
      <c r="B829" s="251"/>
      <c r="C829" s="251"/>
      <c r="D829" s="251"/>
      <c r="E829" s="251"/>
      <c r="F829" s="251"/>
      <c r="G829" s="251"/>
      <c r="H829" s="251"/>
      <c r="I829" s="251"/>
      <c r="J829" s="251"/>
      <c r="K829" s="251"/>
      <c r="L829" s="251"/>
      <c r="M829" s="251"/>
      <c r="N829" s="251"/>
      <c r="O829" s="251"/>
      <c r="P829" s="251"/>
      <c r="Q829" s="251"/>
      <c r="R829" s="251"/>
      <c r="S829" s="251"/>
      <c r="T829" s="251"/>
      <c r="U829" s="251"/>
      <c r="V829" s="251"/>
      <c r="W829" s="251"/>
      <c r="X829" s="251"/>
      <c r="Y829" s="251"/>
      <c r="Z829" s="251"/>
    </row>
    <row r="830" spans="1:26" ht="14.25" customHeight="1" x14ac:dyDescent="0.35">
      <c r="A830" s="251"/>
      <c r="B830" s="251"/>
      <c r="C830" s="251"/>
      <c r="D830" s="251"/>
      <c r="E830" s="251"/>
      <c r="F830" s="251"/>
      <c r="G830" s="251"/>
      <c r="H830" s="251"/>
      <c r="I830" s="251"/>
      <c r="J830" s="251"/>
      <c r="K830" s="251"/>
      <c r="L830" s="251"/>
      <c r="M830" s="251"/>
      <c r="N830" s="251"/>
      <c r="O830" s="251"/>
      <c r="P830" s="251"/>
      <c r="Q830" s="251"/>
      <c r="R830" s="251"/>
      <c r="S830" s="251"/>
      <c r="T830" s="251"/>
      <c r="U830" s="251"/>
      <c r="V830" s="251"/>
      <c r="W830" s="251"/>
      <c r="X830" s="251"/>
      <c r="Y830" s="251"/>
      <c r="Z830" s="251"/>
    </row>
    <row r="831" spans="1:26" ht="14.25" customHeight="1" x14ac:dyDescent="0.35">
      <c r="A831" s="251"/>
      <c r="B831" s="251"/>
      <c r="C831" s="251"/>
      <c r="D831" s="251"/>
      <c r="E831" s="251"/>
      <c r="F831" s="251"/>
      <c r="G831" s="251"/>
      <c r="H831" s="251"/>
      <c r="I831" s="251"/>
      <c r="J831" s="251"/>
      <c r="K831" s="251"/>
      <c r="L831" s="251"/>
      <c r="M831" s="251"/>
      <c r="N831" s="251"/>
      <c r="O831" s="251"/>
      <c r="P831" s="251"/>
      <c r="Q831" s="251"/>
      <c r="R831" s="251"/>
      <c r="S831" s="251"/>
      <c r="T831" s="251"/>
      <c r="U831" s="251"/>
      <c r="V831" s="251"/>
      <c r="W831" s="251"/>
      <c r="X831" s="251"/>
      <c r="Y831" s="251"/>
      <c r="Z831" s="251"/>
    </row>
    <row r="832" spans="1:26" ht="14.25" customHeight="1" x14ac:dyDescent="0.35">
      <c r="A832" s="251"/>
      <c r="B832" s="251"/>
      <c r="C832" s="251"/>
      <c r="D832" s="251"/>
      <c r="E832" s="251"/>
      <c r="F832" s="251"/>
      <c r="G832" s="251"/>
      <c r="H832" s="251"/>
      <c r="I832" s="251"/>
      <c r="J832" s="251"/>
      <c r="K832" s="251"/>
      <c r="L832" s="251"/>
      <c r="M832" s="251"/>
      <c r="N832" s="251"/>
      <c r="O832" s="251"/>
      <c r="P832" s="251"/>
      <c r="Q832" s="251"/>
      <c r="R832" s="251"/>
      <c r="S832" s="251"/>
      <c r="T832" s="251"/>
      <c r="U832" s="251"/>
      <c r="V832" s="251"/>
      <c r="W832" s="251"/>
      <c r="X832" s="251"/>
      <c r="Y832" s="251"/>
      <c r="Z832" s="251"/>
    </row>
    <row r="833" spans="1:26" ht="14.25" customHeight="1" x14ac:dyDescent="0.35">
      <c r="A833" s="251"/>
      <c r="B833" s="251"/>
      <c r="C833" s="251"/>
      <c r="D833" s="251"/>
      <c r="E833" s="251"/>
      <c r="F833" s="251"/>
      <c r="G833" s="251"/>
      <c r="H833" s="251"/>
      <c r="I833" s="251"/>
      <c r="J833" s="251"/>
      <c r="K833" s="251"/>
      <c r="L833" s="251"/>
      <c r="M833" s="251"/>
      <c r="N833" s="251"/>
      <c r="O833" s="251"/>
      <c r="P833" s="251"/>
      <c r="Q833" s="251"/>
      <c r="R833" s="251"/>
      <c r="S833" s="251"/>
      <c r="T833" s="251"/>
      <c r="U833" s="251"/>
      <c r="V833" s="251"/>
      <c r="W833" s="251"/>
      <c r="X833" s="251"/>
      <c r="Y833" s="251"/>
      <c r="Z833" s="251"/>
    </row>
    <row r="834" spans="1:26" ht="14.25" customHeight="1" x14ac:dyDescent="0.35">
      <c r="A834" s="251"/>
      <c r="B834" s="251"/>
      <c r="C834" s="251"/>
      <c r="D834" s="251"/>
      <c r="E834" s="251"/>
      <c r="F834" s="251"/>
      <c r="G834" s="251"/>
      <c r="H834" s="251"/>
      <c r="I834" s="251"/>
      <c r="J834" s="251"/>
      <c r="K834" s="251"/>
      <c r="L834" s="251"/>
      <c r="M834" s="251"/>
      <c r="N834" s="251"/>
      <c r="O834" s="251"/>
      <c r="P834" s="251"/>
      <c r="Q834" s="251"/>
      <c r="R834" s="251"/>
      <c r="S834" s="251"/>
      <c r="T834" s="251"/>
      <c r="U834" s="251"/>
      <c r="V834" s="251"/>
      <c r="W834" s="251"/>
      <c r="X834" s="251"/>
      <c r="Y834" s="251"/>
      <c r="Z834" s="251"/>
    </row>
    <row r="835" spans="1:26" ht="14.25" customHeight="1" x14ac:dyDescent="0.35">
      <c r="A835" s="251"/>
      <c r="B835" s="251"/>
      <c r="C835" s="251"/>
      <c r="D835" s="251"/>
      <c r="E835" s="251"/>
      <c r="F835" s="251"/>
      <c r="G835" s="251"/>
      <c r="H835" s="251"/>
      <c r="I835" s="251"/>
      <c r="J835" s="251"/>
      <c r="K835" s="251"/>
      <c r="L835" s="251"/>
      <c r="M835" s="251"/>
      <c r="N835" s="251"/>
      <c r="O835" s="251"/>
      <c r="P835" s="251"/>
      <c r="Q835" s="251"/>
      <c r="R835" s="251"/>
      <c r="S835" s="251"/>
      <c r="T835" s="251"/>
      <c r="U835" s="251"/>
      <c r="V835" s="251"/>
      <c r="W835" s="251"/>
      <c r="X835" s="251"/>
      <c r="Y835" s="251"/>
      <c r="Z835" s="251"/>
    </row>
    <row r="836" spans="1:26" ht="14.25" customHeight="1" x14ac:dyDescent="0.35">
      <c r="A836" s="251"/>
      <c r="B836" s="251"/>
      <c r="C836" s="251"/>
      <c r="D836" s="251"/>
      <c r="E836" s="251"/>
      <c r="F836" s="251"/>
      <c r="G836" s="251"/>
      <c r="H836" s="251"/>
      <c r="I836" s="251"/>
      <c r="J836" s="251"/>
      <c r="K836" s="251"/>
      <c r="L836" s="251"/>
      <c r="M836" s="251"/>
      <c r="N836" s="251"/>
      <c r="O836" s="251"/>
      <c r="P836" s="251"/>
      <c r="Q836" s="251"/>
      <c r="R836" s="251"/>
      <c r="S836" s="251"/>
      <c r="T836" s="251"/>
      <c r="U836" s="251"/>
      <c r="V836" s="251"/>
      <c r="W836" s="251"/>
      <c r="X836" s="251"/>
      <c r="Y836" s="251"/>
      <c r="Z836" s="251"/>
    </row>
    <row r="837" spans="1:26" ht="14.25" customHeight="1" x14ac:dyDescent="0.35">
      <c r="A837" s="251"/>
      <c r="B837" s="251"/>
      <c r="C837" s="251"/>
      <c r="D837" s="251"/>
      <c r="E837" s="251"/>
      <c r="F837" s="251"/>
      <c r="G837" s="251"/>
      <c r="H837" s="251"/>
      <c r="I837" s="251"/>
      <c r="J837" s="251"/>
      <c r="K837" s="251"/>
      <c r="L837" s="251"/>
      <c r="M837" s="251"/>
      <c r="N837" s="251"/>
      <c r="O837" s="251"/>
      <c r="P837" s="251"/>
      <c r="Q837" s="251"/>
      <c r="R837" s="251"/>
      <c r="S837" s="251"/>
      <c r="T837" s="251"/>
      <c r="U837" s="251"/>
      <c r="V837" s="251"/>
      <c r="W837" s="251"/>
      <c r="X837" s="251"/>
      <c r="Y837" s="251"/>
      <c r="Z837" s="251"/>
    </row>
    <row r="838" spans="1:26" ht="14.25" customHeight="1" x14ac:dyDescent="0.35">
      <c r="A838" s="251"/>
      <c r="B838" s="251"/>
      <c r="C838" s="251"/>
      <c r="D838" s="251"/>
      <c r="E838" s="251"/>
      <c r="F838" s="251"/>
      <c r="G838" s="251"/>
      <c r="H838" s="251"/>
      <c r="I838" s="251"/>
      <c r="J838" s="251"/>
      <c r="K838" s="251"/>
      <c r="L838" s="251"/>
      <c r="M838" s="251"/>
      <c r="N838" s="251"/>
      <c r="O838" s="251"/>
      <c r="P838" s="251"/>
      <c r="Q838" s="251"/>
      <c r="R838" s="251"/>
      <c r="S838" s="251"/>
      <c r="T838" s="251"/>
      <c r="U838" s="251"/>
      <c r="V838" s="251"/>
      <c r="W838" s="251"/>
      <c r="X838" s="251"/>
      <c r="Y838" s="251"/>
      <c r="Z838" s="251"/>
    </row>
    <row r="839" spans="1:26" ht="14.25" customHeight="1" x14ac:dyDescent="0.35">
      <c r="A839" s="251"/>
      <c r="B839" s="251"/>
      <c r="C839" s="251"/>
      <c r="D839" s="251"/>
      <c r="E839" s="251"/>
      <c r="F839" s="251"/>
      <c r="G839" s="251"/>
      <c r="H839" s="251"/>
      <c r="I839" s="251"/>
      <c r="J839" s="251"/>
      <c r="K839" s="251"/>
      <c r="L839" s="251"/>
      <c r="M839" s="251"/>
      <c r="N839" s="251"/>
      <c r="O839" s="251"/>
      <c r="P839" s="251"/>
      <c r="Q839" s="251"/>
      <c r="R839" s="251"/>
      <c r="S839" s="251"/>
      <c r="T839" s="251"/>
      <c r="U839" s="251"/>
      <c r="V839" s="251"/>
      <c r="W839" s="251"/>
      <c r="X839" s="251"/>
      <c r="Y839" s="251"/>
      <c r="Z839" s="251"/>
    </row>
    <row r="840" spans="1:26" ht="14.25" customHeight="1" x14ac:dyDescent="0.35">
      <c r="A840" s="251"/>
      <c r="B840" s="251"/>
      <c r="C840" s="251"/>
      <c r="D840" s="251"/>
      <c r="E840" s="251"/>
      <c r="F840" s="251"/>
      <c r="G840" s="251"/>
      <c r="H840" s="251"/>
      <c r="I840" s="251"/>
      <c r="J840" s="251"/>
      <c r="K840" s="251"/>
      <c r="L840" s="251"/>
      <c r="M840" s="251"/>
      <c r="N840" s="251"/>
      <c r="O840" s="251"/>
      <c r="P840" s="251"/>
      <c r="Q840" s="251"/>
      <c r="R840" s="251"/>
      <c r="S840" s="251"/>
      <c r="T840" s="251"/>
      <c r="U840" s="251"/>
      <c r="V840" s="251"/>
      <c r="W840" s="251"/>
      <c r="X840" s="251"/>
      <c r="Y840" s="251"/>
      <c r="Z840" s="251"/>
    </row>
    <row r="841" spans="1:26" ht="14.25" customHeight="1" x14ac:dyDescent="0.35">
      <c r="A841" s="251"/>
      <c r="B841" s="251"/>
      <c r="C841" s="251"/>
      <c r="D841" s="251"/>
      <c r="E841" s="251"/>
      <c r="F841" s="251"/>
      <c r="G841" s="251"/>
      <c r="H841" s="251"/>
      <c r="I841" s="251"/>
      <c r="J841" s="251"/>
      <c r="K841" s="251"/>
      <c r="L841" s="251"/>
      <c r="M841" s="251"/>
      <c r="N841" s="251"/>
      <c r="O841" s="251"/>
      <c r="P841" s="251"/>
      <c r="Q841" s="251"/>
      <c r="R841" s="251"/>
      <c r="S841" s="251"/>
      <c r="T841" s="251"/>
      <c r="U841" s="251"/>
      <c r="V841" s="251"/>
      <c r="W841" s="251"/>
      <c r="X841" s="251"/>
      <c r="Y841" s="251"/>
      <c r="Z841" s="251"/>
    </row>
    <row r="842" spans="1:26" ht="14.25" customHeight="1" x14ac:dyDescent="0.35">
      <c r="A842" s="251"/>
      <c r="B842" s="251"/>
      <c r="C842" s="251"/>
      <c r="D842" s="251"/>
      <c r="E842" s="251"/>
      <c r="F842" s="251"/>
      <c r="G842" s="251"/>
      <c r="H842" s="251"/>
      <c r="I842" s="251"/>
      <c r="J842" s="251"/>
      <c r="K842" s="251"/>
      <c r="L842" s="251"/>
      <c r="M842" s="251"/>
      <c r="N842" s="251"/>
      <c r="O842" s="251"/>
      <c r="P842" s="251"/>
      <c r="Q842" s="251"/>
      <c r="R842" s="251"/>
      <c r="S842" s="251"/>
      <c r="T842" s="251"/>
      <c r="U842" s="251"/>
      <c r="V842" s="251"/>
      <c r="W842" s="251"/>
      <c r="X842" s="251"/>
      <c r="Y842" s="251"/>
      <c r="Z842" s="251"/>
    </row>
    <row r="843" spans="1:26" ht="14.25" customHeight="1" x14ac:dyDescent="0.35">
      <c r="A843" s="251"/>
      <c r="B843" s="251"/>
      <c r="C843" s="251"/>
      <c r="D843" s="251"/>
      <c r="E843" s="251"/>
      <c r="F843" s="251"/>
      <c r="G843" s="251"/>
      <c r="H843" s="251"/>
      <c r="I843" s="251"/>
      <c r="J843" s="251"/>
      <c r="K843" s="251"/>
      <c r="L843" s="251"/>
      <c r="M843" s="251"/>
      <c r="N843" s="251"/>
      <c r="O843" s="251"/>
      <c r="P843" s="251"/>
      <c r="Q843" s="251"/>
      <c r="R843" s="251"/>
      <c r="S843" s="251"/>
      <c r="T843" s="251"/>
      <c r="U843" s="251"/>
      <c r="V843" s="251"/>
      <c r="W843" s="251"/>
      <c r="X843" s="251"/>
      <c r="Y843" s="251"/>
      <c r="Z843" s="251"/>
    </row>
    <row r="844" spans="1:26" ht="14.25" customHeight="1" x14ac:dyDescent="0.35">
      <c r="A844" s="251"/>
      <c r="B844" s="251"/>
      <c r="C844" s="251"/>
      <c r="D844" s="251"/>
      <c r="E844" s="251"/>
      <c r="F844" s="251"/>
      <c r="G844" s="251"/>
      <c r="H844" s="251"/>
      <c r="I844" s="251"/>
      <c r="J844" s="251"/>
      <c r="K844" s="251"/>
      <c r="L844" s="251"/>
      <c r="M844" s="251"/>
      <c r="N844" s="251"/>
      <c r="O844" s="251"/>
      <c r="P844" s="251"/>
      <c r="Q844" s="251"/>
      <c r="R844" s="251"/>
      <c r="S844" s="251"/>
      <c r="T844" s="251"/>
      <c r="U844" s="251"/>
      <c r="V844" s="251"/>
      <c r="W844" s="251"/>
      <c r="X844" s="251"/>
      <c r="Y844" s="251"/>
      <c r="Z844" s="251"/>
    </row>
    <row r="845" spans="1:26" ht="14.25" customHeight="1" x14ac:dyDescent="0.35">
      <c r="A845" s="251"/>
      <c r="B845" s="251"/>
      <c r="C845" s="251"/>
      <c r="D845" s="251"/>
      <c r="E845" s="251"/>
      <c r="F845" s="251"/>
      <c r="G845" s="251"/>
      <c r="H845" s="251"/>
      <c r="I845" s="251"/>
      <c r="J845" s="251"/>
      <c r="K845" s="251"/>
      <c r="L845" s="251"/>
      <c r="M845" s="251"/>
      <c r="N845" s="251"/>
      <c r="O845" s="251"/>
      <c r="P845" s="251"/>
      <c r="Q845" s="251"/>
      <c r="R845" s="251"/>
      <c r="S845" s="251"/>
      <c r="T845" s="251"/>
      <c r="U845" s="251"/>
      <c r="V845" s="251"/>
      <c r="W845" s="251"/>
      <c r="X845" s="251"/>
      <c r="Y845" s="251"/>
      <c r="Z845" s="251"/>
    </row>
    <row r="846" spans="1:26" ht="14.25" customHeight="1" x14ac:dyDescent="0.35">
      <c r="A846" s="251"/>
      <c r="B846" s="251"/>
      <c r="C846" s="251"/>
      <c r="D846" s="251"/>
      <c r="E846" s="251"/>
      <c r="F846" s="251"/>
      <c r="G846" s="251"/>
      <c r="H846" s="251"/>
      <c r="I846" s="251"/>
      <c r="J846" s="251"/>
      <c r="K846" s="251"/>
      <c r="L846" s="251"/>
      <c r="M846" s="251"/>
      <c r="N846" s="251"/>
      <c r="O846" s="251"/>
      <c r="P846" s="251"/>
      <c r="Q846" s="251"/>
      <c r="R846" s="251"/>
      <c r="S846" s="251"/>
      <c r="T846" s="251"/>
      <c r="U846" s="251"/>
      <c r="V846" s="251"/>
      <c r="W846" s="251"/>
      <c r="X846" s="251"/>
      <c r="Y846" s="251"/>
      <c r="Z846" s="251"/>
    </row>
    <row r="847" spans="1:26" ht="14.25" customHeight="1" x14ac:dyDescent="0.35">
      <c r="A847" s="251"/>
      <c r="B847" s="251"/>
      <c r="C847" s="251"/>
      <c r="D847" s="251"/>
      <c r="E847" s="251"/>
      <c r="F847" s="251"/>
      <c r="G847" s="251"/>
      <c r="H847" s="251"/>
      <c r="I847" s="251"/>
      <c r="J847" s="251"/>
      <c r="K847" s="251"/>
      <c r="L847" s="251"/>
      <c r="M847" s="251"/>
      <c r="N847" s="251"/>
      <c r="O847" s="251"/>
      <c r="P847" s="251"/>
      <c r="Q847" s="251"/>
      <c r="R847" s="251"/>
      <c r="S847" s="251"/>
      <c r="T847" s="251"/>
      <c r="U847" s="251"/>
      <c r="V847" s="251"/>
      <c r="W847" s="251"/>
      <c r="X847" s="251"/>
      <c r="Y847" s="251"/>
      <c r="Z847" s="251"/>
    </row>
    <row r="848" spans="1:26" ht="14.25" customHeight="1" x14ac:dyDescent="0.35">
      <c r="A848" s="251"/>
      <c r="B848" s="251"/>
      <c r="C848" s="251"/>
      <c r="D848" s="251"/>
      <c r="E848" s="251"/>
      <c r="F848" s="251"/>
      <c r="G848" s="251"/>
      <c r="H848" s="251"/>
      <c r="I848" s="251"/>
      <c r="J848" s="251"/>
      <c r="K848" s="251"/>
      <c r="L848" s="251"/>
      <c r="M848" s="251"/>
      <c r="N848" s="251"/>
      <c r="O848" s="251"/>
      <c r="P848" s="251"/>
      <c r="Q848" s="251"/>
      <c r="R848" s="251"/>
      <c r="S848" s="251"/>
      <c r="T848" s="251"/>
      <c r="U848" s="251"/>
      <c r="V848" s="251"/>
      <c r="W848" s="251"/>
      <c r="X848" s="251"/>
      <c r="Y848" s="251"/>
      <c r="Z848" s="251"/>
    </row>
    <row r="849" spans="1:26" ht="14.25" customHeight="1" x14ac:dyDescent="0.35">
      <c r="A849" s="251"/>
      <c r="B849" s="251"/>
      <c r="C849" s="251"/>
      <c r="D849" s="251"/>
      <c r="E849" s="251"/>
      <c r="F849" s="251"/>
      <c r="G849" s="251"/>
      <c r="H849" s="251"/>
      <c r="I849" s="251"/>
      <c r="J849" s="251"/>
      <c r="K849" s="251"/>
      <c r="L849" s="251"/>
      <c r="M849" s="251"/>
      <c r="N849" s="251"/>
      <c r="O849" s="251"/>
      <c r="P849" s="251"/>
      <c r="Q849" s="251"/>
      <c r="R849" s="251"/>
      <c r="S849" s="251"/>
      <c r="T849" s="251"/>
      <c r="U849" s="251"/>
      <c r="V849" s="251"/>
      <c r="W849" s="251"/>
      <c r="X849" s="251"/>
      <c r="Y849" s="251"/>
      <c r="Z849" s="251"/>
    </row>
    <row r="850" spans="1:26" ht="14.25" customHeight="1" x14ac:dyDescent="0.35">
      <c r="A850" s="251"/>
      <c r="B850" s="251"/>
      <c r="C850" s="251"/>
      <c r="D850" s="251"/>
      <c r="E850" s="251"/>
      <c r="F850" s="251"/>
      <c r="G850" s="251"/>
      <c r="H850" s="251"/>
      <c r="I850" s="251"/>
      <c r="J850" s="251"/>
      <c r="K850" s="251"/>
      <c r="L850" s="251"/>
      <c r="M850" s="251"/>
      <c r="N850" s="251"/>
      <c r="O850" s="251"/>
      <c r="P850" s="251"/>
      <c r="Q850" s="251"/>
      <c r="R850" s="251"/>
      <c r="S850" s="251"/>
      <c r="T850" s="251"/>
      <c r="U850" s="251"/>
      <c r="V850" s="251"/>
      <c r="W850" s="251"/>
      <c r="X850" s="251"/>
      <c r="Y850" s="251"/>
      <c r="Z850" s="251"/>
    </row>
    <row r="851" spans="1:26" ht="14.25" customHeight="1" x14ac:dyDescent="0.35">
      <c r="A851" s="251"/>
      <c r="B851" s="251"/>
      <c r="C851" s="251"/>
      <c r="D851" s="251"/>
      <c r="E851" s="251"/>
      <c r="F851" s="251"/>
      <c r="G851" s="251"/>
      <c r="H851" s="251"/>
      <c r="I851" s="251"/>
      <c r="J851" s="251"/>
      <c r="K851" s="251"/>
      <c r="L851" s="251"/>
      <c r="M851" s="251"/>
      <c r="N851" s="251"/>
      <c r="O851" s="251"/>
      <c r="P851" s="251"/>
      <c r="Q851" s="251"/>
      <c r="R851" s="251"/>
      <c r="S851" s="251"/>
      <c r="T851" s="251"/>
      <c r="U851" s="251"/>
      <c r="V851" s="251"/>
      <c r="W851" s="251"/>
      <c r="X851" s="251"/>
      <c r="Y851" s="251"/>
      <c r="Z851" s="251"/>
    </row>
    <row r="852" spans="1:26" ht="14.25" customHeight="1" x14ac:dyDescent="0.35">
      <c r="A852" s="251"/>
      <c r="B852" s="251"/>
      <c r="C852" s="251"/>
      <c r="D852" s="251"/>
      <c r="E852" s="251"/>
      <c r="F852" s="251"/>
      <c r="G852" s="251"/>
      <c r="H852" s="251"/>
      <c r="I852" s="251"/>
      <c r="J852" s="251"/>
      <c r="K852" s="251"/>
      <c r="L852" s="251"/>
      <c r="M852" s="251"/>
      <c r="N852" s="251"/>
      <c r="O852" s="251"/>
      <c r="P852" s="251"/>
      <c r="Q852" s="251"/>
      <c r="R852" s="251"/>
      <c r="S852" s="251"/>
      <c r="T852" s="251"/>
      <c r="U852" s="251"/>
      <c r="V852" s="251"/>
      <c r="W852" s="251"/>
      <c r="X852" s="251"/>
      <c r="Y852" s="251"/>
      <c r="Z852" s="251"/>
    </row>
    <row r="853" spans="1:26" ht="14.25" customHeight="1" x14ac:dyDescent="0.35">
      <c r="A853" s="251"/>
      <c r="B853" s="251"/>
      <c r="C853" s="251"/>
      <c r="D853" s="251"/>
      <c r="E853" s="251"/>
      <c r="F853" s="251"/>
      <c r="G853" s="251"/>
      <c r="H853" s="251"/>
      <c r="I853" s="251"/>
      <c r="J853" s="251"/>
      <c r="K853" s="251"/>
      <c r="L853" s="251"/>
      <c r="M853" s="251"/>
      <c r="N853" s="251"/>
      <c r="O853" s="251"/>
      <c r="P853" s="251"/>
      <c r="Q853" s="251"/>
      <c r="R853" s="251"/>
      <c r="S853" s="251"/>
      <c r="T853" s="251"/>
      <c r="U853" s="251"/>
      <c r="V853" s="251"/>
      <c r="W853" s="251"/>
      <c r="X853" s="251"/>
      <c r="Y853" s="251"/>
      <c r="Z853" s="251"/>
    </row>
    <row r="854" spans="1:26" ht="14.25" customHeight="1" x14ac:dyDescent="0.35">
      <c r="A854" s="251"/>
      <c r="B854" s="251"/>
      <c r="C854" s="251"/>
      <c r="D854" s="251"/>
      <c r="E854" s="251"/>
      <c r="F854" s="251"/>
      <c r="G854" s="251"/>
      <c r="H854" s="251"/>
      <c r="I854" s="251"/>
      <c r="J854" s="251"/>
      <c r="K854" s="251"/>
      <c r="L854" s="251"/>
      <c r="M854" s="251"/>
      <c r="N854" s="251"/>
      <c r="O854" s="251"/>
      <c r="P854" s="251"/>
      <c r="Q854" s="251"/>
      <c r="R854" s="251"/>
      <c r="S854" s="251"/>
      <c r="T854" s="251"/>
      <c r="U854" s="251"/>
      <c r="V854" s="251"/>
      <c r="W854" s="251"/>
      <c r="X854" s="251"/>
      <c r="Y854" s="251"/>
      <c r="Z854" s="251"/>
    </row>
    <row r="855" spans="1:26" ht="14.25" customHeight="1" x14ac:dyDescent="0.35">
      <c r="A855" s="251"/>
      <c r="B855" s="251"/>
      <c r="C855" s="251"/>
      <c r="D855" s="251"/>
      <c r="E855" s="251"/>
      <c r="F855" s="251"/>
      <c r="G855" s="251"/>
      <c r="H855" s="251"/>
      <c r="I855" s="251"/>
      <c r="J855" s="251"/>
      <c r="K855" s="251"/>
      <c r="L855" s="251"/>
      <c r="M855" s="251"/>
      <c r="N855" s="251"/>
      <c r="O855" s="251"/>
      <c r="P855" s="251"/>
      <c r="Q855" s="251"/>
      <c r="R855" s="251"/>
      <c r="S855" s="251"/>
      <c r="T855" s="251"/>
      <c r="U855" s="251"/>
      <c r="V855" s="251"/>
      <c r="W855" s="251"/>
      <c r="X855" s="251"/>
      <c r="Y855" s="251"/>
      <c r="Z855" s="251"/>
    </row>
    <row r="856" spans="1:26" ht="14.25" customHeight="1" x14ac:dyDescent="0.35">
      <c r="A856" s="251"/>
      <c r="B856" s="251"/>
      <c r="C856" s="251"/>
      <c r="D856" s="251"/>
      <c r="E856" s="251"/>
      <c r="F856" s="251"/>
      <c r="G856" s="251"/>
      <c r="H856" s="251"/>
      <c r="I856" s="251"/>
      <c r="J856" s="251"/>
      <c r="K856" s="251"/>
      <c r="L856" s="251"/>
      <c r="M856" s="251"/>
      <c r="N856" s="251"/>
      <c r="O856" s="251"/>
      <c r="P856" s="251"/>
      <c r="Q856" s="251"/>
      <c r="R856" s="251"/>
      <c r="S856" s="251"/>
      <c r="T856" s="251"/>
      <c r="U856" s="251"/>
      <c r="V856" s="251"/>
      <c r="W856" s="251"/>
      <c r="X856" s="251"/>
      <c r="Y856" s="251"/>
      <c r="Z856" s="251"/>
    </row>
    <row r="857" spans="1:26" ht="14.25" customHeight="1" x14ac:dyDescent="0.35">
      <c r="A857" s="251"/>
      <c r="B857" s="251"/>
      <c r="C857" s="251"/>
      <c r="D857" s="251"/>
      <c r="E857" s="251"/>
      <c r="F857" s="251"/>
      <c r="G857" s="251"/>
      <c r="H857" s="251"/>
      <c r="I857" s="251"/>
      <c r="J857" s="251"/>
      <c r="K857" s="251"/>
      <c r="L857" s="251"/>
      <c r="M857" s="251"/>
      <c r="N857" s="251"/>
      <c r="O857" s="251"/>
      <c r="P857" s="251"/>
      <c r="Q857" s="251"/>
      <c r="R857" s="251"/>
      <c r="S857" s="251"/>
      <c r="T857" s="251"/>
      <c r="U857" s="251"/>
      <c r="V857" s="251"/>
      <c r="W857" s="251"/>
      <c r="X857" s="251"/>
      <c r="Y857" s="251"/>
      <c r="Z857" s="251"/>
    </row>
    <row r="858" spans="1:26" ht="14.25" customHeight="1" x14ac:dyDescent="0.35">
      <c r="A858" s="251"/>
      <c r="B858" s="251"/>
      <c r="C858" s="251"/>
      <c r="D858" s="251"/>
      <c r="E858" s="251"/>
      <c r="F858" s="251"/>
      <c r="G858" s="251"/>
      <c r="H858" s="251"/>
      <c r="I858" s="251"/>
      <c r="J858" s="251"/>
      <c r="K858" s="251"/>
      <c r="L858" s="251"/>
      <c r="M858" s="251"/>
      <c r="N858" s="251"/>
      <c r="O858" s="251"/>
      <c r="P858" s="251"/>
      <c r="Q858" s="251"/>
      <c r="R858" s="251"/>
      <c r="S858" s="251"/>
      <c r="T858" s="251"/>
      <c r="U858" s="251"/>
      <c r="V858" s="251"/>
      <c r="W858" s="251"/>
      <c r="X858" s="251"/>
      <c r="Y858" s="251"/>
      <c r="Z858" s="251"/>
    </row>
    <row r="859" spans="1:26" ht="14.25" customHeight="1" x14ac:dyDescent="0.35">
      <c r="A859" s="251"/>
      <c r="B859" s="251"/>
      <c r="C859" s="251"/>
      <c r="D859" s="251"/>
      <c r="E859" s="251"/>
      <c r="F859" s="251"/>
      <c r="G859" s="251"/>
      <c r="H859" s="251"/>
      <c r="I859" s="251"/>
      <c r="J859" s="251"/>
      <c r="K859" s="251"/>
      <c r="L859" s="251"/>
      <c r="M859" s="251"/>
      <c r="N859" s="251"/>
      <c r="O859" s="251"/>
      <c r="P859" s="251"/>
      <c r="Q859" s="251"/>
      <c r="R859" s="251"/>
      <c r="S859" s="251"/>
      <c r="T859" s="251"/>
      <c r="U859" s="251"/>
      <c r="V859" s="251"/>
      <c r="W859" s="251"/>
      <c r="X859" s="251"/>
      <c r="Y859" s="251"/>
      <c r="Z859" s="251"/>
    </row>
    <row r="860" spans="1:26" ht="14.25" customHeight="1" x14ac:dyDescent="0.35">
      <c r="A860" s="251"/>
      <c r="B860" s="251"/>
      <c r="C860" s="251"/>
      <c r="D860" s="251"/>
      <c r="E860" s="251"/>
      <c r="F860" s="251"/>
      <c r="G860" s="251"/>
      <c r="H860" s="251"/>
      <c r="I860" s="251"/>
      <c r="J860" s="251"/>
      <c r="K860" s="251"/>
      <c r="L860" s="251"/>
      <c r="M860" s="251"/>
      <c r="N860" s="251"/>
      <c r="O860" s="251"/>
      <c r="P860" s="251"/>
      <c r="Q860" s="251"/>
      <c r="R860" s="251"/>
      <c r="S860" s="251"/>
      <c r="T860" s="251"/>
      <c r="U860" s="251"/>
      <c r="V860" s="251"/>
      <c r="W860" s="251"/>
      <c r="X860" s="251"/>
      <c r="Y860" s="251"/>
      <c r="Z860" s="251"/>
    </row>
    <row r="861" spans="1:26" ht="14.25" customHeight="1" x14ac:dyDescent="0.35">
      <c r="A861" s="251"/>
      <c r="B861" s="251"/>
      <c r="C861" s="251"/>
      <c r="D861" s="251"/>
      <c r="E861" s="251"/>
      <c r="F861" s="251"/>
      <c r="G861" s="251"/>
      <c r="H861" s="251"/>
      <c r="I861" s="251"/>
      <c r="J861" s="251"/>
      <c r="K861" s="251"/>
      <c r="L861" s="251"/>
      <c r="M861" s="251"/>
      <c r="N861" s="251"/>
      <c r="O861" s="251"/>
      <c r="P861" s="251"/>
      <c r="Q861" s="251"/>
      <c r="R861" s="251"/>
      <c r="S861" s="251"/>
      <c r="T861" s="251"/>
      <c r="U861" s="251"/>
      <c r="V861" s="251"/>
      <c r="W861" s="251"/>
      <c r="X861" s="251"/>
      <c r="Y861" s="251"/>
      <c r="Z861" s="251"/>
    </row>
    <row r="862" spans="1:26" ht="14.25" customHeight="1" x14ac:dyDescent="0.35">
      <c r="A862" s="251"/>
      <c r="B862" s="251"/>
      <c r="C862" s="251"/>
      <c r="D862" s="251"/>
      <c r="E862" s="251"/>
      <c r="F862" s="251"/>
      <c r="G862" s="251"/>
      <c r="H862" s="251"/>
      <c r="I862" s="251"/>
      <c r="J862" s="251"/>
      <c r="K862" s="251"/>
      <c r="L862" s="251"/>
      <c r="M862" s="251"/>
      <c r="N862" s="251"/>
      <c r="O862" s="251"/>
      <c r="P862" s="251"/>
      <c r="Q862" s="251"/>
      <c r="R862" s="251"/>
      <c r="S862" s="251"/>
      <c r="T862" s="251"/>
      <c r="U862" s="251"/>
      <c r="V862" s="251"/>
      <c r="W862" s="251"/>
      <c r="X862" s="251"/>
      <c r="Y862" s="251"/>
      <c r="Z862" s="251"/>
    </row>
    <row r="863" spans="1:26" ht="14.25" customHeight="1" x14ac:dyDescent="0.35">
      <c r="A863" s="251"/>
      <c r="B863" s="251"/>
      <c r="C863" s="251"/>
      <c r="D863" s="251"/>
      <c r="E863" s="251"/>
      <c r="F863" s="251"/>
      <c r="G863" s="251"/>
      <c r="H863" s="251"/>
      <c r="I863" s="251"/>
      <c r="J863" s="251"/>
      <c r="K863" s="251"/>
      <c r="L863" s="251"/>
      <c r="M863" s="251"/>
      <c r="N863" s="251"/>
      <c r="O863" s="251"/>
      <c r="P863" s="251"/>
      <c r="Q863" s="251"/>
      <c r="R863" s="251"/>
      <c r="S863" s="251"/>
      <c r="T863" s="251"/>
      <c r="U863" s="251"/>
      <c r="V863" s="251"/>
      <c r="W863" s="251"/>
      <c r="X863" s="251"/>
      <c r="Y863" s="251"/>
      <c r="Z863" s="251"/>
    </row>
    <row r="864" spans="1:26" ht="14.25" customHeight="1" x14ac:dyDescent="0.35">
      <c r="A864" s="251"/>
      <c r="B864" s="251"/>
      <c r="C864" s="251"/>
      <c r="D864" s="251"/>
      <c r="E864" s="251"/>
      <c r="F864" s="251"/>
      <c r="G864" s="251"/>
      <c r="H864" s="251"/>
      <c r="I864" s="251"/>
      <c r="J864" s="251"/>
      <c r="K864" s="251"/>
      <c r="L864" s="251"/>
      <c r="M864" s="251"/>
      <c r="N864" s="251"/>
      <c r="O864" s="251"/>
      <c r="P864" s="251"/>
      <c r="Q864" s="251"/>
      <c r="R864" s="251"/>
      <c r="S864" s="251"/>
      <c r="T864" s="251"/>
      <c r="U864" s="251"/>
      <c r="V864" s="251"/>
      <c r="W864" s="251"/>
      <c r="X864" s="251"/>
      <c r="Y864" s="251"/>
      <c r="Z864" s="251"/>
    </row>
    <row r="865" spans="1:26" ht="14.25" customHeight="1" x14ac:dyDescent="0.35">
      <c r="A865" s="251"/>
      <c r="B865" s="251"/>
      <c r="C865" s="251"/>
      <c r="D865" s="251"/>
      <c r="E865" s="251"/>
      <c r="F865" s="251"/>
      <c r="G865" s="251"/>
      <c r="H865" s="251"/>
      <c r="I865" s="251"/>
      <c r="J865" s="251"/>
      <c r="K865" s="251"/>
      <c r="L865" s="251"/>
      <c r="M865" s="251"/>
      <c r="N865" s="251"/>
      <c r="O865" s="251"/>
      <c r="P865" s="251"/>
      <c r="Q865" s="251"/>
      <c r="R865" s="251"/>
      <c r="S865" s="251"/>
      <c r="T865" s="251"/>
      <c r="U865" s="251"/>
      <c r="V865" s="251"/>
      <c r="W865" s="251"/>
      <c r="X865" s="251"/>
      <c r="Y865" s="251"/>
      <c r="Z865" s="251"/>
    </row>
    <row r="866" spans="1:26" ht="14.25" customHeight="1" x14ac:dyDescent="0.35">
      <c r="A866" s="251"/>
      <c r="B866" s="251"/>
      <c r="C866" s="251"/>
      <c r="D866" s="251"/>
      <c r="E866" s="251"/>
      <c r="F866" s="251"/>
      <c r="G866" s="251"/>
      <c r="H866" s="251"/>
      <c r="I866" s="251"/>
      <c r="J866" s="251"/>
      <c r="K866" s="251"/>
      <c r="L866" s="251"/>
      <c r="M866" s="251"/>
      <c r="N866" s="251"/>
      <c r="O866" s="251"/>
      <c r="P866" s="251"/>
      <c r="Q866" s="251"/>
      <c r="R866" s="251"/>
      <c r="S866" s="251"/>
      <c r="T866" s="251"/>
      <c r="U866" s="251"/>
      <c r="V866" s="251"/>
      <c r="W866" s="251"/>
      <c r="X866" s="251"/>
      <c r="Y866" s="251"/>
      <c r="Z866" s="251"/>
    </row>
    <row r="867" spans="1:26" ht="14.25" customHeight="1" x14ac:dyDescent="0.35">
      <c r="A867" s="251"/>
      <c r="B867" s="251"/>
      <c r="C867" s="251"/>
      <c r="D867" s="251"/>
      <c r="E867" s="251"/>
      <c r="F867" s="251"/>
      <c r="G867" s="251"/>
      <c r="H867" s="251"/>
      <c r="I867" s="251"/>
      <c r="J867" s="251"/>
      <c r="K867" s="251"/>
      <c r="L867" s="251"/>
      <c r="M867" s="251"/>
      <c r="N867" s="251"/>
      <c r="O867" s="251"/>
      <c r="P867" s="251"/>
      <c r="Q867" s="251"/>
      <c r="R867" s="251"/>
      <c r="S867" s="251"/>
      <c r="T867" s="251"/>
      <c r="U867" s="251"/>
      <c r="V867" s="251"/>
      <c r="W867" s="251"/>
      <c r="X867" s="251"/>
      <c r="Y867" s="251"/>
      <c r="Z867" s="251"/>
    </row>
    <row r="868" spans="1:26" ht="14.25" customHeight="1" x14ac:dyDescent="0.35">
      <c r="A868" s="251"/>
      <c r="B868" s="251"/>
      <c r="C868" s="251"/>
      <c r="D868" s="251"/>
      <c r="E868" s="251"/>
      <c r="F868" s="251"/>
      <c r="G868" s="251"/>
      <c r="H868" s="251"/>
      <c r="I868" s="251"/>
      <c r="J868" s="251"/>
      <c r="K868" s="251"/>
      <c r="L868" s="251"/>
      <c r="M868" s="251"/>
      <c r="N868" s="251"/>
      <c r="O868" s="251"/>
      <c r="P868" s="251"/>
      <c r="Q868" s="251"/>
      <c r="R868" s="251"/>
      <c r="S868" s="251"/>
      <c r="T868" s="251"/>
      <c r="U868" s="251"/>
      <c r="V868" s="251"/>
      <c r="W868" s="251"/>
      <c r="X868" s="251"/>
      <c r="Y868" s="251"/>
      <c r="Z868" s="251"/>
    </row>
    <row r="869" spans="1:26" ht="14.25" customHeight="1" x14ac:dyDescent="0.35">
      <c r="A869" s="251"/>
      <c r="B869" s="251"/>
      <c r="C869" s="251"/>
      <c r="D869" s="251"/>
      <c r="E869" s="251"/>
      <c r="F869" s="251"/>
      <c r="G869" s="251"/>
      <c r="H869" s="251"/>
      <c r="I869" s="251"/>
      <c r="J869" s="251"/>
      <c r="K869" s="251"/>
      <c r="L869" s="251"/>
      <c r="M869" s="251"/>
      <c r="N869" s="251"/>
      <c r="O869" s="251"/>
      <c r="P869" s="251"/>
      <c r="Q869" s="251"/>
      <c r="R869" s="251"/>
      <c r="S869" s="251"/>
      <c r="T869" s="251"/>
      <c r="U869" s="251"/>
      <c r="V869" s="251"/>
      <c r="W869" s="251"/>
      <c r="X869" s="251"/>
      <c r="Y869" s="251"/>
      <c r="Z869" s="251"/>
    </row>
    <row r="870" spans="1:26" ht="14.25" customHeight="1" x14ac:dyDescent="0.35">
      <c r="A870" s="251"/>
      <c r="B870" s="251"/>
      <c r="C870" s="251"/>
      <c r="D870" s="251"/>
      <c r="E870" s="251"/>
      <c r="F870" s="251"/>
      <c r="G870" s="251"/>
      <c r="H870" s="251"/>
      <c r="I870" s="251"/>
      <c r="J870" s="251"/>
      <c r="K870" s="251"/>
      <c r="L870" s="251"/>
      <c r="M870" s="251"/>
      <c r="N870" s="251"/>
      <c r="O870" s="251"/>
      <c r="P870" s="251"/>
      <c r="Q870" s="251"/>
      <c r="R870" s="251"/>
      <c r="S870" s="251"/>
      <c r="T870" s="251"/>
      <c r="U870" s="251"/>
      <c r="V870" s="251"/>
      <c r="W870" s="251"/>
      <c r="X870" s="251"/>
      <c r="Y870" s="251"/>
      <c r="Z870" s="251"/>
    </row>
    <row r="871" spans="1:26" ht="14.25" customHeight="1" x14ac:dyDescent="0.35">
      <c r="A871" s="251"/>
      <c r="B871" s="251"/>
      <c r="C871" s="251"/>
      <c r="D871" s="251"/>
      <c r="E871" s="251"/>
      <c r="F871" s="251"/>
      <c r="G871" s="251"/>
      <c r="H871" s="251"/>
      <c r="I871" s="251"/>
      <c r="J871" s="251"/>
      <c r="K871" s="251"/>
      <c r="L871" s="251"/>
      <c r="M871" s="251"/>
      <c r="N871" s="251"/>
      <c r="O871" s="251"/>
      <c r="P871" s="251"/>
      <c r="Q871" s="251"/>
      <c r="R871" s="251"/>
      <c r="S871" s="251"/>
      <c r="T871" s="251"/>
      <c r="U871" s="251"/>
      <c r="V871" s="251"/>
      <c r="W871" s="251"/>
      <c r="X871" s="251"/>
      <c r="Y871" s="251"/>
      <c r="Z871" s="251"/>
    </row>
    <row r="872" spans="1:26" ht="14.25" customHeight="1" x14ac:dyDescent="0.35">
      <c r="A872" s="251"/>
      <c r="B872" s="251"/>
      <c r="C872" s="251"/>
      <c r="D872" s="251"/>
      <c r="E872" s="251"/>
      <c r="F872" s="251"/>
      <c r="G872" s="251"/>
      <c r="H872" s="251"/>
      <c r="I872" s="251"/>
      <c r="J872" s="251"/>
      <c r="K872" s="251"/>
      <c r="L872" s="251"/>
      <c r="M872" s="251"/>
      <c r="N872" s="251"/>
      <c r="O872" s="251"/>
      <c r="P872" s="251"/>
      <c r="Q872" s="251"/>
      <c r="R872" s="251"/>
      <c r="S872" s="251"/>
      <c r="T872" s="251"/>
      <c r="U872" s="251"/>
      <c r="V872" s="251"/>
      <c r="W872" s="251"/>
      <c r="X872" s="251"/>
      <c r="Y872" s="251"/>
      <c r="Z872" s="251"/>
    </row>
    <row r="873" spans="1:26" ht="14.25" customHeight="1" x14ac:dyDescent="0.35">
      <c r="A873" s="251"/>
      <c r="B873" s="251"/>
      <c r="C873" s="251"/>
      <c r="D873" s="251"/>
      <c r="E873" s="251"/>
      <c r="F873" s="251"/>
      <c r="G873" s="251"/>
      <c r="H873" s="251"/>
      <c r="I873" s="251"/>
      <c r="J873" s="251"/>
      <c r="K873" s="251"/>
      <c r="L873" s="251"/>
      <c r="M873" s="251"/>
      <c r="N873" s="251"/>
      <c r="O873" s="251"/>
      <c r="P873" s="251"/>
      <c r="Q873" s="251"/>
      <c r="R873" s="251"/>
      <c r="S873" s="251"/>
      <c r="T873" s="251"/>
      <c r="U873" s="251"/>
      <c r="V873" s="251"/>
      <c r="W873" s="251"/>
      <c r="X873" s="251"/>
      <c r="Y873" s="251"/>
      <c r="Z873" s="251"/>
    </row>
    <row r="874" spans="1:26" ht="14.25" customHeight="1" x14ac:dyDescent="0.35">
      <c r="A874" s="251"/>
      <c r="B874" s="251"/>
      <c r="C874" s="251"/>
      <c r="D874" s="251"/>
      <c r="E874" s="251"/>
      <c r="F874" s="251"/>
      <c r="G874" s="251"/>
      <c r="H874" s="251"/>
      <c r="I874" s="251"/>
      <c r="J874" s="251"/>
      <c r="K874" s="251"/>
      <c r="L874" s="251"/>
      <c r="M874" s="251"/>
      <c r="N874" s="251"/>
      <c r="O874" s="251"/>
      <c r="P874" s="251"/>
      <c r="Q874" s="251"/>
      <c r="R874" s="251"/>
      <c r="S874" s="251"/>
      <c r="T874" s="251"/>
      <c r="U874" s="251"/>
      <c r="V874" s="251"/>
      <c r="W874" s="251"/>
      <c r="X874" s="251"/>
      <c r="Y874" s="251"/>
      <c r="Z874" s="251"/>
    </row>
    <row r="875" spans="1:26" ht="14.25" customHeight="1" x14ac:dyDescent="0.35">
      <c r="A875" s="251"/>
      <c r="B875" s="251"/>
      <c r="C875" s="251"/>
      <c r="D875" s="251"/>
      <c r="E875" s="251"/>
      <c r="F875" s="251"/>
      <c r="G875" s="251"/>
      <c r="H875" s="251"/>
      <c r="I875" s="251"/>
      <c r="J875" s="251"/>
      <c r="K875" s="251"/>
      <c r="L875" s="251"/>
      <c r="M875" s="251"/>
      <c r="N875" s="251"/>
      <c r="O875" s="251"/>
      <c r="P875" s="251"/>
      <c r="Q875" s="251"/>
      <c r="R875" s="251"/>
      <c r="S875" s="251"/>
      <c r="T875" s="251"/>
      <c r="U875" s="251"/>
      <c r="V875" s="251"/>
      <c r="W875" s="251"/>
      <c r="X875" s="251"/>
      <c r="Y875" s="251"/>
      <c r="Z875" s="251"/>
    </row>
    <row r="876" spans="1:26" ht="14.25" customHeight="1" x14ac:dyDescent="0.35">
      <c r="A876" s="251"/>
      <c r="B876" s="251"/>
      <c r="C876" s="251"/>
      <c r="D876" s="251"/>
      <c r="E876" s="251"/>
      <c r="F876" s="251"/>
      <c r="G876" s="251"/>
      <c r="H876" s="251"/>
      <c r="I876" s="251"/>
      <c r="J876" s="251"/>
      <c r="K876" s="251"/>
      <c r="L876" s="251"/>
      <c r="M876" s="251"/>
      <c r="N876" s="251"/>
      <c r="O876" s="251"/>
      <c r="P876" s="251"/>
      <c r="Q876" s="251"/>
      <c r="R876" s="251"/>
      <c r="S876" s="251"/>
      <c r="T876" s="251"/>
      <c r="U876" s="251"/>
      <c r="V876" s="251"/>
      <c r="W876" s="251"/>
      <c r="X876" s="251"/>
      <c r="Y876" s="251"/>
      <c r="Z876" s="251"/>
    </row>
    <row r="877" spans="1:26" ht="14.25" customHeight="1" x14ac:dyDescent="0.35">
      <c r="A877" s="251"/>
      <c r="B877" s="251"/>
      <c r="C877" s="251"/>
      <c r="D877" s="251"/>
      <c r="E877" s="251"/>
      <c r="F877" s="251"/>
      <c r="G877" s="251"/>
      <c r="H877" s="251"/>
      <c r="I877" s="251"/>
      <c r="J877" s="251"/>
      <c r="K877" s="251"/>
      <c r="L877" s="251"/>
      <c r="M877" s="251"/>
      <c r="N877" s="251"/>
      <c r="O877" s="251"/>
      <c r="P877" s="251"/>
      <c r="Q877" s="251"/>
      <c r="R877" s="251"/>
      <c r="S877" s="251"/>
      <c r="T877" s="251"/>
      <c r="U877" s="251"/>
      <c r="V877" s="251"/>
      <c r="W877" s="251"/>
      <c r="X877" s="251"/>
      <c r="Y877" s="251"/>
      <c r="Z877" s="251"/>
    </row>
    <row r="878" spans="1:26" ht="14.25" customHeight="1" x14ac:dyDescent="0.35">
      <c r="A878" s="251"/>
      <c r="B878" s="251"/>
      <c r="C878" s="251"/>
      <c r="D878" s="251"/>
      <c r="E878" s="251"/>
      <c r="F878" s="251"/>
      <c r="G878" s="251"/>
      <c r="H878" s="251"/>
      <c r="I878" s="251"/>
      <c r="J878" s="251"/>
      <c r="K878" s="251"/>
      <c r="L878" s="251"/>
      <c r="M878" s="251"/>
      <c r="N878" s="251"/>
      <c r="O878" s="251"/>
      <c r="P878" s="251"/>
      <c r="Q878" s="251"/>
      <c r="R878" s="251"/>
      <c r="S878" s="251"/>
      <c r="T878" s="251"/>
      <c r="U878" s="251"/>
      <c r="V878" s="251"/>
      <c r="W878" s="251"/>
      <c r="X878" s="251"/>
      <c r="Y878" s="251"/>
      <c r="Z878" s="251"/>
    </row>
    <row r="879" spans="1:26" ht="14.25" customHeight="1" x14ac:dyDescent="0.35">
      <c r="A879" s="251"/>
      <c r="B879" s="251"/>
      <c r="C879" s="251"/>
      <c r="D879" s="251"/>
      <c r="E879" s="251"/>
      <c r="F879" s="251"/>
      <c r="G879" s="251"/>
      <c r="H879" s="251"/>
      <c r="I879" s="251"/>
      <c r="J879" s="251"/>
      <c r="K879" s="251"/>
      <c r="L879" s="251"/>
      <c r="M879" s="251"/>
      <c r="N879" s="251"/>
      <c r="O879" s="251"/>
      <c r="P879" s="251"/>
      <c r="Q879" s="251"/>
      <c r="R879" s="251"/>
      <c r="S879" s="251"/>
      <c r="T879" s="251"/>
      <c r="U879" s="251"/>
      <c r="V879" s="251"/>
      <c r="W879" s="251"/>
      <c r="X879" s="251"/>
      <c r="Y879" s="251"/>
      <c r="Z879" s="251"/>
    </row>
    <row r="880" spans="1:26" ht="14.25" customHeight="1" x14ac:dyDescent="0.35">
      <c r="A880" s="251"/>
      <c r="B880" s="251"/>
      <c r="C880" s="251"/>
      <c r="D880" s="251"/>
      <c r="E880" s="251"/>
      <c r="F880" s="251"/>
      <c r="G880" s="251"/>
      <c r="H880" s="251"/>
      <c r="I880" s="251"/>
      <c r="J880" s="251"/>
      <c r="K880" s="251"/>
      <c r="L880" s="251"/>
      <c r="M880" s="251"/>
      <c r="N880" s="251"/>
      <c r="O880" s="251"/>
      <c r="P880" s="251"/>
      <c r="Q880" s="251"/>
      <c r="R880" s="251"/>
      <c r="S880" s="251"/>
      <c r="T880" s="251"/>
      <c r="U880" s="251"/>
      <c r="V880" s="251"/>
      <c r="W880" s="251"/>
      <c r="X880" s="251"/>
      <c r="Y880" s="251"/>
      <c r="Z880" s="251"/>
    </row>
    <row r="881" spans="1:26" ht="14.25" customHeight="1" x14ac:dyDescent="0.35">
      <c r="A881" s="251"/>
      <c r="B881" s="251"/>
      <c r="C881" s="251"/>
      <c r="D881" s="251"/>
      <c r="E881" s="251"/>
      <c r="F881" s="251"/>
      <c r="G881" s="251"/>
      <c r="H881" s="251"/>
      <c r="I881" s="251"/>
      <c r="J881" s="251"/>
      <c r="K881" s="251"/>
      <c r="L881" s="251"/>
      <c r="M881" s="251"/>
      <c r="N881" s="251"/>
      <c r="O881" s="251"/>
      <c r="P881" s="251"/>
      <c r="Q881" s="251"/>
      <c r="R881" s="251"/>
      <c r="S881" s="251"/>
      <c r="T881" s="251"/>
      <c r="U881" s="251"/>
      <c r="V881" s="251"/>
      <c r="W881" s="251"/>
      <c r="X881" s="251"/>
      <c r="Y881" s="251"/>
      <c r="Z881" s="251"/>
    </row>
    <row r="882" spans="1:26" ht="14.25" customHeight="1" x14ac:dyDescent="0.35">
      <c r="A882" s="251"/>
      <c r="B882" s="251"/>
      <c r="C882" s="251"/>
      <c r="D882" s="251"/>
      <c r="E882" s="251"/>
      <c r="F882" s="251"/>
      <c r="G882" s="251"/>
      <c r="H882" s="251"/>
      <c r="I882" s="251"/>
      <c r="J882" s="251"/>
      <c r="K882" s="251"/>
      <c r="L882" s="251"/>
      <c r="M882" s="251"/>
      <c r="N882" s="251"/>
      <c r="O882" s="251"/>
      <c r="P882" s="251"/>
      <c r="Q882" s="251"/>
      <c r="R882" s="251"/>
      <c r="S882" s="251"/>
      <c r="T882" s="251"/>
      <c r="U882" s="251"/>
      <c r="V882" s="251"/>
      <c r="W882" s="251"/>
      <c r="X882" s="251"/>
      <c r="Y882" s="251"/>
      <c r="Z882" s="251"/>
    </row>
    <row r="883" spans="1:26" ht="14.25" customHeight="1" x14ac:dyDescent="0.35">
      <c r="A883" s="251"/>
      <c r="B883" s="251"/>
      <c r="C883" s="251"/>
      <c r="D883" s="251"/>
      <c r="E883" s="251"/>
      <c r="F883" s="251"/>
      <c r="G883" s="251"/>
      <c r="H883" s="251"/>
      <c r="I883" s="251"/>
      <c r="J883" s="251"/>
      <c r="K883" s="251"/>
      <c r="L883" s="251"/>
      <c r="M883" s="251"/>
      <c r="N883" s="251"/>
      <c r="O883" s="251"/>
      <c r="P883" s="251"/>
      <c r="Q883" s="251"/>
      <c r="R883" s="251"/>
      <c r="S883" s="251"/>
      <c r="T883" s="251"/>
      <c r="U883" s="251"/>
      <c r="V883" s="251"/>
      <c r="W883" s="251"/>
      <c r="X883" s="251"/>
      <c r="Y883" s="251"/>
      <c r="Z883" s="251"/>
    </row>
    <row r="884" spans="1:26" ht="14.25" customHeight="1" x14ac:dyDescent="0.35">
      <c r="A884" s="251"/>
      <c r="B884" s="251"/>
      <c r="C884" s="251"/>
      <c r="D884" s="251"/>
      <c r="E884" s="251"/>
      <c r="F884" s="251"/>
      <c r="G884" s="251"/>
      <c r="H884" s="251"/>
      <c r="I884" s="251"/>
      <c r="J884" s="251"/>
      <c r="K884" s="251"/>
      <c r="L884" s="251"/>
      <c r="M884" s="251"/>
      <c r="N884" s="251"/>
      <c r="O884" s="251"/>
      <c r="P884" s="251"/>
      <c r="Q884" s="251"/>
      <c r="R884" s="251"/>
      <c r="S884" s="251"/>
      <c r="T884" s="251"/>
      <c r="U884" s="251"/>
      <c r="V884" s="251"/>
      <c r="W884" s="251"/>
      <c r="X884" s="251"/>
      <c r="Y884" s="251"/>
      <c r="Z884" s="251"/>
    </row>
    <row r="885" spans="1:26" ht="14.25" customHeight="1" x14ac:dyDescent="0.35">
      <c r="A885" s="251"/>
      <c r="B885" s="251"/>
      <c r="C885" s="251"/>
      <c r="D885" s="251"/>
      <c r="E885" s="251"/>
      <c r="F885" s="251"/>
      <c r="G885" s="251"/>
      <c r="H885" s="251"/>
      <c r="I885" s="251"/>
      <c r="J885" s="251"/>
      <c r="K885" s="251"/>
      <c r="L885" s="251"/>
      <c r="M885" s="251"/>
      <c r="N885" s="251"/>
      <c r="O885" s="251"/>
      <c r="P885" s="251"/>
      <c r="Q885" s="251"/>
      <c r="R885" s="251"/>
      <c r="S885" s="251"/>
      <c r="T885" s="251"/>
      <c r="U885" s="251"/>
      <c r="V885" s="251"/>
      <c r="W885" s="251"/>
      <c r="X885" s="251"/>
      <c r="Y885" s="251"/>
      <c r="Z885" s="251"/>
    </row>
    <row r="886" spans="1:26" ht="14.25" customHeight="1" x14ac:dyDescent="0.35">
      <c r="A886" s="251"/>
      <c r="B886" s="251"/>
      <c r="C886" s="251"/>
      <c r="D886" s="251"/>
      <c r="E886" s="251"/>
      <c r="F886" s="251"/>
      <c r="G886" s="251"/>
      <c r="H886" s="251"/>
      <c r="I886" s="251"/>
      <c r="J886" s="251"/>
      <c r="K886" s="251"/>
      <c r="L886" s="251"/>
      <c r="M886" s="251"/>
      <c r="N886" s="251"/>
      <c r="O886" s="251"/>
      <c r="P886" s="251"/>
      <c r="Q886" s="251"/>
      <c r="R886" s="251"/>
      <c r="S886" s="251"/>
      <c r="T886" s="251"/>
      <c r="U886" s="251"/>
      <c r="V886" s="251"/>
      <c r="W886" s="251"/>
      <c r="X886" s="251"/>
      <c r="Y886" s="251"/>
      <c r="Z886" s="251"/>
    </row>
    <row r="887" spans="1:26" ht="14.25" customHeight="1" x14ac:dyDescent="0.35">
      <c r="A887" s="251"/>
      <c r="B887" s="251"/>
      <c r="C887" s="251"/>
      <c r="D887" s="251"/>
      <c r="E887" s="251"/>
      <c r="F887" s="251"/>
      <c r="G887" s="251"/>
      <c r="H887" s="251"/>
      <c r="I887" s="251"/>
      <c r="J887" s="251"/>
      <c r="K887" s="251"/>
      <c r="L887" s="251"/>
      <c r="M887" s="251"/>
      <c r="N887" s="251"/>
      <c r="O887" s="251"/>
      <c r="P887" s="251"/>
      <c r="Q887" s="251"/>
      <c r="R887" s="251"/>
      <c r="S887" s="251"/>
      <c r="T887" s="251"/>
      <c r="U887" s="251"/>
      <c r="V887" s="251"/>
      <c r="W887" s="251"/>
      <c r="X887" s="251"/>
      <c r="Y887" s="251"/>
      <c r="Z887" s="251"/>
    </row>
    <row r="888" spans="1:26" ht="14.25" customHeight="1" x14ac:dyDescent="0.35">
      <c r="A888" s="251"/>
      <c r="B888" s="251"/>
      <c r="C888" s="251"/>
      <c r="D888" s="251"/>
      <c r="E888" s="251"/>
      <c r="F888" s="251"/>
      <c r="G888" s="251"/>
      <c r="H888" s="251"/>
      <c r="I888" s="251"/>
      <c r="J888" s="251"/>
      <c r="K888" s="251"/>
      <c r="L888" s="251"/>
      <c r="M888" s="251"/>
      <c r="N888" s="251"/>
      <c r="O888" s="251"/>
      <c r="P888" s="251"/>
      <c r="Q888" s="251"/>
      <c r="R888" s="251"/>
      <c r="S888" s="251"/>
      <c r="T888" s="251"/>
      <c r="U888" s="251"/>
      <c r="V888" s="251"/>
      <c r="W888" s="251"/>
      <c r="X888" s="251"/>
      <c r="Y888" s="251"/>
      <c r="Z888" s="251"/>
    </row>
    <row r="889" spans="1:26" ht="14.25" customHeight="1" x14ac:dyDescent="0.35">
      <c r="A889" s="251"/>
      <c r="B889" s="251"/>
      <c r="C889" s="251"/>
      <c r="D889" s="251"/>
      <c r="E889" s="251"/>
      <c r="F889" s="251"/>
      <c r="G889" s="251"/>
      <c r="H889" s="251"/>
      <c r="I889" s="251"/>
      <c r="J889" s="251"/>
      <c r="K889" s="251"/>
      <c r="L889" s="251"/>
      <c r="M889" s="251"/>
      <c r="N889" s="251"/>
      <c r="O889" s="251"/>
      <c r="P889" s="251"/>
      <c r="Q889" s="251"/>
      <c r="R889" s="251"/>
      <c r="S889" s="251"/>
      <c r="T889" s="251"/>
      <c r="U889" s="251"/>
      <c r="V889" s="251"/>
      <c r="W889" s="251"/>
      <c r="X889" s="251"/>
      <c r="Y889" s="251"/>
      <c r="Z889" s="251"/>
    </row>
    <row r="890" spans="1:26" ht="14.25" customHeight="1" x14ac:dyDescent="0.35">
      <c r="A890" s="251"/>
      <c r="B890" s="251"/>
      <c r="C890" s="251"/>
      <c r="D890" s="251"/>
      <c r="E890" s="251"/>
      <c r="F890" s="251"/>
      <c r="G890" s="251"/>
      <c r="H890" s="251"/>
      <c r="I890" s="251"/>
      <c r="J890" s="251"/>
      <c r="K890" s="251"/>
      <c r="L890" s="251"/>
      <c r="M890" s="251"/>
      <c r="N890" s="251"/>
      <c r="O890" s="251"/>
      <c r="P890" s="251"/>
      <c r="Q890" s="251"/>
      <c r="R890" s="251"/>
      <c r="S890" s="251"/>
      <c r="T890" s="251"/>
      <c r="U890" s="251"/>
      <c r="V890" s="251"/>
      <c r="W890" s="251"/>
      <c r="X890" s="251"/>
      <c r="Y890" s="251"/>
      <c r="Z890" s="251"/>
    </row>
    <row r="891" spans="1:26" ht="14.25" customHeight="1" x14ac:dyDescent="0.35">
      <c r="A891" s="251"/>
      <c r="B891" s="251"/>
      <c r="C891" s="251"/>
      <c r="D891" s="251"/>
      <c r="E891" s="251"/>
      <c r="F891" s="251"/>
      <c r="G891" s="251"/>
      <c r="H891" s="251"/>
      <c r="I891" s="251"/>
      <c r="J891" s="251"/>
      <c r="K891" s="251"/>
      <c r="L891" s="251"/>
      <c r="M891" s="251"/>
      <c r="N891" s="251"/>
      <c r="O891" s="251"/>
      <c r="P891" s="251"/>
      <c r="Q891" s="251"/>
      <c r="R891" s="251"/>
      <c r="S891" s="251"/>
      <c r="T891" s="251"/>
      <c r="U891" s="251"/>
      <c r="V891" s="251"/>
      <c r="W891" s="251"/>
      <c r="X891" s="251"/>
      <c r="Y891" s="251"/>
      <c r="Z891" s="251"/>
    </row>
    <row r="892" spans="1:26" ht="14.25" customHeight="1" x14ac:dyDescent="0.35">
      <c r="A892" s="251"/>
      <c r="B892" s="251"/>
      <c r="C892" s="251"/>
      <c r="D892" s="251"/>
      <c r="E892" s="251"/>
      <c r="F892" s="251"/>
      <c r="G892" s="251"/>
      <c r="H892" s="251"/>
      <c r="I892" s="251"/>
      <c r="J892" s="251"/>
      <c r="K892" s="251"/>
      <c r="L892" s="251"/>
      <c r="M892" s="251"/>
      <c r="N892" s="251"/>
      <c r="O892" s="251"/>
      <c r="P892" s="251"/>
      <c r="Q892" s="251"/>
      <c r="R892" s="251"/>
      <c r="S892" s="251"/>
      <c r="T892" s="251"/>
      <c r="U892" s="251"/>
      <c r="V892" s="251"/>
      <c r="W892" s="251"/>
      <c r="X892" s="251"/>
      <c r="Y892" s="251"/>
      <c r="Z892" s="251"/>
    </row>
    <row r="893" spans="1:26" ht="14.25" customHeight="1" x14ac:dyDescent="0.35">
      <c r="A893" s="251"/>
      <c r="B893" s="251"/>
      <c r="C893" s="251"/>
      <c r="D893" s="251"/>
      <c r="E893" s="251"/>
      <c r="F893" s="251"/>
      <c r="G893" s="251"/>
      <c r="H893" s="251"/>
      <c r="I893" s="251"/>
      <c r="J893" s="251"/>
      <c r="K893" s="251"/>
      <c r="L893" s="251"/>
      <c r="M893" s="251"/>
      <c r="N893" s="251"/>
      <c r="O893" s="251"/>
      <c r="P893" s="251"/>
      <c r="Q893" s="251"/>
      <c r="R893" s="251"/>
      <c r="S893" s="251"/>
      <c r="T893" s="251"/>
      <c r="U893" s="251"/>
      <c r="V893" s="251"/>
      <c r="W893" s="251"/>
      <c r="X893" s="251"/>
      <c r="Y893" s="251"/>
      <c r="Z893" s="251"/>
    </row>
    <row r="894" spans="1:26" ht="14.25" customHeight="1" x14ac:dyDescent="0.35">
      <c r="A894" s="251"/>
      <c r="B894" s="251"/>
      <c r="C894" s="251"/>
      <c r="D894" s="251"/>
      <c r="E894" s="251"/>
      <c r="F894" s="251"/>
      <c r="G894" s="251"/>
      <c r="H894" s="251"/>
      <c r="I894" s="251"/>
      <c r="J894" s="251"/>
      <c r="K894" s="251"/>
      <c r="L894" s="251"/>
      <c r="M894" s="251"/>
      <c r="N894" s="251"/>
      <c r="O894" s="251"/>
      <c r="P894" s="251"/>
      <c r="Q894" s="251"/>
      <c r="R894" s="251"/>
      <c r="S894" s="251"/>
      <c r="T894" s="251"/>
      <c r="U894" s="251"/>
      <c r="V894" s="251"/>
      <c r="W894" s="251"/>
      <c r="X894" s="251"/>
      <c r="Y894" s="251"/>
      <c r="Z894" s="251"/>
    </row>
    <row r="895" spans="1:26" ht="14.25" customHeight="1" x14ac:dyDescent="0.35">
      <c r="A895" s="251"/>
      <c r="B895" s="251"/>
      <c r="C895" s="251"/>
      <c r="D895" s="251"/>
      <c r="E895" s="251"/>
      <c r="F895" s="251"/>
      <c r="G895" s="251"/>
      <c r="H895" s="251"/>
      <c r="I895" s="251"/>
      <c r="J895" s="251"/>
      <c r="K895" s="251"/>
      <c r="L895" s="251"/>
      <c r="M895" s="251"/>
      <c r="N895" s="251"/>
      <c r="O895" s="251"/>
      <c r="P895" s="251"/>
      <c r="Q895" s="251"/>
      <c r="R895" s="251"/>
      <c r="S895" s="251"/>
      <c r="T895" s="251"/>
      <c r="U895" s="251"/>
      <c r="V895" s="251"/>
      <c r="W895" s="251"/>
      <c r="X895" s="251"/>
      <c r="Y895" s="251"/>
      <c r="Z895" s="251"/>
    </row>
    <row r="896" spans="1:26" ht="14.25" customHeight="1" x14ac:dyDescent="0.35">
      <c r="A896" s="251"/>
      <c r="B896" s="251"/>
      <c r="C896" s="251"/>
      <c r="D896" s="251"/>
      <c r="E896" s="251"/>
      <c r="F896" s="251"/>
      <c r="G896" s="251"/>
      <c r="H896" s="251"/>
      <c r="I896" s="251"/>
      <c r="J896" s="251"/>
      <c r="K896" s="251"/>
      <c r="L896" s="251"/>
      <c r="M896" s="251"/>
      <c r="N896" s="251"/>
      <c r="O896" s="251"/>
      <c r="P896" s="251"/>
      <c r="Q896" s="251"/>
      <c r="R896" s="251"/>
      <c r="S896" s="251"/>
      <c r="T896" s="251"/>
      <c r="U896" s="251"/>
      <c r="V896" s="251"/>
      <c r="W896" s="251"/>
      <c r="X896" s="251"/>
      <c r="Y896" s="251"/>
      <c r="Z896" s="251"/>
    </row>
    <row r="897" spans="1:26" ht="14.25" customHeight="1" x14ac:dyDescent="0.35">
      <c r="A897" s="251"/>
      <c r="B897" s="251"/>
      <c r="C897" s="251"/>
      <c r="D897" s="251"/>
      <c r="E897" s="251"/>
      <c r="F897" s="251"/>
      <c r="G897" s="251"/>
      <c r="H897" s="251"/>
      <c r="I897" s="251"/>
      <c r="J897" s="251"/>
      <c r="K897" s="251"/>
      <c r="L897" s="251"/>
      <c r="M897" s="251"/>
      <c r="N897" s="251"/>
      <c r="O897" s="251"/>
      <c r="P897" s="251"/>
      <c r="Q897" s="251"/>
      <c r="R897" s="251"/>
      <c r="S897" s="251"/>
      <c r="T897" s="251"/>
      <c r="U897" s="251"/>
      <c r="V897" s="251"/>
      <c r="W897" s="251"/>
      <c r="X897" s="251"/>
      <c r="Y897" s="251"/>
      <c r="Z897" s="251"/>
    </row>
    <row r="898" spans="1:26" ht="14.25" customHeight="1" x14ac:dyDescent="0.35">
      <c r="A898" s="251"/>
      <c r="B898" s="251"/>
      <c r="C898" s="251"/>
      <c r="D898" s="251"/>
      <c r="E898" s="251"/>
      <c r="F898" s="251"/>
      <c r="G898" s="251"/>
      <c r="H898" s="251"/>
      <c r="I898" s="251"/>
      <c r="J898" s="251"/>
      <c r="K898" s="251"/>
      <c r="L898" s="251"/>
      <c r="M898" s="251"/>
      <c r="N898" s="251"/>
      <c r="O898" s="251"/>
      <c r="P898" s="251"/>
      <c r="Q898" s="251"/>
      <c r="R898" s="251"/>
      <c r="S898" s="251"/>
      <c r="T898" s="251"/>
      <c r="U898" s="251"/>
      <c r="V898" s="251"/>
      <c r="W898" s="251"/>
      <c r="X898" s="251"/>
      <c r="Y898" s="251"/>
      <c r="Z898" s="251"/>
    </row>
    <row r="899" spans="1:26" ht="14.25" customHeight="1" x14ac:dyDescent="0.35">
      <c r="A899" s="251"/>
      <c r="B899" s="251"/>
      <c r="C899" s="251"/>
      <c r="D899" s="251"/>
      <c r="E899" s="251"/>
      <c r="F899" s="251"/>
      <c r="G899" s="251"/>
      <c r="H899" s="251"/>
      <c r="I899" s="251"/>
      <c r="J899" s="251"/>
      <c r="K899" s="251"/>
      <c r="L899" s="251"/>
      <c r="M899" s="251"/>
      <c r="N899" s="251"/>
      <c r="O899" s="251"/>
      <c r="P899" s="251"/>
      <c r="Q899" s="251"/>
      <c r="R899" s="251"/>
      <c r="S899" s="251"/>
      <c r="T899" s="251"/>
      <c r="U899" s="251"/>
      <c r="V899" s="251"/>
      <c r="W899" s="251"/>
      <c r="X899" s="251"/>
      <c r="Y899" s="251"/>
      <c r="Z899" s="251"/>
    </row>
    <row r="900" spans="1:26" ht="14.25" customHeight="1" x14ac:dyDescent="0.35">
      <c r="A900" s="251"/>
      <c r="B900" s="251"/>
      <c r="C900" s="251"/>
      <c r="D900" s="251"/>
      <c r="E900" s="251"/>
      <c r="F900" s="251"/>
      <c r="G900" s="251"/>
      <c r="H900" s="251"/>
      <c r="I900" s="251"/>
      <c r="J900" s="251"/>
      <c r="K900" s="251"/>
      <c r="L900" s="251"/>
      <c r="M900" s="251"/>
      <c r="N900" s="251"/>
      <c r="O900" s="251"/>
      <c r="P900" s="251"/>
      <c r="Q900" s="251"/>
      <c r="R900" s="251"/>
      <c r="S900" s="251"/>
      <c r="T900" s="251"/>
      <c r="U900" s="251"/>
      <c r="V900" s="251"/>
      <c r="W900" s="251"/>
      <c r="X900" s="251"/>
      <c r="Y900" s="251"/>
      <c r="Z900" s="251"/>
    </row>
    <row r="901" spans="1:26" ht="14.25" customHeight="1" x14ac:dyDescent="0.35">
      <c r="A901" s="251"/>
      <c r="B901" s="251"/>
      <c r="C901" s="251"/>
      <c r="D901" s="251"/>
      <c r="E901" s="251"/>
      <c r="F901" s="251"/>
      <c r="G901" s="251"/>
      <c r="H901" s="251"/>
      <c r="I901" s="251"/>
      <c r="J901" s="251"/>
      <c r="K901" s="251"/>
      <c r="L901" s="251"/>
      <c r="M901" s="251"/>
      <c r="N901" s="251"/>
      <c r="O901" s="251"/>
      <c r="P901" s="251"/>
      <c r="Q901" s="251"/>
      <c r="R901" s="251"/>
      <c r="S901" s="251"/>
      <c r="T901" s="251"/>
      <c r="U901" s="251"/>
      <c r="V901" s="251"/>
      <c r="W901" s="251"/>
      <c r="X901" s="251"/>
      <c r="Y901" s="251"/>
      <c r="Z901" s="251"/>
    </row>
    <row r="902" spans="1:26" ht="14.25" customHeight="1" x14ac:dyDescent="0.35">
      <c r="A902" s="251"/>
      <c r="B902" s="251"/>
      <c r="C902" s="251"/>
      <c r="D902" s="251"/>
      <c r="E902" s="251"/>
      <c r="F902" s="251"/>
      <c r="G902" s="251"/>
      <c r="H902" s="251"/>
      <c r="I902" s="251"/>
      <c r="J902" s="251"/>
      <c r="K902" s="251"/>
      <c r="L902" s="251"/>
      <c r="M902" s="251"/>
      <c r="N902" s="251"/>
      <c r="O902" s="251"/>
      <c r="P902" s="251"/>
      <c r="Q902" s="251"/>
      <c r="R902" s="251"/>
      <c r="S902" s="251"/>
      <c r="T902" s="251"/>
      <c r="U902" s="251"/>
      <c r="V902" s="251"/>
      <c r="W902" s="251"/>
      <c r="X902" s="251"/>
      <c r="Y902" s="251"/>
      <c r="Z902" s="251"/>
    </row>
    <row r="903" spans="1:26" ht="14.25" customHeight="1" x14ac:dyDescent="0.35">
      <c r="A903" s="251"/>
      <c r="B903" s="251"/>
      <c r="C903" s="251"/>
      <c r="D903" s="251"/>
      <c r="E903" s="251"/>
      <c r="F903" s="251"/>
      <c r="G903" s="251"/>
      <c r="H903" s="251"/>
      <c r="I903" s="251"/>
      <c r="J903" s="251"/>
      <c r="K903" s="251"/>
      <c r="L903" s="251"/>
      <c r="M903" s="251"/>
      <c r="N903" s="251"/>
      <c r="O903" s="251"/>
      <c r="P903" s="251"/>
      <c r="Q903" s="251"/>
      <c r="R903" s="251"/>
      <c r="S903" s="251"/>
      <c r="T903" s="251"/>
      <c r="U903" s="251"/>
      <c r="V903" s="251"/>
      <c r="W903" s="251"/>
      <c r="X903" s="251"/>
      <c r="Y903" s="251"/>
      <c r="Z903" s="251"/>
    </row>
    <row r="904" spans="1:26" ht="14.25" customHeight="1" x14ac:dyDescent="0.35">
      <c r="A904" s="251"/>
      <c r="B904" s="251"/>
      <c r="C904" s="251"/>
      <c r="D904" s="251"/>
      <c r="E904" s="251"/>
      <c r="F904" s="251"/>
      <c r="G904" s="251"/>
      <c r="H904" s="251"/>
      <c r="I904" s="251"/>
      <c r="J904" s="251"/>
      <c r="K904" s="251"/>
      <c r="L904" s="251"/>
      <c r="M904" s="251"/>
      <c r="N904" s="251"/>
      <c r="O904" s="251"/>
      <c r="P904" s="251"/>
      <c r="Q904" s="251"/>
      <c r="R904" s="251"/>
      <c r="S904" s="251"/>
      <c r="T904" s="251"/>
      <c r="U904" s="251"/>
      <c r="V904" s="251"/>
      <c r="W904" s="251"/>
      <c r="X904" s="251"/>
      <c r="Y904" s="251"/>
      <c r="Z904" s="251"/>
    </row>
    <row r="905" spans="1:26" ht="14.25" customHeight="1" x14ac:dyDescent="0.35">
      <c r="A905" s="251"/>
      <c r="B905" s="251"/>
      <c r="C905" s="251"/>
      <c r="D905" s="251"/>
      <c r="E905" s="251"/>
      <c r="F905" s="251"/>
      <c r="G905" s="251"/>
      <c r="H905" s="251"/>
      <c r="I905" s="251"/>
      <c r="J905" s="251"/>
      <c r="K905" s="251"/>
      <c r="L905" s="251"/>
      <c r="M905" s="251"/>
      <c r="N905" s="251"/>
      <c r="O905" s="251"/>
      <c r="P905" s="251"/>
      <c r="Q905" s="251"/>
      <c r="R905" s="251"/>
      <c r="S905" s="251"/>
      <c r="T905" s="251"/>
      <c r="U905" s="251"/>
      <c r="V905" s="251"/>
      <c r="W905" s="251"/>
      <c r="X905" s="251"/>
      <c r="Y905" s="251"/>
      <c r="Z905" s="251"/>
    </row>
    <row r="906" spans="1:26" ht="14.25" customHeight="1" x14ac:dyDescent="0.35">
      <c r="A906" s="251"/>
      <c r="B906" s="251"/>
      <c r="C906" s="251"/>
      <c r="D906" s="251"/>
      <c r="E906" s="251"/>
      <c r="F906" s="251"/>
      <c r="G906" s="251"/>
      <c r="H906" s="251"/>
      <c r="I906" s="251"/>
      <c r="J906" s="251"/>
      <c r="K906" s="251"/>
      <c r="L906" s="251"/>
      <c r="M906" s="251"/>
      <c r="N906" s="251"/>
      <c r="O906" s="251"/>
      <c r="P906" s="251"/>
      <c r="Q906" s="251"/>
      <c r="R906" s="251"/>
      <c r="S906" s="251"/>
      <c r="T906" s="251"/>
      <c r="U906" s="251"/>
      <c r="V906" s="251"/>
      <c r="W906" s="251"/>
      <c r="X906" s="251"/>
      <c r="Y906" s="251"/>
      <c r="Z906" s="251"/>
    </row>
    <row r="907" spans="1:26" ht="14.25" customHeight="1" x14ac:dyDescent="0.35">
      <c r="A907" s="251"/>
      <c r="B907" s="251"/>
      <c r="C907" s="251"/>
      <c r="D907" s="251"/>
      <c r="E907" s="251"/>
      <c r="F907" s="251"/>
      <c r="G907" s="251"/>
      <c r="H907" s="251"/>
      <c r="I907" s="251"/>
      <c r="J907" s="251"/>
      <c r="K907" s="251"/>
      <c r="L907" s="251"/>
      <c r="M907" s="251"/>
      <c r="N907" s="251"/>
      <c r="O907" s="251"/>
      <c r="P907" s="251"/>
      <c r="Q907" s="251"/>
      <c r="R907" s="251"/>
      <c r="S907" s="251"/>
      <c r="T907" s="251"/>
      <c r="U907" s="251"/>
      <c r="V907" s="251"/>
      <c r="W907" s="251"/>
      <c r="X907" s="251"/>
      <c r="Y907" s="251"/>
      <c r="Z907" s="251"/>
    </row>
    <row r="908" spans="1:26" ht="14.25" customHeight="1" x14ac:dyDescent="0.35">
      <c r="A908" s="251"/>
      <c r="B908" s="251"/>
      <c r="C908" s="251"/>
      <c r="D908" s="251"/>
      <c r="E908" s="251"/>
      <c r="F908" s="251"/>
      <c r="G908" s="251"/>
      <c r="H908" s="251"/>
      <c r="I908" s="251"/>
      <c r="J908" s="251"/>
      <c r="K908" s="251"/>
      <c r="L908" s="251"/>
      <c r="M908" s="251"/>
      <c r="N908" s="251"/>
      <c r="O908" s="251"/>
      <c r="P908" s="251"/>
      <c r="Q908" s="251"/>
      <c r="R908" s="251"/>
      <c r="S908" s="251"/>
      <c r="T908" s="251"/>
      <c r="U908" s="251"/>
      <c r="V908" s="251"/>
      <c r="W908" s="251"/>
      <c r="X908" s="251"/>
      <c r="Y908" s="251"/>
      <c r="Z908" s="251"/>
    </row>
    <row r="909" spans="1:26" ht="14.25" customHeight="1" x14ac:dyDescent="0.35">
      <c r="A909" s="251"/>
      <c r="B909" s="251"/>
      <c r="C909" s="251"/>
      <c r="D909" s="251"/>
      <c r="E909" s="251"/>
      <c r="F909" s="251"/>
      <c r="G909" s="251"/>
      <c r="H909" s="251"/>
      <c r="I909" s="251"/>
      <c r="J909" s="251"/>
      <c r="K909" s="251"/>
      <c r="L909" s="251"/>
      <c r="M909" s="251"/>
      <c r="N909" s="251"/>
      <c r="O909" s="251"/>
      <c r="P909" s="251"/>
      <c r="Q909" s="251"/>
      <c r="R909" s="251"/>
      <c r="S909" s="251"/>
      <c r="T909" s="251"/>
      <c r="U909" s="251"/>
      <c r="V909" s="251"/>
      <c r="W909" s="251"/>
      <c r="X909" s="251"/>
      <c r="Y909" s="251"/>
      <c r="Z909" s="251"/>
    </row>
    <row r="910" spans="1:26" ht="14.25" customHeight="1" x14ac:dyDescent="0.35">
      <c r="A910" s="251"/>
      <c r="B910" s="251"/>
      <c r="C910" s="251"/>
      <c r="D910" s="251"/>
      <c r="E910" s="251"/>
      <c r="F910" s="251"/>
      <c r="G910" s="251"/>
      <c r="H910" s="251"/>
      <c r="I910" s="251"/>
      <c r="J910" s="251"/>
      <c r="K910" s="251"/>
      <c r="L910" s="251"/>
      <c r="M910" s="251"/>
      <c r="N910" s="251"/>
      <c r="O910" s="251"/>
      <c r="P910" s="251"/>
      <c r="Q910" s="251"/>
      <c r="R910" s="251"/>
      <c r="S910" s="251"/>
      <c r="T910" s="251"/>
      <c r="U910" s="251"/>
      <c r="V910" s="251"/>
      <c r="W910" s="251"/>
      <c r="X910" s="251"/>
      <c r="Y910" s="251"/>
      <c r="Z910" s="251"/>
    </row>
    <row r="911" spans="1:26" ht="14.25" customHeight="1" x14ac:dyDescent="0.35">
      <c r="A911" s="251"/>
      <c r="B911" s="251"/>
      <c r="C911" s="251"/>
      <c r="D911" s="251"/>
      <c r="E911" s="251"/>
      <c r="F911" s="251"/>
      <c r="G911" s="251"/>
      <c r="H911" s="251"/>
      <c r="I911" s="251"/>
      <c r="J911" s="251"/>
      <c r="K911" s="251"/>
      <c r="L911" s="251"/>
      <c r="M911" s="251"/>
      <c r="N911" s="251"/>
      <c r="O911" s="251"/>
      <c r="P911" s="251"/>
      <c r="Q911" s="251"/>
      <c r="R911" s="251"/>
      <c r="S911" s="251"/>
      <c r="T911" s="251"/>
      <c r="U911" s="251"/>
      <c r="V911" s="251"/>
      <c r="W911" s="251"/>
      <c r="X911" s="251"/>
      <c r="Y911" s="251"/>
      <c r="Z911" s="251"/>
    </row>
    <row r="912" spans="1:26" ht="14.25" customHeight="1" x14ac:dyDescent="0.35">
      <c r="A912" s="251"/>
      <c r="B912" s="251"/>
      <c r="C912" s="251"/>
      <c r="D912" s="251"/>
      <c r="E912" s="251"/>
      <c r="F912" s="251"/>
      <c r="G912" s="251"/>
      <c r="H912" s="251"/>
      <c r="I912" s="251"/>
      <c r="J912" s="251"/>
      <c r="K912" s="251"/>
      <c r="L912" s="251"/>
      <c r="M912" s="251"/>
      <c r="N912" s="251"/>
      <c r="O912" s="251"/>
      <c r="P912" s="251"/>
      <c r="Q912" s="251"/>
      <c r="R912" s="251"/>
      <c r="S912" s="251"/>
      <c r="T912" s="251"/>
      <c r="U912" s="251"/>
      <c r="V912" s="251"/>
      <c r="W912" s="251"/>
      <c r="X912" s="251"/>
      <c r="Y912" s="251"/>
      <c r="Z912" s="251"/>
    </row>
    <row r="913" spans="1:26" ht="14.25" customHeight="1" x14ac:dyDescent="0.35">
      <c r="A913" s="251"/>
      <c r="B913" s="251"/>
      <c r="C913" s="251"/>
      <c r="D913" s="251"/>
      <c r="E913" s="251"/>
      <c r="F913" s="251"/>
      <c r="G913" s="251"/>
      <c r="H913" s="251"/>
      <c r="I913" s="251"/>
      <c r="J913" s="251"/>
      <c r="K913" s="251"/>
      <c r="L913" s="251"/>
      <c r="M913" s="251"/>
      <c r="N913" s="251"/>
      <c r="O913" s="251"/>
      <c r="P913" s="251"/>
      <c r="Q913" s="251"/>
      <c r="R913" s="251"/>
      <c r="S913" s="251"/>
      <c r="T913" s="251"/>
      <c r="U913" s="251"/>
      <c r="V913" s="251"/>
      <c r="W913" s="251"/>
      <c r="X913" s="251"/>
      <c r="Y913" s="251"/>
      <c r="Z913" s="251"/>
    </row>
    <row r="914" spans="1:26" ht="14.25" customHeight="1" x14ac:dyDescent="0.35">
      <c r="A914" s="251"/>
      <c r="B914" s="251"/>
      <c r="C914" s="251"/>
      <c r="D914" s="251"/>
      <c r="E914" s="251"/>
      <c r="F914" s="251"/>
      <c r="G914" s="251"/>
      <c r="H914" s="251"/>
      <c r="I914" s="251"/>
      <c r="J914" s="251"/>
      <c r="K914" s="251"/>
      <c r="L914" s="251"/>
      <c r="M914" s="251"/>
      <c r="N914" s="251"/>
      <c r="O914" s="251"/>
      <c r="P914" s="251"/>
      <c r="Q914" s="251"/>
      <c r="R914" s="251"/>
      <c r="S914" s="251"/>
      <c r="T914" s="251"/>
      <c r="U914" s="251"/>
      <c r="V914" s="251"/>
      <c r="W914" s="251"/>
      <c r="X914" s="251"/>
      <c r="Y914" s="251"/>
      <c r="Z914" s="251"/>
    </row>
    <row r="915" spans="1:26" ht="14.25" customHeight="1" x14ac:dyDescent="0.35">
      <c r="A915" s="251"/>
      <c r="B915" s="251"/>
      <c r="C915" s="251"/>
      <c r="D915" s="251"/>
      <c r="E915" s="251"/>
      <c r="F915" s="251"/>
      <c r="G915" s="251"/>
      <c r="H915" s="251"/>
      <c r="I915" s="251"/>
      <c r="J915" s="251"/>
      <c r="K915" s="251"/>
      <c r="L915" s="251"/>
      <c r="M915" s="251"/>
      <c r="N915" s="251"/>
      <c r="O915" s="251"/>
      <c r="P915" s="251"/>
      <c r="Q915" s="251"/>
      <c r="R915" s="251"/>
      <c r="S915" s="251"/>
      <c r="T915" s="251"/>
      <c r="U915" s="251"/>
      <c r="V915" s="251"/>
      <c r="W915" s="251"/>
      <c r="X915" s="251"/>
      <c r="Y915" s="251"/>
      <c r="Z915" s="251"/>
    </row>
    <row r="916" spans="1:26" ht="14.25" customHeight="1" x14ac:dyDescent="0.35">
      <c r="A916" s="251"/>
      <c r="B916" s="251"/>
      <c r="C916" s="251"/>
      <c r="D916" s="251"/>
      <c r="E916" s="251"/>
      <c r="F916" s="251"/>
      <c r="G916" s="251"/>
      <c r="H916" s="251"/>
      <c r="I916" s="251"/>
      <c r="J916" s="251"/>
      <c r="K916" s="251"/>
      <c r="L916" s="251"/>
      <c r="M916" s="251"/>
      <c r="N916" s="251"/>
      <c r="O916" s="251"/>
      <c r="P916" s="251"/>
      <c r="Q916" s="251"/>
      <c r="R916" s="251"/>
      <c r="S916" s="251"/>
      <c r="T916" s="251"/>
      <c r="U916" s="251"/>
      <c r="V916" s="251"/>
      <c r="W916" s="251"/>
      <c r="X916" s="251"/>
      <c r="Y916" s="251"/>
      <c r="Z916" s="251"/>
    </row>
    <row r="917" spans="1:26" ht="14.25" customHeight="1" x14ac:dyDescent="0.35">
      <c r="A917" s="251"/>
      <c r="B917" s="251"/>
      <c r="C917" s="251"/>
      <c r="D917" s="251"/>
      <c r="E917" s="251"/>
      <c r="F917" s="251"/>
      <c r="G917" s="251"/>
      <c r="H917" s="251"/>
      <c r="I917" s="251"/>
      <c r="J917" s="251"/>
      <c r="K917" s="251"/>
      <c r="L917" s="251"/>
      <c r="M917" s="251"/>
      <c r="N917" s="251"/>
      <c r="O917" s="251"/>
      <c r="P917" s="251"/>
      <c r="Q917" s="251"/>
      <c r="R917" s="251"/>
      <c r="S917" s="251"/>
      <c r="T917" s="251"/>
      <c r="U917" s="251"/>
      <c r="V917" s="251"/>
      <c r="W917" s="251"/>
      <c r="X917" s="251"/>
      <c r="Y917" s="251"/>
      <c r="Z917" s="251"/>
    </row>
    <row r="918" spans="1:26" ht="14.25" customHeight="1" x14ac:dyDescent="0.35">
      <c r="A918" s="251"/>
      <c r="B918" s="251"/>
      <c r="C918" s="251"/>
      <c r="D918" s="251"/>
      <c r="E918" s="251"/>
      <c r="F918" s="251"/>
      <c r="G918" s="251"/>
      <c r="H918" s="251"/>
      <c r="I918" s="251"/>
      <c r="J918" s="251"/>
      <c r="K918" s="251"/>
      <c r="L918" s="251"/>
      <c r="M918" s="251"/>
      <c r="N918" s="251"/>
      <c r="O918" s="251"/>
      <c r="P918" s="251"/>
      <c r="Q918" s="251"/>
      <c r="R918" s="251"/>
      <c r="S918" s="251"/>
      <c r="T918" s="251"/>
      <c r="U918" s="251"/>
      <c r="V918" s="251"/>
      <c r="W918" s="251"/>
      <c r="X918" s="251"/>
      <c r="Y918" s="251"/>
      <c r="Z918" s="251"/>
    </row>
    <row r="919" spans="1:26" ht="14.25" customHeight="1" x14ac:dyDescent="0.35">
      <c r="A919" s="251"/>
      <c r="B919" s="251"/>
      <c r="C919" s="251"/>
      <c r="D919" s="251"/>
      <c r="E919" s="251"/>
      <c r="F919" s="251"/>
      <c r="G919" s="251"/>
      <c r="H919" s="251"/>
      <c r="I919" s="251"/>
      <c r="J919" s="251"/>
      <c r="K919" s="251"/>
      <c r="L919" s="251"/>
      <c r="M919" s="251"/>
      <c r="N919" s="251"/>
      <c r="O919" s="251"/>
      <c r="P919" s="251"/>
      <c r="Q919" s="251"/>
      <c r="R919" s="251"/>
      <c r="S919" s="251"/>
      <c r="T919" s="251"/>
      <c r="U919" s="251"/>
      <c r="V919" s="251"/>
      <c r="W919" s="251"/>
      <c r="X919" s="251"/>
      <c r="Y919" s="251"/>
      <c r="Z919" s="251"/>
    </row>
    <row r="920" spans="1:26" ht="14.25" customHeight="1" x14ac:dyDescent="0.35">
      <c r="A920" s="251"/>
      <c r="B920" s="251"/>
      <c r="C920" s="251"/>
      <c r="D920" s="251"/>
      <c r="E920" s="251"/>
      <c r="F920" s="251"/>
      <c r="G920" s="251"/>
      <c r="H920" s="251"/>
      <c r="I920" s="251"/>
      <c r="J920" s="251"/>
      <c r="K920" s="251"/>
      <c r="L920" s="251"/>
      <c r="M920" s="251"/>
      <c r="N920" s="251"/>
      <c r="O920" s="251"/>
      <c r="P920" s="251"/>
      <c r="Q920" s="251"/>
      <c r="R920" s="251"/>
      <c r="S920" s="251"/>
      <c r="T920" s="251"/>
      <c r="U920" s="251"/>
      <c r="V920" s="251"/>
      <c r="W920" s="251"/>
      <c r="X920" s="251"/>
      <c r="Y920" s="251"/>
      <c r="Z920" s="251"/>
    </row>
    <row r="921" spans="1:26" ht="14.25" customHeight="1" x14ac:dyDescent="0.35">
      <c r="A921" s="251"/>
      <c r="B921" s="251"/>
      <c r="C921" s="251"/>
      <c r="D921" s="251"/>
      <c r="E921" s="251"/>
      <c r="F921" s="251"/>
      <c r="G921" s="251"/>
      <c r="H921" s="251"/>
      <c r="I921" s="251"/>
      <c r="J921" s="251"/>
      <c r="K921" s="251"/>
      <c r="L921" s="251"/>
      <c r="M921" s="251"/>
      <c r="N921" s="251"/>
      <c r="O921" s="251"/>
      <c r="P921" s="251"/>
      <c r="Q921" s="251"/>
      <c r="R921" s="251"/>
      <c r="S921" s="251"/>
      <c r="T921" s="251"/>
      <c r="U921" s="251"/>
      <c r="V921" s="251"/>
      <c r="W921" s="251"/>
      <c r="X921" s="251"/>
      <c r="Y921" s="251"/>
      <c r="Z921" s="251"/>
    </row>
    <row r="922" spans="1:26" ht="14.25" customHeight="1" x14ac:dyDescent="0.35">
      <c r="A922" s="251"/>
      <c r="B922" s="251"/>
      <c r="C922" s="251"/>
      <c r="D922" s="251"/>
      <c r="E922" s="251"/>
      <c r="F922" s="251"/>
      <c r="G922" s="251"/>
      <c r="H922" s="251"/>
      <c r="I922" s="251"/>
      <c r="J922" s="251"/>
      <c r="K922" s="251"/>
      <c r="L922" s="251"/>
      <c r="M922" s="251"/>
      <c r="N922" s="251"/>
      <c r="O922" s="251"/>
      <c r="P922" s="251"/>
      <c r="Q922" s="251"/>
      <c r="R922" s="251"/>
      <c r="S922" s="251"/>
      <c r="T922" s="251"/>
      <c r="U922" s="251"/>
      <c r="V922" s="251"/>
      <c r="W922" s="251"/>
      <c r="X922" s="251"/>
      <c r="Y922" s="251"/>
      <c r="Z922" s="251"/>
    </row>
    <row r="923" spans="1:26" ht="14.25" customHeight="1" x14ac:dyDescent="0.35">
      <c r="A923" s="251"/>
      <c r="B923" s="251"/>
      <c r="C923" s="251"/>
      <c r="D923" s="251"/>
      <c r="E923" s="251"/>
      <c r="F923" s="251"/>
      <c r="G923" s="251"/>
      <c r="H923" s="251"/>
      <c r="I923" s="251"/>
      <c r="J923" s="251"/>
      <c r="K923" s="251"/>
      <c r="L923" s="251"/>
      <c r="M923" s="251"/>
      <c r="N923" s="251"/>
      <c r="O923" s="251"/>
      <c r="P923" s="251"/>
      <c r="Q923" s="251"/>
      <c r="R923" s="251"/>
      <c r="S923" s="251"/>
      <c r="T923" s="251"/>
      <c r="U923" s="251"/>
      <c r="V923" s="251"/>
      <c r="W923" s="251"/>
      <c r="X923" s="251"/>
      <c r="Y923" s="251"/>
      <c r="Z923" s="251"/>
    </row>
    <row r="924" spans="1:26" ht="14.25" customHeight="1" x14ac:dyDescent="0.35">
      <c r="A924" s="251"/>
      <c r="B924" s="251"/>
      <c r="C924" s="251"/>
      <c r="D924" s="251"/>
      <c r="E924" s="251"/>
      <c r="F924" s="251"/>
      <c r="G924" s="251"/>
      <c r="H924" s="251"/>
      <c r="I924" s="251"/>
      <c r="J924" s="251"/>
      <c r="K924" s="251"/>
      <c r="L924" s="251"/>
      <c r="M924" s="251"/>
      <c r="N924" s="251"/>
      <c r="O924" s="251"/>
      <c r="P924" s="251"/>
      <c r="Q924" s="251"/>
      <c r="R924" s="251"/>
      <c r="S924" s="251"/>
      <c r="T924" s="251"/>
      <c r="U924" s="251"/>
      <c r="V924" s="251"/>
      <c r="W924" s="251"/>
      <c r="X924" s="251"/>
      <c r="Y924" s="251"/>
      <c r="Z924" s="251"/>
    </row>
    <row r="925" spans="1:26" ht="14.25" customHeight="1" x14ac:dyDescent="0.35">
      <c r="A925" s="251"/>
      <c r="B925" s="251"/>
      <c r="C925" s="251"/>
      <c r="D925" s="251"/>
      <c r="E925" s="251"/>
      <c r="F925" s="251"/>
      <c r="G925" s="251"/>
      <c r="H925" s="251"/>
      <c r="I925" s="251"/>
      <c r="J925" s="251"/>
      <c r="K925" s="251"/>
      <c r="L925" s="251"/>
      <c r="M925" s="251"/>
      <c r="N925" s="251"/>
      <c r="O925" s="251"/>
      <c r="P925" s="251"/>
      <c r="Q925" s="251"/>
      <c r="R925" s="251"/>
      <c r="S925" s="251"/>
      <c r="T925" s="251"/>
      <c r="U925" s="251"/>
      <c r="V925" s="251"/>
      <c r="W925" s="251"/>
      <c r="X925" s="251"/>
      <c r="Y925" s="251"/>
      <c r="Z925" s="251"/>
    </row>
    <row r="926" spans="1:26" ht="14.25" customHeight="1" x14ac:dyDescent="0.35">
      <c r="A926" s="251"/>
      <c r="B926" s="251"/>
      <c r="C926" s="251"/>
      <c r="D926" s="251"/>
      <c r="E926" s="251"/>
      <c r="F926" s="251"/>
      <c r="G926" s="251"/>
      <c r="H926" s="251"/>
      <c r="I926" s="251"/>
      <c r="J926" s="251"/>
      <c r="K926" s="251"/>
      <c r="L926" s="251"/>
      <c r="M926" s="251"/>
      <c r="N926" s="251"/>
      <c r="O926" s="251"/>
      <c r="P926" s="251"/>
      <c r="Q926" s="251"/>
      <c r="R926" s="251"/>
      <c r="S926" s="251"/>
      <c r="T926" s="251"/>
      <c r="U926" s="251"/>
      <c r="V926" s="251"/>
      <c r="W926" s="251"/>
      <c r="X926" s="251"/>
      <c r="Y926" s="251"/>
      <c r="Z926" s="251"/>
    </row>
    <row r="927" spans="1:26" ht="14.25" customHeight="1" x14ac:dyDescent="0.35">
      <c r="A927" s="251"/>
      <c r="B927" s="251"/>
      <c r="C927" s="251"/>
      <c r="D927" s="251"/>
      <c r="E927" s="251"/>
      <c r="F927" s="251"/>
      <c r="G927" s="251"/>
      <c r="H927" s="251"/>
      <c r="I927" s="251"/>
      <c r="J927" s="251"/>
      <c r="K927" s="251"/>
      <c r="L927" s="251"/>
      <c r="M927" s="251"/>
      <c r="N927" s="251"/>
      <c r="O927" s="251"/>
      <c r="P927" s="251"/>
      <c r="Q927" s="251"/>
      <c r="R927" s="251"/>
      <c r="S927" s="251"/>
      <c r="T927" s="251"/>
      <c r="U927" s="251"/>
      <c r="V927" s="251"/>
      <c r="W927" s="251"/>
      <c r="X927" s="251"/>
      <c r="Y927" s="251"/>
      <c r="Z927" s="251"/>
    </row>
    <row r="928" spans="1:26" ht="14.25" customHeight="1" x14ac:dyDescent="0.35">
      <c r="A928" s="251"/>
      <c r="B928" s="251"/>
      <c r="C928" s="251"/>
      <c r="D928" s="251"/>
      <c r="E928" s="251"/>
      <c r="F928" s="251"/>
      <c r="G928" s="251"/>
      <c r="H928" s="251"/>
      <c r="I928" s="251"/>
      <c r="J928" s="251"/>
      <c r="K928" s="251"/>
      <c r="L928" s="251"/>
      <c r="M928" s="251"/>
      <c r="N928" s="251"/>
      <c r="O928" s="251"/>
      <c r="P928" s="251"/>
      <c r="Q928" s="251"/>
      <c r="R928" s="251"/>
      <c r="S928" s="251"/>
      <c r="T928" s="251"/>
      <c r="U928" s="251"/>
      <c r="V928" s="251"/>
      <c r="W928" s="251"/>
      <c r="X928" s="251"/>
      <c r="Y928" s="251"/>
      <c r="Z928" s="251"/>
    </row>
    <row r="929" spans="1:26" ht="14.25" customHeight="1" x14ac:dyDescent="0.35">
      <c r="A929" s="251"/>
      <c r="B929" s="251"/>
      <c r="C929" s="251"/>
      <c r="D929" s="251"/>
      <c r="E929" s="251"/>
      <c r="F929" s="251"/>
      <c r="G929" s="251"/>
      <c r="H929" s="251"/>
      <c r="I929" s="251"/>
      <c r="J929" s="251"/>
      <c r="K929" s="251"/>
      <c r="L929" s="251"/>
      <c r="M929" s="251"/>
      <c r="N929" s="251"/>
      <c r="O929" s="251"/>
      <c r="P929" s="251"/>
      <c r="Q929" s="251"/>
      <c r="R929" s="251"/>
      <c r="S929" s="251"/>
      <c r="T929" s="251"/>
      <c r="U929" s="251"/>
      <c r="V929" s="251"/>
      <c r="W929" s="251"/>
      <c r="X929" s="251"/>
      <c r="Y929" s="251"/>
      <c r="Z929" s="251"/>
    </row>
    <row r="930" spans="1:26" ht="14.25" customHeight="1" x14ac:dyDescent="0.35">
      <c r="A930" s="251"/>
      <c r="B930" s="251"/>
      <c r="C930" s="251"/>
      <c r="D930" s="251"/>
      <c r="E930" s="251"/>
      <c r="F930" s="251"/>
      <c r="G930" s="251"/>
      <c r="H930" s="251"/>
      <c r="I930" s="251"/>
      <c r="J930" s="251"/>
      <c r="K930" s="251"/>
      <c r="L930" s="251"/>
      <c r="M930" s="251"/>
      <c r="N930" s="251"/>
      <c r="O930" s="251"/>
      <c r="P930" s="251"/>
      <c r="Q930" s="251"/>
      <c r="R930" s="251"/>
      <c r="S930" s="251"/>
      <c r="T930" s="251"/>
      <c r="U930" s="251"/>
      <c r="V930" s="251"/>
      <c r="W930" s="251"/>
      <c r="X930" s="251"/>
      <c r="Y930" s="251"/>
      <c r="Z930" s="251"/>
    </row>
    <row r="931" spans="1:26" ht="14.25" customHeight="1" x14ac:dyDescent="0.35">
      <c r="A931" s="251"/>
      <c r="B931" s="251"/>
      <c r="C931" s="251"/>
      <c r="D931" s="251"/>
      <c r="E931" s="251"/>
      <c r="F931" s="251"/>
      <c r="G931" s="251"/>
      <c r="H931" s="251"/>
      <c r="I931" s="251"/>
      <c r="J931" s="251"/>
      <c r="K931" s="251"/>
      <c r="L931" s="251"/>
      <c r="M931" s="251"/>
      <c r="N931" s="251"/>
      <c r="O931" s="251"/>
      <c r="P931" s="251"/>
      <c r="Q931" s="251"/>
      <c r="R931" s="251"/>
      <c r="S931" s="251"/>
      <c r="T931" s="251"/>
      <c r="U931" s="251"/>
      <c r="V931" s="251"/>
      <c r="W931" s="251"/>
      <c r="X931" s="251"/>
      <c r="Y931" s="251"/>
      <c r="Z931" s="251"/>
    </row>
    <row r="932" spans="1:26" ht="14.25" customHeight="1" x14ac:dyDescent="0.35">
      <c r="A932" s="251"/>
      <c r="B932" s="251"/>
      <c r="C932" s="251"/>
      <c r="D932" s="251"/>
      <c r="E932" s="251"/>
      <c r="F932" s="251"/>
      <c r="G932" s="251"/>
      <c r="H932" s="251"/>
      <c r="I932" s="251"/>
      <c r="J932" s="251"/>
      <c r="K932" s="251"/>
      <c r="L932" s="251"/>
      <c r="M932" s="251"/>
      <c r="N932" s="251"/>
      <c r="O932" s="251"/>
      <c r="P932" s="251"/>
      <c r="Q932" s="251"/>
      <c r="R932" s="251"/>
      <c r="S932" s="251"/>
      <c r="T932" s="251"/>
      <c r="U932" s="251"/>
      <c r="V932" s="251"/>
      <c r="W932" s="251"/>
      <c r="X932" s="251"/>
      <c r="Y932" s="251"/>
      <c r="Z932" s="251"/>
    </row>
    <row r="933" spans="1:26" ht="14.25" customHeight="1" x14ac:dyDescent="0.35">
      <c r="A933" s="251"/>
      <c r="B933" s="251"/>
      <c r="C933" s="251"/>
      <c r="D933" s="251"/>
      <c r="E933" s="251"/>
      <c r="F933" s="251"/>
      <c r="G933" s="251"/>
      <c r="H933" s="251"/>
      <c r="I933" s="251"/>
      <c r="J933" s="251"/>
      <c r="K933" s="251"/>
      <c r="L933" s="251"/>
      <c r="M933" s="251"/>
      <c r="N933" s="251"/>
      <c r="O933" s="251"/>
      <c r="P933" s="251"/>
      <c r="Q933" s="251"/>
      <c r="R933" s="251"/>
      <c r="S933" s="251"/>
      <c r="T933" s="251"/>
      <c r="U933" s="251"/>
      <c r="V933" s="251"/>
      <c r="W933" s="251"/>
      <c r="X933" s="251"/>
      <c r="Y933" s="251"/>
      <c r="Z933" s="251"/>
    </row>
    <row r="934" spans="1:26" ht="14.25" customHeight="1" x14ac:dyDescent="0.35">
      <c r="A934" s="251"/>
      <c r="B934" s="251"/>
      <c r="C934" s="251"/>
      <c r="D934" s="251"/>
      <c r="E934" s="251"/>
      <c r="F934" s="251"/>
      <c r="G934" s="251"/>
      <c r="H934" s="251"/>
      <c r="I934" s="251"/>
      <c r="J934" s="251"/>
      <c r="K934" s="251"/>
      <c r="L934" s="251"/>
      <c r="M934" s="251"/>
      <c r="N934" s="251"/>
      <c r="O934" s="251"/>
      <c r="P934" s="251"/>
      <c r="Q934" s="251"/>
      <c r="R934" s="251"/>
      <c r="S934" s="251"/>
      <c r="T934" s="251"/>
      <c r="U934" s="251"/>
      <c r="V934" s="251"/>
      <c r="W934" s="251"/>
      <c r="X934" s="251"/>
      <c r="Y934" s="251"/>
      <c r="Z934" s="251"/>
    </row>
    <row r="935" spans="1:26" ht="14.25" customHeight="1" x14ac:dyDescent="0.35">
      <c r="A935" s="251"/>
      <c r="B935" s="251"/>
      <c r="C935" s="251"/>
      <c r="D935" s="251"/>
      <c r="E935" s="251"/>
      <c r="F935" s="251"/>
      <c r="G935" s="251"/>
      <c r="H935" s="251"/>
      <c r="I935" s="251"/>
      <c r="J935" s="251"/>
      <c r="K935" s="251"/>
      <c r="L935" s="251"/>
      <c r="M935" s="251"/>
      <c r="N935" s="251"/>
      <c r="O935" s="251"/>
      <c r="P935" s="251"/>
      <c r="Q935" s="251"/>
      <c r="R935" s="251"/>
      <c r="S935" s="251"/>
      <c r="T935" s="251"/>
      <c r="U935" s="251"/>
      <c r="V935" s="251"/>
      <c r="W935" s="251"/>
      <c r="X935" s="251"/>
      <c r="Y935" s="251"/>
      <c r="Z935" s="251"/>
    </row>
    <row r="936" spans="1:26" ht="14.25" customHeight="1" x14ac:dyDescent="0.35">
      <c r="A936" s="251"/>
      <c r="B936" s="251"/>
      <c r="C936" s="251"/>
      <c r="D936" s="251"/>
      <c r="E936" s="251"/>
      <c r="F936" s="251"/>
      <c r="G936" s="251"/>
      <c r="H936" s="251"/>
      <c r="I936" s="251"/>
      <c r="J936" s="251"/>
      <c r="K936" s="251"/>
      <c r="L936" s="251"/>
      <c r="M936" s="251"/>
      <c r="N936" s="251"/>
      <c r="O936" s="251"/>
      <c r="P936" s="251"/>
      <c r="Q936" s="251"/>
      <c r="R936" s="251"/>
      <c r="S936" s="251"/>
      <c r="T936" s="251"/>
      <c r="U936" s="251"/>
      <c r="V936" s="251"/>
      <c r="W936" s="251"/>
      <c r="X936" s="251"/>
      <c r="Y936" s="251"/>
      <c r="Z936" s="251"/>
    </row>
    <row r="937" spans="1:26" ht="14.25" customHeight="1" x14ac:dyDescent="0.35">
      <c r="A937" s="251"/>
      <c r="B937" s="251"/>
      <c r="C937" s="251"/>
      <c r="D937" s="251"/>
      <c r="E937" s="251"/>
      <c r="F937" s="251"/>
      <c r="G937" s="251"/>
      <c r="H937" s="251"/>
      <c r="I937" s="251"/>
      <c r="J937" s="251"/>
      <c r="K937" s="251"/>
      <c r="L937" s="251"/>
      <c r="M937" s="251"/>
      <c r="N937" s="251"/>
      <c r="O937" s="251"/>
      <c r="P937" s="251"/>
      <c r="Q937" s="251"/>
      <c r="R937" s="251"/>
      <c r="S937" s="251"/>
      <c r="T937" s="251"/>
      <c r="U937" s="251"/>
      <c r="V937" s="251"/>
      <c r="W937" s="251"/>
      <c r="X937" s="251"/>
      <c r="Y937" s="251"/>
      <c r="Z937" s="251"/>
    </row>
    <row r="938" spans="1:26" ht="14.25" customHeight="1" x14ac:dyDescent="0.35">
      <c r="A938" s="251"/>
      <c r="B938" s="251"/>
      <c r="C938" s="251"/>
      <c r="D938" s="251"/>
      <c r="E938" s="251"/>
      <c r="F938" s="251"/>
      <c r="G938" s="251"/>
      <c r="H938" s="251"/>
      <c r="I938" s="251"/>
      <c r="J938" s="251"/>
      <c r="K938" s="251"/>
      <c r="L938" s="251"/>
      <c r="M938" s="251"/>
      <c r="N938" s="251"/>
      <c r="O938" s="251"/>
      <c r="P938" s="251"/>
      <c r="Q938" s="251"/>
      <c r="R938" s="251"/>
      <c r="S938" s="251"/>
      <c r="T938" s="251"/>
      <c r="U938" s="251"/>
      <c r="V938" s="251"/>
      <c r="W938" s="251"/>
      <c r="X938" s="251"/>
      <c r="Y938" s="251"/>
      <c r="Z938" s="251"/>
    </row>
    <row r="939" spans="1:26" ht="14.25" customHeight="1" x14ac:dyDescent="0.35">
      <c r="A939" s="251"/>
      <c r="B939" s="251"/>
      <c r="C939" s="251"/>
      <c r="D939" s="251"/>
      <c r="E939" s="251"/>
      <c r="F939" s="251"/>
      <c r="G939" s="251"/>
      <c r="H939" s="251"/>
      <c r="I939" s="251"/>
      <c r="J939" s="251"/>
      <c r="K939" s="251"/>
      <c r="L939" s="251"/>
      <c r="M939" s="251"/>
      <c r="N939" s="251"/>
      <c r="O939" s="251"/>
      <c r="P939" s="251"/>
      <c r="Q939" s="251"/>
      <c r="R939" s="251"/>
      <c r="S939" s="251"/>
      <c r="T939" s="251"/>
      <c r="U939" s="251"/>
      <c r="V939" s="251"/>
      <c r="W939" s="251"/>
      <c r="X939" s="251"/>
      <c r="Y939" s="251"/>
      <c r="Z939" s="251"/>
    </row>
    <row r="940" spans="1:26" ht="14.25" customHeight="1" x14ac:dyDescent="0.35">
      <c r="A940" s="251"/>
      <c r="B940" s="251"/>
      <c r="C940" s="251"/>
      <c r="D940" s="251"/>
      <c r="E940" s="251"/>
      <c r="F940" s="251"/>
      <c r="G940" s="251"/>
      <c r="H940" s="251"/>
      <c r="I940" s="251"/>
      <c r="J940" s="251"/>
      <c r="K940" s="251"/>
      <c r="L940" s="251"/>
      <c r="M940" s="251"/>
      <c r="N940" s="251"/>
      <c r="O940" s="251"/>
      <c r="P940" s="251"/>
      <c r="Q940" s="251"/>
      <c r="R940" s="251"/>
      <c r="S940" s="251"/>
      <c r="T940" s="251"/>
      <c r="U940" s="251"/>
      <c r="V940" s="251"/>
      <c r="W940" s="251"/>
      <c r="X940" s="251"/>
      <c r="Y940" s="251"/>
      <c r="Z940" s="251"/>
    </row>
    <row r="941" spans="1:26" ht="14.25" customHeight="1" x14ac:dyDescent="0.35">
      <c r="A941" s="251"/>
      <c r="B941" s="251"/>
      <c r="C941" s="251"/>
      <c r="D941" s="251"/>
      <c r="E941" s="251"/>
      <c r="F941" s="251"/>
      <c r="G941" s="251"/>
      <c r="H941" s="251"/>
      <c r="I941" s="251"/>
      <c r="J941" s="251"/>
      <c r="K941" s="251"/>
      <c r="L941" s="251"/>
      <c r="M941" s="251"/>
      <c r="N941" s="251"/>
      <c r="O941" s="251"/>
      <c r="P941" s="251"/>
      <c r="Q941" s="251"/>
      <c r="R941" s="251"/>
      <c r="S941" s="251"/>
      <c r="T941" s="251"/>
      <c r="U941" s="251"/>
      <c r="V941" s="251"/>
      <c r="W941" s="251"/>
      <c r="X941" s="251"/>
      <c r="Y941" s="251"/>
      <c r="Z941" s="251"/>
    </row>
    <row r="942" spans="1:26" ht="14.25" customHeight="1" x14ac:dyDescent="0.35">
      <c r="A942" s="251"/>
      <c r="B942" s="251"/>
      <c r="C942" s="251"/>
      <c r="D942" s="251"/>
      <c r="E942" s="251"/>
      <c r="F942" s="251"/>
      <c r="G942" s="251"/>
      <c r="H942" s="251"/>
      <c r="I942" s="251"/>
      <c r="J942" s="251"/>
      <c r="K942" s="251"/>
      <c r="L942" s="251"/>
      <c r="M942" s="251"/>
      <c r="N942" s="251"/>
      <c r="O942" s="251"/>
      <c r="P942" s="251"/>
      <c r="Q942" s="251"/>
      <c r="R942" s="251"/>
      <c r="S942" s="251"/>
      <c r="T942" s="251"/>
      <c r="U942" s="251"/>
      <c r="V942" s="251"/>
      <c r="W942" s="251"/>
      <c r="X942" s="251"/>
      <c r="Y942" s="251"/>
      <c r="Z942" s="251"/>
    </row>
    <row r="943" spans="1:26" ht="14.25" customHeight="1" x14ac:dyDescent="0.35">
      <c r="A943" s="251"/>
      <c r="B943" s="251"/>
      <c r="C943" s="251"/>
      <c r="D943" s="251"/>
      <c r="E943" s="251"/>
      <c r="F943" s="251"/>
      <c r="G943" s="251"/>
      <c r="H943" s="251"/>
      <c r="I943" s="251"/>
      <c r="J943" s="251"/>
      <c r="K943" s="251"/>
      <c r="L943" s="251"/>
      <c r="M943" s="251"/>
      <c r="N943" s="251"/>
      <c r="O943" s="251"/>
      <c r="P943" s="251"/>
      <c r="Q943" s="251"/>
      <c r="R943" s="251"/>
      <c r="S943" s="251"/>
      <c r="T943" s="251"/>
      <c r="U943" s="251"/>
      <c r="V943" s="251"/>
      <c r="W943" s="251"/>
      <c r="X943" s="251"/>
      <c r="Y943" s="251"/>
      <c r="Z943" s="251"/>
    </row>
    <row r="944" spans="1:26" ht="14.25" customHeight="1" x14ac:dyDescent="0.35">
      <c r="A944" s="251"/>
      <c r="B944" s="251"/>
      <c r="C944" s="251"/>
      <c r="D944" s="251"/>
      <c r="E944" s="251"/>
      <c r="F944" s="251"/>
      <c r="G944" s="251"/>
      <c r="H944" s="251"/>
      <c r="I944" s="251"/>
      <c r="J944" s="251"/>
      <c r="K944" s="251"/>
      <c r="L944" s="251"/>
      <c r="M944" s="251"/>
      <c r="N944" s="251"/>
      <c r="O944" s="251"/>
      <c r="P944" s="251"/>
      <c r="Q944" s="251"/>
      <c r="R944" s="251"/>
      <c r="S944" s="251"/>
      <c r="T944" s="251"/>
      <c r="U944" s="251"/>
      <c r="V944" s="251"/>
      <c r="W944" s="251"/>
      <c r="X944" s="251"/>
      <c r="Y944" s="251"/>
      <c r="Z944" s="251"/>
    </row>
    <row r="945" spans="1:26" ht="14.25" customHeight="1" x14ac:dyDescent="0.35">
      <c r="A945" s="251"/>
      <c r="B945" s="251"/>
      <c r="C945" s="251"/>
      <c r="D945" s="251"/>
      <c r="E945" s="251"/>
      <c r="F945" s="251"/>
      <c r="G945" s="251"/>
      <c r="H945" s="251"/>
      <c r="I945" s="251"/>
      <c r="J945" s="251"/>
      <c r="K945" s="251"/>
      <c r="L945" s="251"/>
      <c r="M945" s="251"/>
      <c r="N945" s="251"/>
      <c r="O945" s="251"/>
      <c r="P945" s="251"/>
      <c r="Q945" s="251"/>
      <c r="R945" s="251"/>
      <c r="S945" s="251"/>
      <c r="T945" s="251"/>
      <c r="U945" s="251"/>
      <c r="V945" s="251"/>
      <c r="W945" s="251"/>
      <c r="X945" s="251"/>
      <c r="Y945" s="251"/>
      <c r="Z945" s="251"/>
    </row>
    <row r="946" spans="1:26" ht="14.25" customHeight="1" x14ac:dyDescent="0.35">
      <c r="A946" s="251"/>
      <c r="B946" s="251"/>
      <c r="C946" s="251"/>
      <c r="D946" s="251"/>
      <c r="E946" s="251"/>
      <c r="F946" s="251"/>
      <c r="G946" s="251"/>
      <c r="H946" s="251"/>
      <c r="I946" s="251"/>
      <c r="J946" s="251"/>
      <c r="K946" s="251"/>
      <c r="L946" s="251"/>
      <c r="M946" s="251"/>
      <c r="N946" s="251"/>
      <c r="O946" s="251"/>
      <c r="P946" s="251"/>
      <c r="Q946" s="251"/>
      <c r="R946" s="251"/>
      <c r="S946" s="251"/>
      <c r="T946" s="251"/>
      <c r="U946" s="251"/>
      <c r="V946" s="251"/>
      <c r="W946" s="251"/>
      <c r="X946" s="251"/>
      <c r="Y946" s="251"/>
      <c r="Z946" s="251"/>
    </row>
    <row r="947" spans="1:26" ht="14.25" customHeight="1" x14ac:dyDescent="0.35">
      <c r="A947" s="251"/>
      <c r="B947" s="251"/>
      <c r="C947" s="251"/>
      <c r="D947" s="251"/>
      <c r="E947" s="251"/>
      <c r="F947" s="251"/>
      <c r="G947" s="251"/>
      <c r="H947" s="251"/>
      <c r="I947" s="251"/>
      <c r="J947" s="251"/>
      <c r="K947" s="251"/>
      <c r="L947" s="251"/>
      <c r="M947" s="251"/>
      <c r="N947" s="251"/>
      <c r="O947" s="251"/>
      <c r="P947" s="251"/>
      <c r="Q947" s="251"/>
      <c r="R947" s="251"/>
      <c r="S947" s="251"/>
      <c r="T947" s="251"/>
      <c r="U947" s="251"/>
      <c r="V947" s="251"/>
      <c r="W947" s="251"/>
      <c r="X947" s="251"/>
      <c r="Y947" s="251"/>
      <c r="Z947" s="251"/>
    </row>
    <row r="948" spans="1:26" ht="14.25" customHeight="1" x14ac:dyDescent="0.35">
      <c r="A948" s="251"/>
      <c r="B948" s="251"/>
      <c r="C948" s="251"/>
      <c r="D948" s="251"/>
      <c r="E948" s="251"/>
      <c r="F948" s="251"/>
      <c r="G948" s="251"/>
      <c r="H948" s="251"/>
      <c r="I948" s="251"/>
      <c r="J948" s="251"/>
      <c r="K948" s="251"/>
      <c r="L948" s="251"/>
      <c r="M948" s="251"/>
      <c r="N948" s="251"/>
      <c r="O948" s="251"/>
      <c r="P948" s="251"/>
      <c r="Q948" s="251"/>
      <c r="R948" s="251"/>
      <c r="S948" s="251"/>
      <c r="T948" s="251"/>
      <c r="U948" s="251"/>
      <c r="V948" s="251"/>
      <c r="W948" s="251"/>
      <c r="X948" s="251"/>
      <c r="Y948" s="251"/>
      <c r="Z948" s="251"/>
    </row>
    <row r="949" spans="1:26" ht="14.25" customHeight="1" x14ac:dyDescent="0.35">
      <c r="A949" s="251"/>
      <c r="B949" s="251"/>
      <c r="C949" s="251"/>
      <c r="D949" s="251"/>
      <c r="E949" s="251"/>
      <c r="F949" s="251"/>
      <c r="G949" s="251"/>
      <c r="H949" s="251"/>
      <c r="I949" s="251"/>
      <c r="J949" s="251"/>
      <c r="K949" s="251"/>
      <c r="L949" s="251"/>
      <c r="M949" s="251"/>
      <c r="N949" s="251"/>
      <c r="O949" s="251"/>
      <c r="P949" s="251"/>
      <c r="Q949" s="251"/>
      <c r="R949" s="251"/>
      <c r="S949" s="251"/>
      <c r="T949" s="251"/>
      <c r="U949" s="251"/>
      <c r="V949" s="251"/>
      <c r="W949" s="251"/>
      <c r="X949" s="251"/>
      <c r="Y949" s="251"/>
      <c r="Z949" s="251"/>
    </row>
    <row r="950" spans="1:26" ht="14.25" customHeight="1" x14ac:dyDescent="0.35">
      <c r="A950" s="251"/>
      <c r="B950" s="251"/>
      <c r="C950" s="251"/>
      <c r="D950" s="251"/>
      <c r="E950" s="251"/>
      <c r="F950" s="251"/>
      <c r="G950" s="251"/>
      <c r="H950" s="251"/>
      <c r="I950" s="251"/>
      <c r="J950" s="251"/>
      <c r="K950" s="251"/>
      <c r="L950" s="251"/>
      <c r="M950" s="251"/>
      <c r="N950" s="251"/>
      <c r="O950" s="251"/>
      <c r="P950" s="251"/>
      <c r="Q950" s="251"/>
      <c r="R950" s="251"/>
      <c r="S950" s="251"/>
      <c r="T950" s="251"/>
      <c r="U950" s="251"/>
      <c r="V950" s="251"/>
      <c r="W950" s="251"/>
      <c r="X950" s="251"/>
      <c r="Y950" s="251"/>
      <c r="Z950" s="251"/>
    </row>
    <row r="951" spans="1:26" ht="14.25" customHeight="1" x14ac:dyDescent="0.35">
      <c r="A951" s="251"/>
      <c r="B951" s="251"/>
      <c r="C951" s="251"/>
      <c r="D951" s="251"/>
      <c r="E951" s="251"/>
      <c r="F951" s="251"/>
      <c r="G951" s="251"/>
      <c r="H951" s="251"/>
      <c r="I951" s="251"/>
      <c r="J951" s="251"/>
      <c r="K951" s="251"/>
      <c r="L951" s="251"/>
      <c r="M951" s="251"/>
      <c r="N951" s="251"/>
      <c r="O951" s="251"/>
      <c r="P951" s="251"/>
      <c r="Q951" s="251"/>
      <c r="R951" s="251"/>
      <c r="S951" s="251"/>
      <c r="T951" s="251"/>
      <c r="U951" s="251"/>
      <c r="V951" s="251"/>
      <c r="W951" s="251"/>
      <c r="X951" s="251"/>
      <c r="Y951" s="251"/>
      <c r="Z951" s="251"/>
    </row>
    <row r="952" spans="1:26" ht="14.25" customHeight="1" x14ac:dyDescent="0.35">
      <c r="A952" s="251"/>
      <c r="B952" s="251"/>
      <c r="C952" s="251"/>
      <c r="D952" s="251"/>
      <c r="E952" s="251"/>
      <c r="F952" s="251"/>
      <c r="G952" s="251"/>
      <c r="H952" s="251"/>
      <c r="I952" s="251"/>
      <c r="J952" s="251"/>
      <c r="K952" s="251"/>
      <c r="L952" s="251"/>
      <c r="M952" s="251"/>
      <c r="N952" s="251"/>
      <c r="O952" s="251"/>
      <c r="P952" s="251"/>
      <c r="Q952" s="251"/>
      <c r="R952" s="251"/>
      <c r="S952" s="251"/>
      <c r="T952" s="251"/>
      <c r="U952" s="251"/>
      <c r="V952" s="251"/>
      <c r="W952" s="251"/>
      <c r="X952" s="251"/>
      <c r="Y952" s="251"/>
      <c r="Z952" s="251"/>
    </row>
    <row r="953" spans="1:26" ht="14.25" customHeight="1" x14ac:dyDescent="0.35">
      <c r="A953" s="251"/>
      <c r="B953" s="251"/>
      <c r="C953" s="251"/>
      <c r="D953" s="251"/>
      <c r="E953" s="251"/>
      <c r="F953" s="251"/>
      <c r="G953" s="251"/>
      <c r="H953" s="251"/>
      <c r="I953" s="251"/>
      <c r="J953" s="251"/>
      <c r="K953" s="251"/>
      <c r="L953" s="251"/>
      <c r="M953" s="251"/>
      <c r="N953" s="251"/>
      <c r="O953" s="251"/>
      <c r="P953" s="251"/>
      <c r="Q953" s="251"/>
      <c r="R953" s="251"/>
      <c r="S953" s="251"/>
      <c r="T953" s="251"/>
      <c r="U953" s="251"/>
      <c r="V953" s="251"/>
      <c r="W953" s="251"/>
      <c r="X953" s="251"/>
      <c r="Y953" s="251"/>
      <c r="Z953" s="251"/>
    </row>
    <row r="954" spans="1:26" ht="14.25" customHeight="1" x14ac:dyDescent="0.35">
      <c r="A954" s="251"/>
      <c r="B954" s="251"/>
      <c r="C954" s="251"/>
      <c r="D954" s="251"/>
      <c r="E954" s="251"/>
      <c r="F954" s="251"/>
      <c r="G954" s="251"/>
      <c r="H954" s="251"/>
      <c r="I954" s="251"/>
      <c r="J954" s="251"/>
      <c r="K954" s="251"/>
      <c r="L954" s="251"/>
      <c r="M954" s="251"/>
      <c r="N954" s="251"/>
      <c r="O954" s="251"/>
      <c r="P954" s="251"/>
      <c r="Q954" s="251"/>
      <c r="R954" s="251"/>
      <c r="S954" s="251"/>
      <c r="T954" s="251"/>
      <c r="U954" s="251"/>
      <c r="V954" s="251"/>
      <c r="W954" s="251"/>
      <c r="X954" s="251"/>
      <c r="Y954" s="251"/>
      <c r="Z954" s="251"/>
    </row>
    <row r="955" spans="1:26" ht="14.25" customHeight="1" x14ac:dyDescent="0.35">
      <c r="A955" s="251"/>
      <c r="B955" s="251"/>
      <c r="C955" s="251"/>
      <c r="D955" s="251"/>
      <c r="E955" s="251"/>
      <c r="F955" s="251"/>
      <c r="G955" s="251"/>
      <c r="H955" s="251"/>
      <c r="I955" s="251"/>
      <c r="J955" s="251"/>
      <c r="K955" s="251"/>
      <c r="L955" s="251"/>
      <c r="M955" s="251"/>
      <c r="N955" s="251"/>
      <c r="O955" s="251"/>
      <c r="P955" s="251"/>
      <c r="Q955" s="251"/>
      <c r="R955" s="251"/>
      <c r="S955" s="251"/>
      <c r="T955" s="251"/>
      <c r="U955" s="251"/>
      <c r="V955" s="251"/>
      <c r="W955" s="251"/>
      <c r="X955" s="251"/>
      <c r="Y955" s="251"/>
      <c r="Z955" s="251"/>
    </row>
    <row r="956" spans="1:26" ht="14.25" customHeight="1" x14ac:dyDescent="0.35">
      <c r="A956" s="251"/>
      <c r="B956" s="251"/>
      <c r="C956" s="251"/>
      <c r="D956" s="251"/>
      <c r="E956" s="251"/>
      <c r="F956" s="251"/>
      <c r="G956" s="251"/>
      <c r="H956" s="251"/>
      <c r="I956" s="251"/>
      <c r="J956" s="251"/>
      <c r="K956" s="251"/>
      <c r="L956" s="251"/>
      <c r="M956" s="251"/>
      <c r="N956" s="251"/>
      <c r="O956" s="251"/>
      <c r="P956" s="251"/>
      <c r="Q956" s="251"/>
      <c r="R956" s="251"/>
      <c r="S956" s="251"/>
      <c r="T956" s="251"/>
      <c r="U956" s="251"/>
      <c r="V956" s="251"/>
      <c r="W956" s="251"/>
      <c r="X956" s="251"/>
      <c r="Y956" s="251"/>
      <c r="Z956" s="251"/>
    </row>
    <row r="957" spans="1:26" ht="14.25" customHeight="1" x14ac:dyDescent="0.35">
      <c r="A957" s="251"/>
      <c r="B957" s="251"/>
      <c r="C957" s="251"/>
      <c r="D957" s="251"/>
      <c r="E957" s="251"/>
      <c r="F957" s="251"/>
      <c r="G957" s="251"/>
      <c r="H957" s="251"/>
      <c r="I957" s="251"/>
      <c r="J957" s="251"/>
      <c r="K957" s="251"/>
      <c r="L957" s="251"/>
      <c r="M957" s="251"/>
      <c r="N957" s="251"/>
      <c r="O957" s="251"/>
      <c r="P957" s="251"/>
      <c r="Q957" s="251"/>
      <c r="R957" s="251"/>
      <c r="S957" s="251"/>
      <c r="T957" s="251"/>
      <c r="U957" s="251"/>
      <c r="V957" s="251"/>
      <c r="W957" s="251"/>
      <c r="X957" s="251"/>
      <c r="Y957" s="251"/>
      <c r="Z957" s="251"/>
    </row>
    <row r="958" spans="1:26" ht="14.25" customHeight="1" x14ac:dyDescent="0.35">
      <c r="A958" s="251"/>
      <c r="B958" s="251"/>
      <c r="C958" s="251"/>
      <c r="D958" s="251"/>
      <c r="E958" s="251"/>
      <c r="F958" s="251"/>
      <c r="G958" s="251"/>
      <c r="H958" s="251"/>
      <c r="I958" s="251"/>
      <c r="J958" s="251"/>
      <c r="K958" s="251"/>
      <c r="L958" s="251"/>
      <c r="M958" s="251"/>
      <c r="N958" s="251"/>
      <c r="O958" s="251"/>
      <c r="P958" s="251"/>
      <c r="Q958" s="251"/>
      <c r="R958" s="251"/>
      <c r="S958" s="251"/>
      <c r="T958" s="251"/>
      <c r="U958" s="251"/>
      <c r="V958" s="251"/>
      <c r="W958" s="251"/>
      <c r="X958" s="251"/>
      <c r="Y958" s="251"/>
      <c r="Z958" s="251"/>
    </row>
    <row r="959" spans="1:26" ht="14.25" customHeight="1" x14ac:dyDescent="0.35">
      <c r="A959" s="251"/>
      <c r="B959" s="251"/>
      <c r="C959" s="251"/>
      <c r="D959" s="251"/>
      <c r="E959" s="251"/>
      <c r="F959" s="251"/>
      <c r="G959" s="251"/>
      <c r="H959" s="251"/>
      <c r="I959" s="251"/>
      <c r="J959" s="251"/>
      <c r="K959" s="251"/>
      <c r="L959" s="251"/>
      <c r="M959" s="251"/>
      <c r="N959" s="251"/>
      <c r="O959" s="251"/>
      <c r="P959" s="251"/>
      <c r="Q959" s="251"/>
      <c r="R959" s="251"/>
      <c r="S959" s="251"/>
      <c r="T959" s="251"/>
      <c r="U959" s="251"/>
      <c r="V959" s="251"/>
      <c r="W959" s="251"/>
      <c r="X959" s="251"/>
      <c r="Y959" s="251"/>
      <c r="Z959" s="251"/>
    </row>
    <row r="960" spans="1:26" ht="14.25" customHeight="1" x14ac:dyDescent="0.35">
      <c r="A960" s="251"/>
      <c r="B960" s="251"/>
      <c r="C960" s="251"/>
      <c r="D960" s="251"/>
      <c r="E960" s="251"/>
      <c r="F960" s="251"/>
      <c r="G960" s="251"/>
      <c r="H960" s="251"/>
      <c r="I960" s="251"/>
      <c r="J960" s="251"/>
      <c r="K960" s="251"/>
      <c r="L960" s="251"/>
      <c r="M960" s="251"/>
      <c r="N960" s="251"/>
      <c r="O960" s="251"/>
      <c r="P960" s="251"/>
      <c r="Q960" s="251"/>
      <c r="R960" s="251"/>
      <c r="S960" s="251"/>
      <c r="T960" s="251"/>
      <c r="U960" s="251"/>
      <c r="V960" s="251"/>
      <c r="W960" s="251"/>
      <c r="X960" s="251"/>
      <c r="Y960" s="251"/>
      <c r="Z960" s="251"/>
    </row>
    <row r="961" spans="1:26" ht="14.25" customHeight="1" x14ac:dyDescent="0.35">
      <c r="A961" s="251"/>
      <c r="B961" s="251"/>
      <c r="C961" s="251"/>
      <c r="D961" s="251"/>
      <c r="E961" s="251"/>
      <c r="F961" s="251"/>
      <c r="G961" s="251"/>
      <c r="H961" s="251"/>
      <c r="I961" s="251"/>
      <c r="J961" s="251"/>
      <c r="K961" s="251"/>
      <c r="L961" s="251"/>
      <c r="M961" s="251"/>
      <c r="N961" s="251"/>
      <c r="O961" s="251"/>
      <c r="P961" s="251"/>
      <c r="Q961" s="251"/>
      <c r="R961" s="251"/>
      <c r="S961" s="251"/>
      <c r="T961" s="251"/>
      <c r="U961" s="251"/>
      <c r="V961" s="251"/>
      <c r="W961" s="251"/>
      <c r="X961" s="251"/>
      <c r="Y961" s="251"/>
      <c r="Z961" s="251"/>
    </row>
    <row r="962" spans="1:26" ht="14.25" customHeight="1" x14ac:dyDescent="0.35">
      <c r="A962" s="251"/>
      <c r="B962" s="251"/>
      <c r="C962" s="251"/>
      <c r="D962" s="251"/>
      <c r="E962" s="251"/>
      <c r="F962" s="251"/>
      <c r="G962" s="251"/>
      <c r="H962" s="251"/>
      <c r="I962" s="251"/>
      <c r="J962" s="251"/>
      <c r="K962" s="251"/>
      <c r="L962" s="251"/>
      <c r="M962" s="251"/>
      <c r="N962" s="251"/>
      <c r="O962" s="251"/>
      <c r="P962" s="251"/>
      <c r="Q962" s="251"/>
      <c r="R962" s="251"/>
      <c r="S962" s="251"/>
      <c r="T962" s="251"/>
      <c r="U962" s="251"/>
      <c r="V962" s="251"/>
      <c r="W962" s="251"/>
      <c r="X962" s="251"/>
      <c r="Y962" s="251"/>
      <c r="Z962" s="251"/>
    </row>
    <row r="963" spans="1:26" ht="14.25" customHeight="1" x14ac:dyDescent="0.35">
      <c r="A963" s="251"/>
      <c r="B963" s="251"/>
      <c r="C963" s="251"/>
      <c r="D963" s="251"/>
      <c r="E963" s="251"/>
      <c r="F963" s="251"/>
      <c r="G963" s="251"/>
      <c r="H963" s="251"/>
      <c r="I963" s="251"/>
      <c r="J963" s="251"/>
      <c r="K963" s="251"/>
      <c r="L963" s="251"/>
      <c r="M963" s="251"/>
      <c r="N963" s="251"/>
      <c r="O963" s="251"/>
      <c r="P963" s="251"/>
      <c r="Q963" s="251"/>
      <c r="R963" s="251"/>
      <c r="S963" s="251"/>
      <c r="T963" s="251"/>
      <c r="U963" s="251"/>
      <c r="V963" s="251"/>
      <c r="W963" s="251"/>
      <c r="X963" s="251"/>
      <c r="Y963" s="251"/>
      <c r="Z963" s="251"/>
    </row>
    <row r="964" spans="1:26" ht="14.25" customHeight="1" x14ac:dyDescent="0.35">
      <c r="A964" s="251"/>
      <c r="B964" s="251"/>
      <c r="C964" s="251"/>
      <c r="D964" s="251"/>
      <c r="E964" s="251"/>
      <c r="F964" s="251"/>
      <c r="G964" s="251"/>
      <c r="H964" s="251"/>
      <c r="I964" s="251"/>
      <c r="J964" s="251"/>
      <c r="K964" s="251"/>
      <c r="L964" s="251"/>
      <c r="M964" s="251"/>
      <c r="N964" s="251"/>
      <c r="O964" s="251"/>
      <c r="P964" s="251"/>
      <c r="Q964" s="251"/>
      <c r="R964" s="251"/>
      <c r="S964" s="251"/>
      <c r="T964" s="251"/>
      <c r="U964" s="251"/>
      <c r="V964" s="251"/>
      <c r="W964" s="251"/>
      <c r="X964" s="251"/>
      <c r="Y964" s="251"/>
      <c r="Z964" s="251"/>
    </row>
    <row r="965" spans="1:26" ht="14.25" customHeight="1" x14ac:dyDescent="0.35">
      <c r="A965" s="251"/>
      <c r="B965" s="251"/>
      <c r="C965" s="251"/>
      <c r="D965" s="251"/>
      <c r="E965" s="251"/>
      <c r="F965" s="251"/>
      <c r="G965" s="251"/>
      <c r="H965" s="251"/>
      <c r="I965" s="251"/>
      <c r="J965" s="251"/>
      <c r="K965" s="251"/>
      <c r="L965" s="251"/>
      <c r="M965" s="251"/>
      <c r="N965" s="251"/>
      <c r="O965" s="251"/>
      <c r="P965" s="251"/>
      <c r="Q965" s="251"/>
      <c r="R965" s="251"/>
      <c r="S965" s="251"/>
      <c r="T965" s="251"/>
      <c r="U965" s="251"/>
      <c r="V965" s="251"/>
      <c r="W965" s="251"/>
      <c r="X965" s="251"/>
      <c r="Y965" s="251"/>
      <c r="Z965" s="251"/>
    </row>
    <row r="966" spans="1:26" ht="14.25" customHeight="1" x14ac:dyDescent="0.35">
      <c r="A966" s="251"/>
      <c r="B966" s="251"/>
      <c r="C966" s="251"/>
      <c r="D966" s="251"/>
      <c r="E966" s="251"/>
      <c r="F966" s="251"/>
      <c r="G966" s="251"/>
      <c r="H966" s="251"/>
      <c r="I966" s="251"/>
      <c r="J966" s="251"/>
      <c r="K966" s="251"/>
      <c r="L966" s="251"/>
      <c r="M966" s="251"/>
      <c r="N966" s="251"/>
      <c r="O966" s="251"/>
      <c r="P966" s="251"/>
      <c r="Q966" s="251"/>
      <c r="R966" s="251"/>
      <c r="S966" s="251"/>
      <c r="T966" s="251"/>
      <c r="U966" s="251"/>
      <c r="V966" s="251"/>
      <c r="W966" s="251"/>
      <c r="X966" s="251"/>
      <c r="Y966" s="251"/>
      <c r="Z966" s="251"/>
    </row>
    <row r="967" spans="1:26" ht="14.25" customHeight="1" x14ac:dyDescent="0.35">
      <c r="A967" s="251"/>
      <c r="B967" s="251"/>
      <c r="C967" s="251"/>
      <c r="D967" s="251"/>
      <c r="E967" s="251"/>
      <c r="F967" s="251"/>
      <c r="G967" s="251"/>
      <c r="H967" s="251"/>
      <c r="I967" s="251"/>
      <c r="J967" s="251"/>
      <c r="K967" s="251"/>
      <c r="L967" s="251"/>
      <c r="M967" s="251"/>
      <c r="N967" s="251"/>
      <c r="O967" s="251"/>
      <c r="P967" s="251"/>
      <c r="Q967" s="251"/>
      <c r="R967" s="251"/>
      <c r="S967" s="251"/>
      <c r="T967" s="251"/>
      <c r="U967" s="251"/>
      <c r="V967" s="251"/>
      <c r="W967" s="251"/>
      <c r="X967" s="251"/>
      <c r="Y967" s="251"/>
      <c r="Z967" s="251"/>
    </row>
    <row r="968" spans="1:26" ht="14.25" customHeight="1" x14ac:dyDescent="0.35">
      <c r="A968" s="251"/>
      <c r="B968" s="251"/>
      <c r="C968" s="251"/>
      <c r="D968" s="251"/>
      <c r="E968" s="251"/>
      <c r="F968" s="251"/>
      <c r="G968" s="251"/>
      <c r="H968" s="251"/>
      <c r="I968" s="251"/>
      <c r="J968" s="251"/>
      <c r="K968" s="251"/>
      <c r="L968" s="251"/>
      <c r="M968" s="251"/>
      <c r="N968" s="251"/>
      <c r="O968" s="251"/>
      <c r="P968" s="251"/>
      <c r="Q968" s="251"/>
      <c r="R968" s="251"/>
      <c r="S968" s="251"/>
      <c r="T968" s="251"/>
      <c r="U968" s="251"/>
      <c r="V968" s="251"/>
      <c r="W968" s="251"/>
      <c r="X968" s="251"/>
      <c r="Y968" s="251"/>
      <c r="Z968" s="251"/>
    </row>
    <row r="969" spans="1:26" ht="14.25" customHeight="1" x14ac:dyDescent="0.35">
      <c r="A969" s="251"/>
      <c r="B969" s="251"/>
      <c r="C969" s="251"/>
      <c r="D969" s="251"/>
      <c r="E969" s="251"/>
      <c r="F969" s="251"/>
      <c r="G969" s="251"/>
      <c r="H969" s="251"/>
      <c r="I969" s="251"/>
      <c r="J969" s="251"/>
      <c r="K969" s="251"/>
      <c r="L969" s="251"/>
      <c r="M969" s="251"/>
      <c r="N969" s="251"/>
      <c r="O969" s="251"/>
      <c r="P969" s="251"/>
      <c r="Q969" s="251"/>
      <c r="R969" s="251"/>
      <c r="S969" s="251"/>
      <c r="T969" s="251"/>
      <c r="U969" s="251"/>
      <c r="V969" s="251"/>
      <c r="W969" s="251"/>
      <c r="X969" s="251"/>
      <c r="Y969" s="251"/>
      <c r="Z969" s="251"/>
    </row>
    <row r="970" spans="1:26" ht="14.25" customHeight="1" x14ac:dyDescent="0.35">
      <c r="A970" s="251"/>
      <c r="B970" s="251"/>
      <c r="C970" s="251"/>
      <c r="D970" s="251"/>
      <c r="E970" s="251"/>
      <c r="F970" s="251"/>
      <c r="G970" s="251"/>
      <c r="H970" s="251"/>
      <c r="I970" s="251"/>
      <c r="J970" s="251"/>
      <c r="K970" s="251"/>
      <c r="L970" s="251"/>
      <c r="M970" s="251"/>
      <c r="N970" s="251"/>
      <c r="O970" s="251"/>
      <c r="P970" s="251"/>
      <c r="Q970" s="251"/>
      <c r="R970" s="251"/>
      <c r="S970" s="251"/>
      <c r="T970" s="251"/>
      <c r="U970" s="251"/>
      <c r="V970" s="251"/>
      <c r="W970" s="251"/>
      <c r="X970" s="251"/>
      <c r="Y970" s="251"/>
      <c r="Z970" s="251"/>
    </row>
    <row r="971" spans="1:26" ht="14.25" customHeight="1" x14ac:dyDescent="0.35">
      <c r="A971" s="251"/>
      <c r="B971" s="251"/>
      <c r="C971" s="251"/>
      <c r="D971" s="251"/>
      <c r="E971" s="251"/>
      <c r="F971" s="251"/>
      <c r="G971" s="251"/>
      <c r="H971" s="251"/>
      <c r="I971" s="251"/>
      <c r="J971" s="251"/>
      <c r="K971" s="251"/>
      <c r="L971" s="251"/>
      <c r="M971" s="251"/>
      <c r="N971" s="251"/>
      <c r="O971" s="251"/>
      <c r="P971" s="251"/>
      <c r="Q971" s="251"/>
      <c r="R971" s="251"/>
      <c r="S971" s="251"/>
      <c r="T971" s="251"/>
      <c r="U971" s="251"/>
      <c r="V971" s="251"/>
      <c r="W971" s="251"/>
      <c r="X971" s="251"/>
      <c r="Y971" s="251"/>
      <c r="Z971" s="251"/>
    </row>
    <row r="972" spans="1:26" ht="14.25" customHeight="1" x14ac:dyDescent="0.35">
      <c r="A972" s="251"/>
      <c r="B972" s="251"/>
      <c r="C972" s="251"/>
      <c r="D972" s="251"/>
      <c r="E972" s="251"/>
      <c r="F972" s="251"/>
      <c r="G972" s="251"/>
      <c r="H972" s="251"/>
      <c r="I972" s="251"/>
      <c r="J972" s="251"/>
      <c r="K972" s="251"/>
      <c r="L972" s="251"/>
      <c r="M972" s="251"/>
      <c r="N972" s="251"/>
      <c r="O972" s="251"/>
      <c r="P972" s="251"/>
      <c r="Q972" s="251"/>
      <c r="R972" s="251"/>
      <c r="S972" s="251"/>
      <c r="T972" s="251"/>
      <c r="U972" s="251"/>
      <c r="V972" s="251"/>
      <c r="W972" s="251"/>
      <c r="X972" s="251"/>
      <c r="Y972" s="251"/>
      <c r="Z972" s="251"/>
    </row>
    <row r="973" spans="1:26" ht="14.25" customHeight="1" x14ac:dyDescent="0.35">
      <c r="A973" s="251"/>
      <c r="B973" s="251"/>
      <c r="C973" s="251"/>
      <c r="D973" s="251"/>
      <c r="E973" s="251"/>
      <c r="F973" s="251"/>
      <c r="G973" s="251"/>
      <c r="H973" s="251"/>
      <c r="I973" s="251"/>
      <c r="J973" s="251"/>
      <c r="K973" s="251"/>
      <c r="L973" s="251"/>
      <c r="M973" s="251"/>
      <c r="N973" s="251"/>
      <c r="O973" s="251"/>
      <c r="P973" s="251"/>
      <c r="Q973" s="251"/>
      <c r="R973" s="251"/>
      <c r="S973" s="251"/>
      <c r="T973" s="251"/>
      <c r="U973" s="251"/>
      <c r="V973" s="251"/>
      <c r="W973" s="251"/>
      <c r="X973" s="251"/>
      <c r="Y973" s="251"/>
      <c r="Z973" s="251"/>
    </row>
    <row r="974" spans="1:26" ht="14.25" customHeight="1" x14ac:dyDescent="0.35">
      <c r="A974" s="251"/>
      <c r="B974" s="251"/>
      <c r="C974" s="251"/>
      <c r="D974" s="251"/>
      <c r="E974" s="251"/>
      <c r="F974" s="251"/>
      <c r="G974" s="251"/>
      <c r="H974" s="251"/>
      <c r="I974" s="251"/>
      <c r="J974" s="251"/>
      <c r="K974" s="251"/>
      <c r="L974" s="251"/>
      <c r="M974" s="251"/>
      <c r="N974" s="251"/>
      <c r="O974" s="251"/>
      <c r="P974" s="251"/>
      <c r="Q974" s="251"/>
      <c r="R974" s="251"/>
      <c r="S974" s="251"/>
      <c r="T974" s="251"/>
      <c r="U974" s="251"/>
      <c r="V974" s="251"/>
      <c r="W974" s="251"/>
      <c r="X974" s="251"/>
      <c r="Y974" s="251"/>
      <c r="Z974" s="251"/>
    </row>
    <row r="975" spans="1:26" ht="14.25" customHeight="1" x14ac:dyDescent="0.35">
      <c r="A975" s="251"/>
      <c r="B975" s="251"/>
      <c r="C975" s="251"/>
      <c r="D975" s="251"/>
      <c r="E975" s="251"/>
      <c r="F975" s="251"/>
      <c r="G975" s="251"/>
      <c r="H975" s="251"/>
      <c r="I975" s="251"/>
      <c r="J975" s="251"/>
      <c r="K975" s="251"/>
      <c r="L975" s="251"/>
      <c r="M975" s="251"/>
      <c r="N975" s="251"/>
      <c r="O975" s="251"/>
      <c r="P975" s="251"/>
      <c r="Q975" s="251"/>
      <c r="R975" s="251"/>
      <c r="S975" s="251"/>
      <c r="T975" s="251"/>
      <c r="U975" s="251"/>
      <c r="V975" s="251"/>
      <c r="W975" s="251"/>
      <c r="X975" s="251"/>
      <c r="Y975" s="251"/>
      <c r="Z975" s="251"/>
    </row>
    <row r="976" spans="1:26" ht="14.25" customHeight="1" x14ac:dyDescent="0.35">
      <c r="A976" s="251"/>
      <c r="B976" s="251"/>
      <c r="C976" s="251"/>
      <c r="D976" s="251"/>
      <c r="E976" s="251"/>
      <c r="F976" s="251"/>
      <c r="G976" s="251"/>
      <c r="H976" s="251"/>
      <c r="I976" s="251"/>
      <c r="J976" s="251"/>
      <c r="K976" s="251"/>
      <c r="L976" s="251"/>
      <c r="M976" s="251"/>
      <c r="N976" s="251"/>
      <c r="O976" s="251"/>
      <c r="P976" s="251"/>
      <c r="Q976" s="251"/>
      <c r="R976" s="251"/>
      <c r="S976" s="251"/>
      <c r="T976" s="251"/>
      <c r="U976" s="251"/>
      <c r="V976" s="251"/>
      <c r="W976" s="251"/>
      <c r="X976" s="251"/>
      <c r="Y976" s="251"/>
      <c r="Z976" s="251"/>
    </row>
    <row r="977" spans="1:26" ht="14.25" customHeight="1" x14ac:dyDescent="0.35">
      <c r="A977" s="251"/>
      <c r="B977" s="251"/>
      <c r="C977" s="251"/>
      <c r="D977" s="251"/>
      <c r="E977" s="251"/>
      <c r="F977" s="251"/>
      <c r="G977" s="251"/>
      <c r="H977" s="251"/>
      <c r="I977" s="251"/>
      <c r="J977" s="251"/>
      <c r="K977" s="251"/>
      <c r="L977" s="251"/>
      <c r="M977" s="251"/>
      <c r="N977" s="251"/>
      <c r="O977" s="251"/>
      <c r="P977" s="251"/>
      <c r="Q977" s="251"/>
      <c r="R977" s="251"/>
      <c r="S977" s="251"/>
      <c r="T977" s="251"/>
      <c r="U977" s="251"/>
      <c r="V977" s="251"/>
      <c r="W977" s="251"/>
      <c r="X977" s="251"/>
      <c r="Y977" s="251"/>
      <c r="Z977" s="251"/>
    </row>
    <row r="978" spans="1:26" ht="14.25" customHeight="1" x14ac:dyDescent="0.35">
      <c r="A978" s="251"/>
      <c r="B978" s="251"/>
      <c r="C978" s="251"/>
      <c r="D978" s="251"/>
      <c r="E978" s="251"/>
      <c r="F978" s="251"/>
      <c r="G978" s="251"/>
      <c r="H978" s="251"/>
      <c r="I978" s="251"/>
      <c r="J978" s="251"/>
      <c r="K978" s="251"/>
      <c r="L978" s="251"/>
      <c r="M978" s="251"/>
      <c r="N978" s="251"/>
      <c r="O978" s="251"/>
      <c r="P978" s="251"/>
      <c r="Q978" s="251"/>
      <c r="R978" s="251"/>
      <c r="S978" s="251"/>
      <c r="T978" s="251"/>
      <c r="U978" s="251"/>
      <c r="V978" s="251"/>
      <c r="W978" s="251"/>
      <c r="X978" s="251"/>
      <c r="Y978" s="251"/>
      <c r="Z978" s="251"/>
    </row>
    <row r="979" spans="1:26" ht="14.25" customHeight="1" x14ac:dyDescent="0.35">
      <c r="A979" s="251"/>
      <c r="B979" s="251"/>
      <c r="C979" s="251"/>
      <c r="D979" s="251"/>
      <c r="E979" s="251"/>
      <c r="F979" s="251"/>
      <c r="G979" s="251"/>
      <c r="H979" s="251"/>
      <c r="I979" s="251"/>
      <c r="J979" s="251"/>
      <c r="K979" s="251"/>
      <c r="L979" s="251"/>
      <c r="M979" s="251"/>
      <c r="N979" s="251"/>
      <c r="O979" s="251"/>
      <c r="P979" s="251"/>
      <c r="Q979" s="251"/>
      <c r="R979" s="251"/>
      <c r="S979" s="251"/>
      <c r="T979" s="251"/>
      <c r="U979" s="251"/>
      <c r="V979" s="251"/>
      <c r="W979" s="251"/>
      <c r="X979" s="251"/>
      <c r="Y979" s="251"/>
      <c r="Z979" s="251"/>
    </row>
    <row r="980" spans="1:26" ht="14.25" customHeight="1" x14ac:dyDescent="0.35">
      <c r="A980" s="251"/>
      <c r="B980" s="251"/>
      <c r="C980" s="251"/>
      <c r="D980" s="251"/>
      <c r="E980" s="251"/>
      <c r="F980" s="251"/>
      <c r="G980" s="251"/>
      <c r="H980" s="251"/>
      <c r="I980" s="251"/>
      <c r="J980" s="251"/>
      <c r="K980" s="251"/>
      <c r="L980" s="251"/>
      <c r="M980" s="251"/>
      <c r="N980" s="251"/>
      <c r="O980" s="251"/>
      <c r="P980" s="251"/>
      <c r="Q980" s="251"/>
      <c r="R980" s="251"/>
      <c r="S980" s="251"/>
      <c r="T980" s="251"/>
      <c r="U980" s="251"/>
      <c r="V980" s="251"/>
      <c r="W980" s="251"/>
      <c r="X980" s="251"/>
      <c r="Y980" s="251"/>
      <c r="Z980" s="251"/>
    </row>
    <row r="981" spans="1:26" ht="14.25" customHeight="1" x14ac:dyDescent="0.35">
      <c r="A981" s="251"/>
      <c r="B981" s="251"/>
      <c r="C981" s="251"/>
      <c r="D981" s="251"/>
      <c r="E981" s="251"/>
      <c r="F981" s="251"/>
      <c r="G981" s="251"/>
      <c r="H981" s="251"/>
      <c r="I981" s="251"/>
      <c r="J981" s="251"/>
      <c r="K981" s="251"/>
      <c r="L981" s="251"/>
      <c r="M981" s="251"/>
      <c r="N981" s="251"/>
      <c r="O981" s="251"/>
      <c r="P981" s="251"/>
      <c r="Q981" s="251"/>
      <c r="R981" s="251"/>
      <c r="S981" s="251"/>
      <c r="T981" s="251"/>
      <c r="U981" s="251"/>
      <c r="V981" s="251"/>
      <c r="W981" s="251"/>
      <c r="X981" s="251"/>
      <c r="Y981" s="251"/>
      <c r="Z981" s="251"/>
    </row>
    <row r="982" spans="1:26" ht="14.25" customHeight="1" x14ac:dyDescent="0.35">
      <c r="A982" s="251"/>
      <c r="B982" s="251"/>
      <c r="C982" s="251"/>
      <c r="D982" s="251"/>
      <c r="E982" s="251"/>
      <c r="F982" s="251"/>
      <c r="G982" s="251"/>
      <c r="H982" s="251"/>
      <c r="I982" s="251"/>
      <c r="J982" s="251"/>
      <c r="K982" s="251"/>
      <c r="L982" s="251"/>
      <c r="M982" s="251"/>
      <c r="N982" s="251"/>
      <c r="O982" s="251"/>
      <c r="P982" s="251"/>
      <c r="Q982" s="251"/>
      <c r="R982" s="251"/>
      <c r="S982" s="251"/>
      <c r="T982" s="251"/>
      <c r="U982" s="251"/>
      <c r="V982" s="251"/>
      <c r="W982" s="251"/>
      <c r="X982" s="251"/>
      <c r="Y982" s="251"/>
      <c r="Z982" s="251"/>
    </row>
    <row r="983" spans="1:26" ht="14.25" customHeight="1" x14ac:dyDescent="0.35">
      <c r="A983" s="251"/>
      <c r="B983" s="251"/>
      <c r="C983" s="251"/>
      <c r="D983" s="251"/>
      <c r="E983" s="251"/>
      <c r="F983" s="251"/>
      <c r="G983" s="251"/>
      <c r="H983" s="251"/>
      <c r="I983" s="251"/>
      <c r="J983" s="251"/>
      <c r="K983" s="251"/>
      <c r="L983" s="251"/>
      <c r="M983" s="251"/>
      <c r="N983" s="251"/>
      <c r="O983" s="251"/>
      <c r="P983" s="251"/>
      <c r="Q983" s="251"/>
      <c r="R983" s="251"/>
      <c r="S983" s="251"/>
      <c r="T983" s="251"/>
      <c r="U983" s="251"/>
      <c r="V983" s="251"/>
      <c r="W983" s="251"/>
      <c r="X983" s="251"/>
      <c r="Y983" s="251"/>
      <c r="Z983" s="251"/>
    </row>
    <row r="984" spans="1:26" ht="14.25" customHeight="1" x14ac:dyDescent="0.35">
      <c r="A984" s="251"/>
      <c r="B984" s="251"/>
      <c r="C984" s="251"/>
      <c r="D984" s="251"/>
      <c r="E984" s="251"/>
      <c r="F984" s="251"/>
      <c r="G984" s="251"/>
      <c r="H984" s="251"/>
      <c r="I984" s="251"/>
      <c r="J984" s="251"/>
      <c r="K984" s="251"/>
      <c r="L984" s="251"/>
      <c r="M984" s="251"/>
      <c r="N984" s="251"/>
      <c r="O984" s="251"/>
      <c r="P984" s="251"/>
      <c r="Q984" s="251"/>
      <c r="R984" s="251"/>
      <c r="S984" s="251"/>
      <c r="T984" s="251"/>
      <c r="U984" s="251"/>
      <c r="V984" s="251"/>
      <c r="W984" s="251"/>
      <c r="X984" s="251"/>
      <c r="Y984" s="251"/>
      <c r="Z984" s="251"/>
    </row>
    <row r="985" spans="1:26" ht="14.25" customHeight="1" x14ac:dyDescent="0.35">
      <c r="A985" s="251"/>
      <c r="B985" s="251"/>
      <c r="C985" s="251"/>
      <c r="D985" s="251"/>
      <c r="E985" s="251"/>
      <c r="F985" s="251"/>
      <c r="G985" s="251"/>
      <c r="H985" s="251"/>
      <c r="I985" s="251"/>
      <c r="J985" s="251"/>
      <c r="K985" s="251"/>
      <c r="L985" s="251"/>
      <c r="M985" s="251"/>
      <c r="N985" s="251"/>
      <c r="O985" s="251"/>
      <c r="P985" s="251"/>
      <c r="Q985" s="251"/>
      <c r="R985" s="251"/>
      <c r="S985" s="251"/>
      <c r="T985" s="251"/>
      <c r="U985" s="251"/>
      <c r="V985" s="251"/>
      <c r="W985" s="251"/>
      <c r="X985" s="251"/>
      <c r="Y985" s="251"/>
      <c r="Z985" s="251"/>
    </row>
    <row r="986" spans="1:26" ht="14.25" customHeight="1" x14ac:dyDescent="0.35">
      <c r="A986" s="251"/>
      <c r="B986" s="251"/>
      <c r="C986" s="251"/>
      <c r="D986" s="251"/>
      <c r="E986" s="251"/>
      <c r="F986" s="251"/>
      <c r="G986" s="251"/>
      <c r="H986" s="251"/>
      <c r="I986" s="251"/>
      <c r="J986" s="251"/>
      <c r="K986" s="251"/>
      <c r="L986" s="251"/>
      <c r="M986" s="251"/>
      <c r="N986" s="251"/>
      <c r="O986" s="251"/>
      <c r="P986" s="251"/>
      <c r="Q986" s="251"/>
      <c r="R986" s="251"/>
      <c r="S986" s="251"/>
      <c r="T986" s="251"/>
      <c r="U986" s="251"/>
      <c r="V986" s="251"/>
      <c r="W986" s="251"/>
      <c r="X986" s="251"/>
      <c r="Y986" s="251"/>
      <c r="Z986" s="251"/>
    </row>
    <row r="987" spans="1:26" ht="14.25" customHeight="1" x14ac:dyDescent="0.35">
      <c r="A987" s="251"/>
      <c r="B987" s="251"/>
      <c r="C987" s="251"/>
      <c r="D987" s="251"/>
      <c r="E987" s="251"/>
      <c r="F987" s="251"/>
      <c r="G987" s="251"/>
      <c r="H987" s="251"/>
      <c r="I987" s="251"/>
      <c r="J987" s="251"/>
      <c r="K987" s="251"/>
      <c r="L987" s="251"/>
      <c r="M987" s="251"/>
      <c r="N987" s="251"/>
      <c r="O987" s="251"/>
      <c r="P987" s="251"/>
      <c r="Q987" s="251"/>
      <c r="R987" s="251"/>
      <c r="S987" s="251"/>
      <c r="T987" s="251"/>
      <c r="U987" s="251"/>
      <c r="V987" s="251"/>
      <c r="W987" s="251"/>
      <c r="X987" s="251"/>
      <c r="Y987" s="251"/>
      <c r="Z987" s="251"/>
    </row>
    <row r="988" spans="1:26" ht="14.25" customHeight="1" x14ac:dyDescent="0.35">
      <c r="A988" s="251"/>
      <c r="B988" s="251"/>
      <c r="C988" s="251"/>
      <c r="D988" s="251"/>
      <c r="E988" s="251"/>
      <c r="F988" s="251"/>
      <c r="G988" s="251"/>
      <c r="H988" s="251"/>
      <c r="I988" s="251"/>
      <c r="J988" s="251"/>
      <c r="K988" s="251"/>
      <c r="L988" s="251"/>
      <c r="M988" s="251"/>
      <c r="N988" s="251"/>
      <c r="O988" s="251"/>
      <c r="P988" s="251"/>
      <c r="Q988" s="251"/>
      <c r="R988" s="251"/>
      <c r="S988" s="251"/>
      <c r="T988" s="251"/>
      <c r="U988" s="251"/>
      <c r="V988" s="251"/>
      <c r="W988" s="251"/>
      <c r="X988" s="251"/>
      <c r="Y988" s="251"/>
      <c r="Z988" s="251"/>
    </row>
    <row r="989" spans="1:26" ht="14.25" customHeight="1" x14ac:dyDescent="0.35">
      <c r="A989" s="251"/>
      <c r="B989" s="251"/>
      <c r="C989" s="251"/>
      <c r="D989" s="251"/>
      <c r="E989" s="251"/>
      <c r="F989" s="251"/>
      <c r="G989" s="251"/>
      <c r="H989" s="251"/>
      <c r="I989" s="251"/>
      <c r="J989" s="251"/>
      <c r="K989" s="251"/>
      <c r="L989" s="251"/>
      <c r="M989" s="251"/>
      <c r="N989" s="251"/>
      <c r="O989" s="251"/>
      <c r="P989" s="251"/>
      <c r="Q989" s="251"/>
      <c r="R989" s="251"/>
      <c r="S989" s="251"/>
      <c r="T989" s="251"/>
      <c r="U989" s="251"/>
      <c r="V989" s="251"/>
      <c r="W989" s="251"/>
      <c r="X989" s="251"/>
      <c r="Y989" s="251"/>
      <c r="Z989" s="251"/>
    </row>
    <row r="990" spans="1:26" ht="14.25" customHeight="1" x14ac:dyDescent="0.35">
      <c r="A990" s="251"/>
      <c r="B990" s="251"/>
      <c r="C990" s="251"/>
      <c r="D990" s="251"/>
      <c r="E990" s="251"/>
      <c r="F990" s="251"/>
      <c r="G990" s="251"/>
      <c r="H990" s="251"/>
      <c r="I990" s="251"/>
      <c r="J990" s="251"/>
      <c r="K990" s="251"/>
      <c r="L990" s="251"/>
      <c r="M990" s="251"/>
      <c r="N990" s="251"/>
      <c r="O990" s="251"/>
      <c r="P990" s="251"/>
      <c r="Q990" s="251"/>
      <c r="R990" s="251"/>
      <c r="S990" s="251"/>
      <c r="T990" s="251"/>
      <c r="U990" s="251"/>
      <c r="V990" s="251"/>
      <c r="W990" s="251"/>
      <c r="X990" s="251"/>
      <c r="Y990" s="251"/>
      <c r="Z990" s="251"/>
    </row>
    <row r="991" spans="1:26" ht="14.25" customHeight="1" x14ac:dyDescent="0.35">
      <c r="A991" s="251"/>
      <c r="B991" s="251"/>
      <c r="C991" s="251"/>
      <c r="D991" s="251"/>
      <c r="E991" s="251"/>
      <c r="F991" s="251"/>
      <c r="G991" s="251"/>
      <c r="H991" s="251"/>
      <c r="I991" s="251"/>
      <c r="J991" s="251"/>
      <c r="K991" s="251"/>
      <c r="L991" s="251"/>
      <c r="M991" s="251"/>
      <c r="N991" s="251"/>
      <c r="O991" s="251"/>
      <c r="P991" s="251"/>
      <c r="Q991" s="251"/>
      <c r="R991" s="251"/>
      <c r="S991" s="251"/>
      <c r="T991" s="251"/>
      <c r="U991" s="251"/>
      <c r="V991" s="251"/>
      <c r="W991" s="251"/>
      <c r="X991" s="251"/>
      <c r="Y991" s="251"/>
      <c r="Z991" s="251"/>
    </row>
    <row r="992" spans="1:26" ht="14.25" customHeight="1" x14ac:dyDescent="0.35">
      <c r="A992" s="251"/>
      <c r="B992" s="251"/>
      <c r="C992" s="251"/>
      <c r="D992" s="251"/>
      <c r="E992" s="251"/>
      <c r="F992" s="251"/>
      <c r="G992" s="251"/>
      <c r="H992" s="251"/>
      <c r="I992" s="251"/>
      <c r="J992" s="251"/>
      <c r="K992" s="251"/>
      <c r="L992" s="251"/>
      <c r="M992" s="251"/>
      <c r="N992" s="251"/>
      <c r="O992" s="251"/>
      <c r="P992" s="251"/>
      <c r="Q992" s="251"/>
      <c r="R992" s="251"/>
      <c r="S992" s="251"/>
      <c r="T992" s="251"/>
      <c r="U992" s="251"/>
      <c r="V992" s="251"/>
      <c r="W992" s="251"/>
      <c r="X992" s="251"/>
      <c r="Y992" s="251"/>
      <c r="Z992" s="251"/>
    </row>
    <row r="993" spans="1:26" ht="14.25" customHeight="1" x14ac:dyDescent="0.35">
      <c r="A993" s="251"/>
      <c r="B993" s="251"/>
      <c r="C993" s="251"/>
      <c r="D993" s="251"/>
      <c r="E993" s="251"/>
      <c r="F993" s="251"/>
      <c r="G993" s="251"/>
      <c r="H993" s="251"/>
      <c r="I993" s="251"/>
      <c r="J993" s="251"/>
      <c r="K993" s="251"/>
      <c r="L993" s="251"/>
      <c r="M993" s="251"/>
      <c r="N993" s="251"/>
      <c r="O993" s="251"/>
      <c r="P993" s="251"/>
      <c r="Q993" s="251"/>
      <c r="R993" s="251"/>
      <c r="S993" s="251"/>
      <c r="T993" s="251"/>
      <c r="U993" s="251"/>
      <c r="V993" s="251"/>
      <c r="W993" s="251"/>
      <c r="X993" s="251"/>
      <c r="Y993" s="251"/>
      <c r="Z993" s="251"/>
    </row>
    <row r="994" spans="1:26" ht="14.25" customHeight="1" x14ac:dyDescent="0.35">
      <c r="A994" s="251"/>
      <c r="B994" s="251"/>
      <c r="C994" s="251"/>
      <c r="D994" s="251"/>
      <c r="E994" s="251"/>
      <c r="F994" s="251"/>
      <c r="G994" s="251"/>
      <c r="H994" s="251"/>
      <c r="I994" s="251"/>
      <c r="J994" s="251"/>
      <c r="K994" s="251"/>
      <c r="L994" s="251"/>
      <c r="M994" s="251"/>
      <c r="N994" s="251"/>
      <c r="O994" s="251"/>
      <c r="P994" s="251"/>
      <c r="Q994" s="251"/>
      <c r="R994" s="251"/>
      <c r="S994" s="251"/>
      <c r="T994" s="251"/>
      <c r="U994" s="251"/>
      <c r="V994" s="251"/>
      <c r="W994" s="251"/>
      <c r="X994" s="251"/>
      <c r="Y994" s="251"/>
      <c r="Z994" s="251"/>
    </row>
    <row r="995" spans="1:26" ht="14.25" customHeight="1" x14ac:dyDescent="0.35">
      <c r="A995" s="251"/>
      <c r="B995" s="251"/>
      <c r="C995" s="251"/>
      <c r="D995" s="251"/>
      <c r="E995" s="251"/>
      <c r="F995" s="251"/>
      <c r="G995" s="251"/>
      <c r="H995" s="251"/>
      <c r="I995" s="251"/>
      <c r="J995" s="251"/>
      <c r="K995" s="251"/>
      <c r="L995" s="251"/>
      <c r="M995" s="251"/>
      <c r="N995" s="251"/>
      <c r="O995" s="251"/>
      <c r="P995" s="251"/>
      <c r="Q995" s="251"/>
      <c r="R995" s="251"/>
      <c r="S995" s="251"/>
      <c r="T995" s="251"/>
      <c r="U995" s="251"/>
      <c r="V995" s="251"/>
      <c r="W995" s="251"/>
      <c r="X995" s="251"/>
      <c r="Y995" s="251"/>
      <c r="Z995" s="251"/>
    </row>
    <row r="996" spans="1:26" ht="14.25" customHeight="1" x14ac:dyDescent="0.35">
      <c r="A996" s="251"/>
      <c r="B996" s="251"/>
      <c r="C996" s="251"/>
      <c r="D996" s="251"/>
      <c r="E996" s="251"/>
      <c r="F996" s="251"/>
      <c r="G996" s="251"/>
      <c r="H996" s="251"/>
      <c r="I996" s="251"/>
      <c r="J996" s="251"/>
      <c r="K996" s="251"/>
      <c r="L996" s="251"/>
      <c r="M996" s="251"/>
      <c r="N996" s="251"/>
      <c r="O996" s="251"/>
      <c r="P996" s="251"/>
      <c r="Q996" s="251"/>
      <c r="R996" s="251"/>
      <c r="S996" s="251"/>
      <c r="T996" s="251"/>
      <c r="U996" s="251"/>
      <c r="V996" s="251"/>
      <c r="W996" s="251"/>
      <c r="X996" s="251"/>
      <c r="Y996" s="251"/>
      <c r="Z996" s="251"/>
    </row>
    <row r="997" spans="1:26" ht="14.25" customHeight="1" x14ac:dyDescent="0.35">
      <c r="A997" s="251"/>
      <c r="B997" s="251"/>
      <c r="C997" s="251"/>
      <c r="D997" s="251"/>
      <c r="E997" s="251"/>
      <c r="F997" s="251"/>
      <c r="G997" s="251"/>
      <c r="H997" s="251"/>
      <c r="I997" s="251"/>
      <c r="J997" s="251"/>
      <c r="K997" s="251"/>
      <c r="L997" s="251"/>
      <c r="M997" s="251"/>
      <c r="N997" s="251"/>
      <c r="O997" s="251"/>
      <c r="P997" s="251"/>
      <c r="Q997" s="251"/>
      <c r="R997" s="251"/>
      <c r="S997" s="251"/>
      <c r="T997" s="251"/>
      <c r="U997" s="251"/>
      <c r="V997" s="251"/>
      <c r="W997" s="251"/>
      <c r="X997" s="251"/>
      <c r="Y997" s="251"/>
      <c r="Z997" s="251"/>
    </row>
    <row r="998" spans="1:26" ht="14.25" customHeight="1" x14ac:dyDescent="0.35">
      <c r="A998" s="251"/>
      <c r="B998" s="251"/>
      <c r="C998" s="251"/>
      <c r="D998" s="251"/>
      <c r="E998" s="251"/>
      <c r="F998" s="251"/>
      <c r="G998" s="251"/>
      <c r="H998" s="251"/>
      <c r="I998" s="251"/>
      <c r="J998" s="251"/>
      <c r="K998" s="251"/>
      <c r="L998" s="251"/>
      <c r="M998" s="251"/>
      <c r="N998" s="251"/>
      <c r="O998" s="251"/>
      <c r="P998" s="251"/>
      <c r="Q998" s="251"/>
      <c r="R998" s="251"/>
      <c r="S998" s="251"/>
      <c r="T998" s="251"/>
      <c r="U998" s="251"/>
      <c r="V998" s="251"/>
      <c r="W998" s="251"/>
      <c r="X998" s="251"/>
      <c r="Y998" s="251"/>
      <c r="Z998" s="251"/>
    </row>
    <row r="999" spans="1:26" ht="14.25" customHeight="1" x14ac:dyDescent="0.35">
      <c r="A999" s="251"/>
      <c r="B999" s="251"/>
      <c r="C999" s="251"/>
      <c r="D999" s="251"/>
      <c r="E999" s="251"/>
      <c r="F999" s="251"/>
      <c r="G999" s="251"/>
      <c r="H999" s="251"/>
      <c r="I999" s="251"/>
      <c r="J999" s="251"/>
      <c r="K999" s="251"/>
      <c r="L999" s="251"/>
      <c r="M999" s="251"/>
      <c r="N999" s="251"/>
      <c r="O999" s="251"/>
      <c r="P999" s="251"/>
      <c r="Q999" s="251"/>
      <c r="R999" s="251"/>
      <c r="S999" s="251"/>
      <c r="T999" s="251"/>
      <c r="U999" s="251"/>
      <c r="V999" s="251"/>
      <c r="W999" s="251"/>
      <c r="X999" s="251"/>
      <c r="Y999" s="251"/>
      <c r="Z999" s="251"/>
    </row>
    <row r="1000" spans="1:26" ht="14.25" customHeight="1" x14ac:dyDescent="0.35">
      <c r="A1000" s="251"/>
      <c r="B1000" s="251"/>
      <c r="C1000" s="251"/>
      <c r="D1000" s="251"/>
      <c r="E1000" s="251"/>
      <c r="F1000" s="251"/>
      <c r="G1000" s="251"/>
      <c r="H1000" s="251"/>
      <c r="I1000" s="251"/>
      <c r="J1000" s="251"/>
      <c r="K1000" s="251"/>
      <c r="L1000" s="251"/>
      <c r="M1000" s="251"/>
      <c r="N1000" s="251"/>
      <c r="O1000" s="251"/>
      <c r="P1000" s="251"/>
      <c r="Q1000" s="251"/>
      <c r="R1000" s="251"/>
      <c r="S1000" s="251"/>
      <c r="T1000" s="251"/>
      <c r="U1000" s="251"/>
      <c r="V1000" s="251"/>
      <c r="W1000" s="251"/>
      <c r="X1000" s="251"/>
      <c r="Y1000" s="251"/>
      <c r="Z1000" s="251"/>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years daily plus BOD, COD</vt:lpstr>
      <vt:lpstr>All Years -daily</vt:lpstr>
      <vt:lpstr>BOD COD</vt:lpstr>
      <vt:lpstr>Energy Consumption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Sabby Kapoor</dc:creator>
  <cp:lastModifiedBy>Abdullah Shahid</cp:lastModifiedBy>
  <dcterms:created xsi:type="dcterms:W3CDTF">2025-04-09T08:03:31Z</dcterms:created>
  <dcterms:modified xsi:type="dcterms:W3CDTF">2025-04-13T09:48:24Z</dcterms:modified>
</cp:coreProperties>
</file>